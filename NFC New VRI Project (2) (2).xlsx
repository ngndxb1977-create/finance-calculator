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3_ncr:1_{CDBE1B24-47E5-49E0-B684-F7B719039E22}" xr6:coauthVersionLast="47" xr6:coauthVersionMax="47" xr10:uidLastSave="{00000000-0000-0000-0000-000000000000}"/>
  <bookViews>
    <workbookView xWindow="-120" yWindow="-120" windowWidth="29040" windowHeight="15720" tabRatio="1000" activeTab="9" xr2:uid="{665EF06F-66B4-4087-9410-B361F9670F9A}"/>
  </bookViews>
  <sheets>
    <sheet name="MLP 26" sheetId="82" r:id="rId1"/>
    <sheet name="PR 26" sheetId="81" r:id="rId2"/>
    <sheet name="ML 26" sheetId="80" r:id="rId3"/>
    <sheet name="EH43 26" sheetId="79" r:id="rId4"/>
    <sheet name="EH40 26" sheetId="78" r:id="rId5"/>
    <sheet name="H43 26" sheetId="77" r:id="rId6"/>
    <sheet name="H40 26" sheetId="76" r:id="rId7"/>
    <sheet name="H44 26" sheetId="75" r:id="rId8"/>
    <sheet name="H42 26" sheetId="74" r:id="rId9"/>
    <sheet name="H48 26" sheetId="73" r:id="rId10"/>
    <sheet name="H45 26" sheetId="72" r:id="rId11"/>
    <sheet name="H38 26" sheetId="71" r:id="rId12"/>
    <sheet name="HLP 26" sheetId="70" r:id="rId13"/>
    <sheet name="H37 26" sheetId="69" r:id="rId14"/>
    <sheet name="PRP 26" sheetId="68" r:id="rId15"/>
    <sheet name="XPHL 26" sheetId="67" r:id="rId16"/>
    <sheet name="XPMLP 26" sheetId="66" r:id="rId17"/>
    <sheet name="XPML 26" sheetId="65" r:id="rId18"/>
    <sheet name="XPMLP-01 26" sheetId="64" r:id="rId19"/>
    <sheet name="XC 26" sheetId="63" r:id="rId20"/>
    <sheet name="P10 26" sheetId="62" r:id="rId21"/>
    <sheet name="G10 26" sheetId="61" r:id="rId22"/>
    <sheet name="G03 26" sheetId="60" r:id="rId23"/>
    <sheet name="G06 26" sheetId="59" r:id="rId24"/>
    <sheet name="P03 26" sheetId="58" r:id="rId25"/>
    <sheet name="P06 26" sheetId="57" r:id="rId26"/>
    <sheet name="P12 26 (2)" sheetId="56" r:id="rId27"/>
    <sheet name="P12 26" sheetId="55" r:id="rId28"/>
    <sheet name="G12 26" sheetId="54" r:id="rId29"/>
    <sheet name="P05 26" sheetId="53" r:id="rId30"/>
    <sheet name="G05 26" sheetId="52" r:id="rId31"/>
    <sheet name="G08 26" sheetId="51" r:id="rId32"/>
    <sheet name="G09 26" sheetId="50" r:id="rId33"/>
    <sheet name="P09 26" sheetId="49" r:id="rId34"/>
    <sheet name="H57 26" sheetId="48" r:id="rId35"/>
    <sheet name="P08 26" sheetId="47" r:id="rId36"/>
    <sheet name="H64 26" sheetId="46" r:id="rId37"/>
    <sheet name="P57 26" sheetId="45" r:id="rId38"/>
    <sheet name="P59 26" sheetId="44" r:id="rId39"/>
    <sheet name="H61 26" sheetId="43" r:id="rId40"/>
    <sheet name="P61 26" sheetId="42" r:id="rId41"/>
    <sheet name="H59 26" sheetId="41" r:id="rId42"/>
    <sheet name="H17 26" sheetId="40" r:id="rId43"/>
    <sheet name="HL 26" sheetId="39" r:id="rId44"/>
    <sheet name="P16 26" sheetId="38" r:id="rId45"/>
    <sheet name="H16 26" sheetId="37" r:id="rId46"/>
    <sheet name="MIG10 26" sheetId="36" r:id="rId47"/>
    <sheet name="MIG09 26" sheetId="35" r:id="rId48"/>
    <sheet name="MOP61 25" sheetId="34" r:id="rId49"/>
    <sheet name="MOG61 25" sheetId="33" r:id="rId50"/>
    <sheet name="MOG59P 25" sheetId="32" r:id="rId51"/>
    <sheet name="MOG59 25" sheetId="31" r:id="rId52"/>
    <sheet name="MOG64 25" sheetId="30" r:id="rId53"/>
    <sheet name="MOP57 25" sheetId="29" r:id="rId54"/>
    <sheet name="OTP08 25" sheetId="28" r:id="rId55"/>
    <sheet name="OTF08 25" sheetId="27" r:id="rId56"/>
    <sheet name="OTP06-01 25" sheetId="26" r:id="rId57"/>
    <sheet name="OTP06 25" sheetId="25" r:id="rId58"/>
    <sheet name="OTF06 25" sheetId="24" r:id="rId59"/>
    <sheet name="OTP03 25" sheetId="23" r:id="rId60"/>
    <sheet name="OTF03 25" sheetId="22" r:id="rId61"/>
    <sheet name="XC 25" sheetId="21" r:id="rId62"/>
    <sheet name="XPMLP-01 25" sheetId="20" r:id="rId63"/>
    <sheet name="XPMLP 25" sheetId="19" r:id="rId64"/>
    <sheet name="XPHL 25" sheetId="18" r:id="rId65"/>
    <sheet name="XPML 25" sheetId="17" r:id="rId66"/>
    <sheet name="ECG43 25" sheetId="16" r:id="rId67"/>
    <sheet name="ECG40 25" sheetId="15" r:id="rId68"/>
    <sheet name="ECG37 25" sheetId="14" r:id="rId69"/>
    <sheet name="ECG38 25" sheetId="13" r:id="rId70"/>
    <sheet name="ASG45 25" sheetId="12" r:id="rId71"/>
    <sheet name="ASG44 25" sheetId="11" r:id="rId72"/>
    <sheet name="ASG42 25" sheetId="10" r:id="rId73"/>
    <sheet name="ASG40 25" sheetId="9" r:id="rId74"/>
    <sheet name="ASG43 25" sheetId="8" r:id="rId75"/>
    <sheet name="ASG48 25" sheetId="7" r:id="rId76"/>
    <sheet name="ATG17 25" sheetId="6" r:id="rId77"/>
    <sheet name="ATG16 25" sheetId="5" r:id="rId78"/>
    <sheet name="MIG10 25" sheetId="4" r:id="rId79"/>
    <sheet name="MIG09 25" sheetId="3" r:id="rId80"/>
  </sheets>
  <definedNames>
    <definedName name="_xlnm.Print_Area" localSheetId="73">'ASG40 25'!$B$5:$N$34</definedName>
    <definedName name="_xlnm.Print_Area" localSheetId="72">'ASG42 25'!$B$5:$N$34</definedName>
    <definedName name="_xlnm.Print_Area" localSheetId="74">'ASG43 25'!$B$5:$N$34</definedName>
    <definedName name="_xlnm.Print_Area" localSheetId="71">'ASG44 25'!$B$5:$N$34</definedName>
    <definedName name="_xlnm.Print_Area" localSheetId="70">'ASG45 25'!$B$5:$N$34</definedName>
    <definedName name="_xlnm.Print_Area" localSheetId="75">'ASG48 25'!$B$5:$N$34</definedName>
    <definedName name="_xlnm.Print_Area" localSheetId="77">'ATG16 25'!$B$5:$N$34</definedName>
    <definedName name="_xlnm.Print_Area" localSheetId="76">'ATG17 25'!$B$5:$N$34</definedName>
    <definedName name="_xlnm.Print_Area" localSheetId="68">'ECG37 25'!$B$5:$N$34</definedName>
    <definedName name="_xlnm.Print_Area" localSheetId="69">'ECG38 25'!$B$5:$N$34</definedName>
    <definedName name="_xlnm.Print_Area" localSheetId="67">'ECG40 25'!$B$5:$N$34</definedName>
    <definedName name="_xlnm.Print_Area" localSheetId="66">'ECG43 25'!$B$5:$N$34</definedName>
    <definedName name="_xlnm.Print_Area" localSheetId="4">'EH40 26'!$B$5:$N$49</definedName>
    <definedName name="_xlnm.Print_Area" localSheetId="3">'EH43 26'!$B$5:$N$49</definedName>
    <definedName name="_xlnm.Print_Area" localSheetId="22">'G03 26'!$B$5:$N$49</definedName>
    <definedName name="_xlnm.Print_Area" localSheetId="30">'G05 26'!$B$5:$N$49</definedName>
    <definedName name="_xlnm.Print_Area" localSheetId="23">'G06 26'!$B$5:$N$49</definedName>
    <definedName name="_xlnm.Print_Area" localSheetId="31">'G08 26'!$B$5:$N$49</definedName>
    <definedName name="_xlnm.Print_Area" localSheetId="32">'G09 26'!$B$5:$N$49</definedName>
    <definedName name="_xlnm.Print_Area" localSheetId="21">'G10 26'!$B$5:$N$49</definedName>
    <definedName name="_xlnm.Print_Area" localSheetId="28">'G12 26'!$B$5:$N$49</definedName>
    <definedName name="_xlnm.Print_Area" localSheetId="45">'H16 26'!$B$5:$N$49</definedName>
    <definedName name="_xlnm.Print_Area" localSheetId="42">'H17 26'!$B$5:$N$49</definedName>
    <definedName name="_xlnm.Print_Area" localSheetId="13">'H37 26'!$B$5:$N$49</definedName>
    <definedName name="_xlnm.Print_Area" localSheetId="11">'H38 26'!$B$5:$N$49</definedName>
    <definedName name="_xlnm.Print_Area" localSheetId="6">'H40 26'!$B$5:$N$49</definedName>
    <definedName name="_xlnm.Print_Area" localSheetId="8">'H42 26'!$B$5:$N$49</definedName>
    <definedName name="_xlnm.Print_Area" localSheetId="5">'H43 26'!$B$5:$N$49</definedName>
    <definedName name="_xlnm.Print_Area" localSheetId="7">'H44 26'!$B$5:$N$49</definedName>
    <definedName name="_xlnm.Print_Area" localSheetId="10">'H45 26'!$B$5:$N$49</definedName>
    <definedName name="_xlnm.Print_Area" localSheetId="9">'H48 26'!$B$5:$N$49</definedName>
    <definedName name="_xlnm.Print_Area" localSheetId="34">'H57 26'!$B$5:$N$49</definedName>
    <definedName name="_xlnm.Print_Area" localSheetId="41">'H59 26'!$B$5:$N$49</definedName>
    <definedName name="_xlnm.Print_Area" localSheetId="39">'H61 26'!$B$5:$N$49</definedName>
    <definedName name="_xlnm.Print_Area" localSheetId="36">'H64 26'!$B$5:$N$49</definedName>
    <definedName name="_xlnm.Print_Area" localSheetId="43">'HL 26'!$B$5:$N$49</definedName>
    <definedName name="_xlnm.Print_Area" localSheetId="12">'HLP 26'!$B$5:$N$49</definedName>
    <definedName name="_xlnm.Print_Area" localSheetId="79">'MIG09 25'!$B$5:$N$34</definedName>
    <definedName name="_xlnm.Print_Area" localSheetId="47">'MIG09 26'!$B$5:$N$49</definedName>
    <definedName name="_xlnm.Print_Area" localSheetId="78">'MIG10 25'!$B$5:$N$34</definedName>
    <definedName name="_xlnm.Print_Area" localSheetId="46">'MIG10 26'!$B$5:$N$49</definedName>
    <definedName name="_xlnm.Print_Area" localSheetId="2">'ML 26'!$B$5:$N$49</definedName>
    <definedName name="_xlnm.Print_Area" localSheetId="0">'MLP 26'!$B$5:$N$49</definedName>
    <definedName name="_xlnm.Print_Area" localSheetId="51">'MOG59 25'!$B$5:$N$34</definedName>
    <definedName name="_xlnm.Print_Area" localSheetId="50">'MOG59P 25'!$B$5:$N$34</definedName>
    <definedName name="_xlnm.Print_Area" localSheetId="49">'MOG61 25'!$B$5:$N$34</definedName>
    <definedName name="_xlnm.Print_Area" localSheetId="52">'MOG64 25'!$B$5:$N$34</definedName>
    <definedName name="_xlnm.Print_Area" localSheetId="53">'MOP57 25'!$B$5:$N$34</definedName>
    <definedName name="_xlnm.Print_Area" localSheetId="48">'MOP61 25'!$B$5:$N$34</definedName>
    <definedName name="_xlnm.Print_Area" localSheetId="60">'OTF03 25'!$B$5:$N$34</definedName>
    <definedName name="_xlnm.Print_Area" localSheetId="58">'OTF06 25'!$B$5:$N$34</definedName>
    <definedName name="_xlnm.Print_Area" localSheetId="55">'OTF08 25'!$B$5:$N$34</definedName>
    <definedName name="_xlnm.Print_Area" localSheetId="59">'OTP03 25'!$B$5:$N$34</definedName>
    <definedName name="_xlnm.Print_Area" localSheetId="57">'OTP06 25'!$B$5:$N$34</definedName>
    <definedName name="_xlnm.Print_Area" localSheetId="56">'OTP06-01 25'!$B$5:$N$34</definedName>
    <definedName name="_xlnm.Print_Area" localSheetId="54">'OTP08 25'!$B$5:$N$34</definedName>
    <definedName name="_xlnm.Print_Area" localSheetId="24">'P03 26'!$B$5:$N$49</definedName>
    <definedName name="_xlnm.Print_Area" localSheetId="29">'P05 26'!$B$5:$N$49</definedName>
    <definedName name="_xlnm.Print_Area" localSheetId="25">'P06 26'!$B$5:$N$49</definedName>
    <definedName name="_xlnm.Print_Area" localSheetId="35">'P08 26'!$B$5:$N$49</definedName>
    <definedName name="_xlnm.Print_Area" localSheetId="33">'P09 26'!$B$5:$N$49</definedName>
    <definedName name="_xlnm.Print_Area" localSheetId="20">'P10 26'!$B$5:$N$49</definedName>
    <definedName name="_xlnm.Print_Area" localSheetId="27">'P12 26'!$B$5:$N$49</definedName>
    <definedName name="_xlnm.Print_Area" localSheetId="26">'P12 26 (2)'!$B$5:$N$49</definedName>
    <definedName name="_xlnm.Print_Area" localSheetId="44">'P16 26'!$B$5:$N$49</definedName>
    <definedName name="_xlnm.Print_Area" localSheetId="37">'P57 26'!$B$5:$N$49</definedName>
    <definedName name="_xlnm.Print_Area" localSheetId="38">'P59 26'!$B$5:$N$49</definedName>
    <definedName name="_xlnm.Print_Area" localSheetId="40">'P61 26'!$B$5:$N$49</definedName>
    <definedName name="_xlnm.Print_Area" localSheetId="1">'PR 26'!$B$5:$N$49</definedName>
    <definedName name="_xlnm.Print_Area" localSheetId="14">'PRP 26'!$B$5:$N$49</definedName>
    <definedName name="_xlnm.Print_Area" localSheetId="61">'XC 25'!$B$5:$N$34</definedName>
    <definedName name="_xlnm.Print_Area" localSheetId="19">'XC 26'!$B$5:$N$49</definedName>
    <definedName name="_xlnm.Print_Area" localSheetId="64">'XPHL 25'!$B$5:$N$34</definedName>
    <definedName name="_xlnm.Print_Area" localSheetId="15">'XPHL 26'!$B$5:$N$49</definedName>
    <definedName name="_xlnm.Print_Area" localSheetId="65">'XPML 25'!$B$5:$N$34</definedName>
    <definedName name="_xlnm.Print_Area" localSheetId="17">'XPML 26'!$B$5:$N$49</definedName>
    <definedName name="_xlnm.Print_Area" localSheetId="63">'XPMLP 25'!$B$5:$N$34</definedName>
    <definedName name="_xlnm.Print_Area" localSheetId="16">'XPMLP 26'!$B$5:$N$49</definedName>
    <definedName name="_xlnm.Print_Area" localSheetId="62">'XPMLP-01 25'!$B$5:$N$34</definedName>
    <definedName name="_xlnm.Print_Area" localSheetId="18">'XPMLP-01 26'!$B$5:$N$49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82" l="1"/>
  <c r="C5" i="82"/>
  <c r="A7" i="82"/>
  <c r="B7" i="82"/>
  <c r="C7" i="82" s="1"/>
  <c r="T7" i="82"/>
  <c r="B8" i="82"/>
  <c r="A13" i="82" s="1"/>
  <c r="T8" i="82"/>
  <c r="T9" i="82" s="1"/>
  <c r="A9" i="82"/>
  <c r="D10" i="82"/>
  <c r="K10" i="82"/>
  <c r="O10" i="82"/>
  <c r="D15" i="82" s="1"/>
  <c r="Q10" i="82"/>
  <c r="Z10" i="82"/>
  <c r="O11" i="82"/>
  <c r="U11" i="82"/>
  <c r="V11" i="82"/>
  <c r="W11" i="82"/>
  <c r="X11" i="82"/>
  <c r="Y11" i="82"/>
  <c r="D12" i="82"/>
  <c r="O12" i="82"/>
  <c r="D13" i="82"/>
  <c r="O13" i="82"/>
  <c r="U13" i="82"/>
  <c r="Z13" i="82"/>
  <c r="AA13" i="82"/>
  <c r="O14" i="82"/>
  <c r="H15" i="82"/>
  <c r="O15" i="82"/>
  <c r="D16" i="82"/>
  <c r="O16" i="82"/>
  <c r="O17" i="82"/>
  <c r="D11" i="82" s="1"/>
  <c r="T17" i="82"/>
  <c r="O18" i="82"/>
  <c r="A19" i="82"/>
  <c r="A21" i="82" s="1"/>
  <c r="D19" i="82"/>
  <c r="O19" i="82"/>
  <c r="P19" i="82"/>
  <c r="M20" i="82"/>
  <c r="N20" i="82" s="1"/>
  <c r="C8" i="82" s="1"/>
  <c r="T20" i="82"/>
  <c r="T21" i="82"/>
  <c r="P24" i="82"/>
  <c r="T24" i="82"/>
  <c r="Q25" i="82"/>
  <c r="R25" i="82" s="1"/>
  <c r="R26" i="82" s="1"/>
  <c r="W25" i="82"/>
  <c r="O27" i="82"/>
  <c r="O28" i="82"/>
  <c r="AA3" i="81"/>
  <c r="C5" i="81"/>
  <c r="A7" i="81"/>
  <c r="B7" i="81"/>
  <c r="C7" i="81" s="1"/>
  <c r="T7" i="81"/>
  <c r="B8" i="81"/>
  <c r="A13" i="81" s="1"/>
  <c r="T8" i="81"/>
  <c r="T9" i="81" s="1"/>
  <c r="A9" i="81"/>
  <c r="D10" i="81"/>
  <c r="Q10" i="81"/>
  <c r="Z10" i="81"/>
  <c r="K10" i="81" s="1"/>
  <c r="D11" i="81"/>
  <c r="O11" i="81"/>
  <c r="U11" i="81"/>
  <c r="V11" i="81"/>
  <c r="W11" i="81"/>
  <c r="X11" i="81"/>
  <c r="Y11" i="81"/>
  <c r="D12" i="81"/>
  <c r="O12" i="81"/>
  <c r="D13" i="81"/>
  <c r="O13" i="81"/>
  <c r="U13" i="81"/>
  <c r="Z13" i="81"/>
  <c r="AA13" i="81"/>
  <c r="O14" i="81"/>
  <c r="H15" i="81"/>
  <c r="O15" i="81"/>
  <c r="D16" i="81"/>
  <c r="O16" i="81"/>
  <c r="O17" i="81"/>
  <c r="T17" i="81"/>
  <c r="O18" i="81"/>
  <c r="D19" i="81"/>
  <c r="O19" i="81"/>
  <c r="P19" i="81"/>
  <c r="M20" i="81"/>
  <c r="T20" i="81"/>
  <c r="T21" i="81"/>
  <c r="P24" i="81"/>
  <c r="T24" i="81"/>
  <c r="Q25" i="81"/>
  <c r="R25" i="81"/>
  <c r="R26" i="81" s="1"/>
  <c r="W25" i="81"/>
  <c r="O27" i="81"/>
  <c r="O28" i="81"/>
  <c r="AA3" i="80"/>
  <c r="C5" i="80"/>
  <c r="A7" i="80"/>
  <c r="B7" i="80"/>
  <c r="D7" i="80" s="1"/>
  <c r="N19" i="80" s="1"/>
  <c r="C7" i="80"/>
  <c r="T7" i="80"/>
  <c r="B8" i="80"/>
  <c r="A13" i="80" s="1"/>
  <c r="T8" i="80"/>
  <c r="T9" i="80" s="1"/>
  <c r="A9" i="80"/>
  <c r="B9" i="80"/>
  <c r="D10" i="80"/>
  <c r="K10" i="80"/>
  <c r="O10" i="80"/>
  <c r="D15" i="80" s="1"/>
  <c r="Q10" i="80"/>
  <c r="Z10" i="80"/>
  <c r="O11" i="80"/>
  <c r="O16" i="80" s="1"/>
  <c r="D16" i="80" s="1"/>
  <c r="U11" i="80"/>
  <c r="V11" i="80"/>
  <c r="W11" i="80"/>
  <c r="X11" i="80"/>
  <c r="Y11" i="80"/>
  <c r="D12" i="80"/>
  <c r="O12" i="80"/>
  <c r="D13" i="80"/>
  <c r="O13" i="80"/>
  <c r="U13" i="80"/>
  <c r="Z13" i="80"/>
  <c r="AA13" i="80"/>
  <c r="O14" i="80"/>
  <c r="H15" i="80"/>
  <c r="O15" i="80"/>
  <c r="O17" i="80"/>
  <c r="D11" i="80" s="1"/>
  <c r="T17" i="80"/>
  <c r="O18" i="80"/>
  <c r="A19" i="80"/>
  <c r="A21" i="80" s="1"/>
  <c r="D19" i="80"/>
  <c r="O19" i="80"/>
  <c r="P19" i="80"/>
  <c r="M20" i="80"/>
  <c r="N20" i="80"/>
  <c r="C8" i="80" s="1"/>
  <c r="T20" i="80"/>
  <c r="T21" i="80"/>
  <c r="P24" i="80"/>
  <c r="T24" i="80"/>
  <c r="Q25" i="80"/>
  <c r="R25" i="80"/>
  <c r="W25" i="80"/>
  <c r="R26" i="80"/>
  <c r="O27" i="80"/>
  <c r="O28" i="80"/>
  <c r="AA3" i="79"/>
  <c r="C5" i="79"/>
  <c r="A7" i="79"/>
  <c r="B7" i="79"/>
  <c r="C7" i="79" s="1"/>
  <c r="T7" i="79"/>
  <c r="B8" i="79"/>
  <c r="A13" i="79" s="1"/>
  <c r="T8" i="79"/>
  <c r="T9" i="79" s="1"/>
  <c r="A9" i="79"/>
  <c r="D10" i="79"/>
  <c r="K10" i="79"/>
  <c r="Q10" i="79"/>
  <c r="Z10" i="79"/>
  <c r="D11" i="79"/>
  <c r="O11" i="79"/>
  <c r="O16" i="79" s="1"/>
  <c r="D16" i="79" s="1"/>
  <c r="U11" i="79"/>
  <c r="V11" i="79"/>
  <c r="W11" i="79"/>
  <c r="X11" i="79"/>
  <c r="Y11" i="79"/>
  <c r="D12" i="79"/>
  <c r="O12" i="79"/>
  <c r="D13" i="79"/>
  <c r="O13" i="79"/>
  <c r="U13" i="79"/>
  <c r="Z13" i="79"/>
  <c r="AA13" i="79"/>
  <c r="O14" i="79"/>
  <c r="H15" i="79"/>
  <c r="O15" i="79"/>
  <c r="O17" i="79"/>
  <c r="T17" i="79"/>
  <c r="O18" i="79"/>
  <c r="A19" i="79"/>
  <c r="A21" i="79" s="1"/>
  <c r="D19" i="79"/>
  <c r="O19" i="79"/>
  <c r="P19" i="79"/>
  <c r="M20" i="79"/>
  <c r="T20" i="79"/>
  <c r="T21" i="79"/>
  <c r="P24" i="79"/>
  <c r="T24" i="79"/>
  <c r="Q25" i="79"/>
  <c r="R25" i="79"/>
  <c r="R26" i="79" s="1"/>
  <c r="W25" i="79"/>
  <c r="O27" i="79"/>
  <c r="O28" i="79"/>
  <c r="AA3" i="78"/>
  <c r="C5" i="78"/>
  <c r="A7" i="78"/>
  <c r="B7" i="78"/>
  <c r="C7" i="78" s="1"/>
  <c r="T7" i="78"/>
  <c r="B8" i="78"/>
  <c r="A13" i="78" s="1"/>
  <c r="T8" i="78"/>
  <c r="T9" i="78" s="1"/>
  <c r="A9" i="78"/>
  <c r="D10" i="78"/>
  <c r="K10" i="78"/>
  <c r="Q10" i="78"/>
  <c r="Z10" i="78"/>
  <c r="O11" i="78"/>
  <c r="O16" i="78" s="1"/>
  <c r="D16" i="78" s="1"/>
  <c r="U11" i="78"/>
  <c r="V11" i="78"/>
  <c r="W11" i="78"/>
  <c r="X11" i="78"/>
  <c r="Y11" i="78"/>
  <c r="D12" i="78"/>
  <c r="O12" i="78"/>
  <c r="D13" i="78"/>
  <c r="O13" i="78"/>
  <c r="U13" i="78"/>
  <c r="Z13" i="78"/>
  <c r="AA13" i="78"/>
  <c r="O14" i="78"/>
  <c r="H15" i="78"/>
  <c r="O15" i="78"/>
  <c r="O17" i="78"/>
  <c r="D11" i="78" s="1"/>
  <c r="T17" i="78"/>
  <c r="O18" i="78"/>
  <c r="A19" i="78"/>
  <c r="A21" i="78" s="1"/>
  <c r="D19" i="78"/>
  <c r="O19" i="78"/>
  <c r="P19" i="78"/>
  <c r="M20" i="78"/>
  <c r="N20" i="78"/>
  <c r="C8" i="78" s="1"/>
  <c r="T20" i="78"/>
  <c r="T21" i="78"/>
  <c r="P24" i="78"/>
  <c r="T24" i="78"/>
  <c r="Q25" i="78"/>
  <c r="R25" i="78"/>
  <c r="W25" i="78"/>
  <c r="R26" i="78"/>
  <c r="O27" i="78"/>
  <c r="O28" i="78"/>
  <c r="AA3" i="77"/>
  <c r="C5" i="77"/>
  <c r="A7" i="77"/>
  <c r="B7" i="77"/>
  <c r="C7" i="77" s="1"/>
  <c r="T7" i="77"/>
  <c r="B8" i="77"/>
  <c r="A13" i="77" s="1"/>
  <c r="T8" i="77"/>
  <c r="T9" i="77" s="1"/>
  <c r="A9" i="77"/>
  <c r="D10" i="77"/>
  <c r="K10" i="77"/>
  <c r="O10" i="77"/>
  <c r="D15" i="77" s="1"/>
  <c r="Q10" i="77"/>
  <c r="Z10" i="77"/>
  <c r="O11" i="77"/>
  <c r="O16" i="77" s="1"/>
  <c r="D16" i="77" s="1"/>
  <c r="U11" i="77"/>
  <c r="V11" i="77"/>
  <c r="W11" i="77"/>
  <c r="X11" i="77"/>
  <c r="Y11" i="77"/>
  <c r="D12" i="77"/>
  <c r="O12" i="77"/>
  <c r="D13" i="77"/>
  <c r="O13" i="77"/>
  <c r="U13" i="77"/>
  <c r="Z13" i="77"/>
  <c r="AA13" i="77"/>
  <c r="O14" i="77"/>
  <c r="H15" i="77"/>
  <c r="O15" i="77"/>
  <c r="O17" i="77"/>
  <c r="D11" i="77" s="1"/>
  <c r="T17" i="77"/>
  <c r="O18" i="77"/>
  <c r="A19" i="77"/>
  <c r="A21" i="77" s="1"/>
  <c r="D19" i="77"/>
  <c r="O19" i="77"/>
  <c r="P19" i="77"/>
  <c r="M20" i="77"/>
  <c r="N20" i="77"/>
  <c r="C8" i="77" s="1"/>
  <c r="T20" i="77"/>
  <c r="T21" i="77"/>
  <c r="P24" i="77"/>
  <c r="T24" i="77"/>
  <c r="Q25" i="77"/>
  <c r="R25" i="77"/>
  <c r="W25" i="77"/>
  <c r="R26" i="77"/>
  <c r="O27" i="77"/>
  <c r="O28" i="77"/>
  <c r="AA3" i="76"/>
  <c r="C5" i="76"/>
  <c r="A7" i="76"/>
  <c r="B7" i="76"/>
  <c r="C7" i="76" s="1"/>
  <c r="F7" i="76" s="1"/>
  <c r="T7" i="76"/>
  <c r="B8" i="76"/>
  <c r="A13" i="76" s="1"/>
  <c r="T8" i="76"/>
  <c r="T9" i="76" s="1"/>
  <c r="A9" i="76"/>
  <c r="D10" i="76"/>
  <c r="O10" i="76"/>
  <c r="Q10" i="76"/>
  <c r="Z10" i="76"/>
  <c r="K10" i="76" s="1"/>
  <c r="D11" i="76"/>
  <c r="O11" i="76"/>
  <c r="U11" i="76"/>
  <c r="V11" i="76"/>
  <c r="W11" i="76"/>
  <c r="X11" i="76"/>
  <c r="Y11" i="76"/>
  <c r="D12" i="76"/>
  <c r="O12" i="76"/>
  <c r="D13" i="76"/>
  <c r="O13" i="76"/>
  <c r="U13" i="76"/>
  <c r="Z13" i="76"/>
  <c r="AA13" i="76"/>
  <c r="O14" i="76"/>
  <c r="D15" i="76"/>
  <c r="H15" i="76"/>
  <c r="O15" i="76"/>
  <c r="D16" i="76"/>
  <c r="O16" i="76"/>
  <c r="O17" i="76"/>
  <c r="T17" i="76"/>
  <c r="O18" i="76"/>
  <c r="D19" i="76"/>
  <c r="O19" i="76"/>
  <c r="P19" i="76"/>
  <c r="M20" i="76"/>
  <c r="T20" i="76"/>
  <c r="T21" i="76"/>
  <c r="P24" i="76"/>
  <c r="T24" i="76"/>
  <c r="Q25" i="76"/>
  <c r="R25" i="76"/>
  <c r="R26" i="76" s="1"/>
  <c r="W25" i="76"/>
  <c r="O27" i="76"/>
  <c r="O28" i="76"/>
  <c r="AA3" i="75"/>
  <c r="C5" i="75"/>
  <c r="A7" i="75"/>
  <c r="B7" i="75"/>
  <c r="C7" i="75" s="1"/>
  <c r="T7" i="75"/>
  <c r="B8" i="75"/>
  <c r="T8" i="75"/>
  <c r="T9" i="75" s="1"/>
  <c r="A9" i="75"/>
  <c r="D10" i="75"/>
  <c r="K10" i="75"/>
  <c r="O10" i="75"/>
  <c r="D15" i="75" s="1"/>
  <c r="Q10" i="75"/>
  <c r="Z10" i="75"/>
  <c r="O11" i="75"/>
  <c r="O16" i="75" s="1"/>
  <c r="D16" i="75" s="1"/>
  <c r="U11" i="75"/>
  <c r="V11" i="75"/>
  <c r="W11" i="75"/>
  <c r="X11" i="75"/>
  <c r="Y11" i="75"/>
  <c r="D12" i="75"/>
  <c r="O12" i="75"/>
  <c r="A13" i="75"/>
  <c r="D13" i="75"/>
  <c r="O13" i="75"/>
  <c r="U13" i="75"/>
  <c r="Z13" i="75"/>
  <c r="AA13" i="75"/>
  <c r="O14" i="75"/>
  <c r="H15" i="75"/>
  <c r="O15" i="75"/>
  <c r="O17" i="75"/>
  <c r="D11" i="75" s="1"/>
  <c r="T17" i="75"/>
  <c r="O18" i="75"/>
  <c r="A19" i="75"/>
  <c r="A21" i="75" s="1"/>
  <c r="D19" i="75"/>
  <c r="O19" i="75"/>
  <c r="P19" i="75"/>
  <c r="M20" i="75"/>
  <c r="N20" i="75"/>
  <c r="C8" i="75" s="1"/>
  <c r="T20" i="75"/>
  <c r="T21" i="75"/>
  <c r="P24" i="75"/>
  <c r="T24" i="75"/>
  <c r="Q25" i="75"/>
  <c r="R25" i="75"/>
  <c r="W25" i="75"/>
  <c r="R26" i="75"/>
  <c r="O27" i="75"/>
  <c r="O28" i="75"/>
  <c r="AA3" i="74"/>
  <c r="C5" i="74"/>
  <c r="A7" i="74"/>
  <c r="B7" i="74"/>
  <c r="C7" i="74" s="1"/>
  <c r="T7" i="74"/>
  <c r="B8" i="74"/>
  <c r="A13" i="74" s="1"/>
  <c r="T8" i="74"/>
  <c r="T9" i="74" s="1"/>
  <c r="A9" i="74"/>
  <c r="D10" i="74"/>
  <c r="K10" i="74"/>
  <c r="O10" i="74"/>
  <c r="D15" i="74" s="1"/>
  <c r="Q10" i="74"/>
  <c r="Z10" i="74"/>
  <c r="O11" i="74"/>
  <c r="O16" i="74" s="1"/>
  <c r="D16" i="74" s="1"/>
  <c r="U11" i="74"/>
  <c r="V11" i="74"/>
  <c r="W11" i="74"/>
  <c r="X11" i="74"/>
  <c r="Y11" i="74"/>
  <c r="D12" i="74"/>
  <c r="O12" i="74"/>
  <c r="D13" i="74"/>
  <c r="O13" i="74"/>
  <c r="U13" i="74"/>
  <c r="Z13" i="74"/>
  <c r="AA13" i="74"/>
  <c r="O14" i="74"/>
  <c r="H15" i="74"/>
  <c r="O15" i="74"/>
  <c r="O17" i="74"/>
  <c r="D11" i="74" s="1"/>
  <c r="T17" i="74"/>
  <c r="O18" i="74"/>
  <c r="A19" i="74"/>
  <c r="A21" i="74" s="1"/>
  <c r="D19" i="74"/>
  <c r="O19" i="74"/>
  <c r="P19" i="74"/>
  <c r="M20" i="74"/>
  <c r="N20" i="74"/>
  <c r="C8" i="74" s="1"/>
  <c r="T20" i="74"/>
  <c r="T21" i="74"/>
  <c r="P24" i="74"/>
  <c r="T24" i="74"/>
  <c r="Q25" i="74"/>
  <c r="R25" i="74"/>
  <c r="W25" i="74"/>
  <c r="R26" i="74"/>
  <c r="O27" i="74"/>
  <c r="O28" i="74"/>
  <c r="AA3" i="73"/>
  <c r="C5" i="73"/>
  <c r="A7" i="73"/>
  <c r="B7" i="73"/>
  <c r="C7" i="73" s="1"/>
  <c r="T7" i="73"/>
  <c r="B8" i="73"/>
  <c r="A13" i="73" s="1"/>
  <c r="T8" i="73"/>
  <c r="T9" i="73" s="1"/>
  <c r="A9" i="73"/>
  <c r="D10" i="73"/>
  <c r="K10" i="73"/>
  <c r="O10" i="73"/>
  <c r="D15" i="73" s="1"/>
  <c r="Q10" i="73"/>
  <c r="Z10" i="73"/>
  <c r="O11" i="73"/>
  <c r="O16" i="73" s="1"/>
  <c r="D16" i="73" s="1"/>
  <c r="U11" i="73"/>
  <c r="V11" i="73"/>
  <c r="W11" i="73"/>
  <c r="X11" i="73"/>
  <c r="Y11" i="73"/>
  <c r="D12" i="73"/>
  <c r="O12" i="73"/>
  <c r="D13" i="73"/>
  <c r="O13" i="73"/>
  <c r="U13" i="73"/>
  <c r="Z13" i="73"/>
  <c r="AA13" i="73"/>
  <c r="O14" i="73"/>
  <c r="H15" i="73"/>
  <c r="O15" i="73"/>
  <c r="O17" i="73"/>
  <c r="D11" i="73" s="1"/>
  <c r="T17" i="73"/>
  <c r="O18" i="73"/>
  <c r="A19" i="73"/>
  <c r="A21" i="73" s="1"/>
  <c r="D19" i="73"/>
  <c r="O19" i="73"/>
  <c r="P19" i="73"/>
  <c r="M20" i="73"/>
  <c r="N20" i="73"/>
  <c r="C8" i="73" s="1"/>
  <c r="T20" i="73"/>
  <c r="T21" i="73"/>
  <c r="P24" i="73"/>
  <c r="T24" i="73"/>
  <c r="Q25" i="73"/>
  <c r="R25" i="73" s="1"/>
  <c r="R26" i="73" s="1"/>
  <c r="W25" i="73"/>
  <c r="O27" i="73"/>
  <c r="O28" i="73"/>
  <c r="AA3" i="72"/>
  <c r="C5" i="72"/>
  <c r="A7" i="72"/>
  <c r="B7" i="72"/>
  <c r="C7" i="72" s="1"/>
  <c r="T7" i="72"/>
  <c r="B8" i="72"/>
  <c r="A13" i="72" s="1"/>
  <c r="T8" i="72"/>
  <c r="T9" i="72" s="1"/>
  <c r="A9" i="72"/>
  <c r="D10" i="72"/>
  <c r="K10" i="72"/>
  <c r="O10" i="72"/>
  <c r="D15" i="72" s="1"/>
  <c r="Q10" i="72"/>
  <c r="Z10" i="72"/>
  <c r="O11" i="72"/>
  <c r="O16" i="72" s="1"/>
  <c r="D16" i="72" s="1"/>
  <c r="U11" i="72"/>
  <c r="V11" i="72"/>
  <c r="W11" i="72"/>
  <c r="X11" i="72"/>
  <c r="Y11" i="72"/>
  <c r="D12" i="72"/>
  <c r="O12" i="72"/>
  <c r="D13" i="72"/>
  <c r="O13" i="72"/>
  <c r="U13" i="72"/>
  <c r="Z13" i="72"/>
  <c r="AA13" i="72"/>
  <c r="O14" i="72"/>
  <c r="H15" i="72"/>
  <c r="O15" i="72"/>
  <c r="O17" i="72"/>
  <c r="D11" i="72" s="1"/>
  <c r="T17" i="72"/>
  <c r="O18" i="72"/>
  <c r="A19" i="72"/>
  <c r="A21" i="72" s="1"/>
  <c r="D19" i="72"/>
  <c r="O19" i="72"/>
  <c r="P19" i="72"/>
  <c r="M20" i="72"/>
  <c r="N20" i="72"/>
  <c r="C8" i="72" s="1"/>
  <c r="T20" i="72"/>
  <c r="T21" i="72"/>
  <c r="P24" i="72"/>
  <c r="T24" i="72"/>
  <c r="Q25" i="72"/>
  <c r="R25" i="72"/>
  <c r="W25" i="72"/>
  <c r="R26" i="72"/>
  <c r="O27" i="72"/>
  <c r="O28" i="72"/>
  <c r="AA3" i="71"/>
  <c r="C5" i="71"/>
  <c r="A7" i="71"/>
  <c r="B7" i="71"/>
  <c r="C7" i="71" s="1"/>
  <c r="T7" i="71"/>
  <c r="B8" i="71"/>
  <c r="N20" i="71" s="1"/>
  <c r="C8" i="71" s="1"/>
  <c r="T8" i="71"/>
  <c r="T9" i="71" s="1"/>
  <c r="A9" i="71"/>
  <c r="D10" i="71"/>
  <c r="K10" i="71"/>
  <c r="O10" i="71"/>
  <c r="Q10" i="71"/>
  <c r="Z10" i="71"/>
  <c r="O11" i="71"/>
  <c r="U11" i="71"/>
  <c r="V11" i="71"/>
  <c r="W11" i="71"/>
  <c r="X11" i="71"/>
  <c r="Y11" i="71"/>
  <c r="D12" i="71"/>
  <c r="O12" i="71"/>
  <c r="A13" i="71"/>
  <c r="D13" i="71"/>
  <c r="O13" i="71"/>
  <c r="U13" i="71"/>
  <c r="Z13" i="71"/>
  <c r="AA13" i="71"/>
  <c r="O14" i="71"/>
  <c r="D15" i="71"/>
  <c r="H15" i="71"/>
  <c r="O15" i="71"/>
  <c r="D16" i="71"/>
  <c r="O16" i="71"/>
  <c r="O17" i="71"/>
  <c r="D11" i="71" s="1"/>
  <c r="T17" i="71"/>
  <c r="O18" i="71"/>
  <c r="A19" i="71"/>
  <c r="A21" i="71" s="1"/>
  <c r="D19" i="71"/>
  <c r="O19" i="71"/>
  <c r="P19" i="71"/>
  <c r="M20" i="71"/>
  <c r="T20" i="71"/>
  <c r="T21" i="71"/>
  <c r="P24" i="71"/>
  <c r="T24" i="71"/>
  <c r="Q25" i="71"/>
  <c r="R25" i="71" s="1"/>
  <c r="R26" i="71" s="1"/>
  <c r="W25" i="71"/>
  <c r="O27" i="71"/>
  <c r="O28" i="71"/>
  <c r="AA3" i="70"/>
  <c r="C5" i="70"/>
  <c r="A7" i="70"/>
  <c r="B7" i="70"/>
  <c r="C7" i="70" s="1"/>
  <c r="T7" i="70"/>
  <c r="B8" i="70"/>
  <c r="A13" i="70" s="1"/>
  <c r="T8" i="70"/>
  <c r="T9" i="70" s="1"/>
  <c r="A9" i="70"/>
  <c r="D10" i="70"/>
  <c r="K10" i="70"/>
  <c r="Q10" i="70"/>
  <c r="Z10" i="70"/>
  <c r="O11" i="70"/>
  <c r="O16" i="70" s="1"/>
  <c r="D16" i="70" s="1"/>
  <c r="U11" i="70"/>
  <c r="V11" i="70"/>
  <c r="W11" i="70"/>
  <c r="X11" i="70"/>
  <c r="Y11" i="70"/>
  <c r="D12" i="70"/>
  <c r="O12" i="70"/>
  <c r="D13" i="70"/>
  <c r="O13" i="70"/>
  <c r="U13" i="70"/>
  <c r="Z13" i="70"/>
  <c r="AA13" i="70"/>
  <c r="O14" i="70"/>
  <c r="H15" i="70"/>
  <c r="O15" i="70"/>
  <c r="O17" i="70"/>
  <c r="D11" i="70" s="1"/>
  <c r="T17" i="70"/>
  <c r="O18" i="70"/>
  <c r="A19" i="70"/>
  <c r="A21" i="70" s="1"/>
  <c r="D19" i="70"/>
  <c r="O19" i="70"/>
  <c r="P19" i="70"/>
  <c r="M20" i="70"/>
  <c r="N20" i="70"/>
  <c r="C8" i="70" s="1"/>
  <c r="T20" i="70"/>
  <c r="T21" i="70"/>
  <c r="P24" i="70"/>
  <c r="T24" i="70"/>
  <c r="Q25" i="70"/>
  <c r="R25" i="70" s="1"/>
  <c r="R26" i="70" s="1"/>
  <c r="W25" i="70"/>
  <c r="O27" i="70"/>
  <c r="O28" i="70"/>
  <c r="AA3" i="69"/>
  <c r="C5" i="69"/>
  <c r="T7" i="69"/>
  <c r="B8" i="69"/>
  <c r="A13" i="69" s="1"/>
  <c r="T8" i="69"/>
  <c r="T9" i="69" s="1"/>
  <c r="D10" i="69"/>
  <c r="O10" i="69"/>
  <c r="D15" i="69" s="1"/>
  <c r="Q10" i="69"/>
  <c r="Z10" i="69"/>
  <c r="K10" i="69" s="1"/>
  <c r="D11" i="69"/>
  <c r="O11" i="69"/>
  <c r="U11" i="69"/>
  <c r="V11" i="69"/>
  <c r="W11" i="69"/>
  <c r="X11" i="69"/>
  <c r="Y11" i="69"/>
  <c r="D12" i="69"/>
  <c r="O12" i="69"/>
  <c r="D13" i="69"/>
  <c r="O13" i="69"/>
  <c r="U13" i="69"/>
  <c r="Z13" i="69"/>
  <c r="AA13" i="69"/>
  <c r="O14" i="69"/>
  <c r="D19" i="69" s="1"/>
  <c r="H15" i="69"/>
  <c r="O15" i="69"/>
  <c r="O16" i="69"/>
  <c r="D16" i="69" s="1"/>
  <c r="O17" i="69"/>
  <c r="T17" i="69"/>
  <c r="O18" i="69"/>
  <c r="O19" i="69"/>
  <c r="P19" i="69"/>
  <c r="M20" i="69"/>
  <c r="T20" i="69"/>
  <c r="T21" i="69"/>
  <c r="P24" i="69"/>
  <c r="T24" i="69"/>
  <c r="Q25" i="69"/>
  <c r="R25" i="69"/>
  <c r="R26" i="69" s="1"/>
  <c r="W25" i="69"/>
  <c r="O27" i="69"/>
  <c r="O28" i="69"/>
  <c r="AA3" i="68"/>
  <c r="C5" i="68"/>
  <c r="A7" i="68"/>
  <c r="B7" i="68"/>
  <c r="C7" i="68" s="1"/>
  <c r="T7" i="68"/>
  <c r="B8" i="68"/>
  <c r="N20" i="68" s="1"/>
  <c r="C8" i="68" s="1"/>
  <c r="T8" i="68"/>
  <c r="T9" i="68" s="1"/>
  <c r="A9" i="68"/>
  <c r="D10" i="68"/>
  <c r="K10" i="68"/>
  <c r="Q10" i="68"/>
  <c r="Z10" i="68"/>
  <c r="D11" i="68"/>
  <c r="O11" i="68"/>
  <c r="U11" i="68"/>
  <c r="V11" i="68"/>
  <c r="W11" i="68"/>
  <c r="X11" i="68"/>
  <c r="Y11" i="68"/>
  <c r="D12" i="68"/>
  <c r="O12" i="68"/>
  <c r="A13" i="68"/>
  <c r="D13" i="68"/>
  <c r="O13" i="68"/>
  <c r="U13" i="68"/>
  <c r="Z13" i="68"/>
  <c r="AA13" i="68"/>
  <c r="O14" i="68"/>
  <c r="H15" i="68"/>
  <c r="O15" i="68"/>
  <c r="D16" i="68"/>
  <c r="O16" i="68"/>
  <c r="O17" i="68"/>
  <c r="T17" i="68"/>
  <c r="O18" i="68"/>
  <c r="A19" i="68"/>
  <c r="A21" i="68" s="1"/>
  <c r="D19" i="68"/>
  <c r="O19" i="68"/>
  <c r="P19" i="68"/>
  <c r="M20" i="68"/>
  <c r="T20" i="68"/>
  <c r="T21" i="68"/>
  <c r="P24" i="68"/>
  <c r="T24" i="68"/>
  <c r="Q25" i="68"/>
  <c r="R25" i="68"/>
  <c r="R26" i="68" s="1"/>
  <c r="W25" i="68"/>
  <c r="O27" i="68"/>
  <c r="O28" i="68"/>
  <c r="AA3" i="67"/>
  <c r="C5" i="67"/>
  <c r="A7" i="67"/>
  <c r="B7" i="67"/>
  <c r="C7" i="67" s="1"/>
  <c r="T7" i="67"/>
  <c r="B8" i="67"/>
  <c r="A13" i="67" s="1"/>
  <c r="T8" i="67"/>
  <c r="T9" i="67" s="1"/>
  <c r="A9" i="67"/>
  <c r="D10" i="67"/>
  <c r="K10" i="67"/>
  <c r="O10" i="67"/>
  <c r="D15" i="67" s="1"/>
  <c r="Q10" i="67"/>
  <c r="Z10" i="67"/>
  <c r="D11" i="67"/>
  <c r="O11" i="67"/>
  <c r="U11" i="67"/>
  <c r="V11" i="67"/>
  <c r="W11" i="67"/>
  <c r="X11" i="67"/>
  <c r="Y11" i="67"/>
  <c r="D12" i="67"/>
  <c r="O12" i="67"/>
  <c r="D13" i="67"/>
  <c r="O13" i="67"/>
  <c r="U13" i="67"/>
  <c r="Z13" i="67"/>
  <c r="AA13" i="67"/>
  <c r="O14" i="67"/>
  <c r="H15" i="67"/>
  <c r="O15" i="67"/>
  <c r="D16" i="67"/>
  <c r="O16" i="67"/>
  <c r="O17" i="67"/>
  <c r="T17" i="67"/>
  <c r="O18" i="67"/>
  <c r="A19" i="67"/>
  <c r="A21" i="67" s="1"/>
  <c r="D19" i="67"/>
  <c r="O19" i="67"/>
  <c r="P19" i="67"/>
  <c r="M20" i="67"/>
  <c r="T20" i="67"/>
  <c r="T21" i="67"/>
  <c r="P24" i="67"/>
  <c r="T24" i="67"/>
  <c r="Q25" i="67"/>
  <c r="R25" i="67" s="1"/>
  <c r="R26" i="67" s="1"/>
  <c r="W25" i="67"/>
  <c r="O27" i="67"/>
  <c r="O28" i="67"/>
  <c r="AA3" i="66"/>
  <c r="C5" i="66"/>
  <c r="A7" i="66"/>
  <c r="B7" i="66"/>
  <c r="C7" i="66" s="1"/>
  <c r="T7" i="66"/>
  <c r="B8" i="66"/>
  <c r="N20" i="66" s="1"/>
  <c r="C8" i="66" s="1"/>
  <c r="T8" i="66"/>
  <c r="T9" i="66" s="1"/>
  <c r="A9" i="66"/>
  <c r="D10" i="66"/>
  <c r="K10" i="66"/>
  <c r="O10" i="66"/>
  <c r="D15" i="66" s="1"/>
  <c r="Q10" i="66"/>
  <c r="Z10" i="66"/>
  <c r="D11" i="66"/>
  <c r="O11" i="66"/>
  <c r="U11" i="66"/>
  <c r="V11" i="66"/>
  <c r="W11" i="66"/>
  <c r="X11" i="66"/>
  <c r="Y11" i="66"/>
  <c r="D12" i="66"/>
  <c r="O12" i="66"/>
  <c r="A13" i="66"/>
  <c r="D13" i="66"/>
  <c r="O13" i="66"/>
  <c r="U13" i="66"/>
  <c r="Z13" i="66"/>
  <c r="AA13" i="66"/>
  <c r="O14" i="66"/>
  <c r="H15" i="66"/>
  <c r="O15" i="66"/>
  <c r="D16" i="66"/>
  <c r="O16" i="66"/>
  <c r="O17" i="66"/>
  <c r="T17" i="66"/>
  <c r="O18" i="66"/>
  <c r="A19" i="66"/>
  <c r="A21" i="66" s="1"/>
  <c r="D19" i="66"/>
  <c r="O19" i="66"/>
  <c r="P19" i="66"/>
  <c r="M20" i="66"/>
  <c r="T20" i="66"/>
  <c r="T21" i="66"/>
  <c r="P24" i="66"/>
  <c r="T24" i="66"/>
  <c r="Q25" i="66"/>
  <c r="R25" i="66"/>
  <c r="R26" i="66" s="1"/>
  <c r="W25" i="66"/>
  <c r="O27" i="66"/>
  <c r="O28" i="66"/>
  <c r="AA3" i="65"/>
  <c r="C5" i="65"/>
  <c r="A7" i="65"/>
  <c r="B7" i="65"/>
  <c r="C7" i="65" s="1"/>
  <c r="T7" i="65"/>
  <c r="B8" i="65"/>
  <c r="A13" i="65" s="1"/>
  <c r="T8" i="65"/>
  <c r="T9" i="65" s="1"/>
  <c r="A9" i="65"/>
  <c r="D10" i="65"/>
  <c r="K10" i="65"/>
  <c r="O10" i="65"/>
  <c r="D15" i="65" s="1"/>
  <c r="Q10" i="65"/>
  <c r="Z10" i="65"/>
  <c r="D11" i="65"/>
  <c r="O11" i="65"/>
  <c r="U11" i="65"/>
  <c r="V11" i="65"/>
  <c r="W11" i="65"/>
  <c r="X11" i="65"/>
  <c r="Y11" i="65"/>
  <c r="D12" i="65"/>
  <c r="O12" i="65"/>
  <c r="D13" i="65"/>
  <c r="O13" i="65"/>
  <c r="U13" i="65"/>
  <c r="Z13" i="65"/>
  <c r="AA13" i="65"/>
  <c r="O14" i="65"/>
  <c r="H15" i="65"/>
  <c r="O15" i="65"/>
  <c r="D16" i="65"/>
  <c r="O16" i="65"/>
  <c r="O17" i="65"/>
  <c r="T17" i="65"/>
  <c r="O18" i="65"/>
  <c r="A19" i="65"/>
  <c r="A21" i="65" s="1"/>
  <c r="D19" i="65"/>
  <c r="O19" i="65"/>
  <c r="P19" i="65"/>
  <c r="M20" i="65"/>
  <c r="T20" i="65"/>
  <c r="T21" i="65"/>
  <c r="P24" i="65"/>
  <c r="T24" i="65"/>
  <c r="Q25" i="65"/>
  <c r="R25" i="65"/>
  <c r="R26" i="65" s="1"/>
  <c r="W25" i="65"/>
  <c r="O27" i="65"/>
  <c r="O28" i="65"/>
  <c r="AA3" i="64"/>
  <c r="C5" i="64"/>
  <c r="A7" i="64"/>
  <c r="B7" i="64"/>
  <c r="C7" i="64" s="1"/>
  <c r="T7" i="64"/>
  <c r="B8" i="64"/>
  <c r="A13" i="64" s="1"/>
  <c r="T8" i="64"/>
  <c r="T9" i="64" s="1"/>
  <c r="A9" i="64"/>
  <c r="D10" i="64"/>
  <c r="K10" i="64"/>
  <c r="O10" i="64"/>
  <c r="D15" i="64" s="1"/>
  <c r="Q10" i="64"/>
  <c r="Z10" i="64"/>
  <c r="O11" i="64"/>
  <c r="O16" i="64" s="1"/>
  <c r="D16" i="64" s="1"/>
  <c r="U11" i="64"/>
  <c r="V11" i="64"/>
  <c r="W11" i="64"/>
  <c r="X11" i="64"/>
  <c r="Y11" i="64"/>
  <c r="D12" i="64"/>
  <c r="O12" i="64"/>
  <c r="D13" i="64"/>
  <c r="O13" i="64"/>
  <c r="U13" i="64"/>
  <c r="Z13" i="64"/>
  <c r="AA13" i="64"/>
  <c r="O14" i="64"/>
  <c r="H15" i="64"/>
  <c r="O15" i="64"/>
  <c r="O17" i="64"/>
  <c r="D11" i="64" s="1"/>
  <c r="T17" i="64"/>
  <c r="O18" i="64"/>
  <c r="A19" i="64"/>
  <c r="A21" i="64" s="1"/>
  <c r="D19" i="64"/>
  <c r="O19" i="64"/>
  <c r="P19" i="64"/>
  <c r="M20" i="64"/>
  <c r="N20" i="64"/>
  <c r="C8" i="64" s="1"/>
  <c r="T20" i="64"/>
  <c r="T21" i="64"/>
  <c r="P24" i="64"/>
  <c r="T24" i="64"/>
  <c r="Q25" i="64"/>
  <c r="R25" i="64"/>
  <c r="W25" i="64"/>
  <c r="R26" i="64"/>
  <c r="O27" i="64"/>
  <c r="O28" i="64"/>
  <c r="AA3" i="63"/>
  <c r="C5" i="63"/>
  <c r="A7" i="63"/>
  <c r="B7" i="63"/>
  <c r="C7" i="63" s="1"/>
  <c r="T7" i="63"/>
  <c r="B8" i="63"/>
  <c r="A13" i="63" s="1"/>
  <c r="T8" i="63"/>
  <c r="T9" i="63" s="1"/>
  <c r="A9" i="63"/>
  <c r="D10" i="63"/>
  <c r="K10" i="63"/>
  <c r="O10" i="63"/>
  <c r="D15" i="63" s="1"/>
  <c r="Q10" i="63"/>
  <c r="Z10" i="63"/>
  <c r="O11" i="63"/>
  <c r="O16" i="63" s="1"/>
  <c r="D16" i="63" s="1"/>
  <c r="U11" i="63"/>
  <c r="V11" i="63"/>
  <c r="W11" i="63"/>
  <c r="X11" i="63"/>
  <c r="Y11" i="63"/>
  <c r="D12" i="63"/>
  <c r="O12" i="63"/>
  <c r="D13" i="63"/>
  <c r="O13" i="63"/>
  <c r="U13" i="63"/>
  <c r="Z13" i="63"/>
  <c r="AA13" i="63"/>
  <c r="O14" i="63"/>
  <c r="H15" i="63"/>
  <c r="O15" i="63"/>
  <c r="O17" i="63"/>
  <c r="D11" i="63" s="1"/>
  <c r="T17" i="63"/>
  <c r="O18" i="63"/>
  <c r="A19" i="63"/>
  <c r="A21" i="63" s="1"/>
  <c r="D19" i="63"/>
  <c r="O19" i="63"/>
  <c r="P19" i="63"/>
  <c r="M20" i="63"/>
  <c r="N20" i="63"/>
  <c r="C8" i="63" s="1"/>
  <c r="T20" i="63"/>
  <c r="T21" i="63"/>
  <c r="P24" i="63"/>
  <c r="T24" i="63"/>
  <c r="Q25" i="63"/>
  <c r="R25" i="63" s="1"/>
  <c r="R26" i="63" s="1"/>
  <c r="W25" i="63"/>
  <c r="O27" i="63"/>
  <c r="O28" i="63"/>
  <c r="AA3" i="62"/>
  <c r="C5" i="62"/>
  <c r="A7" i="62"/>
  <c r="B7" i="62"/>
  <c r="C7" i="62" s="1"/>
  <c r="T7" i="62"/>
  <c r="B8" i="62"/>
  <c r="A13" i="62" s="1"/>
  <c r="C8" i="62"/>
  <c r="T8" i="62"/>
  <c r="T9" i="62" s="1"/>
  <c r="A9" i="62"/>
  <c r="D10" i="62"/>
  <c r="K10" i="62"/>
  <c r="Q10" i="62"/>
  <c r="Z10" i="62"/>
  <c r="O11" i="62"/>
  <c r="O16" i="62" s="1"/>
  <c r="D16" i="62" s="1"/>
  <c r="U11" i="62"/>
  <c r="V11" i="62"/>
  <c r="W11" i="62"/>
  <c r="X11" i="62"/>
  <c r="Y11" i="62"/>
  <c r="D12" i="62"/>
  <c r="O12" i="62"/>
  <c r="D13" i="62"/>
  <c r="O13" i="62"/>
  <c r="U13" i="62"/>
  <c r="Z13" i="62"/>
  <c r="AA13" i="62"/>
  <c r="O14" i="62"/>
  <c r="H15" i="62"/>
  <c r="O15" i="62"/>
  <c r="O17" i="62"/>
  <c r="D11" i="62" s="1"/>
  <c r="T17" i="62"/>
  <c r="O18" i="62"/>
  <c r="A19" i="62"/>
  <c r="A21" i="62" s="1"/>
  <c r="D19" i="62"/>
  <c r="O19" i="62"/>
  <c r="P19" i="62"/>
  <c r="M20" i="62"/>
  <c r="N20" i="62"/>
  <c r="T20" i="62"/>
  <c r="T21" i="62"/>
  <c r="P24" i="62"/>
  <c r="T24" i="62"/>
  <c r="Q25" i="62"/>
  <c r="R25" i="62"/>
  <c r="W25" i="62"/>
  <c r="R26" i="62"/>
  <c r="O27" i="62"/>
  <c r="O28" i="62"/>
  <c r="AA3" i="61"/>
  <c r="C5" i="61"/>
  <c r="A7" i="61"/>
  <c r="B7" i="61"/>
  <c r="C7" i="61" s="1"/>
  <c r="T7" i="61"/>
  <c r="B8" i="61"/>
  <c r="A13" i="61" s="1"/>
  <c r="T8" i="61"/>
  <c r="T9" i="61" s="1"/>
  <c r="A9" i="61"/>
  <c r="D10" i="61"/>
  <c r="K10" i="61"/>
  <c r="Q10" i="61"/>
  <c r="Z10" i="61"/>
  <c r="D11" i="61"/>
  <c r="O11" i="61"/>
  <c r="O16" i="61" s="1"/>
  <c r="D16" i="61" s="1"/>
  <c r="U11" i="61"/>
  <c r="V11" i="61"/>
  <c r="W11" i="61"/>
  <c r="X11" i="61"/>
  <c r="Y11" i="61"/>
  <c r="D12" i="61"/>
  <c r="O12" i="61"/>
  <c r="D13" i="61"/>
  <c r="O13" i="61"/>
  <c r="U13" i="61"/>
  <c r="Z13" i="61"/>
  <c r="AA13" i="61"/>
  <c r="O14" i="61"/>
  <c r="H15" i="61"/>
  <c r="O15" i="61"/>
  <c r="O17" i="61"/>
  <c r="T17" i="61"/>
  <c r="O18" i="61"/>
  <c r="A19" i="61"/>
  <c r="A21" i="61" s="1"/>
  <c r="D19" i="61"/>
  <c r="O19" i="61"/>
  <c r="P19" i="61"/>
  <c r="M20" i="61"/>
  <c r="T20" i="61"/>
  <c r="T21" i="61"/>
  <c r="P24" i="61"/>
  <c r="T24" i="61"/>
  <c r="Q25" i="61"/>
  <c r="R25" i="61"/>
  <c r="R26" i="61" s="1"/>
  <c r="W25" i="61"/>
  <c r="O27" i="61"/>
  <c r="O28" i="61"/>
  <c r="AA3" i="60"/>
  <c r="C5" i="60"/>
  <c r="A7" i="60"/>
  <c r="B7" i="60"/>
  <c r="C7" i="60" s="1"/>
  <c r="T7" i="60"/>
  <c r="B8" i="60"/>
  <c r="A13" i="60" s="1"/>
  <c r="T8" i="60"/>
  <c r="T9" i="60" s="1"/>
  <c r="A9" i="60"/>
  <c r="D10" i="60"/>
  <c r="K10" i="60"/>
  <c r="Q10" i="60"/>
  <c r="Z10" i="60"/>
  <c r="O11" i="60"/>
  <c r="O16" i="60" s="1"/>
  <c r="D16" i="60" s="1"/>
  <c r="U11" i="60"/>
  <c r="V11" i="60"/>
  <c r="W11" i="60"/>
  <c r="X11" i="60"/>
  <c r="Y11" i="60"/>
  <c r="D12" i="60"/>
  <c r="O12" i="60"/>
  <c r="D13" i="60"/>
  <c r="O13" i="60"/>
  <c r="U13" i="60"/>
  <c r="Z13" i="60"/>
  <c r="AA13" i="60"/>
  <c r="O14" i="60"/>
  <c r="H15" i="60"/>
  <c r="O15" i="60"/>
  <c r="O17" i="60"/>
  <c r="D11" i="60" s="1"/>
  <c r="T17" i="60"/>
  <c r="O18" i="60"/>
  <c r="A19" i="60"/>
  <c r="A21" i="60" s="1"/>
  <c r="D19" i="60"/>
  <c r="O19" i="60"/>
  <c r="P19" i="60"/>
  <c r="M20" i="60"/>
  <c r="N20" i="60"/>
  <c r="C8" i="60" s="1"/>
  <c r="T20" i="60"/>
  <c r="T21" i="60"/>
  <c r="P24" i="60"/>
  <c r="T24" i="60"/>
  <c r="Q25" i="60"/>
  <c r="R25" i="60"/>
  <c r="W25" i="60"/>
  <c r="R26" i="60"/>
  <c r="O27" i="60"/>
  <c r="O28" i="60"/>
  <c r="AA3" i="59"/>
  <c r="C5" i="59"/>
  <c r="A7" i="59"/>
  <c r="B7" i="59"/>
  <c r="C7" i="59" s="1"/>
  <c r="T7" i="59"/>
  <c r="B8" i="59"/>
  <c r="A13" i="59" s="1"/>
  <c r="T8" i="59"/>
  <c r="T9" i="59" s="1"/>
  <c r="A9" i="59"/>
  <c r="D10" i="59"/>
  <c r="K10" i="59"/>
  <c r="Q10" i="59"/>
  <c r="Z10" i="59"/>
  <c r="O11" i="59"/>
  <c r="O16" i="59" s="1"/>
  <c r="D16" i="59" s="1"/>
  <c r="U11" i="59"/>
  <c r="V11" i="59"/>
  <c r="W11" i="59"/>
  <c r="X11" i="59"/>
  <c r="Y11" i="59"/>
  <c r="D12" i="59"/>
  <c r="O12" i="59"/>
  <c r="D13" i="59"/>
  <c r="O13" i="59"/>
  <c r="U13" i="59"/>
  <c r="Z13" i="59"/>
  <c r="AA13" i="59"/>
  <c r="O14" i="59"/>
  <c r="H15" i="59"/>
  <c r="O15" i="59"/>
  <c r="O17" i="59"/>
  <c r="D11" i="59" s="1"/>
  <c r="T17" i="59"/>
  <c r="O18" i="59"/>
  <c r="A19" i="59"/>
  <c r="A21" i="59" s="1"/>
  <c r="D19" i="59"/>
  <c r="O19" i="59"/>
  <c r="P19" i="59"/>
  <c r="M20" i="59"/>
  <c r="N20" i="59" s="1"/>
  <c r="C8" i="59" s="1"/>
  <c r="T20" i="59"/>
  <c r="T21" i="59"/>
  <c r="P24" i="59"/>
  <c r="T24" i="59"/>
  <c r="Q25" i="59"/>
  <c r="R25" i="59" s="1"/>
  <c r="R26" i="59" s="1"/>
  <c r="W25" i="59"/>
  <c r="O27" i="59"/>
  <c r="O28" i="59"/>
  <c r="AA3" i="58"/>
  <c r="C5" i="58"/>
  <c r="A7" i="58"/>
  <c r="B7" i="58"/>
  <c r="C7" i="58" s="1"/>
  <c r="T7" i="58"/>
  <c r="B8" i="58"/>
  <c r="A13" i="58" s="1"/>
  <c r="T8" i="58"/>
  <c r="T9" i="58" s="1"/>
  <c r="A9" i="58"/>
  <c r="D10" i="58"/>
  <c r="K10" i="58"/>
  <c r="Q10" i="58"/>
  <c r="Z10" i="58"/>
  <c r="O11" i="58"/>
  <c r="O16" i="58" s="1"/>
  <c r="D16" i="58" s="1"/>
  <c r="U11" i="58"/>
  <c r="V11" i="58"/>
  <c r="W11" i="58"/>
  <c r="X11" i="58"/>
  <c r="Y11" i="58"/>
  <c r="D12" i="58"/>
  <c r="O12" i="58"/>
  <c r="D13" i="58"/>
  <c r="O13" i="58"/>
  <c r="U13" i="58"/>
  <c r="Z13" i="58"/>
  <c r="AA13" i="58"/>
  <c r="O14" i="58"/>
  <c r="H15" i="58"/>
  <c r="O15" i="58"/>
  <c r="O17" i="58"/>
  <c r="D11" i="58" s="1"/>
  <c r="T17" i="58"/>
  <c r="O18" i="58"/>
  <c r="A19" i="58"/>
  <c r="A21" i="58" s="1"/>
  <c r="D19" i="58"/>
  <c r="O19" i="58"/>
  <c r="P19" i="58"/>
  <c r="M20" i="58"/>
  <c r="N20" i="58"/>
  <c r="C8" i="58" s="1"/>
  <c r="T20" i="58"/>
  <c r="T21" i="58"/>
  <c r="P24" i="58"/>
  <c r="T24" i="58"/>
  <c r="Q25" i="58"/>
  <c r="R25" i="58"/>
  <c r="W25" i="58"/>
  <c r="R26" i="58"/>
  <c r="O27" i="58"/>
  <c r="O28" i="58"/>
  <c r="AA3" i="57"/>
  <c r="C5" i="57"/>
  <c r="A7" i="57"/>
  <c r="B7" i="57"/>
  <c r="C7" i="57" s="1"/>
  <c r="F7" i="57" s="1"/>
  <c r="T7" i="57"/>
  <c r="B8" i="57"/>
  <c r="A13" i="57" s="1"/>
  <c r="T8" i="57"/>
  <c r="T9" i="57" s="1"/>
  <c r="A9" i="57"/>
  <c r="D10" i="57"/>
  <c r="K10" i="57"/>
  <c r="Q10" i="57"/>
  <c r="Z10" i="57"/>
  <c r="D11" i="57"/>
  <c r="O11" i="57"/>
  <c r="O16" i="57" s="1"/>
  <c r="D16" i="57" s="1"/>
  <c r="U11" i="57"/>
  <c r="V11" i="57"/>
  <c r="W11" i="57"/>
  <c r="X11" i="57"/>
  <c r="Y11" i="57"/>
  <c r="D12" i="57"/>
  <c r="O12" i="57"/>
  <c r="D13" i="57"/>
  <c r="O13" i="57"/>
  <c r="U13" i="57"/>
  <c r="Z13" i="57"/>
  <c r="AA13" i="57"/>
  <c r="O14" i="57"/>
  <c r="H15" i="57"/>
  <c r="O15" i="57"/>
  <c r="O17" i="57"/>
  <c r="T17" i="57"/>
  <c r="O18" i="57"/>
  <c r="A19" i="57"/>
  <c r="A21" i="57" s="1"/>
  <c r="D19" i="57"/>
  <c r="O19" i="57"/>
  <c r="P19" i="57"/>
  <c r="M20" i="57"/>
  <c r="T20" i="57"/>
  <c r="T21" i="57"/>
  <c r="P24" i="57"/>
  <c r="T24" i="57"/>
  <c r="Q25" i="57"/>
  <c r="R25" i="57"/>
  <c r="R26" i="57" s="1"/>
  <c r="W25" i="57"/>
  <c r="O27" i="57"/>
  <c r="O28" i="57"/>
  <c r="AA3" i="56"/>
  <c r="C5" i="56"/>
  <c r="A7" i="56"/>
  <c r="B7" i="56"/>
  <c r="C7" i="56" s="1"/>
  <c r="F7" i="56" s="1"/>
  <c r="T7" i="56"/>
  <c r="B8" i="56"/>
  <c r="A13" i="56" s="1"/>
  <c r="T8" i="56"/>
  <c r="T9" i="56" s="1"/>
  <c r="A9" i="56"/>
  <c r="D10" i="56"/>
  <c r="K10" i="56"/>
  <c r="Q10" i="56"/>
  <c r="Z10" i="56"/>
  <c r="O11" i="56"/>
  <c r="O16" i="56" s="1"/>
  <c r="D16" i="56" s="1"/>
  <c r="U11" i="56"/>
  <c r="V11" i="56"/>
  <c r="W11" i="56"/>
  <c r="X11" i="56"/>
  <c r="Y11" i="56"/>
  <c r="D12" i="56"/>
  <c r="O12" i="56"/>
  <c r="D13" i="56"/>
  <c r="O13" i="56"/>
  <c r="U13" i="56"/>
  <c r="Z13" i="56"/>
  <c r="AA13" i="56"/>
  <c r="O14" i="56"/>
  <c r="H15" i="56"/>
  <c r="O15" i="56"/>
  <c r="O17" i="56"/>
  <c r="D11" i="56" s="1"/>
  <c r="T17" i="56"/>
  <c r="O18" i="56"/>
  <c r="A19" i="56"/>
  <c r="A21" i="56" s="1"/>
  <c r="D19" i="56"/>
  <c r="O19" i="56"/>
  <c r="P19" i="56"/>
  <c r="M20" i="56"/>
  <c r="N20" i="56"/>
  <c r="C8" i="56" s="1"/>
  <c r="T20" i="56"/>
  <c r="T21" i="56"/>
  <c r="P24" i="56"/>
  <c r="T24" i="56"/>
  <c r="Q25" i="56"/>
  <c r="R25" i="56"/>
  <c r="W25" i="56"/>
  <c r="R26" i="56"/>
  <c r="O27" i="56"/>
  <c r="O28" i="56"/>
  <c r="O28" i="55"/>
  <c r="O27" i="55"/>
  <c r="W25" i="55"/>
  <c r="Q25" i="55"/>
  <c r="R25" i="55" s="1"/>
  <c r="R26" i="55" s="1"/>
  <c r="T24" i="55"/>
  <c r="P24" i="55"/>
  <c r="T21" i="55"/>
  <c r="T20" i="55"/>
  <c r="M20" i="55"/>
  <c r="P19" i="55"/>
  <c r="O19" i="55"/>
  <c r="D19" i="55"/>
  <c r="O18" i="55"/>
  <c r="T17" i="55"/>
  <c r="O17" i="55"/>
  <c r="D11" i="55" s="1"/>
  <c r="O16" i="55"/>
  <c r="D16" i="55" s="1"/>
  <c r="O15" i="55"/>
  <c r="H15" i="55"/>
  <c r="O14" i="55"/>
  <c r="AA13" i="55"/>
  <c r="Z13" i="55"/>
  <c r="U13" i="55"/>
  <c r="O13" i="55"/>
  <c r="D13" i="55"/>
  <c r="A13" i="55"/>
  <c r="O12" i="55"/>
  <c r="D12" i="55"/>
  <c r="Y11" i="55"/>
  <c r="X11" i="55"/>
  <c r="W11" i="55"/>
  <c r="V11" i="55"/>
  <c r="U11" i="55"/>
  <c r="O11" i="55"/>
  <c r="Z10" i="55"/>
  <c r="K10" i="55" s="1"/>
  <c r="Q10" i="55"/>
  <c r="D10" i="55"/>
  <c r="A9" i="55"/>
  <c r="T8" i="55"/>
  <c r="T9" i="55" s="1"/>
  <c r="B8" i="55"/>
  <c r="A19" i="55" s="1"/>
  <c r="A21" i="55" s="1"/>
  <c r="T7" i="55"/>
  <c r="B7" i="55"/>
  <c r="A16" i="55" s="1"/>
  <c r="A7" i="55"/>
  <c r="C5" i="55"/>
  <c r="AA3" i="55"/>
  <c r="AA3" i="54"/>
  <c r="C5" i="54"/>
  <c r="A7" i="54"/>
  <c r="B7" i="54"/>
  <c r="C7" i="54" s="1"/>
  <c r="T7" i="54"/>
  <c r="B8" i="54"/>
  <c r="A13" i="54" s="1"/>
  <c r="T8" i="54"/>
  <c r="T9" i="54" s="1"/>
  <c r="A9" i="54"/>
  <c r="D10" i="54"/>
  <c r="K10" i="54"/>
  <c r="Q10" i="54"/>
  <c r="Z10" i="54"/>
  <c r="D11" i="54"/>
  <c r="O11" i="54"/>
  <c r="O16" i="54" s="1"/>
  <c r="D16" i="54" s="1"/>
  <c r="U11" i="54"/>
  <c r="V11" i="54"/>
  <c r="W11" i="54"/>
  <c r="X11" i="54"/>
  <c r="Y11" i="54"/>
  <c r="D12" i="54"/>
  <c r="O12" i="54"/>
  <c r="D13" i="54"/>
  <c r="O13" i="54"/>
  <c r="U13" i="54"/>
  <c r="Z13" i="54"/>
  <c r="AA13" i="54"/>
  <c r="O14" i="54"/>
  <c r="H15" i="54"/>
  <c r="O15" i="54"/>
  <c r="O17" i="54"/>
  <c r="T17" i="54"/>
  <c r="O18" i="54"/>
  <c r="A19" i="54"/>
  <c r="A21" i="54" s="1"/>
  <c r="D19" i="54"/>
  <c r="O19" i="54"/>
  <c r="P19" i="54"/>
  <c r="M20" i="54"/>
  <c r="T20" i="54"/>
  <c r="T21" i="54"/>
  <c r="P24" i="54"/>
  <c r="T24" i="54"/>
  <c r="Q25" i="54"/>
  <c r="R25" i="54"/>
  <c r="R26" i="54" s="1"/>
  <c r="W25" i="54"/>
  <c r="O27" i="54"/>
  <c r="O28" i="54"/>
  <c r="AA3" i="53"/>
  <c r="C5" i="53"/>
  <c r="A7" i="53"/>
  <c r="B7" i="53"/>
  <c r="C7" i="53" s="1"/>
  <c r="T7" i="53"/>
  <c r="B8" i="53"/>
  <c r="A13" i="53" s="1"/>
  <c r="T8" i="53"/>
  <c r="T9" i="53" s="1"/>
  <c r="A9" i="53"/>
  <c r="D10" i="53"/>
  <c r="K10" i="53"/>
  <c r="Q10" i="53"/>
  <c r="Z10" i="53"/>
  <c r="O11" i="53"/>
  <c r="O16" i="53" s="1"/>
  <c r="D16" i="53" s="1"/>
  <c r="U11" i="53"/>
  <c r="V11" i="53"/>
  <c r="W11" i="53"/>
  <c r="X11" i="53"/>
  <c r="Y11" i="53"/>
  <c r="D12" i="53"/>
  <c r="O12" i="53"/>
  <c r="D13" i="53"/>
  <c r="O13" i="53"/>
  <c r="U13" i="53"/>
  <c r="Z13" i="53"/>
  <c r="AA13" i="53"/>
  <c r="O14" i="53"/>
  <c r="H15" i="53"/>
  <c r="O15" i="53"/>
  <c r="O17" i="53"/>
  <c r="D11" i="53" s="1"/>
  <c r="T17" i="53"/>
  <c r="O18" i="53"/>
  <c r="A19" i="53"/>
  <c r="A21" i="53" s="1"/>
  <c r="D19" i="53"/>
  <c r="O19" i="53"/>
  <c r="P19" i="53"/>
  <c r="M20" i="53"/>
  <c r="T20" i="53"/>
  <c r="T21" i="53"/>
  <c r="P24" i="53"/>
  <c r="T24" i="53"/>
  <c r="Q25" i="53"/>
  <c r="R25" i="53" s="1"/>
  <c r="R26" i="53" s="1"/>
  <c r="W25" i="53"/>
  <c r="O27" i="53"/>
  <c r="O28" i="53"/>
  <c r="AA3" i="52"/>
  <c r="C5" i="52"/>
  <c r="A7" i="52"/>
  <c r="B7" i="52"/>
  <c r="C7" i="52" s="1"/>
  <c r="T7" i="52"/>
  <c r="B8" i="52"/>
  <c r="T8" i="52"/>
  <c r="T9" i="52" s="1"/>
  <c r="A9" i="52"/>
  <c r="D10" i="52"/>
  <c r="K10" i="52"/>
  <c r="Q10" i="52"/>
  <c r="Z10" i="52"/>
  <c r="D11" i="52"/>
  <c r="O11" i="52"/>
  <c r="U11" i="52"/>
  <c r="V11" i="52"/>
  <c r="W11" i="52"/>
  <c r="X11" i="52"/>
  <c r="Y11" i="52"/>
  <c r="D12" i="52"/>
  <c r="O12" i="52"/>
  <c r="A13" i="52"/>
  <c r="D13" i="52"/>
  <c r="O13" i="52"/>
  <c r="U13" i="52"/>
  <c r="Z13" i="52"/>
  <c r="AA13" i="52"/>
  <c r="O14" i="52"/>
  <c r="H15" i="52"/>
  <c r="O15" i="52"/>
  <c r="D16" i="52"/>
  <c r="O16" i="52"/>
  <c r="O17" i="52"/>
  <c r="T17" i="52"/>
  <c r="O18" i="52"/>
  <c r="A19" i="52"/>
  <c r="A21" i="52" s="1"/>
  <c r="D19" i="52"/>
  <c r="O19" i="52"/>
  <c r="P19" i="52"/>
  <c r="M20" i="52"/>
  <c r="N20" i="52" s="1"/>
  <c r="C8" i="52" s="1"/>
  <c r="T20" i="52"/>
  <c r="T21" i="52"/>
  <c r="P24" i="52"/>
  <c r="T24" i="52"/>
  <c r="Q25" i="52"/>
  <c r="R25" i="52"/>
  <c r="R26" i="52" s="1"/>
  <c r="W25" i="52"/>
  <c r="O27" i="52"/>
  <c r="O28" i="52"/>
  <c r="AA3" i="51"/>
  <c r="C5" i="51"/>
  <c r="A7" i="51"/>
  <c r="B7" i="51"/>
  <c r="C7" i="51" s="1"/>
  <c r="T7" i="51"/>
  <c r="B8" i="51"/>
  <c r="A13" i="51" s="1"/>
  <c r="T8" i="51"/>
  <c r="T9" i="51" s="1"/>
  <c r="A9" i="51"/>
  <c r="D10" i="51"/>
  <c r="K10" i="51"/>
  <c r="Q10" i="51"/>
  <c r="Z10" i="51"/>
  <c r="D11" i="51"/>
  <c r="O11" i="51"/>
  <c r="U11" i="51"/>
  <c r="V11" i="51"/>
  <c r="W11" i="51"/>
  <c r="X11" i="51"/>
  <c r="Y11" i="51"/>
  <c r="D12" i="51"/>
  <c r="O12" i="51"/>
  <c r="D13" i="51"/>
  <c r="O13" i="51"/>
  <c r="U13" i="51"/>
  <c r="Z13" i="51"/>
  <c r="AA13" i="51"/>
  <c r="O14" i="51"/>
  <c r="H15" i="51"/>
  <c r="O15" i="51"/>
  <c r="D16" i="51"/>
  <c r="O16" i="51"/>
  <c r="O17" i="51"/>
  <c r="T17" i="51"/>
  <c r="O18" i="51"/>
  <c r="A19" i="51"/>
  <c r="A21" i="51" s="1"/>
  <c r="D19" i="51"/>
  <c r="O19" i="51"/>
  <c r="P19" i="51"/>
  <c r="M20" i="51"/>
  <c r="T20" i="51"/>
  <c r="T21" i="51"/>
  <c r="P24" i="51"/>
  <c r="T24" i="51"/>
  <c r="Q25" i="51"/>
  <c r="R25" i="51"/>
  <c r="R26" i="51" s="1"/>
  <c r="W25" i="51"/>
  <c r="O27" i="51"/>
  <c r="O28" i="51"/>
  <c r="AA3" i="50"/>
  <c r="C5" i="50"/>
  <c r="A7" i="50"/>
  <c r="B7" i="50"/>
  <c r="C7" i="50" s="1"/>
  <c r="T7" i="50"/>
  <c r="B8" i="50"/>
  <c r="A13" i="50" s="1"/>
  <c r="T8" i="50"/>
  <c r="A9" i="50"/>
  <c r="T9" i="50"/>
  <c r="D10" i="50"/>
  <c r="K10" i="50"/>
  <c r="Q10" i="50"/>
  <c r="Z10" i="50"/>
  <c r="O11" i="50"/>
  <c r="O16" i="50" s="1"/>
  <c r="D16" i="50" s="1"/>
  <c r="U11" i="50"/>
  <c r="V11" i="50"/>
  <c r="W11" i="50"/>
  <c r="X11" i="50"/>
  <c r="Y11" i="50"/>
  <c r="D12" i="50"/>
  <c r="O12" i="50"/>
  <c r="D13" i="50"/>
  <c r="O13" i="50"/>
  <c r="U13" i="50"/>
  <c r="Z13" i="50"/>
  <c r="AA13" i="50"/>
  <c r="O14" i="50"/>
  <c r="H15" i="50"/>
  <c r="O15" i="50"/>
  <c r="A16" i="50"/>
  <c r="O17" i="50"/>
  <c r="D11" i="50" s="1"/>
  <c r="T17" i="50"/>
  <c r="O18" i="50"/>
  <c r="A19" i="50"/>
  <c r="A21" i="50" s="1"/>
  <c r="D19" i="50"/>
  <c r="O19" i="50"/>
  <c r="P19" i="50"/>
  <c r="M20" i="50"/>
  <c r="N20" i="50"/>
  <c r="C8" i="50" s="1"/>
  <c r="T20" i="50"/>
  <c r="T21" i="50"/>
  <c r="P24" i="50"/>
  <c r="T24" i="50"/>
  <c r="Q25" i="50"/>
  <c r="R25" i="50"/>
  <c r="W25" i="50"/>
  <c r="R26" i="50"/>
  <c r="O27" i="50"/>
  <c r="O28" i="50"/>
  <c r="AA3" i="49"/>
  <c r="C5" i="49"/>
  <c r="A7" i="49"/>
  <c r="B7" i="49"/>
  <c r="C7" i="49" s="1"/>
  <c r="T7" i="49"/>
  <c r="B8" i="49"/>
  <c r="A13" i="49" s="1"/>
  <c r="T8" i="49"/>
  <c r="T9" i="49" s="1"/>
  <c r="A9" i="49"/>
  <c r="D10" i="49"/>
  <c r="K10" i="49"/>
  <c r="Q10" i="49"/>
  <c r="Z10" i="49"/>
  <c r="O11" i="49"/>
  <c r="O16" i="49" s="1"/>
  <c r="D16" i="49" s="1"/>
  <c r="U11" i="49"/>
  <c r="V11" i="49"/>
  <c r="W11" i="49"/>
  <c r="X11" i="49"/>
  <c r="Y11" i="49"/>
  <c r="D12" i="49"/>
  <c r="O12" i="49"/>
  <c r="D13" i="49"/>
  <c r="O13" i="49"/>
  <c r="U13" i="49"/>
  <c r="Z13" i="49"/>
  <c r="AA13" i="49"/>
  <c r="O14" i="49"/>
  <c r="H15" i="49"/>
  <c r="O15" i="49"/>
  <c r="O17" i="49"/>
  <c r="D11" i="49" s="1"/>
  <c r="T17" i="49"/>
  <c r="O18" i="49"/>
  <c r="A19" i="49"/>
  <c r="A21" i="49" s="1"/>
  <c r="D19" i="49"/>
  <c r="O19" i="49"/>
  <c r="P19" i="49"/>
  <c r="M20" i="49"/>
  <c r="N20" i="49"/>
  <c r="C8" i="49" s="1"/>
  <c r="T20" i="49"/>
  <c r="T21" i="49"/>
  <c r="P24" i="49"/>
  <c r="T24" i="49"/>
  <c r="Q25" i="49"/>
  <c r="R25" i="49"/>
  <c r="W25" i="49"/>
  <c r="R26" i="49"/>
  <c r="O27" i="49"/>
  <c r="O28" i="49"/>
  <c r="AA3" i="48"/>
  <c r="C5" i="48"/>
  <c r="A7" i="48"/>
  <c r="B7" i="48"/>
  <c r="C7" i="48" s="1"/>
  <c r="T7" i="48"/>
  <c r="B8" i="48"/>
  <c r="A13" i="48" s="1"/>
  <c r="T8" i="48"/>
  <c r="T9" i="48" s="1"/>
  <c r="A9" i="48"/>
  <c r="D10" i="48"/>
  <c r="K10" i="48"/>
  <c r="Q10" i="48"/>
  <c r="Z10" i="48"/>
  <c r="O11" i="48"/>
  <c r="O16" i="48" s="1"/>
  <c r="D16" i="48" s="1"/>
  <c r="U11" i="48"/>
  <c r="V11" i="48"/>
  <c r="W11" i="48"/>
  <c r="X11" i="48"/>
  <c r="Y11" i="48"/>
  <c r="D12" i="48"/>
  <c r="O12" i="48"/>
  <c r="D13" i="48"/>
  <c r="O13" i="48"/>
  <c r="U13" i="48"/>
  <c r="Z13" i="48"/>
  <c r="AA13" i="48"/>
  <c r="O14" i="48"/>
  <c r="H15" i="48"/>
  <c r="O15" i="48"/>
  <c r="O17" i="48"/>
  <c r="D11" i="48" s="1"/>
  <c r="T17" i="48"/>
  <c r="O18" i="48"/>
  <c r="A19" i="48"/>
  <c r="A21" i="48" s="1"/>
  <c r="D19" i="48"/>
  <c r="O19" i="48"/>
  <c r="P19" i="48"/>
  <c r="M20" i="48"/>
  <c r="N20" i="48"/>
  <c r="C8" i="48" s="1"/>
  <c r="T20" i="48"/>
  <c r="T21" i="48"/>
  <c r="P24" i="48"/>
  <c r="T24" i="48"/>
  <c r="Q25" i="48"/>
  <c r="R25" i="48" s="1"/>
  <c r="R26" i="48" s="1"/>
  <c r="W25" i="48"/>
  <c r="O27" i="48"/>
  <c r="O28" i="48"/>
  <c r="AA3" i="47"/>
  <c r="C5" i="47"/>
  <c r="A7" i="47"/>
  <c r="B7" i="47"/>
  <c r="C7" i="47" s="1"/>
  <c r="T7" i="47"/>
  <c r="B8" i="47"/>
  <c r="A13" i="47" s="1"/>
  <c r="T8" i="47"/>
  <c r="T9" i="47" s="1"/>
  <c r="A9" i="47"/>
  <c r="D10" i="47"/>
  <c r="K10" i="47"/>
  <c r="Q10" i="47"/>
  <c r="Z10" i="47"/>
  <c r="O11" i="47"/>
  <c r="O16" i="47" s="1"/>
  <c r="D16" i="47" s="1"/>
  <c r="U11" i="47"/>
  <c r="V11" i="47"/>
  <c r="W11" i="47"/>
  <c r="X11" i="47"/>
  <c r="Y11" i="47"/>
  <c r="D12" i="47"/>
  <c r="O12" i="47"/>
  <c r="D13" i="47"/>
  <c r="O13" i="47"/>
  <c r="U13" i="47"/>
  <c r="Z13" i="47"/>
  <c r="AA13" i="47"/>
  <c r="O14" i="47"/>
  <c r="H15" i="47"/>
  <c r="O15" i="47"/>
  <c r="O17" i="47"/>
  <c r="D11" i="47" s="1"/>
  <c r="T17" i="47"/>
  <c r="O18" i="47"/>
  <c r="A19" i="47"/>
  <c r="A21" i="47" s="1"/>
  <c r="D19" i="47"/>
  <c r="O19" i="47"/>
  <c r="P19" i="47"/>
  <c r="M20" i="47"/>
  <c r="N20" i="47"/>
  <c r="C8" i="47" s="1"/>
  <c r="T20" i="47"/>
  <c r="T21" i="47"/>
  <c r="P24" i="47"/>
  <c r="T24" i="47"/>
  <c r="Q25" i="47"/>
  <c r="R25" i="47" s="1"/>
  <c r="R26" i="47" s="1"/>
  <c r="W25" i="47"/>
  <c r="O27" i="47"/>
  <c r="O28" i="47"/>
  <c r="AA3" i="46"/>
  <c r="C5" i="46"/>
  <c r="A7" i="46"/>
  <c r="B7" i="46"/>
  <c r="C7" i="46" s="1"/>
  <c r="T7" i="46"/>
  <c r="B8" i="46"/>
  <c r="N20" i="46" s="1"/>
  <c r="C8" i="46" s="1"/>
  <c r="T8" i="46"/>
  <c r="T9" i="46" s="1"/>
  <c r="A9" i="46"/>
  <c r="D10" i="46"/>
  <c r="K10" i="46"/>
  <c r="Q10" i="46"/>
  <c r="Z10" i="46"/>
  <c r="D11" i="46"/>
  <c r="O11" i="46"/>
  <c r="U11" i="46"/>
  <c r="V11" i="46"/>
  <c r="W11" i="46"/>
  <c r="X11" i="46"/>
  <c r="Y11" i="46"/>
  <c r="D12" i="46"/>
  <c r="O12" i="46"/>
  <c r="A13" i="46"/>
  <c r="D13" i="46"/>
  <c r="O13" i="46"/>
  <c r="U13" i="46"/>
  <c r="Z13" i="46"/>
  <c r="AA13" i="46"/>
  <c r="O14" i="46"/>
  <c r="H15" i="46"/>
  <c r="O15" i="46"/>
  <c r="D16" i="46"/>
  <c r="O16" i="46"/>
  <c r="O17" i="46"/>
  <c r="T17" i="46"/>
  <c r="O18" i="46"/>
  <c r="A19" i="46"/>
  <c r="A21" i="46" s="1"/>
  <c r="D19" i="46"/>
  <c r="O19" i="46"/>
  <c r="P19" i="46"/>
  <c r="M20" i="46"/>
  <c r="T20" i="46"/>
  <c r="T21" i="46"/>
  <c r="P24" i="46"/>
  <c r="T24" i="46"/>
  <c r="Q25" i="46"/>
  <c r="R25" i="46"/>
  <c r="R26" i="46" s="1"/>
  <c r="W25" i="46"/>
  <c r="O27" i="46"/>
  <c r="O28" i="46"/>
  <c r="AA3" i="45"/>
  <c r="C5" i="45"/>
  <c r="A7" i="45"/>
  <c r="B7" i="45"/>
  <c r="C7" i="45" s="1"/>
  <c r="T7" i="45"/>
  <c r="B8" i="45"/>
  <c r="A13" i="45" s="1"/>
  <c r="T8" i="45"/>
  <c r="A9" i="45"/>
  <c r="T9" i="45"/>
  <c r="D10" i="45"/>
  <c r="K10" i="45"/>
  <c r="Q10" i="45"/>
  <c r="Z10" i="45"/>
  <c r="O11" i="45"/>
  <c r="O16" i="45" s="1"/>
  <c r="D16" i="45" s="1"/>
  <c r="U11" i="45"/>
  <c r="V11" i="45"/>
  <c r="W11" i="45"/>
  <c r="X11" i="45"/>
  <c r="Y11" i="45"/>
  <c r="D12" i="45"/>
  <c r="O12" i="45"/>
  <c r="D13" i="45"/>
  <c r="O13" i="45"/>
  <c r="U13" i="45"/>
  <c r="Z13" i="45"/>
  <c r="AA13" i="45"/>
  <c r="O14" i="45"/>
  <c r="H15" i="45"/>
  <c r="O15" i="45"/>
  <c r="A16" i="45"/>
  <c r="O17" i="45"/>
  <c r="D11" i="45" s="1"/>
  <c r="T17" i="45"/>
  <c r="O18" i="45"/>
  <c r="A19" i="45"/>
  <c r="A21" i="45" s="1"/>
  <c r="D19" i="45"/>
  <c r="O19" i="45"/>
  <c r="P19" i="45"/>
  <c r="M20" i="45"/>
  <c r="N20" i="45"/>
  <c r="C8" i="45" s="1"/>
  <c r="T20" i="45"/>
  <c r="T21" i="45"/>
  <c r="P24" i="45"/>
  <c r="T24" i="45"/>
  <c r="Q25" i="45"/>
  <c r="R25" i="45"/>
  <c r="W25" i="45"/>
  <c r="R26" i="45"/>
  <c r="O27" i="45"/>
  <c r="O28" i="45"/>
  <c r="AA3" i="44"/>
  <c r="C5" i="44"/>
  <c r="A7" i="44"/>
  <c r="B7" i="44"/>
  <c r="C7" i="44" s="1"/>
  <c r="T7" i="44"/>
  <c r="B8" i="44"/>
  <c r="A13" i="44" s="1"/>
  <c r="T8" i="44"/>
  <c r="T9" i="44" s="1"/>
  <c r="A9" i="44"/>
  <c r="D10" i="44"/>
  <c r="K10" i="44"/>
  <c r="Q10" i="44"/>
  <c r="Z10" i="44"/>
  <c r="O11" i="44"/>
  <c r="O16" i="44" s="1"/>
  <c r="D16" i="44" s="1"/>
  <c r="U11" i="44"/>
  <c r="V11" i="44"/>
  <c r="W11" i="44"/>
  <c r="X11" i="44"/>
  <c r="Y11" i="44"/>
  <c r="D12" i="44"/>
  <c r="O12" i="44"/>
  <c r="D13" i="44"/>
  <c r="O13" i="44"/>
  <c r="U13" i="44"/>
  <c r="Z13" i="44"/>
  <c r="AA13" i="44"/>
  <c r="O14" i="44"/>
  <c r="H15" i="44"/>
  <c r="O15" i="44"/>
  <c r="O17" i="44"/>
  <c r="D11" i="44" s="1"/>
  <c r="T17" i="44"/>
  <c r="O18" i="44"/>
  <c r="A19" i="44"/>
  <c r="A21" i="44" s="1"/>
  <c r="D19" i="44"/>
  <c r="O19" i="44"/>
  <c r="P19" i="44"/>
  <c r="M20" i="44"/>
  <c r="N20" i="44"/>
  <c r="C8" i="44" s="1"/>
  <c r="T20" i="44"/>
  <c r="T21" i="44"/>
  <c r="P24" i="44"/>
  <c r="T24" i="44"/>
  <c r="Q25" i="44"/>
  <c r="R25" i="44" s="1"/>
  <c r="R26" i="44" s="1"/>
  <c r="W25" i="44"/>
  <c r="O27" i="44"/>
  <c r="O28" i="44"/>
  <c r="AA3" i="43"/>
  <c r="C5" i="43"/>
  <c r="A7" i="43"/>
  <c r="B7" i="43"/>
  <c r="C7" i="43" s="1"/>
  <c r="T7" i="43"/>
  <c r="B8" i="43"/>
  <c r="A13" i="43" s="1"/>
  <c r="T8" i="43"/>
  <c r="T9" i="43" s="1"/>
  <c r="A9" i="43"/>
  <c r="D10" i="43"/>
  <c r="K10" i="43"/>
  <c r="Q10" i="43"/>
  <c r="Z10" i="43"/>
  <c r="O11" i="43"/>
  <c r="O16" i="43" s="1"/>
  <c r="D16" i="43" s="1"/>
  <c r="U11" i="43"/>
  <c r="V11" i="43"/>
  <c r="W11" i="43"/>
  <c r="X11" i="43"/>
  <c r="Y11" i="43"/>
  <c r="D12" i="43"/>
  <c r="O12" i="43"/>
  <c r="D13" i="43"/>
  <c r="O13" i="43"/>
  <c r="U13" i="43"/>
  <c r="Z13" i="43"/>
  <c r="AA13" i="43"/>
  <c r="O14" i="43"/>
  <c r="H15" i="43"/>
  <c r="O15" i="43"/>
  <c r="O17" i="43"/>
  <c r="D11" i="43" s="1"/>
  <c r="T17" i="43"/>
  <c r="O18" i="43"/>
  <c r="A19" i="43"/>
  <c r="A21" i="43" s="1"/>
  <c r="D19" i="43"/>
  <c r="O19" i="43"/>
  <c r="P19" i="43"/>
  <c r="M20" i="43"/>
  <c r="N20" i="43"/>
  <c r="C8" i="43" s="1"/>
  <c r="T20" i="43"/>
  <c r="T21" i="43"/>
  <c r="P24" i="43"/>
  <c r="T24" i="43"/>
  <c r="Q25" i="43"/>
  <c r="R25" i="43"/>
  <c r="W25" i="43"/>
  <c r="R26" i="43"/>
  <c r="O27" i="43"/>
  <c r="O28" i="43"/>
  <c r="AA3" i="42"/>
  <c r="C5" i="42"/>
  <c r="A7" i="42"/>
  <c r="B7" i="42"/>
  <c r="C7" i="42" s="1"/>
  <c r="T7" i="42"/>
  <c r="B8" i="42"/>
  <c r="A13" i="42" s="1"/>
  <c r="T8" i="42"/>
  <c r="T9" i="42" s="1"/>
  <c r="A9" i="42"/>
  <c r="D10" i="42"/>
  <c r="K10" i="42"/>
  <c r="Q10" i="42"/>
  <c r="Z10" i="42"/>
  <c r="D11" i="42"/>
  <c r="O11" i="42"/>
  <c r="U11" i="42"/>
  <c r="V11" i="42"/>
  <c r="W11" i="42"/>
  <c r="X11" i="42"/>
  <c r="Y11" i="42"/>
  <c r="D12" i="42"/>
  <c r="O12" i="42"/>
  <c r="D13" i="42"/>
  <c r="O13" i="42"/>
  <c r="U13" i="42"/>
  <c r="Z13" i="42"/>
  <c r="AA13" i="42"/>
  <c r="O14" i="42"/>
  <c r="H15" i="42"/>
  <c r="O15" i="42"/>
  <c r="D16" i="42"/>
  <c r="O16" i="42"/>
  <c r="O17" i="42"/>
  <c r="T17" i="42"/>
  <c r="O18" i="42"/>
  <c r="A19" i="42"/>
  <c r="A21" i="42" s="1"/>
  <c r="D19" i="42"/>
  <c r="O19" i="42"/>
  <c r="P19" i="42"/>
  <c r="M20" i="42"/>
  <c r="T20" i="42"/>
  <c r="T21" i="42"/>
  <c r="P24" i="42"/>
  <c r="T24" i="42"/>
  <c r="Q25" i="42"/>
  <c r="R25" i="42"/>
  <c r="R26" i="42" s="1"/>
  <c r="W25" i="42"/>
  <c r="O27" i="42"/>
  <c r="O28" i="42"/>
  <c r="AA3" i="41"/>
  <c r="C5" i="41"/>
  <c r="A7" i="41"/>
  <c r="B7" i="41"/>
  <c r="C7" i="41" s="1"/>
  <c r="T7" i="41"/>
  <c r="B8" i="41"/>
  <c r="A13" i="41" s="1"/>
  <c r="T8" i="41"/>
  <c r="T9" i="41" s="1"/>
  <c r="A9" i="41"/>
  <c r="D10" i="41"/>
  <c r="K10" i="41"/>
  <c r="Q10" i="41"/>
  <c r="Z10" i="41"/>
  <c r="O11" i="41"/>
  <c r="O16" i="41" s="1"/>
  <c r="D16" i="41" s="1"/>
  <c r="U11" i="41"/>
  <c r="V11" i="41"/>
  <c r="W11" i="41"/>
  <c r="X11" i="41"/>
  <c r="Y11" i="41"/>
  <c r="D12" i="41"/>
  <c r="O12" i="41"/>
  <c r="D13" i="41"/>
  <c r="O13" i="41"/>
  <c r="U13" i="41"/>
  <c r="Z13" i="41"/>
  <c r="AA13" i="41"/>
  <c r="O14" i="41"/>
  <c r="H15" i="41"/>
  <c r="O15" i="41"/>
  <c r="O17" i="41"/>
  <c r="D11" i="41" s="1"/>
  <c r="T17" i="41"/>
  <c r="O18" i="41"/>
  <c r="A19" i="41"/>
  <c r="A21" i="41" s="1"/>
  <c r="D19" i="41"/>
  <c r="O19" i="41"/>
  <c r="P19" i="41"/>
  <c r="M20" i="41"/>
  <c r="N20" i="41"/>
  <c r="C8" i="41" s="1"/>
  <c r="T20" i="41"/>
  <c r="T21" i="41"/>
  <c r="P24" i="41"/>
  <c r="T24" i="41"/>
  <c r="Q25" i="41"/>
  <c r="R25" i="41"/>
  <c r="W25" i="41"/>
  <c r="R26" i="41"/>
  <c r="O27" i="41"/>
  <c r="O28" i="41"/>
  <c r="AA3" i="40"/>
  <c r="C5" i="40"/>
  <c r="A7" i="40"/>
  <c r="B7" i="40"/>
  <c r="C7" i="40" s="1"/>
  <c r="T7" i="40"/>
  <c r="B8" i="40"/>
  <c r="T8" i="40"/>
  <c r="T9" i="40" s="1"/>
  <c r="A9" i="40"/>
  <c r="D10" i="40"/>
  <c r="K10" i="40"/>
  <c r="O10" i="40"/>
  <c r="D15" i="40" s="1"/>
  <c r="Q10" i="40"/>
  <c r="Z10" i="40"/>
  <c r="O11" i="40"/>
  <c r="O16" i="40" s="1"/>
  <c r="D16" i="40" s="1"/>
  <c r="U11" i="40"/>
  <c r="V11" i="40"/>
  <c r="W11" i="40"/>
  <c r="X11" i="40"/>
  <c r="Y11" i="40"/>
  <c r="D12" i="40"/>
  <c r="O12" i="40"/>
  <c r="A13" i="40"/>
  <c r="D13" i="40"/>
  <c r="O13" i="40"/>
  <c r="U13" i="40"/>
  <c r="Z13" i="40"/>
  <c r="AA13" i="40"/>
  <c r="O14" i="40"/>
  <c r="H15" i="40"/>
  <c r="O15" i="40"/>
  <c r="O17" i="40"/>
  <c r="D11" i="40" s="1"/>
  <c r="T17" i="40"/>
  <c r="O18" i="40"/>
  <c r="A19" i="40"/>
  <c r="A21" i="40" s="1"/>
  <c r="D19" i="40"/>
  <c r="O19" i="40"/>
  <c r="P19" i="40"/>
  <c r="M20" i="40"/>
  <c r="N20" i="40"/>
  <c r="C8" i="40" s="1"/>
  <c r="T20" i="40"/>
  <c r="T21" i="40"/>
  <c r="P24" i="40"/>
  <c r="T24" i="40"/>
  <c r="Q25" i="40"/>
  <c r="R25" i="40"/>
  <c r="W25" i="40"/>
  <c r="R26" i="40"/>
  <c r="O27" i="40"/>
  <c r="O28" i="40"/>
  <c r="AA3" i="39"/>
  <c r="C5" i="39"/>
  <c r="A7" i="39"/>
  <c r="B7" i="39"/>
  <c r="C7" i="39" s="1"/>
  <c r="T7" i="39"/>
  <c r="B8" i="39"/>
  <c r="A13" i="39" s="1"/>
  <c r="T8" i="39"/>
  <c r="T9" i="39" s="1"/>
  <c r="A9" i="39"/>
  <c r="D10" i="39"/>
  <c r="K10" i="39"/>
  <c r="O10" i="39"/>
  <c r="D15" i="39" s="1"/>
  <c r="Q10" i="39"/>
  <c r="Z10" i="39"/>
  <c r="O11" i="39"/>
  <c r="O16" i="39" s="1"/>
  <c r="D16" i="39" s="1"/>
  <c r="U11" i="39"/>
  <c r="V11" i="39"/>
  <c r="W11" i="39"/>
  <c r="X11" i="39"/>
  <c r="Y11" i="39"/>
  <c r="D12" i="39"/>
  <c r="O12" i="39"/>
  <c r="D13" i="39"/>
  <c r="O13" i="39"/>
  <c r="U13" i="39"/>
  <c r="Z13" i="39"/>
  <c r="AA13" i="39"/>
  <c r="O14" i="39"/>
  <c r="H15" i="39"/>
  <c r="O15" i="39"/>
  <c r="O17" i="39"/>
  <c r="D11" i="39" s="1"/>
  <c r="T17" i="39"/>
  <c r="O18" i="39"/>
  <c r="A19" i="39"/>
  <c r="A21" i="39" s="1"/>
  <c r="D19" i="39"/>
  <c r="O19" i="39"/>
  <c r="P19" i="39"/>
  <c r="M20" i="39"/>
  <c r="N20" i="39"/>
  <c r="C8" i="39" s="1"/>
  <c r="T20" i="39"/>
  <c r="T21" i="39"/>
  <c r="P24" i="39"/>
  <c r="T24" i="39"/>
  <c r="Q25" i="39"/>
  <c r="R25" i="39"/>
  <c r="W25" i="39"/>
  <c r="R26" i="39"/>
  <c r="O27" i="39"/>
  <c r="O28" i="39"/>
  <c r="AA3" i="38"/>
  <c r="C5" i="38"/>
  <c r="A7" i="38"/>
  <c r="B7" i="38"/>
  <c r="C7" i="38" s="1"/>
  <c r="T7" i="38"/>
  <c r="B8" i="38"/>
  <c r="A13" i="38" s="1"/>
  <c r="T8" i="38"/>
  <c r="A9" i="38"/>
  <c r="T9" i="38"/>
  <c r="D10" i="38"/>
  <c r="K10" i="38"/>
  <c r="O10" i="38"/>
  <c r="D15" i="38" s="1"/>
  <c r="Q10" i="38"/>
  <c r="Z10" i="38"/>
  <c r="O11" i="38"/>
  <c r="O16" i="38" s="1"/>
  <c r="D16" i="38" s="1"/>
  <c r="U11" i="38"/>
  <c r="V11" i="38"/>
  <c r="W11" i="38"/>
  <c r="X11" i="38"/>
  <c r="Y11" i="38"/>
  <c r="D12" i="38"/>
  <c r="O12" i="38"/>
  <c r="D13" i="38"/>
  <c r="O13" i="38"/>
  <c r="U13" i="38"/>
  <c r="Z13" i="38"/>
  <c r="AA13" i="38"/>
  <c r="O14" i="38"/>
  <c r="H15" i="38"/>
  <c r="O15" i="38"/>
  <c r="A16" i="38"/>
  <c r="O17" i="38"/>
  <c r="D11" i="38" s="1"/>
  <c r="T17" i="38"/>
  <c r="O18" i="38"/>
  <c r="A19" i="38"/>
  <c r="A21" i="38" s="1"/>
  <c r="D19" i="38"/>
  <c r="O19" i="38"/>
  <c r="P19" i="38"/>
  <c r="M20" i="38"/>
  <c r="N20" i="38"/>
  <c r="C8" i="38" s="1"/>
  <c r="T20" i="38"/>
  <c r="T21" i="38"/>
  <c r="P24" i="38"/>
  <c r="T24" i="38"/>
  <c r="Q25" i="38"/>
  <c r="R25" i="38"/>
  <c r="W25" i="38"/>
  <c r="R26" i="38"/>
  <c r="O27" i="38"/>
  <c r="O28" i="38"/>
  <c r="AA3" i="37"/>
  <c r="C5" i="37"/>
  <c r="A7" i="37"/>
  <c r="B7" i="37"/>
  <c r="C7" i="37" s="1"/>
  <c r="T7" i="37"/>
  <c r="B8" i="37"/>
  <c r="T8" i="37"/>
  <c r="T9" i="37" s="1"/>
  <c r="A9" i="37"/>
  <c r="D10" i="37"/>
  <c r="K10" i="37"/>
  <c r="O10" i="37"/>
  <c r="D15" i="37" s="1"/>
  <c r="Q10" i="37"/>
  <c r="Z10" i="37"/>
  <c r="D11" i="37"/>
  <c r="O11" i="37"/>
  <c r="U11" i="37"/>
  <c r="V11" i="37"/>
  <c r="W11" i="37"/>
  <c r="X11" i="37"/>
  <c r="Y11" i="37"/>
  <c r="D12" i="37"/>
  <c r="O12" i="37"/>
  <c r="A13" i="37"/>
  <c r="D13" i="37"/>
  <c r="O13" i="37"/>
  <c r="U13" i="37"/>
  <c r="Z13" i="37"/>
  <c r="AA13" i="37"/>
  <c r="O14" i="37"/>
  <c r="H15" i="37"/>
  <c r="O15" i="37"/>
  <c r="D16" i="37"/>
  <c r="O16" i="37"/>
  <c r="O17" i="37"/>
  <c r="T17" i="37"/>
  <c r="O18" i="37"/>
  <c r="A19" i="37"/>
  <c r="A21" i="37" s="1"/>
  <c r="D19" i="37"/>
  <c r="O19" i="37"/>
  <c r="P19" i="37"/>
  <c r="M20" i="37"/>
  <c r="N20" i="37" s="1"/>
  <c r="C8" i="37" s="1"/>
  <c r="T20" i="37"/>
  <c r="T21" i="37"/>
  <c r="P24" i="37"/>
  <c r="T24" i="37"/>
  <c r="Q25" i="37"/>
  <c r="R25" i="37"/>
  <c r="R26" i="37" s="1"/>
  <c r="W25" i="37"/>
  <c r="O27" i="37"/>
  <c r="O28" i="37"/>
  <c r="AA3" i="36"/>
  <c r="C5" i="36"/>
  <c r="A7" i="36"/>
  <c r="B7" i="36"/>
  <c r="C7" i="36" s="1"/>
  <c r="T7" i="36"/>
  <c r="B8" i="36"/>
  <c r="A13" i="36" s="1"/>
  <c r="T8" i="36"/>
  <c r="T9" i="36" s="1"/>
  <c r="A9" i="36"/>
  <c r="D10" i="36"/>
  <c r="K10" i="36"/>
  <c r="O10" i="36"/>
  <c r="D15" i="36" s="1"/>
  <c r="Q10" i="36"/>
  <c r="Z10" i="36"/>
  <c r="D11" i="36"/>
  <c r="O11" i="36"/>
  <c r="U11" i="36"/>
  <c r="V11" i="36"/>
  <c r="W11" i="36"/>
  <c r="X11" i="36"/>
  <c r="Y11" i="36"/>
  <c r="D12" i="36"/>
  <c r="O12" i="36"/>
  <c r="D13" i="36"/>
  <c r="O13" i="36"/>
  <c r="U13" i="36"/>
  <c r="Z13" i="36"/>
  <c r="AA13" i="36"/>
  <c r="O14" i="36"/>
  <c r="H15" i="36"/>
  <c r="O15" i="36"/>
  <c r="D16" i="36"/>
  <c r="O16" i="36"/>
  <c r="O17" i="36"/>
  <c r="T17" i="36"/>
  <c r="O18" i="36"/>
  <c r="A19" i="36"/>
  <c r="A21" i="36" s="1"/>
  <c r="D19" i="36"/>
  <c r="O19" i="36"/>
  <c r="P19" i="36"/>
  <c r="M20" i="36"/>
  <c r="T20" i="36"/>
  <c r="T21" i="36"/>
  <c r="P24" i="36"/>
  <c r="T24" i="36"/>
  <c r="Q25" i="36"/>
  <c r="R25" i="36"/>
  <c r="R26" i="36" s="1"/>
  <c r="W25" i="36"/>
  <c r="O27" i="36"/>
  <c r="O28" i="36"/>
  <c r="AA3" i="35"/>
  <c r="C5" i="35"/>
  <c r="T7" i="35"/>
  <c r="B8" i="35"/>
  <c r="A13" i="35" s="1"/>
  <c r="T8" i="35"/>
  <c r="T9" i="35" s="1"/>
  <c r="D10" i="35"/>
  <c r="O10" i="35"/>
  <c r="D15" i="35" s="1"/>
  <c r="Q10" i="35"/>
  <c r="Z10" i="35"/>
  <c r="K10" i="35" s="1"/>
  <c r="O11" i="35"/>
  <c r="O16" i="35" s="1"/>
  <c r="D16" i="35" s="1"/>
  <c r="U11" i="35"/>
  <c r="V11" i="35"/>
  <c r="W11" i="35"/>
  <c r="X11" i="35"/>
  <c r="Y11" i="35"/>
  <c r="D12" i="35"/>
  <c r="O12" i="35"/>
  <c r="D13" i="35"/>
  <c r="O13" i="35"/>
  <c r="U13" i="35"/>
  <c r="Z13" i="35"/>
  <c r="AA13" i="35"/>
  <c r="O14" i="35"/>
  <c r="D19" i="35" s="1"/>
  <c r="H15" i="35"/>
  <c r="O15" i="35"/>
  <c r="O17" i="35"/>
  <c r="D11" i="35" s="1"/>
  <c r="T17" i="35"/>
  <c r="O18" i="35"/>
  <c r="O19" i="35"/>
  <c r="P19" i="35"/>
  <c r="M20" i="35"/>
  <c r="T20" i="35"/>
  <c r="T21" i="35"/>
  <c r="P24" i="35"/>
  <c r="T24" i="35"/>
  <c r="Q25" i="35"/>
  <c r="R25" i="35" s="1"/>
  <c r="R26" i="35" s="1"/>
  <c r="W25" i="35"/>
  <c r="O27" i="35"/>
  <c r="O28" i="35"/>
  <c r="F7" i="36" l="1"/>
  <c r="F7" i="37"/>
  <c r="F7" i="42"/>
  <c r="F7" i="46"/>
  <c r="F7" i="51"/>
  <c r="F7" i="52"/>
  <c r="F7" i="54"/>
  <c r="F7" i="65"/>
  <c r="F7" i="66"/>
  <c r="F7" i="67"/>
  <c r="F7" i="68"/>
  <c r="F7" i="79"/>
  <c r="F7" i="81"/>
  <c r="F7" i="64"/>
  <c r="F7" i="82"/>
  <c r="V19" i="82"/>
  <c r="U19" i="82" s="1"/>
  <c r="A15" i="82"/>
  <c r="D7" i="82"/>
  <c r="N19" i="82" s="1"/>
  <c r="A16" i="82"/>
  <c r="B9" i="82"/>
  <c r="A19" i="81"/>
  <c r="A21" i="81" s="1"/>
  <c r="A16" i="81"/>
  <c r="N20" i="81"/>
  <c r="C8" i="81" s="1"/>
  <c r="A15" i="81"/>
  <c r="A17" i="81" s="1"/>
  <c r="D7" i="81"/>
  <c r="N19" i="81" s="1"/>
  <c r="V19" i="81"/>
  <c r="U19" i="81" s="1"/>
  <c r="B9" i="81"/>
  <c r="F7" i="80"/>
  <c r="V19" i="80"/>
  <c r="U19" i="80" s="1"/>
  <c r="A15" i="80"/>
  <c r="A16" i="80"/>
  <c r="A16" i="79"/>
  <c r="N20" i="79"/>
  <c r="C8" i="79" s="1"/>
  <c r="A15" i="79"/>
  <c r="A17" i="79" s="1"/>
  <c r="D7" i="79"/>
  <c r="N19" i="79" s="1"/>
  <c r="V19" i="79"/>
  <c r="U19" i="79" s="1"/>
  <c r="B9" i="79"/>
  <c r="F7" i="78"/>
  <c r="V19" i="78"/>
  <c r="U19" i="78" s="1"/>
  <c r="A15" i="78"/>
  <c r="A16" i="78"/>
  <c r="D7" i="78"/>
  <c r="N19" i="78" s="1"/>
  <c r="B9" i="78"/>
  <c r="F7" i="77"/>
  <c r="V19" i="77"/>
  <c r="U19" i="77" s="1"/>
  <c r="A15" i="77"/>
  <c r="A16" i="77"/>
  <c r="D7" i="77"/>
  <c r="N19" i="77" s="1"/>
  <c r="B9" i="77"/>
  <c r="A16" i="76"/>
  <c r="A19" i="76"/>
  <c r="A21" i="76" s="1"/>
  <c r="N20" i="76"/>
  <c r="C8" i="76" s="1"/>
  <c r="A15" i="76"/>
  <c r="D7" i="76"/>
  <c r="N19" i="76" s="1"/>
  <c r="V19" i="76"/>
  <c r="U19" i="76" s="1"/>
  <c r="B9" i="76"/>
  <c r="F7" i="75"/>
  <c r="A16" i="75"/>
  <c r="V19" i="75"/>
  <c r="U19" i="75" s="1"/>
  <c r="A15" i="75"/>
  <c r="A17" i="75" s="1"/>
  <c r="D7" i="75"/>
  <c r="N19" i="75" s="1"/>
  <c r="B9" i="75"/>
  <c r="F7" i="74"/>
  <c r="A15" i="74"/>
  <c r="D7" i="74"/>
  <c r="N19" i="74" s="1"/>
  <c r="A16" i="74"/>
  <c r="V19" i="74"/>
  <c r="U19" i="74" s="1"/>
  <c r="B9" i="74"/>
  <c r="F7" i="73"/>
  <c r="V19" i="73"/>
  <c r="U19" i="73" s="1"/>
  <c r="A15" i="73"/>
  <c r="A16" i="73"/>
  <c r="D7" i="73"/>
  <c r="N19" i="73" s="1"/>
  <c r="B9" i="73"/>
  <c r="F7" i="72"/>
  <c r="A16" i="72"/>
  <c r="D7" i="72"/>
  <c r="N19" i="72" s="1"/>
  <c r="V19" i="72"/>
  <c r="U19" i="72" s="1"/>
  <c r="A15" i="72"/>
  <c r="B9" i="72"/>
  <c r="F7" i="71"/>
  <c r="A16" i="71"/>
  <c r="V19" i="71"/>
  <c r="U19" i="71" s="1"/>
  <c r="A15" i="71"/>
  <c r="A17" i="71" s="1"/>
  <c r="D7" i="71"/>
  <c r="N19" i="71" s="1"/>
  <c r="B9" i="71"/>
  <c r="F7" i="70"/>
  <c r="V19" i="70"/>
  <c r="U19" i="70" s="1"/>
  <c r="A15" i="70"/>
  <c r="A16" i="70"/>
  <c r="D7" i="70"/>
  <c r="N19" i="70" s="1"/>
  <c r="B9" i="70"/>
  <c r="A9" i="69"/>
  <c r="B7" i="69"/>
  <c r="A7" i="69"/>
  <c r="A19" i="69"/>
  <c r="A21" i="69" s="1"/>
  <c r="N20" i="69"/>
  <c r="C8" i="69" s="1"/>
  <c r="V19" i="68"/>
  <c r="U19" i="68" s="1"/>
  <c r="A15" i="68"/>
  <c r="D7" i="68"/>
  <c r="N19" i="68" s="1"/>
  <c r="A16" i="68"/>
  <c r="B9" i="68"/>
  <c r="A16" i="67"/>
  <c r="N20" i="67"/>
  <c r="C8" i="67" s="1"/>
  <c r="V19" i="67"/>
  <c r="U19" i="67" s="1"/>
  <c r="A15" i="67"/>
  <c r="A17" i="67" s="1"/>
  <c r="D7" i="67"/>
  <c r="N19" i="67" s="1"/>
  <c r="B9" i="67"/>
  <c r="A16" i="66"/>
  <c r="V19" i="66"/>
  <c r="U19" i="66" s="1"/>
  <c r="D7" i="66"/>
  <c r="N19" i="66" s="1"/>
  <c r="A15" i="66"/>
  <c r="A17" i="66" s="1"/>
  <c r="B9" i="66"/>
  <c r="A16" i="65"/>
  <c r="N20" i="65"/>
  <c r="C8" i="65" s="1"/>
  <c r="A15" i="65"/>
  <c r="A17" i="65" s="1"/>
  <c r="V19" i="65"/>
  <c r="U19" i="65" s="1"/>
  <c r="D7" i="65"/>
  <c r="N19" i="65" s="1"/>
  <c r="B9" i="65"/>
  <c r="A16" i="64"/>
  <c r="V19" i="64"/>
  <c r="U19" i="64" s="1"/>
  <c r="A15" i="64"/>
  <c r="A17" i="64" s="1"/>
  <c r="D7" i="64"/>
  <c r="N19" i="64" s="1"/>
  <c r="B9" i="64"/>
  <c r="F7" i="63"/>
  <c r="A16" i="63"/>
  <c r="V19" i="63"/>
  <c r="U19" i="63" s="1"/>
  <c r="A15" i="63"/>
  <c r="A17" i="63" s="1"/>
  <c r="D7" i="63"/>
  <c r="N19" i="63" s="1"/>
  <c r="B9" i="63"/>
  <c r="F7" i="62"/>
  <c r="A16" i="62"/>
  <c r="V19" i="62"/>
  <c r="U19" i="62" s="1"/>
  <c r="A15" i="62"/>
  <c r="A17" i="62" s="1"/>
  <c r="D7" i="62"/>
  <c r="N19" i="62" s="1"/>
  <c r="B9" i="62"/>
  <c r="F7" i="61"/>
  <c r="A16" i="61"/>
  <c r="N20" i="61"/>
  <c r="C8" i="61" s="1"/>
  <c r="V19" i="61"/>
  <c r="U19" i="61" s="1"/>
  <c r="A15" i="61"/>
  <c r="D7" i="61"/>
  <c r="N19" i="61" s="1"/>
  <c r="B9" i="61"/>
  <c r="F7" i="60"/>
  <c r="V19" i="60"/>
  <c r="U19" i="60" s="1"/>
  <c r="A15" i="60"/>
  <c r="A16" i="60"/>
  <c r="D7" i="60"/>
  <c r="N19" i="60" s="1"/>
  <c r="B9" i="60"/>
  <c r="F7" i="59"/>
  <c r="A16" i="59"/>
  <c r="V19" i="59"/>
  <c r="U19" i="59" s="1"/>
  <c r="A15" i="59"/>
  <c r="D7" i="59"/>
  <c r="N19" i="59" s="1"/>
  <c r="B9" i="59"/>
  <c r="F7" i="58"/>
  <c r="A16" i="58"/>
  <c r="V19" i="58"/>
  <c r="U19" i="58" s="1"/>
  <c r="A15" i="58"/>
  <c r="A17" i="58" s="1"/>
  <c r="D7" i="58"/>
  <c r="N19" i="58" s="1"/>
  <c r="B9" i="58"/>
  <c r="A16" i="57"/>
  <c r="N20" i="57"/>
  <c r="C8" i="57" s="1"/>
  <c r="A15" i="57"/>
  <c r="A17" i="57" s="1"/>
  <c r="D7" i="57"/>
  <c r="N19" i="57" s="1"/>
  <c r="V19" i="57"/>
  <c r="U19" i="57" s="1"/>
  <c r="B9" i="57"/>
  <c r="V19" i="56"/>
  <c r="U19" i="56" s="1"/>
  <c r="D7" i="56"/>
  <c r="N19" i="56" s="1"/>
  <c r="A16" i="56"/>
  <c r="A15" i="56"/>
  <c r="A17" i="56" s="1"/>
  <c r="B9" i="56"/>
  <c r="C7" i="55"/>
  <c r="F7" i="55" s="1"/>
  <c r="B9" i="55"/>
  <c r="A15" i="55"/>
  <c r="A17" i="55" s="1"/>
  <c r="V19" i="55"/>
  <c r="U19" i="55" s="1"/>
  <c r="N20" i="55"/>
  <c r="C8" i="55" s="1"/>
  <c r="A16" i="54"/>
  <c r="N20" i="54"/>
  <c r="C8" i="54" s="1"/>
  <c r="A15" i="54"/>
  <c r="A17" i="54" s="1"/>
  <c r="V19" i="54"/>
  <c r="U19" i="54" s="1"/>
  <c r="D7" i="54"/>
  <c r="N19" i="54" s="1"/>
  <c r="B9" i="54"/>
  <c r="F7" i="53"/>
  <c r="N20" i="53"/>
  <c r="C8" i="53" s="1"/>
  <c r="A16" i="53"/>
  <c r="V19" i="53"/>
  <c r="U19" i="53" s="1"/>
  <c r="A15" i="53"/>
  <c r="A17" i="53" s="1"/>
  <c r="D7" i="53"/>
  <c r="N19" i="53" s="1"/>
  <c r="B9" i="53"/>
  <c r="A16" i="52"/>
  <c r="V19" i="52"/>
  <c r="U19" i="52" s="1"/>
  <c r="A15" i="52"/>
  <c r="D7" i="52"/>
  <c r="N19" i="52" s="1"/>
  <c r="B9" i="52"/>
  <c r="A16" i="51"/>
  <c r="N20" i="51"/>
  <c r="C8" i="51" s="1"/>
  <c r="V19" i="51"/>
  <c r="U19" i="51" s="1"/>
  <c r="A15" i="51"/>
  <c r="D7" i="51"/>
  <c r="N19" i="51" s="1"/>
  <c r="B9" i="51"/>
  <c r="F7" i="50"/>
  <c r="A15" i="50"/>
  <c r="A17" i="50" s="1"/>
  <c r="D7" i="50"/>
  <c r="N19" i="50" s="1"/>
  <c r="V19" i="50"/>
  <c r="U19" i="50" s="1"/>
  <c r="B9" i="50"/>
  <c r="F7" i="49"/>
  <c r="A16" i="49"/>
  <c r="A15" i="49"/>
  <c r="A17" i="49" s="1"/>
  <c r="V19" i="49"/>
  <c r="U19" i="49" s="1"/>
  <c r="D7" i="49"/>
  <c r="N19" i="49" s="1"/>
  <c r="B9" i="49"/>
  <c r="F7" i="48"/>
  <c r="A16" i="48"/>
  <c r="V19" i="48"/>
  <c r="U19" i="48" s="1"/>
  <c r="A15" i="48"/>
  <c r="A17" i="48" s="1"/>
  <c r="D7" i="48"/>
  <c r="N19" i="48" s="1"/>
  <c r="B9" i="48"/>
  <c r="F7" i="47"/>
  <c r="V19" i="47"/>
  <c r="U19" i="47" s="1"/>
  <c r="A15" i="47"/>
  <c r="A16" i="47"/>
  <c r="D7" i="47"/>
  <c r="N19" i="47" s="1"/>
  <c r="B9" i="47"/>
  <c r="A16" i="46"/>
  <c r="A15" i="46"/>
  <c r="A17" i="46" s="1"/>
  <c r="D7" i="46"/>
  <c r="N19" i="46" s="1"/>
  <c r="V19" i="46"/>
  <c r="U19" i="46" s="1"/>
  <c r="B9" i="46"/>
  <c r="F7" i="45"/>
  <c r="V19" i="45"/>
  <c r="U19" i="45" s="1"/>
  <c r="A15" i="45"/>
  <c r="A17" i="45" s="1"/>
  <c r="D7" i="45"/>
  <c r="N19" i="45" s="1"/>
  <c r="B9" i="45"/>
  <c r="F7" i="44"/>
  <c r="A16" i="44"/>
  <c r="V19" i="44"/>
  <c r="U19" i="44" s="1"/>
  <c r="A15" i="44"/>
  <c r="A17" i="44" s="1"/>
  <c r="D7" i="44"/>
  <c r="N19" i="44" s="1"/>
  <c r="B9" i="44"/>
  <c r="F7" i="43"/>
  <c r="V19" i="43"/>
  <c r="U19" i="43" s="1"/>
  <c r="A15" i="43"/>
  <c r="A16" i="43"/>
  <c r="D7" i="43"/>
  <c r="N19" i="43" s="1"/>
  <c r="B9" i="43"/>
  <c r="A16" i="42"/>
  <c r="N20" i="42"/>
  <c r="C8" i="42" s="1"/>
  <c r="A15" i="42"/>
  <c r="A17" i="42" s="1"/>
  <c r="D7" i="42"/>
  <c r="N19" i="42" s="1"/>
  <c r="V19" i="42"/>
  <c r="U19" i="42" s="1"/>
  <c r="B9" i="42"/>
  <c r="F7" i="41"/>
  <c r="A16" i="41"/>
  <c r="A15" i="41"/>
  <c r="A17" i="41" s="1"/>
  <c r="D7" i="41"/>
  <c r="N19" i="41" s="1"/>
  <c r="V19" i="41"/>
  <c r="U19" i="41" s="1"/>
  <c r="B9" i="41"/>
  <c r="F7" i="40"/>
  <c r="A16" i="40"/>
  <c r="V19" i="40"/>
  <c r="U19" i="40" s="1"/>
  <c r="A15" i="40"/>
  <c r="A17" i="40" s="1"/>
  <c r="D7" i="40"/>
  <c r="N19" i="40" s="1"/>
  <c r="B9" i="40"/>
  <c r="F7" i="39"/>
  <c r="V19" i="39"/>
  <c r="U19" i="39" s="1"/>
  <c r="D7" i="39"/>
  <c r="N19" i="39" s="1"/>
  <c r="A16" i="39"/>
  <c r="A15" i="39"/>
  <c r="A17" i="39" s="1"/>
  <c r="B9" i="39"/>
  <c r="F7" i="38"/>
  <c r="V19" i="38"/>
  <c r="U19" i="38" s="1"/>
  <c r="A15" i="38"/>
  <c r="A17" i="38" s="1"/>
  <c r="D7" i="38"/>
  <c r="N19" i="38" s="1"/>
  <c r="B9" i="38"/>
  <c r="V19" i="37"/>
  <c r="U19" i="37" s="1"/>
  <c r="A15" i="37"/>
  <c r="A17" i="37" s="1"/>
  <c r="D7" i="37"/>
  <c r="N19" i="37" s="1"/>
  <c r="A16" i="37"/>
  <c r="B9" i="37"/>
  <c r="A16" i="36"/>
  <c r="N20" i="36"/>
  <c r="C8" i="36" s="1"/>
  <c r="D7" i="36"/>
  <c r="N19" i="36" s="1"/>
  <c r="V19" i="36"/>
  <c r="U19" i="36" s="1"/>
  <c r="A15" i="36"/>
  <c r="A17" i="36" s="1"/>
  <c r="B9" i="36"/>
  <c r="A7" i="35"/>
  <c r="A9" i="35"/>
  <c r="B7" i="35"/>
  <c r="A19" i="35"/>
  <c r="A21" i="35" s="1"/>
  <c r="N20" i="35"/>
  <c r="C8" i="35" s="1"/>
  <c r="A17" i="82" l="1"/>
  <c r="D14" i="82"/>
  <c r="D17" i="82" s="1"/>
  <c r="E7" i="82" s="1"/>
  <c r="G7" i="82" s="1"/>
  <c r="J19" i="82"/>
  <c r="H14" i="82"/>
  <c r="O10" i="81"/>
  <c r="D15" i="81" s="1"/>
  <c r="D14" i="81"/>
  <c r="H14" i="81"/>
  <c r="J19" i="81"/>
  <c r="A17" i="80"/>
  <c r="J19" i="80"/>
  <c r="D14" i="80"/>
  <c r="D17" i="80" s="1"/>
  <c r="E7" i="80" s="1"/>
  <c r="G7" i="80" s="1"/>
  <c r="H14" i="80"/>
  <c r="O10" i="79"/>
  <c r="D15" i="79" s="1"/>
  <c r="D14" i="79"/>
  <c r="H14" i="79"/>
  <c r="J19" i="79"/>
  <c r="A17" i="78"/>
  <c r="O10" i="78"/>
  <c r="D15" i="78" s="1"/>
  <c r="J19" i="78"/>
  <c r="D14" i="78"/>
  <c r="H14" i="78"/>
  <c r="J19" i="77"/>
  <c r="D14" i="77"/>
  <c r="D17" i="77" s="1"/>
  <c r="E7" i="77" s="1"/>
  <c r="G7" i="77" s="1"/>
  <c r="H14" i="77"/>
  <c r="A17" i="77"/>
  <c r="H14" i="76"/>
  <c r="J19" i="76"/>
  <c r="D14" i="76"/>
  <c r="D17" i="76" s="1"/>
  <c r="E7" i="76" s="1"/>
  <c r="G7" i="76" s="1"/>
  <c r="A17" i="76"/>
  <c r="D14" i="75"/>
  <c r="D17" i="75" s="1"/>
  <c r="E7" i="75" s="1"/>
  <c r="G7" i="75" s="1"/>
  <c r="H14" i="75"/>
  <c r="J19" i="75"/>
  <c r="A17" i="74"/>
  <c r="D14" i="74"/>
  <c r="D17" i="74" s="1"/>
  <c r="E7" i="74" s="1"/>
  <c r="G7" i="74" s="1"/>
  <c r="H14" i="74"/>
  <c r="J19" i="74"/>
  <c r="A17" i="73"/>
  <c r="H14" i="73"/>
  <c r="J19" i="73"/>
  <c r="D14" i="73"/>
  <c r="D17" i="73" s="1"/>
  <c r="E7" i="73" s="1"/>
  <c r="G7" i="73" s="1"/>
  <c r="A17" i="72"/>
  <c r="H14" i="72"/>
  <c r="D14" i="72"/>
  <c r="D17" i="72" s="1"/>
  <c r="E7" i="72" s="1"/>
  <c r="G7" i="72" s="1"/>
  <c r="J19" i="72"/>
  <c r="H14" i="71"/>
  <c r="D14" i="71"/>
  <c r="D17" i="71" s="1"/>
  <c r="E7" i="71" s="1"/>
  <c r="G7" i="71" s="1"/>
  <c r="J19" i="71"/>
  <c r="A17" i="70"/>
  <c r="O10" i="70"/>
  <c r="D15" i="70" s="1"/>
  <c r="D14" i="70"/>
  <c r="D17" i="70" s="1"/>
  <c r="E7" i="70" s="1"/>
  <c r="G7" i="70" s="1"/>
  <c r="J19" i="70"/>
  <c r="H14" i="70"/>
  <c r="C7" i="69"/>
  <c r="F7" i="69" s="1"/>
  <c r="B9" i="69"/>
  <c r="D7" i="69"/>
  <c r="N19" i="69" s="1"/>
  <c r="A15" i="69"/>
  <c r="A17" i="69" s="1"/>
  <c r="V19" i="69"/>
  <c r="U19" i="69" s="1"/>
  <c r="A16" i="69"/>
  <c r="A17" i="68"/>
  <c r="O10" i="68"/>
  <c r="D15" i="68" s="1"/>
  <c r="D14" i="68"/>
  <c r="H14" i="68"/>
  <c r="J19" i="68"/>
  <c r="H14" i="67"/>
  <c r="D14" i="67"/>
  <c r="D17" i="67" s="1"/>
  <c r="E7" i="67" s="1"/>
  <c r="G7" i="67" s="1"/>
  <c r="J19" i="67"/>
  <c r="D14" i="66"/>
  <c r="D17" i="66" s="1"/>
  <c r="E7" i="66" s="1"/>
  <c r="G7" i="66" s="1"/>
  <c r="H14" i="66"/>
  <c r="J19" i="66"/>
  <c r="D14" i="65"/>
  <c r="D17" i="65" s="1"/>
  <c r="E7" i="65" s="1"/>
  <c r="G7" i="65" s="1"/>
  <c r="H14" i="65"/>
  <c r="J19" i="65"/>
  <c r="D14" i="64"/>
  <c r="D17" i="64" s="1"/>
  <c r="E7" i="64" s="1"/>
  <c r="G7" i="64" s="1"/>
  <c r="H14" i="64"/>
  <c r="J19" i="64"/>
  <c r="D14" i="63"/>
  <c r="D17" i="63" s="1"/>
  <c r="E7" i="63" s="1"/>
  <c r="G7" i="63" s="1"/>
  <c r="J19" i="63"/>
  <c r="H14" i="63"/>
  <c r="O10" i="62"/>
  <c r="D15" i="62" s="1"/>
  <c r="J19" i="62"/>
  <c r="D14" i="62"/>
  <c r="H14" i="62"/>
  <c r="O10" i="61"/>
  <c r="D15" i="61" s="1"/>
  <c r="J19" i="61"/>
  <c r="H14" i="61"/>
  <c r="D14" i="61"/>
  <c r="A17" i="61"/>
  <c r="A17" i="60"/>
  <c r="O10" i="60"/>
  <c r="D15" i="60" s="1"/>
  <c r="D14" i="60"/>
  <c r="H14" i="60"/>
  <c r="J19" i="60"/>
  <c r="A17" i="59"/>
  <c r="O10" i="59"/>
  <c r="D15" i="59" s="1"/>
  <c r="H14" i="59"/>
  <c r="J19" i="59"/>
  <c r="D14" i="59"/>
  <c r="O10" i="58"/>
  <c r="D15" i="58" s="1"/>
  <c r="D14" i="58"/>
  <c r="H14" i="58"/>
  <c r="J19" i="58"/>
  <c r="O10" i="57"/>
  <c r="D15" i="57" s="1"/>
  <c r="D14" i="57"/>
  <c r="D17" i="57" s="1"/>
  <c r="E7" i="57" s="1"/>
  <c r="G7" i="57" s="1"/>
  <c r="H14" i="57"/>
  <c r="J19" i="57"/>
  <c r="O10" i="56"/>
  <c r="D15" i="56" s="1"/>
  <c r="H14" i="56"/>
  <c r="D14" i="56"/>
  <c r="D17" i="56" s="1"/>
  <c r="E7" i="56" s="1"/>
  <c r="G7" i="56" s="1"/>
  <c r="J19" i="56"/>
  <c r="D14" i="55"/>
  <c r="D17" i="55" s="1"/>
  <c r="E7" i="55" s="1"/>
  <c r="G7" i="55" s="1"/>
  <c r="H14" i="55"/>
  <c r="J19" i="55"/>
  <c r="O10" i="55"/>
  <c r="D15" i="55" s="1"/>
  <c r="D7" i="55"/>
  <c r="N19" i="55" s="1"/>
  <c r="O10" i="54"/>
  <c r="D15" i="54" s="1"/>
  <c r="H14" i="54"/>
  <c r="J19" i="54"/>
  <c r="D14" i="54"/>
  <c r="D17" i="54" s="1"/>
  <c r="E7" i="54" s="1"/>
  <c r="G7" i="54" s="1"/>
  <c r="O10" i="53"/>
  <c r="D15" i="53" s="1"/>
  <c r="H14" i="53"/>
  <c r="D14" i="53"/>
  <c r="J19" i="53"/>
  <c r="A17" i="52"/>
  <c r="O10" i="52"/>
  <c r="D15" i="52" s="1"/>
  <c r="D14" i="52"/>
  <c r="H14" i="52"/>
  <c r="J19" i="52"/>
  <c r="A17" i="51"/>
  <c r="O10" i="51"/>
  <c r="D15" i="51" s="1"/>
  <c r="D14" i="51"/>
  <c r="H14" i="51"/>
  <c r="J19" i="51"/>
  <c r="O10" i="50"/>
  <c r="D15" i="50" s="1"/>
  <c r="D14" i="50"/>
  <c r="H14" i="50"/>
  <c r="J19" i="50"/>
  <c r="O10" i="49"/>
  <c r="D15" i="49" s="1"/>
  <c r="H14" i="49"/>
  <c r="J19" i="49"/>
  <c r="D14" i="49"/>
  <c r="O10" i="48"/>
  <c r="D15" i="48" s="1"/>
  <c r="D14" i="48"/>
  <c r="H14" i="48"/>
  <c r="J19" i="48"/>
  <c r="A17" i="47"/>
  <c r="O10" i="47"/>
  <c r="D15" i="47" s="1"/>
  <c r="D14" i="47"/>
  <c r="H14" i="47"/>
  <c r="J19" i="47"/>
  <c r="O10" i="46"/>
  <c r="D15" i="46" s="1"/>
  <c r="D14" i="46"/>
  <c r="H14" i="46"/>
  <c r="J19" i="46"/>
  <c r="O10" i="45"/>
  <c r="D15" i="45" s="1"/>
  <c r="D14" i="45"/>
  <c r="H14" i="45"/>
  <c r="J19" i="45"/>
  <c r="O10" i="44"/>
  <c r="D15" i="44" s="1"/>
  <c r="D14" i="44"/>
  <c r="H14" i="44"/>
  <c r="J19" i="44"/>
  <c r="A17" i="43"/>
  <c r="O10" i="43"/>
  <c r="D15" i="43" s="1"/>
  <c r="H14" i="43"/>
  <c r="D14" i="43"/>
  <c r="J19" i="43"/>
  <c r="O10" i="42"/>
  <c r="D15" i="42" s="1"/>
  <c r="D14" i="42"/>
  <c r="H14" i="42"/>
  <c r="J19" i="42"/>
  <c r="O10" i="41"/>
  <c r="D15" i="41" s="1"/>
  <c r="D14" i="41"/>
  <c r="J19" i="41"/>
  <c r="H14" i="41"/>
  <c r="D14" i="40"/>
  <c r="D17" i="40" s="1"/>
  <c r="E7" i="40" s="1"/>
  <c r="G7" i="40" s="1"/>
  <c r="J19" i="40"/>
  <c r="H14" i="40"/>
  <c r="D14" i="39"/>
  <c r="D17" i="39" s="1"/>
  <c r="E7" i="39" s="1"/>
  <c r="G7" i="39" s="1"/>
  <c r="H14" i="39"/>
  <c r="J19" i="39"/>
  <c r="D14" i="38"/>
  <c r="D17" i="38" s="1"/>
  <c r="E7" i="38" s="1"/>
  <c r="G7" i="38" s="1"/>
  <c r="H14" i="38"/>
  <c r="J19" i="38"/>
  <c r="D14" i="37"/>
  <c r="D17" i="37" s="1"/>
  <c r="E7" i="37" s="1"/>
  <c r="G7" i="37" s="1"/>
  <c r="H14" i="37"/>
  <c r="J19" i="37"/>
  <c r="D14" i="36"/>
  <c r="D17" i="36" s="1"/>
  <c r="E7" i="36" s="1"/>
  <c r="G7" i="36" s="1"/>
  <c r="H14" i="36"/>
  <c r="J19" i="36"/>
  <c r="C7" i="35"/>
  <c r="F7" i="35" s="1"/>
  <c r="B9" i="35"/>
  <c r="D7" i="35"/>
  <c r="N19" i="35" s="1"/>
  <c r="A15" i="35"/>
  <c r="A17" i="35" s="1"/>
  <c r="V19" i="35"/>
  <c r="U19" i="35" s="1"/>
  <c r="A16" i="35"/>
  <c r="D17" i="47" l="1"/>
  <c r="E7" i="47" s="1"/>
  <c r="G7" i="47" s="1"/>
  <c r="H8" i="47" s="1"/>
  <c r="D17" i="49"/>
  <c r="E7" i="49" s="1"/>
  <c r="G7" i="49" s="1"/>
  <c r="H8" i="49" s="1"/>
  <c r="D17" i="50"/>
  <c r="E7" i="50" s="1"/>
  <c r="G7" i="50" s="1"/>
  <c r="H8" i="50" s="1"/>
  <c r="D17" i="52"/>
  <c r="E7" i="52" s="1"/>
  <c r="G7" i="52" s="1"/>
  <c r="H7" i="52" s="1"/>
  <c r="D17" i="53"/>
  <c r="E7" i="53" s="1"/>
  <c r="G7" i="53" s="1"/>
  <c r="D17" i="78"/>
  <c r="E7" i="78" s="1"/>
  <c r="G7" i="78" s="1"/>
  <c r="H7" i="78" s="1"/>
  <c r="I7" i="78" s="1"/>
  <c r="D17" i="59"/>
  <c r="E7" i="59" s="1"/>
  <c r="G7" i="59" s="1"/>
  <c r="H8" i="59" s="1"/>
  <c r="D17" i="60"/>
  <c r="E7" i="60" s="1"/>
  <c r="G7" i="60" s="1"/>
  <c r="D17" i="61"/>
  <c r="E7" i="61" s="1"/>
  <c r="G7" i="61" s="1"/>
  <c r="H8" i="61" s="1"/>
  <c r="H8" i="82"/>
  <c r="H7" i="82"/>
  <c r="D17" i="81"/>
  <c r="E7" i="81" s="1"/>
  <c r="G7" i="81" s="1"/>
  <c r="H8" i="80"/>
  <c r="H7" i="80"/>
  <c r="I7" i="80" s="1"/>
  <c r="D17" i="79"/>
  <c r="E7" i="79" s="1"/>
  <c r="G7" i="79" s="1"/>
  <c r="H8" i="78"/>
  <c r="H8" i="77"/>
  <c r="H7" i="77"/>
  <c r="H8" i="76"/>
  <c r="H7" i="76"/>
  <c r="I7" i="76" s="1"/>
  <c r="H8" i="75"/>
  <c r="H7" i="75"/>
  <c r="I7" i="75" s="1"/>
  <c r="H8" i="74"/>
  <c r="H7" i="74"/>
  <c r="H7" i="73"/>
  <c r="I7" i="73"/>
  <c r="H8" i="73"/>
  <c r="H8" i="72"/>
  <c r="H7" i="72"/>
  <c r="H8" i="71"/>
  <c r="H7" i="71"/>
  <c r="I7" i="71" s="1"/>
  <c r="H8" i="70"/>
  <c r="H7" i="70"/>
  <c r="I7" i="70" s="1"/>
  <c r="H14" i="69"/>
  <c r="D14" i="69"/>
  <c r="D17" i="69" s="1"/>
  <c r="E7" i="69" s="1"/>
  <c r="G7" i="69" s="1"/>
  <c r="J19" i="69"/>
  <c r="D17" i="68"/>
  <c r="E7" i="68" s="1"/>
  <c r="G7" i="68" s="1"/>
  <c r="H8" i="67"/>
  <c r="H7" i="67"/>
  <c r="I7" i="67" s="1"/>
  <c r="H8" i="66"/>
  <c r="H7" i="66"/>
  <c r="I7" i="66" s="1"/>
  <c r="H8" i="65"/>
  <c r="H7" i="65"/>
  <c r="H8" i="64"/>
  <c r="H7" i="64"/>
  <c r="I7" i="64" s="1"/>
  <c r="H7" i="63"/>
  <c r="I7" i="63" s="1"/>
  <c r="H8" i="63"/>
  <c r="D17" i="62"/>
  <c r="E7" i="62" s="1"/>
  <c r="G7" i="62" s="1"/>
  <c r="H8" i="60"/>
  <c r="H7" i="60"/>
  <c r="D17" i="58"/>
  <c r="E7" i="58" s="1"/>
  <c r="G7" i="58" s="1"/>
  <c r="H8" i="57"/>
  <c r="H7" i="57"/>
  <c r="I7" i="57"/>
  <c r="I7" i="56"/>
  <c r="H8" i="56"/>
  <c r="H7" i="56"/>
  <c r="H8" i="55"/>
  <c r="H7" i="55"/>
  <c r="I7" i="55" s="1"/>
  <c r="H8" i="54"/>
  <c r="H7" i="54"/>
  <c r="H8" i="53"/>
  <c r="H7" i="53"/>
  <c r="I7" i="53" s="1"/>
  <c r="D17" i="51"/>
  <c r="E7" i="51" s="1"/>
  <c r="G7" i="51" s="1"/>
  <c r="D17" i="48"/>
  <c r="E7" i="48" s="1"/>
  <c r="G7" i="48" s="1"/>
  <c r="D17" i="46"/>
  <c r="E7" i="46" s="1"/>
  <c r="G7" i="46" s="1"/>
  <c r="D17" i="45"/>
  <c r="E7" i="45" s="1"/>
  <c r="G7" i="45" s="1"/>
  <c r="D17" i="44"/>
  <c r="E7" i="44" s="1"/>
  <c r="G7" i="44" s="1"/>
  <c r="D17" i="43"/>
  <c r="E7" i="43" s="1"/>
  <c r="G7" i="43" s="1"/>
  <c r="D17" i="42"/>
  <c r="E7" i="42" s="1"/>
  <c r="G7" i="42" s="1"/>
  <c r="D17" i="41"/>
  <c r="E7" i="41" s="1"/>
  <c r="G7" i="41" s="1"/>
  <c r="H7" i="40"/>
  <c r="I7" i="40" s="1"/>
  <c r="H8" i="40"/>
  <c r="H7" i="39"/>
  <c r="I7" i="39" s="1"/>
  <c r="H8" i="39"/>
  <c r="H8" i="38"/>
  <c r="H7" i="38"/>
  <c r="H8" i="37"/>
  <c r="H7" i="37"/>
  <c r="I7" i="37"/>
  <c r="H8" i="36"/>
  <c r="H7" i="36"/>
  <c r="I7" i="36" s="1"/>
  <c r="D14" i="35"/>
  <c r="D17" i="35" s="1"/>
  <c r="E7" i="35" s="1"/>
  <c r="G7" i="35" s="1"/>
  <c r="H14" i="35"/>
  <c r="J19" i="35"/>
  <c r="H7" i="47" l="1"/>
  <c r="I7" i="47" s="1"/>
  <c r="H7" i="49"/>
  <c r="I7" i="49" s="1"/>
  <c r="H7" i="50"/>
  <c r="H8" i="52"/>
  <c r="I7" i="52"/>
  <c r="H7" i="59"/>
  <c r="I7" i="59" s="1"/>
  <c r="H7" i="61"/>
  <c r="I7" i="61" s="1"/>
  <c r="H24" i="82"/>
  <c r="N14" i="82"/>
  <c r="Q13" i="82"/>
  <c r="M14" i="82"/>
  <c r="K11" i="82"/>
  <c r="K14" i="82"/>
  <c r="K16" i="82" s="1"/>
  <c r="L14" i="82"/>
  <c r="L16" i="82" s="1"/>
  <c r="I7" i="82"/>
  <c r="H8" i="81"/>
  <c r="H7" i="81"/>
  <c r="I7" i="81" s="1"/>
  <c r="K8" i="80"/>
  <c r="L8" i="80"/>
  <c r="L10" i="80" s="1"/>
  <c r="M8" i="80"/>
  <c r="M10" i="80" s="1"/>
  <c r="N8" i="80"/>
  <c r="N10" i="80" s="1"/>
  <c r="J7" i="80"/>
  <c r="J9" i="80" s="1"/>
  <c r="L7" i="80"/>
  <c r="M7" i="80"/>
  <c r="K7" i="80"/>
  <c r="H16" i="80"/>
  <c r="I24" i="80" s="1"/>
  <c r="N7" i="80"/>
  <c r="N14" i="80"/>
  <c r="P7" i="80"/>
  <c r="P8" i="80" s="1"/>
  <c r="H17" i="80"/>
  <c r="H24" i="80"/>
  <c r="Q13" i="80"/>
  <c r="K11" i="80"/>
  <c r="K14" i="80"/>
  <c r="K16" i="80" s="1"/>
  <c r="L14" i="80"/>
  <c r="L16" i="80" s="1"/>
  <c r="M14" i="80"/>
  <c r="H8" i="79"/>
  <c r="H7" i="79"/>
  <c r="I7" i="79"/>
  <c r="M14" i="78"/>
  <c r="K11" i="78"/>
  <c r="K14" i="78"/>
  <c r="K16" i="78" s="1"/>
  <c r="L14" i="78"/>
  <c r="L16" i="78" s="1"/>
  <c r="J7" i="78"/>
  <c r="J9" i="78" s="1"/>
  <c r="K7" i="78"/>
  <c r="L7" i="78"/>
  <c r="K8" i="78"/>
  <c r="L8" i="78"/>
  <c r="L10" i="78" s="1"/>
  <c r="M8" i="78"/>
  <c r="M10" i="78" s="1"/>
  <c r="N8" i="78"/>
  <c r="N10" i="78" s="1"/>
  <c r="H16" i="78"/>
  <c r="I24" i="78" s="1"/>
  <c r="M7" i="78"/>
  <c r="N7" i="78"/>
  <c r="H24" i="78"/>
  <c r="N14" i="78"/>
  <c r="Q13" i="78"/>
  <c r="H24" i="77"/>
  <c r="N14" i="77"/>
  <c r="Q13" i="77"/>
  <c r="I7" i="77"/>
  <c r="M14" i="77"/>
  <c r="K14" i="77"/>
  <c r="K16" i="77" s="1"/>
  <c r="K11" i="77"/>
  <c r="L14" i="77"/>
  <c r="L16" i="77" s="1"/>
  <c r="K8" i="76"/>
  <c r="N8" i="76"/>
  <c r="N10" i="76" s="1"/>
  <c r="H16" i="76"/>
  <c r="H17" i="76" s="1"/>
  <c r="L8" i="76"/>
  <c r="L10" i="76" s="1"/>
  <c r="J7" i="76"/>
  <c r="J9" i="76" s="1"/>
  <c r="M8" i="76"/>
  <c r="M10" i="76" s="1"/>
  <c r="K7" i="76"/>
  <c r="L7" i="76"/>
  <c r="M7" i="76"/>
  <c r="N7" i="76"/>
  <c r="N14" i="76"/>
  <c r="Q13" i="76"/>
  <c r="H24" i="76"/>
  <c r="M14" i="76"/>
  <c r="K11" i="76"/>
  <c r="K14" i="76"/>
  <c r="K16" i="76" s="1"/>
  <c r="L14" i="76"/>
  <c r="L16" i="76" s="1"/>
  <c r="K8" i="75"/>
  <c r="J7" i="75"/>
  <c r="J9" i="75" s="1"/>
  <c r="N8" i="75"/>
  <c r="N10" i="75" s="1"/>
  <c r="N7" i="75"/>
  <c r="L8" i="75"/>
  <c r="L10" i="75" s="1"/>
  <c r="K7" i="75"/>
  <c r="H16" i="75"/>
  <c r="H17" i="75" s="1"/>
  <c r="M7" i="75"/>
  <c r="M8" i="75"/>
  <c r="M10" i="75" s="1"/>
  <c r="L7" i="75"/>
  <c r="N14" i="75"/>
  <c r="Q13" i="75"/>
  <c r="H24" i="75"/>
  <c r="M14" i="75"/>
  <c r="L14" i="75"/>
  <c r="L16" i="75" s="1"/>
  <c r="K11" i="75"/>
  <c r="K14" i="75"/>
  <c r="K16" i="75" s="1"/>
  <c r="Q13" i="74"/>
  <c r="N14" i="74"/>
  <c r="H24" i="74"/>
  <c r="M14" i="74"/>
  <c r="K11" i="74"/>
  <c r="K14" i="74"/>
  <c r="K16" i="74" s="1"/>
  <c r="L14" i="74"/>
  <c r="L16" i="74" s="1"/>
  <c r="I7" i="74"/>
  <c r="M8" i="73"/>
  <c r="M10" i="73" s="1"/>
  <c r="N8" i="73"/>
  <c r="N10" i="73" s="1"/>
  <c r="J7" i="73"/>
  <c r="J9" i="73" s="1"/>
  <c r="K7" i="73"/>
  <c r="L7" i="73"/>
  <c r="H16" i="73"/>
  <c r="I24" i="73" s="1"/>
  <c r="K8" i="73"/>
  <c r="L8" i="73"/>
  <c r="L10" i="73" s="1"/>
  <c r="M7" i="73"/>
  <c r="N7" i="73"/>
  <c r="M14" i="73"/>
  <c r="K14" i="73"/>
  <c r="K16" i="73" s="1"/>
  <c r="L14" i="73"/>
  <c r="L16" i="73" s="1"/>
  <c r="K11" i="73"/>
  <c r="N14" i="73"/>
  <c r="H24" i="73"/>
  <c r="Q13" i="73"/>
  <c r="H17" i="73"/>
  <c r="Q13" i="72"/>
  <c r="N14" i="72"/>
  <c r="H24" i="72"/>
  <c r="M14" i="72"/>
  <c r="K11" i="72"/>
  <c r="K14" i="72"/>
  <c r="K16" i="72" s="1"/>
  <c r="L14" i="72"/>
  <c r="L16" i="72" s="1"/>
  <c r="I7" i="72"/>
  <c r="J7" i="71"/>
  <c r="J9" i="71" s="1"/>
  <c r="N8" i="71"/>
  <c r="N10" i="71" s="1"/>
  <c r="L7" i="71"/>
  <c r="H16" i="71"/>
  <c r="H17" i="71" s="1"/>
  <c r="N7" i="71"/>
  <c r="M8" i="71"/>
  <c r="M10" i="71" s="1"/>
  <c r="K7" i="71"/>
  <c r="M7" i="71"/>
  <c r="K8" i="71"/>
  <c r="L8" i="71"/>
  <c r="L10" i="71" s="1"/>
  <c r="N14" i="71"/>
  <c r="Q13" i="71"/>
  <c r="H24" i="71"/>
  <c r="M14" i="71"/>
  <c r="K11" i="71"/>
  <c r="K14" i="71"/>
  <c r="K16" i="71" s="1"/>
  <c r="L14" i="71"/>
  <c r="L16" i="71" s="1"/>
  <c r="N14" i="70"/>
  <c r="H24" i="70"/>
  <c r="Q13" i="70"/>
  <c r="K8" i="70"/>
  <c r="L8" i="70"/>
  <c r="L10" i="70" s="1"/>
  <c r="M8" i="70"/>
  <c r="M10" i="70" s="1"/>
  <c r="N8" i="70"/>
  <c r="N10" i="70" s="1"/>
  <c r="J7" i="70"/>
  <c r="J9" i="70" s="1"/>
  <c r="K7" i="70"/>
  <c r="L7" i="70"/>
  <c r="H16" i="70"/>
  <c r="P7" i="70" s="1"/>
  <c r="P8" i="70" s="1"/>
  <c r="M7" i="70"/>
  <c r="N7" i="70"/>
  <c r="M14" i="70"/>
  <c r="K11" i="70"/>
  <c r="K14" i="70"/>
  <c r="K16" i="70" s="1"/>
  <c r="L14" i="70"/>
  <c r="L16" i="70" s="1"/>
  <c r="H7" i="69"/>
  <c r="I7" i="69" s="1"/>
  <c r="H8" i="69"/>
  <c r="H8" i="68"/>
  <c r="H7" i="68"/>
  <c r="I7" i="68" s="1"/>
  <c r="M8" i="67"/>
  <c r="M10" i="67" s="1"/>
  <c r="N8" i="67"/>
  <c r="N10" i="67" s="1"/>
  <c r="J7" i="67"/>
  <c r="J9" i="67" s="1"/>
  <c r="K7" i="67"/>
  <c r="K8" i="67"/>
  <c r="L8" i="67"/>
  <c r="L10" i="67" s="1"/>
  <c r="L7" i="67"/>
  <c r="H16" i="67"/>
  <c r="H17" i="67" s="1"/>
  <c r="M7" i="67"/>
  <c r="N7" i="67"/>
  <c r="P7" i="67"/>
  <c r="P8" i="67" s="1"/>
  <c r="N14" i="67"/>
  <c r="Q13" i="67"/>
  <c r="H24" i="67"/>
  <c r="M14" i="67"/>
  <c r="K11" i="67"/>
  <c r="K14" i="67"/>
  <c r="K16" i="67" s="1"/>
  <c r="L14" i="67"/>
  <c r="L16" i="67" s="1"/>
  <c r="N8" i="66"/>
  <c r="N10" i="66" s="1"/>
  <c r="N7" i="66"/>
  <c r="K7" i="66"/>
  <c r="H16" i="66"/>
  <c r="H17" i="66" s="1"/>
  <c r="K8" i="66"/>
  <c r="L8" i="66"/>
  <c r="L10" i="66" s="1"/>
  <c r="J7" i="66"/>
  <c r="J9" i="66" s="1"/>
  <c r="M8" i="66"/>
  <c r="M10" i="66" s="1"/>
  <c r="L7" i="66"/>
  <c r="M7" i="66"/>
  <c r="N14" i="66"/>
  <c r="Q13" i="66"/>
  <c r="H24" i="66"/>
  <c r="M14" i="66"/>
  <c r="L14" i="66"/>
  <c r="L16" i="66" s="1"/>
  <c r="K11" i="66"/>
  <c r="K14" i="66"/>
  <c r="K16" i="66" s="1"/>
  <c r="N14" i="65"/>
  <c r="Q13" i="65"/>
  <c r="H24" i="65"/>
  <c r="I7" i="65"/>
  <c r="M14" i="65"/>
  <c r="K11" i="65"/>
  <c r="K14" i="65"/>
  <c r="K16" i="65" s="1"/>
  <c r="L14" i="65"/>
  <c r="L16" i="65" s="1"/>
  <c r="N14" i="64"/>
  <c r="Q13" i="64"/>
  <c r="H24" i="64"/>
  <c r="K8" i="64"/>
  <c r="L8" i="64"/>
  <c r="L10" i="64" s="1"/>
  <c r="J7" i="64"/>
  <c r="J9" i="64" s="1"/>
  <c r="K7" i="64"/>
  <c r="L7" i="64"/>
  <c r="H16" i="64"/>
  <c r="I24" i="64" s="1"/>
  <c r="M7" i="64"/>
  <c r="N7" i="64"/>
  <c r="M8" i="64"/>
  <c r="M10" i="64" s="1"/>
  <c r="N8" i="64"/>
  <c r="N10" i="64" s="1"/>
  <c r="M14" i="64"/>
  <c r="K11" i="64"/>
  <c r="K14" i="64"/>
  <c r="K16" i="64" s="1"/>
  <c r="L14" i="64"/>
  <c r="L16" i="64" s="1"/>
  <c r="K8" i="63"/>
  <c r="L8" i="63"/>
  <c r="L10" i="63" s="1"/>
  <c r="M8" i="63"/>
  <c r="M10" i="63" s="1"/>
  <c r="N8" i="63"/>
  <c r="N10" i="63" s="1"/>
  <c r="J7" i="63"/>
  <c r="J9" i="63" s="1"/>
  <c r="L7" i="63"/>
  <c r="H16" i="63"/>
  <c r="P7" i="63" s="1"/>
  <c r="P8" i="63" s="1"/>
  <c r="M7" i="63"/>
  <c r="N7" i="63"/>
  <c r="K7" i="63"/>
  <c r="M14" i="63"/>
  <c r="K14" i="63"/>
  <c r="K16" i="63" s="1"/>
  <c r="K11" i="63"/>
  <c r="L14" i="63"/>
  <c r="L16" i="63" s="1"/>
  <c r="H24" i="63"/>
  <c r="N14" i="63"/>
  <c r="Q13" i="63"/>
  <c r="H8" i="62"/>
  <c r="H7" i="62"/>
  <c r="M14" i="61"/>
  <c r="K14" i="61"/>
  <c r="K16" i="61" s="1"/>
  <c r="K11" i="61"/>
  <c r="L14" i="61"/>
  <c r="L16" i="61" s="1"/>
  <c r="N14" i="60"/>
  <c r="H24" i="60"/>
  <c r="Q13" i="60"/>
  <c r="M14" i="60"/>
  <c r="K14" i="60"/>
  <c r="K16" i="60" s="1"/>
  <c r="L14" i="60"/>
  <c r="L16" i="60" s="1"/>
  <c r="K11" i="60"/>
  <c r="I7" i="60"/>
  <c r="K7" i="59"/>
  <c r="M7" i="59"/>
  <c r="K8" i="59"/>
  <c r="N8" i="59"/>
  <c r="N10" i="59" s="1"/>
  <c r="L7" i="59"/>
  <c r="H16" i="59"/>
  <c r="H17" i="59" s="1"/>
  <c r="N7" i="59"/>
  <c r="L8" i="59"/>
  <c r="L10" i="59" s="1"/>
  <c r="J7" i="59"/>
  <c r="J9" i="59" s="1"/>
  <c r="M8" i="59"/>
  <c r="M10" i="59" s="1"/>
  <c r="N14" i="59"/>
  <c r="Q13" i="59"/>
  <c r="H24" i="59"/>
  <c r="M14" i="59"/>
  <c r="K11" i="59"/>
  <c r="K14" i="59"/>
  <c r="K16" i="59" s="1"/>
  <c r="L14" i="59"/>
  <c r="L16" i="59" s="1"/>
  <c r="H7" i="58"/>
  <c r="I7" i="58" s="1"/>
  <c r="H8" i="58"/>
  <c r="M14" i="57"/>
  <c r="K11" i="57"/>
  <c r="L14" i="57"/>
  <c r="L16" i="57" s="1"/>
  <c r="K14" i="57"/>
  <c r="K16" i="57" s="1"/>
  <c r="L7" i="57"/>
  <c r="N7" i="57"/>
  <c r="K8" i="57"/>
  <c r="L8" i="57"/>
  <c r="L10" i="57" s="1"/>
  <c r="J7" i="57"/>
  <c r="J9" i="57" s="1"/>
  <c r="M8" i="57"/>
  <c r="M10" i="57" s="1"/>
  <c r="K7" i="57"/>
  <c r="N8" i="57"/>
  <c r="N10" i="57" s="1"/>
  <c r="H16" i="57"/>
  <c r="M7" i="57"/>
  <c r="P7" i="57"/>
  <c r="P8" i="57" s="1"/>
  <c r="N14" i="57"/>
  <c r="Q13" i="57"/>
  <c r="H17" i="57"/>
  <c r="H24" i="57"/>
  <c r="I24" i="57"/>
  <c r="K7" i="56"/>
  <c r="L7" i="56"/>
  <c r="H16" i="56"/>
  <c r="H17" i="56" s="1"/>
  <c r="L8" i="56"/>
  <c r="L10" i="56" s="1"/>
  <c r="M8" i="56"/>
  <c r="M10" i="56" s="1"/>
  <c r="N8" i="56"/>
  <c r="N10" i="56" s="1"/>
  <c r="K8" i="56"/>
  <c r="J7" i="56"/>
  <c r="J9" i="56" s="1"/>
  <c r="M7" i="56"/>
  <c r="N7" i="56"/>
  <c r="P7" i="56"/>
  <c r="P8" i="56" s="1"/>
  <c r="N14" i="56"/>
  <c r="Q13" i="56"/>
  <c r="H24" i="56"/>
  <c r="I24" i="56"/>
  <c r="M14" i="56"/>
  <c r="L14" i="56"/>
  <c r="L16" i="56" s="1"/>
  <c r="K11" i="56"/>
  <c r="K14" i="56"/>
  <c r="K16" i="56" s="1"/>
  <c r="N8" i="55"/>
  <c r="N10" i="55" s="1"/>
  <c r="K7" i="55"/>
  <c r="M8" i="55"/>
  <c r="M10" i="55" s="1"/>
  <c r="J7" i="55"/>
  <c r="J9" i="55" s="1"/>
  <c r="L7" i="55"/>
  <c r="L8" i="55"/>
  <c r="L10" i="55" s="1"/>
  <c r="K8" i="55"/>
  <c r="H16" i="55"/>
  <c r="P7" i="55" s="1"/>
  <c r="P8" i="55" s="1"/>
  <c r="N7" i="55"/>
  <c r="M7" i="55"/>
  <c r="H17" i="55"/>
  <c r="I24" i="55"/>
  <c r="Q13" i="55"/>
  <c r="N14" i="55"/>
  <c r="H24" i="55"/>
  <c r="K14" i="55"/>
  <c r="K16" i="55" s="1"/>
  <c r="M14" i="55"/>
  <c r="K11" i="55"/>
  <c r="L14" i="55"/>
  <c r="L16" i="55" s="1"/>
  <c r="N14" i="54"/>
  <c r="Q13" i="54"/>
  <c r="H24" i="54"/>
  <c r="M14" i="54"/>
  <c r="K11" i="54"/>
  <c r="K14" i="54"/>
  <c r="K16" i="54" s="1"/>
  <c r="L14" i="54"/>
  <c r="L16" i="54" s="1"/>
  <c r="I7" i="54"/>
  <c r="M8" i="53"/>
  <c r="M10" i="53" s="1"/>
  <c r="N8" i="53"/>
  <c r="N10" i="53" s="1"/>
  <c r="L7" i="53"/>
  <c r="N7" i="53"/>
  <c r="J7" i="53"/>
  <c r="J9" i="53" s="1"/>
  <c r="K7" i="53"/>
  <c r="H16" i="53"/>
  <c r="P7" i="53" s="1"/>
  <c r="P8" i="53" s="1"/>
  <c r="K8" i="53"/>
  <c r="L8" i="53"/>
  <c r="L10" i="53" s="1"/>
  <c r="M7" i="53"/>
  <c r="N14" i="53"/>
  <c r="Q13" i="53"/>
  <c r="H24" i="53"/>
  <c r="M14" i="53"/>
  <c r="L14" i="53"/>
  <c r="L16" i="53" s="1"/>
  <c r="K11" i="53"/>
  <c r="K14" i="53"/>
  <c r="K16" i="53" s="1"/>
  <c r="M8" i="52"/>
  <c r="M10" i="52" s="1"/>
  <c r="N8" i="52"/>
  <c r="N10" i="52" s="1"/>
  <c r="K7" i="52"/>
  <c r="N7" i="52"/>
  <c r="K8" i="52"/>
  <c r="L8" i="52"/>
  <c r="L10" i="52" s="1"/>
  <c r="J7" i="52"/>
  <c r="J9" i="52" s="1"/>
  <c r="L7" i="52"/>
  <c r="H16" i="52"/>
  <c r="H17" i="52" s="1"/>
  <c r="M7" i="52"/>
  <c r="P7" i="52"/>
  <c r="P8" i="52" s="1"/>
  <c r="N14" i="52"/>
  <c r="Q13" i="52"/>
  <c r="H24" i="52"/>
  <c r="M14" i="52"/>
  <c r="K11" i="52"/>
  <c r="K14" i="52"/>
  <c r="K16" i="52" s="1"/>
  <c r="L14" i="52"/>
  <c r="L16" i="52" s="1"/>
  <c r="H8" i="51"/>
  <c r="H7" i="51"/>
  <c r="I7" i="51" s="1"/>
  <c r="M14" i="50"/>
  <c r="K11" i="50"/>
  <c r="K14" i="50"/>
  <c r="K16" i="50" s="1"/>
  <c r="L14" i="50"/>
  <c r="L16" i="50" s="1"/>
  <c r="N14" i="50"/>
  <c r="Q13" i="50"/>
  <c r="H24" i="50"/>
  <c r="I7" i="50"/>
  <c r="N14" i="49"/>
  <c r="H24" i="49"/>
  <c r="Q13" i="49"/>
  <c r="M14" i="49"/>
  <c r="K11" i="49"/>
  <c r="K14" i="49"/>
  <c r="K16" i="49" s="1"/>
  <c r="L14" i="49"/>
  <c r="L16" i="49" s="1"/>
  <c r="H8" i="48"/>
  <c r="H7" i="48"/>
  <c r="N14" i="47"/>
  <c r="M14" i="47"/>
  <c r="K11" i="47"/>
  <c r="K14" i="47"/>
  <c r="K16" i="47" s="1"/>
  <c r="L14" i="47"/>
  <c r="L16" i="47" s="1"/>
  <c r="H8" i="46"/>
  <c r="H7" i="46"/>
  <c r="I7" i="46" s="1"/>
  <c r="H8" i="45"/>
  <c r="H7" i="45"/>
  <c r="H8" i="44"/>
  <c r="H7" i="44"/>
  <c r="I7" i="44" s="1"/>
  <c r="H7" i="43"/>
  <c r="I7" i="43" s="1"/>
  <c r="H8" i="43"/>
  <c r="H8" i="42"/>
  <c r="H7" i="42"/>
  <c r="I7" i="42" s="1"/>
  <c r="H7" i="41"/>
  <c r="I7" i="41" s="1"/>
  <c r="H8" i="41"/>
  <c r="K8" i="40"/>
  <c r="L8" i="40"/>
  <c r="L10" i="40" s="1"/>
  <c r="J7" i="40"/>
  <c r="J9" i="40" s="1"/>
  <c r="N8" i="40"/>
  <c r="N10" i="40" s="1"/>
  <c r="M8" i="40"/>
  <c r="M10" i="40" s="1"/>
  <c r="N7" i="40"/>
  <c r="K7" i="40"/>
  <c r="M7" i="40"/>
  <c r="L7" i="40"/>
  <c r="H16" i="40"/>
  <c r="H17" i="40" s="1"/>
  <c r="M14" i="40"/>
  <c r="K14" i="40"/>
  <c r="K16" i="40" s="1"/>
  <c r="L14" i="40"/>
  <c r="L16" i="40" s="1"/>
  <c r="K11" i="40"/>
  <c r="N14" i="40"/>
  <c r="H24" i="40"/>
  <c r="Q13" i="40"/>
  <c r="M14" i="39"/>
  <c r="L14" i="39"/>
  <c r="L16" i="39" s="1"/>
  <c r="K11" i="39"/>
  <c r="K14" i="39"/>
  <c r="K16" i="39" s="1"/>
  <c r="L8" i="39"/>
  <c r="L10" i="39" s="1"/>
  <c r="J7" i="39"/>
  <c r="J9" i="39" s="1"/>
  <c r="N8" i="39"/>
  <c r="N10" i="39" s="1"/>
  <c r="L7" i="39"/>
  <c r="M7" i="39"/>
  <c r="N7" i="39"/>
  <c r="K8" i="39"/>
  <c r="M8" i="39"/>
  <c r="M10" i="39" s="1"/>
  <c r="K7" i="39"/>
  <c r="H16" i="39"/>
  <c r="I24" i="39" s="1"/>
  <c r="Q13" i="39"/>
  <c r="N14" i="39"/>
  <c r="H17" i="39"/>
  <c r="H24" i="39"/>
  <c r="N14" i="38"/>
  <c r="Q13" i="38"/>
  <c r="H24" i="38"/>
  <c r="I7" i="38"/>
  <c r="M14" i="38"/>
  <c r="K11" i="38"/>
  <c r="K14" i="38"/>
  <c r="K16" i="38" s="1"/>
  <c r="L14" i="38"/>
  <c r="L16" i="38" s="1"/>
  <c r="M8" i="37"/>
  <c r="M10" i="37" s="1"/>
  <c r="N8" i="37"/>
  <c r="N10" i="37" s="1"/>
  <c r="N7" i="37"/>
  <c r="J7" i="37"/>
  <c r="J9" i="37" s="1"/>
  <c r="H16" i="37"/>
  <c r="I24" i="37" s="1"/>
  <c r="K8" i="37"/>
  <c r="L8" i="37"/>
  <c r="L10" i="37" s="1"/>
  <c r="K7" i="37"/>
  <c r="L7" i="37"/>
  <c r="M7" i="37"/>
  <c r="N14" i="37"/>
  <c r="Q13" i="37"/>
  <c r="H24" i="37"/>
  <c r="M14" i="37"/>
  <c r="K11" i="37"/>
  <c r="K14" i="37"/>
  <c r="K16" i="37" s="1"/>
  <c r="L14" i="37"/>
  <c r="L16" i="37" s="1"/>
  <c r="L7" i="36"/>
  <c r="H16" i="36"/>
  <c r="H17" i="36" s="1"/>
  <c r="M7" i="36"/>
  <c r="K8" i="36"/>
  <c r="L8" i="36"/>
  <c r="L10" i="36" s="1"/>
  <c r="J7" i="36"/>
  <c r="J9" i="36" s="1"/>
  <c r="M8" i="36"/>
  <c r="M10" i="36" s="1"/>
  <c r="K7" i="36"/>
  <c r="N8" i="36"/>
  <c r="N10" i="36" s="1"/>
  <c r="N7" i="36"/>
  <c r="Q13" i="36"/>
  <c r="N14" i="36"/>
  <c r="H24" i="36"/>
  <c r="M14" i="36"/>
  <c r="K11" i="36"/>
  <c r="K14" i="36"/>
  <c r="K16" i="36" s="1"/>
  <c r="L14" i="36"/>
  <c r="L16" i="36" s="1"/>
  <c r="H8" i="35"/>
  <c r="H7" i="35"/>
  <c r="I7" i="35"/>
  <c r="I24" i="36" l="1"/>
  <c r="P7" i="36"/>
  <c r="P8" i="36" s="1"/>
  <c r="H17" i="37"/>
  <c r="P7" i="37"/>
  <c r="P8" i="37" s="1"/>
  <c r="P7" i="39"/>
  <c r="P8" i="39" s="1"/>
  <c r="L7" i="47"/>
  <c r="H16" i="47"/>
  <c r="I24" i="47" s="1"/>
  <c r="M7" i="47"/>
  <c r="K8" i="47"/>
  <c r="K7" i="47"/>
  <c r="L8" i="47"/>
  <c r="L10" i="47" s="1"/>
  <c r="M8" i="47"/>
  <c r="M10" i="47" s="1"/>
  <c r="N7" i="47"/>
  <c r="S3" i="47" s="1"/>
  <c r="N8" i="47"/>
  <c r="N10" i="47" s="1"/>
  <c r="J7" i="47"/>
  <c r="J9" i="47" s="1"/>
  <c r="H24" i="47"/>
  <c r="Q13" i="47"/>
  <c r="H16" i="49"/>
  <c r="L7" i="49"/>
  <c r="U5" i="49" s="1"/>
  <c r="L8" i="49"/>
  <c r="L10" i="49" s="1"/>
  <c r="J7" i="49"/>
  <c r="J9" i="49" s="1"/>
  <c r="N8" i="49"/>
  <c r="N10" i="49" s="1"/>
  <c r="M8" i="49"/>
  <c r="M10" i="49" s="1"/>
  <c r="M7" i="49"/>
  <c r="M9" i="49" s="1"/>
  <c r="N7" i="49"/>
  <c r="W5" i="49" s="1"/>
  <c r="K8" i="49"/>
  <c r="K7" i="49"/>
  <c r="K9" i="49" s="1"/>
  <c r="H17" i="53"/>
  <c r="I24" i="53"/>
  <c r="I24" i="66"/>
  <c r="P7" i="66"/>
  <c r="P8" i="66" s="1"/>
  <c r="I24" i="70"/>
  <c r="H17" i="70"/>
  <c r="I24" i="71"/>
  <c r="P7" i="73"/>
  <c r="P8" i="73" s="1"/>
  <c r="P7" i="75"/>
  <c r="P8" i="75" s="1"/>
  <c r="I24" i="76"/>
  <c r="P7" i="76"/>
  <c r="P8" i="76" s="1"/>
  <c r="P7" i="59"/>
  <c r="P8" i="59" s="1"/>
  <c r="N7" i="61"/>
  <c r="W6" i="61" s="1"/>
  <c r="M7" i="61"/>
  <c r="L7" i="61"/>
  <c r="L9" i="61" s="1"/>
  <c r="K7" i="61"/>
  <c r="K8" i="61"/>
  <c r="H16" i="61"/>
  <c r="H17" i="61" s="1"/>
  <c r="L8" i="61"/>
  <c r="L10" i="61" s="1"/>
  <c r="J7" i="61"/>
  <c r="J9" i="61" s="1"/>
  <c r="M8" i="61"/>
  <c r="M10" i="61" s="1"/>
  <c r="N8" i="61"/>
  <c r="N10" i="61" s="1"/>
  <c r="Q13" i="61"/>
  <c r="N14" i="61"/>
  <c r="H24" i="61"/>
  <c r="H17" i="63"/>
  <c r="H17" i="64"/>
  <c r="P7" i="64"/>
  <c r="P8" i="64" s="1"/>
  <c r="J7" i="82"/>
  <c r="J9" i="82" s="1"/>
  <c r="K7" i="82"/>
  <c r="L7" i="82"/>
  <c r="H16" i="82"/>
  <c r="N7" i="82"/>
  <c r="U21" i="82" s="1"/>
  <c r="M8" i="82"/>
  <c r="M10" i="82" s="1"/>
  <c r="N8" i="82"/>
  <c r="N10" i="82" s="1"/>
  <c r="L8" i="82"/>
  <c r="L10" i="82" s="1"/>
  <c r="M7" i="82"/>
  <c r="K8" i="82"/>
  <c r="M16" i="82"/>
  <c r="N14" i="81"/>
  <c r="Q13" i="81"/>
  <c r="H24" i="81"/>
  <c r="K8" i="81"/>
  <c r="H16" i="81"/>
  <c r="P7" i="81" s="1"/>
  <c r="P8" i="81" s="1"/>
  <c r="L8" i="81"/>
  <c r="L10" i="81" s="1"/>
  <c r="N8" i="81"/>
  <c r="N10" i="81" s="1"/>
  <c r="L7" i="81"/>
  <c r="J7" i="81"/>
  <c r="J9" i="81" s="1"/>
  <c r="M8" i="81"/>
  <c r="M10" i="81" s="1"/>
  <c r="K7" i="81"/>
  <c r="M7" i="81"/>
  <c r="N7" i="81"/>
  <c r="M14" i="81"/>
  <c r="L14" i="81"/>
  <c r="L16" i="81" s="1"/>
  <c r="K11" i="81"/>
  <c r="K14" i="81"/>
  <c r="K16" i="81" s="1"/>
  <c r="W27" i="80"/>
  <c r="W5" i="80"/>
  <c r="V6" i="80"/>
  <c r="N9" i="80"/>
  <c r="U6" i="80"/>
  <c r="W6" i="80"/>
  <c r="S3" i="80"/>
  <c r="U21" i="80"/>
  <c r="M16" i="80"/>
  <c r="K9" i="80"/>
  <c r="O5" i="80"/>
  <c r="V5" i="80"/>
  <c r="M9" i="80"/>
  <c r="L9" i="80"/>
  <c r="U5" i="80"/>
  <c r="N7" i="79"/>
  <c r="K8" i="79"/>
  <c r="J7" i="79"/>
  <c r="J9" i="79" s="1"/>
  <c r="L7" i="79"/>
  <c r="M7" i="79"/>
  <c r="L8" i="79"/>
  <c r="L10" i="79" s="1"/>
  <c r="M8" i="79"/>
  <c r="M10" i="79" s="1"/>
  <c r="K7" i="79"/>
  <c r="N8" i="79"/>
  <c r="N10" i="79" s="1"/>
  <c r="H16" i="79"/>
  <c r="H17" i="79" s="1"/>
  <c r="N14" i="79"/>
  <c r="Q13" i="79"/>
  <c r="H24" i="79"/>
  <c r="M14" i="79"/>
  <c r="K11" i="79"/>
  <c r="K14" i="79"/>
  <c r="K16" i="79" s="1"/>
  <c r="L14" i="79"/>
  <c r="L16" i="79" s="1"/>
  <c r="M16" i="78"/>
  <c r="U21" i="78"/>
  <c r="H17" i="78"/>
  <c r="L9" i="78"/>
  <c r="U5" i="78"/>
  <c r="K9" i="78"/>
  <c r="O5" i="78"/>
  <c r="M9" i="78"/>
  <c r="V5" i="78"/>
  <c r="P7" i="78"/>
  <c r="P8" i="78" s="1"/>
  <c r="S3" i="78"/>
  <c r="W5" i="78"/>
  <c r="N9" i="78"/>
  <c r="U6" i="78"/>
  <c r="W27" i="78"/>
  <c r="V6" i="78"/>
  <c r="W6" i="78"/>
  <c r="K8" i="77"/>
  <c r="M8" i="77"/>
  <c r="M10" i="77" s="1"/>
  <c r="N8" i="77"/>
  <c r="N10" i="77" s="1"/>
  <c r="N7" i="77"/>
  <c r="U21" i="77" s="1"/>
  <c r="J7" i="77"/>
  <c r="J9" i="77" s="1"/>
  <c r="L8" i="77"/>
  <c r="L10" i="77" s="1"/>
  <c r="K7" i="77"/>
  <c r="L7" i="77"/>
  <c r="H16" i="77"/>
  <c r="M7" i="77"/>
  <c r="M16" i="77"/>
  <c r="S3" i="76"/>
  <c r="N9" i="76"/>
  <c r="W6" i="76"/>
  <c r="W5" i="76"/>
  <c r="V6" i="76"/>
  <c r="U6" i="76"/>
  <c r="W27" i="76"/>
  <c r="U5" i="76"/>
  <c r="L9" i="76"/>
  <c r="K9" i="76"/>
  <c r="O5" i="76"/>
  <c r="M9" i="76"/>
  <c r="V5" i="76"/>
  <c r="M16" i="76"/>
  <c r="U21" i="76"/>
  <c r="M9" i="75"/>
  <c r="V5" i="75"/>
  <c r="K9" i="75"/>
  <c r="O5" i="75"/>
  <c r="M16" i="75"/>
  <c r="U21" i="75"/>
  <c r="I24" i="75"/>
  <c r="S3" i="75"/>
  <c r="W5" i="75"/>
  <c r="W27" i="75"/>
  <c r="N9" i="75"/>
  <c r="U6" i="75"/>
  <c r="W6" i="75"/>
  <c r="V6" i="75"/>
  <c r="L9" i="75"/>
  <c r="U5" i="75"/>
  <c r="K8" i="74"/>
  <c r="L8" i="74"/>
  <c r="L10" i="74" s="1"/>
  <c r="J7" i="74"/>
  <c r="J9" i="74" s="1"/>
  <c r="M8" i="74"/>
  <c r="M10" i="74" s="1"/>
  <c r="K7" i="74"/>
  <c r="N8" i="74"/>
  <c r="N10" i="74" s="1"/>
  <c r="H16" i="74"/>
  <c r="M7" i="74"/>
  <c r="N7" i="74"/>
  <c r="L7" i="74"/>
  <c r="M16" i="74"/>
  <c r="U21" i="74"/>
  <c r="M16" i="73"/>
  <c r="U21" i="73"/>
  <c r="S3" i="73"/>
  <c r="W5" i="73"/>
  <c r="W27" i="73"/>
  <c r="N9" i="73"/>
  <c r="U6" i="73"/>
  <c r="V6" i="73"/>
  <c r="W6" i="73"/>
  <c r="L9" i="73"/>
  <c r="U5" i="73"/>
  <c r="K9" i="73"/>
  <c r="O5" i="73"/>
  <c r="M9" i="73"/>
  <c r="V5" i="73"/>
  <c r="K8" i="72"/>
  <c r="M8" i="72"/>
  <c r="M10" i="72" s="1"/>
  <c r="N7" i="72"/>
  <c r="L8" i="72"/>
  <c r="L10" i="72" s="1"/>
  <c r="J7" i="72"/>
  <c r="J9" i="72" s="1"/>
  <c r="K7" i="72"/>
  <c r="L7" i="72"/>
  <c r="N8" i="72"/>
  <c r="N10" i="72" s="1"/>
  <c r="H16" i="72"/>
  <c r="M7" i="72"/>
  <c r="M16" i="72"/>
  <c r="U21" i="72"/>
  <c r="P7" i="71"/>
  <c r="P8" i="71" s="1"/>
  <c r="K9" i="71"/>
  <c r="O5" i="71"/>
  <c r="M16" i="71"/>
  <c r="U21" i="71"/>
  <c r="M9" i="71"/>
  <c r="V5" i="71"/>
  <c r="S3" i="71"/>
  <c r="W27" i="71"/>
  <c r="V6" i="71"/>
  <c r="W6" i="71"/>
  <c r="N9" i="71"/>
  <c r="W5" i="71"/>
  <c r="U6" i="71"/>
  <c r="L9" i="71"/>
  <c r="U5" i="71"/>
  <c r="K9" i="70"/>
  <c r="O5" i="70"/>
  <c r="M9" i="70"/>
  <c r="V5" i="70"/>
  <c r="M16" i="70"/>
  <c r="U21" i="70"/>
  <c r="S3" i="70"/>
  <c r="N9" i="70"/>
  <c r="W5" i="70"/>
  <c r="W27" i="70"/>
  <c r="U6" i="70"/>
  <c r="V6" i="70"/>
  <c r="W6" i="70"/>
  <c r="L9" i="70"/>
  <c r="U5" i="70"/>
  <c r="P7" i="69"/>
  <c r="P8" i="69" s="1"/>
  <c r="N14" i="69"/>
  <c r="H24" i="69"/>
  <c r="Q13" i="69"/>
  <c r="K8" i="69"/>
  <c r="J7" i="69"/>
  <c r="J9" i="69" s="1"/>
  <c r="K7" i="69"/>
  <c r="N8" i="69"/>
  <c r="N10" i="69" s="1"/>
  <c r="L7" i="69"/>
  <c r="H16" i="69"/>
  <c r="H17" i="69" s="1"/>
  <c r="M7" i="69"/>
  <c r="N7" i="69"/>
  <c r="L8" i="69"/>
  <c r="L10" i="69" s="1"/>
  <c r="M8" i="69"/>
  <c r="M10" i="69" s="1"/>
  <c r="M14" i="69"/>
  <c r="K14" i="69"/>
  <c r="K16" i="69" s="1"/>
  <c r="L14" i="69"/>
  <c r="L16" i="69" s="1"/>
  <c r="K11" i="69"/>
  <c r="M8" i="68"/>
  <c r="M10" i="68" s="1"/>
  <c r="H16" i="68"/>
  <c r="P7" i="68" s="1"/>
  <c r="P8" i="68" s="1"/>
  <c r="J7" i="68"/>
  <c r="J9" i="68" s="1"/>
  <c r="N8" i="68"/>
  <c r="N10" i="68" s="1"/>
  <c r="K8" i="68"/>
  <c r="L8" i="68"/>
  <c r="L10" i="68" s="1"/>
  <c r="K7" i="68"/>
  <c r="L7" i="68"/>
  <c r="M7" i="68"/>
  <c r="N7" i="68"/>
  <c r="N14" i="68"/>
  <c r="Q13" i="68"/>
  <c r="H24" i="68"/>
  <c r="M14" i="68"/>
  <c r="K11" i="68"/>
  <c r="L14" i="68"/>
  <c r="L16" i="68" s="1"/>
  <c r="K14" i="68"/>
  <c r="K16" i="68" s="1"/>
  <c r="M9" i="67"/>
  <c r="V5" i="67"/>
  <c r="I24" i="67"/>
  <c r="K9" i="67"/>
  <c r="O5" i="67"/>
  <c r="S3" i="67"/>
  <c r="W6" i="67"/>
  <c r="N9" i="67"/>
  <c r="W5" i="67"/>
  <c r="U6" i="67"/>
  <c r="W27" i="67"/>
  <c r="V6" i="67"/>
  <c r="U5" i="67"/>
  <c r="L9" i="67"/>
  <c r="M16" i="67"/>
  <c r="U21" i="67"/>
  <c r="L9" i="66"/>
  <c r="U5" i="66"/>
  <c r="K9" i="66"/>
  <c r="O5" i="66"/>
  <c r="M9" i="66"/>
  <c r="V5" i="66"/>
  <c r="M16" i="66"/>
  <c r="U21" i="66"/>
  <c r="S3" i="66"/>
  <c r="W6" i="66"/>
  <c r="N9" i="66"/>
  <c r="W5" i="66"/>
  <c r="U6" i="66"/>
  <c r="W27" i="66"/>
  <c r="V6" i="66"/>
  <c r="J7" i="65"/>
  <c r="J9" i="65" s="1"/>
  <c r="K7" i="65"/>
  <c r="H16" i="65"/>
  <c r="M7" i="65"/>
  <c r="M8" i="65"/>
  <c r="M10" i="65" s="1"/>
  <c r="N8" i="65"/>
  <c r="N10" i="65" s="1"/>
  <c r="L7" i="65"/>
  <c r="K8" i="65"/>
  <c r="L8" i="65"/>
  <c r="L10" i="65" s="1"/>
  <c r="N7" i="65"/>
  <c r="U21" i="65" s="1"/>
  <c r="M16" i="65"/>
  <c r="L9" i="64"/>
  <c r="U5" i="64"/>
  <c r="M16" i="64"/>
  <c r="U21" i="64"/>
  <c r="S3" i="64"/>
  <c r="N9" i="64"/>
  <c r="W5" i="64"/>
  <c r="U6" i="64"/>
  <c r="W27" i="64"/>
  <c r="V6" i="64"/>
  <c r="W6" i="64"/>
  <c r="M9" i="64"/>
  <c r="V5" i="64"/>
  <c r="K9" i="64"/>
  <c r="O5" i="64"/>
  <c r="L9" i="63"/>
  <c r="U5" i="63"/>
  <c r="M16" i="63"/>
  <c r="U21" i="63"/>
  <c r="M9" i="63"/>
  <c r="V5" i="63"/>
  <c r="I24" i="63"/>
  <c r="S3" i="63"/>
  <c r="N9" i="63"/>
  <c r="W5" i="63"/>
  <c r="W27" i="63"/>
  <c r="V6" i="63"/>
  <c r="U6" i="63"/>
  <c r="W6" i="63"/>
  <c r="K9" i="63"/>
  <c r="O5" i="63"/>
  <c r="N14" i="62"/>
  <c r="H24" i="62"/>
  <c r="Q13" i="62"/>
  <c r="M14" i="62"/>
  <c r="K14" i="62"/>
  <c r="K16" i="62" s="1"/>
  <c r="L14" i="62"/>
  <c r="L16" i="62" s="1"/>
  <c r="K11" i="62"/>
  <c r="I7" i="62"/>
  <c r="P7" i="61"/>
  <c r="P8" i="61" s="1"/>
  <c r="M16" i="61"/>
  <c r="U21" i="61"/>
  <c r="I24" i="61"/>
  <c r="S3" i="61"/>
  <c r="N9" i="61"/>
  <c r="W5" i="61"/>
  <c r="U6" i="61"/>
  <c r="W27" i="61"/>
  <c r="V6" i="61"/>
  <c r="O5" i="61"/>
  <c r="K9" i="61"/>
  <c r="M9" i="61"/>
  <c r="V5" i="61"/>
  <c r="H16" i="60"/>
  <c r="K8" i="60"/>
  <c r="L8" i="60"/>
  <c r="L10" i="60" s="1"/>
  <c r="M8" i="60"/>
  <c r="M10" i="60" s="1"/>
  <c r="N8" i="60"/>
  <c r="N10" i="60" s="1"/>
  <c r="M7" i="60"/>
  <c r="N7" i="60"/>
  <c r="J7" i="60"/>
  <c r="J9" i="60" s="1"/>
  <c r="K7" i="60"/>
  <c r="L7" i="60"/>
  <c r="M16" i="60"/>
  <c r="U21" i="60"/>
  <c r="S3" i="59"/>
  <c r="V6" i="59"/>
  <c r="W6" i="59"/>
  <c r="N9" i="59"/>
  <c r="W5" i="59"/>
  <c r="U6" i="59"/>
  <c r="W27" i="59"/>
  <c r="M16" i="59"/>
  <c r="U21" i="59"/>
  <c r="U5" i="59"/>
  <c r="L9" i="59"/>
  <c r="I24" i="59"/>
  <c r="M9" i="59"/>
  <c r="V5" i="59"/>
  <c r="K9" i="59"/>
  <c r="O5" i="59"/>
  <c r="M14" i="58"/>
  <c r="K14" i="58"/>
  <c r="K16" i="58" s="1"/>
  <c r="K11" i="58"/>
  <c r="L14" i="58"/>
  <c r="L16" i="58" s="1"/>
  <c r="K8" i="58"/>
  <c r="L8" i="58"/>
  <c r="L10" i="58" s="1"/>
  <c r="M8" i="58"/>
  <c r="M10" i="58" s="1"/>
  <c r="N8" i="58"/>
  <c r="N10" i="58" s="1"/>
  <c r="N7" i="58"/>
  <c r="J7" i="58"/>
  <c r="J9" i="58" s="1"/>
  <c r="K7" i="58"/>
  <c r="H16" i="58"/>
  <c r="H17" i="58" s="1"/>
  <c r="L7" i="58"/>
  <c r="M7" i="58"/>
  <c r="N14" i="58"/>
  <c r="H24" i="58"/>
  <c r="Q13" i="58"/>
  <c r="S3" i="57"/>
  <c r="N9" i="57"/>
  <c r="W5" i="57"/>
  <c r="U6" i="57"/>
  <c r="W27" i="57"/>
  <c r="V6" i="57"/>
  <c r="W6" i="57"/>
  <c r="K9" i="57"/>
  <c r="O5" i="57"/>
  <c r="L9" i="57"/>
  <c r="U5" i="57"/>
  <c r="M9" i="57"/>
  <c r="V5" i="57"/>
  <c r="M16" i="57"/>
  <c r="U21" i="57"/>
  <c r="M9" i="56"/>
  <c r="V5" i="56"/>
  <c r="M16" i="56"/>
  <c r="U21" i="56"/>
  <c r="S3" i="56"/>
  <c r="U6" i="56"/>
  <c r="N9" i="56"/>
  <c r="W5" i="56"/>
  <c r="W27" i="56"/>
  <c r="V6" i="56"/>
  <c r="W6" i="56"/>
  <c r="L9" i="56"/>
  <c r="U5" i="56"/>
  <c r="K9" i="56"/>
  <c r="O5" i="56"/>
  <c r="M16" i="55"/>
  <c r="U21" i="55"/>
  <c r="V5" i="55"/>
  <c r="M9" i="55"/>
  <c r="O5" i="55"/>
  <c r="K9" i="55"/>
  <c r="V6" i="55"/>
  <c r="W27" i="55"/>
  <c r="U6" i="55"/>
  <c r="W6" i="55"/>
  <c r="W5" i="55"/>
  <c r="N9" i="55"/>
  <c r="S3" i="55"/>
  <c r="U5" i="55"/>
  <c r="L9" i="55"/>
  <c r="N8" i="54"/>
  <c r="N10" i="54" s="1"/>
  <c r="N7" i="54"/>
  <c r="U21" i="54" s="1"/>
  <c r="L7" i="54"/>
  <c r="H16" i="54"/>
  <c r="K8" i="54"/>
  <c r="L8" i="54"/>
  <c r="L10" i="54" s="1"/>
  <c r="J7" i="54"/>
  <c r="J9" i="54" s="1"/>
  <c r="M8" i="54"/>
  <c r="M10" i="54" s="1"/>
  <c r="K7" i="54"/>
  <c r="M7" i="54"/>
  <c r="M16" i="54"/>
  <c r="M9" i="53"/>
  <c r="V5" i="53"/>
  <c r="K9" i="53"/>
  <c r="O5" i="53"/>
  <c r="M16" i="53"/>
  <c r="U21" i="53"/>
  <c r="S3" i="53"/>
  <c r="W27" i="53"/>
  <c r="W6" i="53"/>
  <c r="N9" i="53"/>
  <c r="W5" i="53"/>
  <c r="U6" i="53"/>
  <c r="V6" i="53"/>
  <c r="L9" i="53"/>
  <c r="U5" i="53"/>
  <c r="M16" i="52"/>
  <c r="U21" i="52"/>
  <c r="M9" i="52"/>
  <c r="V5" i="52"/>
  <c r="I24" i="52"/>
  <c r="S3" i="52"/>
  <c r="U6" i="52"/>
  <c r="W6" i="52"/>
  <c r="N9" i="52"/>
  <c r="W5" i="52"/>
  <c r="W27" i="52"/>
  <c r="V6" i="52"/>
  <c r="U5" i="52"/>
  <c r="L9" i="52"/>
  <c r="K9" i="52"/>
  <c r="O5" i="52"/>
  <c r="N8" i="51"/>
  <c r="N10" i="51" s="1"/>
  <c r="L7" i="51"/>
  <c r="M7" i="51"/>
  <c r="K8" i="51"/>
  <c r="L8" i="51"/>
  <c r="L10" i="51" s="1"/>
  <c r="J7" i="51"/>
  <c r="J9" i="51" s="1"/>
  <c r="M8" i="51"/>
  <c r="M10" i="51" s="1"/>
  <c r="K7" i="51"/>
  <c r="H16" i="51"/>
  <c r="P7" i="51" s="1"/>
  <c r="P8" i="51" s="1"/>
  <c r="N7" i="51"/>
  <c r="M14" i="51"/>
  <c r="K11" i="51"/>
  <c r="K14" i="51"/>
  <c r="K16" i="51" s="1"/>
  <c r="L14" i="51"/>
  <c r="L16" i="51" s="1"/>
  <c r="N14" i="51"/>
  <c r="Q13" i="51"/>
  <c r="H24" i="51"/>
  <c r="M16" i="50"/>
  <c r="M8" i="50"/>
  <c r="M10" i="50" s="1"/>
  <c r="L8" i="50"/>
  <c r="L10" i="50" s="1"/>
  <c r="K8" i="50"/>
  <c r="J7" i="50"/>
  <c r="J9" i="50" s="1"/>
  <c r="K7" i="50"/>
  <c r="N8" i="50"/>
  <c r="N10" i="50" s="1"/>
  <c r="L7" i="50"/>
  <c r="H16" i="50"/>
  <c r="M7" i="50"/>
  <c r="N7" i="50"/>
  <c r="S3" i="49"/>
  <c r="N9" i="49"/>
  <c r="W6" i="49"/>
  <c r="M16" i="49"/>
  <c r="U21" i="49"/>
  <c r="I24" i="49"/>
  <c r="O5" i="49"/>
  <c r="H24" i="48"/>
  <c r="N14" i="48"/>
  <c r="Q13" i="48"/>
  <c r="I7" i="48"/>
  <c r="M14" i="48"/>
  <c r="K11" i="48"/>
  <c r="K14" i="48"/>
  <c r="K16" i="48" s="1"/>
  <c r="L14" i="48"/>
  <c r="L16" i="48" s="1"/>
  <c r="U6" i="47"/>
  <c r="V6" i="47"/>
  <c r="N9" i="47"/>
  <c r="M9" i="47"/>
  <c r="V5" i="47"/>
  <c r="L9" i="47"/>
  <c r="U5" i="47"/>
  <c r="K9" i="47"/>
  <c r="O5" i="47"/>
  <c r="M16" i="47"/>
  <c r="U21" i="47"/>
  <c r="H17" i="47"/>
  <c r="Q13" i="46"/>
  <c r="N14" i="46"/>
  <c r="H24" i="46"/>
  <c r="K7" i="46"/>
  <c r="N7" i="46"/>
  <c r="N8" i="46"/>
  <c r="N10" i="46" s="1"/>
  <c r="K8" i="46"/>
  <c r="L8" i="46"/>
  <c r="L10" i="46" s="1"/>
  <c r="J7" i="46"/>
  <c r="J9" i="46" s="1"/>
  <c r="M8" i="46"/>
  <c r="M10" i="46" s="1"/>
  <c r="L7" i="46"/>
  <c r="H16" i="46"/>
  <c r="P7" i="46" s="1"/>
  <c r="P8" i="46" s="1"/>
  <c r="M7" i="46"/>
  <c r="M14" i="46"/>
  <c r="K11" i="46"/>
  <c r="K14" i="46"/>
  <c r="K16" i="46" s="1"/>
  <c r="L14" i="46"/>
  <c r="L16" i="46" s="1"/>
  <c r="N14" i="45"/>
  <c r="Q13" i="45"/>
  <c r="H24" i="45"/>
  <c r="I7" i="45"/>
  <c r="M14" i="45"/>
  <c r="K11" i="45"/>
  <c r="K14" i="45"/>
  <c r="K16" i="45" s="1"/>
  <c r="L14" i="45"/>
  <c r="L16" i="45" s="1"/>
  <c r="K8" i="44"/>
  <c r="L8" i="44"/>
  <c r="L10" i="44" s="1"/>
  <c r="M8" i="44"/>
  <c r="M10" i="44" s="1"/>
  <c r="N8" i="44"/>
  <c r="N10" i="44" s="1"/>
  <c r="J7" i="44"/>
  <c r="J9" i="44" s="1"/>
  <c r="M7" i="44"/>
  <c r="N7" i="44"/>
  <c r="K7" i="44"/>
  <c r="L7" i="44"/>
  <c r="H16" i="44"/>
  <c r="H17" i="44" s="1"/>
  <c r="N14" i="44"/>
  <c r="Q13" i="44"/>
  <c r="H24" i="44"/>
  <c r="I24" i="44"/>
  <c r="M14" i="44"/>
  <c r="K11" i="44"/>
  <c r="K14" i="44"/>
  <c r="K16" i="44" s="1"/>
  <c r="L14" i="44"/>
  <c r="L16" i="44" s="1"/>
  <c r="M14" i="43"/>
  <c r="K11" i="43"/>
  <c r="K14" i="43"/>
  <c r="K16" i="43" s="1"/>
  <c r="L14" i="43"/>
  <c r="L16" i="43" s="1"/>
  <c r="L8" i="43"/>
  <c r="L10" i="43" s="1"/>
  <c r="M8" i="43"/>
  <c r="M10" i="43" s="1"/>
  <c r="N8" i="43"/>
  <c r="N10" i="43" s="1"/>
  <c r="K8" i="43"/>
  <c r="J7" i="43"/>
  <c r="J9" i="43" s="1"/>
  <c r="L7" i="43"/>
  <c r="H16" i="43"/>
  <c r="P7" i="43" s="1"/>
  <c r="P8" i="43" s="1"/>
  <c r="K7" i="43"/>
  <c r="M7" i="43"/>
  <c r="N7" i="43"/>
  <c r="N14" i="43"/>
  <c r="H24" i="43"/>
  <c r="Q13" i="43"/>
  <c r="N14" i="42"/>
  <c r="Q13" i="42"/>
  <c r="H24" i="42"/>
  <c r="N8" i="42"/>
  <c r="N10" i="42" s="1"/>
  <c r="M7" i="42"/>
  <c r="N7" i="42"/>
  <c r="K8" i="42"/>
  <c r="L8" i="42"/>
  <c r="L10" i="42" s="1"/>
  <c r="J7" i="42"/>
  <c r="J9" i="42" s="1"/>
  <c r="M8" i="42"/>
  <c r="M10" i="42" s="1"/>
  <c r="K7" i="42"/>
  <c r="L7" i="42"/>
  <c r="H16" i="42"/>
  <c r="P7" i="42" s="1"/>
  <c r="P8" i="42" s="1"/>
  <c r="M14" i="42"/>
  <c r="K11" i="42"/>
  <c r="K14" i="42"/>
  <c r="K16" i="42" s="1"/>
  <c r="L14" i="42"/>
  <c r="L16" i="42" s="1"/>
  <c r="J7" i="41"/>
  <c r="J9" i="41" s="1"/>
  <c r="N7" i="41"/>
  <c r="K8" i="41"/>
  <c r="L8" i="41"/>
  <c r="L10" i="41" s="1"/>
  <c r="M8" i="41"/>
  <c r="M10" i="41" s="1"/>
  <c r="N8" i="41"/>
  <c r="N10" i="41" s="1"/>
  <c r="K7" i="41"/>
  <c r="M7" i="41"/>
  <c r="L7" i="41"/>
  <c r="H16" i="41"/>
  <c r="I24" i="41" s="1"/>
  <c r="M14" i="41"/>
  <c r="K11" i="41"/>
  <c r="K14" i="41"/>
  <c r="K16" i="41" s="1"/>
  <c r="L14" i="41"/>
  <c r="L16" i="41" s="1"/>
  <c r="H24" i="41"/>
  <c r="N14" i="41"/>
  <c r="Q13" i="41"/>
  <c r="M16" i="40"/>
  <c r="U21" i="40"/>
  <c r="M9" i="40"/>
  <c r="V5" i="40"/>
  <c r="I24" i="40"/>
  <c r="K9" i="40"/>
  <c r="O5" i="40"/>
  <c r="L9" i="40"/>
  <c r="U5" i="40"/>
  <c r="P7" i="40"/>
  <c r="P8" i="40" s="1"/>
  <c r="S3" i="40"/>
  <c r="N9" i="40"/>
  <c r="W5" i="40"/>
  <c r="W6" i="40"/>
  <c r="U6" i="40"/>
  <c r="W27" i="40"/>
  <c r="V6" i="40"/>
  <c r="S3" i="39"/>
  <c r="N9" i="39"/>
  <c r="W27" i="39"/>
  <c r="V6" i="39"/>
  <c r="W5" i="39"/>
  <c r="U6" i="39"/>
  <c r="W6" i="39"/>
  <c r="M9" i="39"/>
  <c r="V5" i="39"/>
  <c r="L9" i="39"/>
  <c r="U5" i="39"/>
  <c r="K9" i="39"/>
  <c r="O5" i="39"/>
  <c r="M16" i="39"/>
  <c r="U21" i="39"/>
  <c r="M16" i="38"/>
  <c r="K8" i="38"/>
  <c r="N8" i="38"/>
  <c r="N10" i="38" s="1"/>
  <c r="L8" i="38"/>
  <c r="L10" i="38" s="1"/>
  <c r="J7" i="38"/>
  <c r="J9" i="38" s="1"/>
  <c r="M8" i="38"/>
  <c r="M10" i="38" s="1"/>
  <c r="K7" i="38"/>
  <c r="L7" i="38"/>
  <c r="H16" i="38"/>
  <c r="M7" i="38"/>
  <c r="N7" i="38"/>
  <c r="K9" i="37"/>
  <c r="O5" i="37"/>
  <c r="M9" i="37"/>
  <c r="V5" i="37"/>
  <c r="U5" i="37"/>
  <c r="L9" i="37"/>
  <c r="M16" i="37"/>
  <c r="U21" i="37"/>
  <c r="S3" i="37"/>
  <c r="W27" i="37"/>
  <c r="V6" i="37"/>
  <c r="W6" i="37"/>
  <c r="N9" i="37"/>
  <c r="W5" i="37"/>
  <c r="U6" i="37"/>
  <c r="M16" i="36"/>
  <c r="U21" i="36"/>
  <c r="M9" i="36"/>
  <c r="V5" i="36"/>
  <c r="S3" i="36"/>
  <c r="N9" i="36"/>
  <c r="W5" i="36"/>
  <c r="U6" i="36"/>
  <c r="W27" i="36"/>
  <c r="V6" i="36"/>
  <c r="W6" i="36"/>
  <c r="O5" i="36"/>
  <c r="K9" i="36"/>
  <c r="L9" i="36"/>
  <c r="U5" i="36"/>
  <c r="M7" i="35"/>
  <c r="H16" i="35"/>
  <c r="H17" i="35" s="1"/>
  <c r="K8" i="35"/>
  <c r="L8" i="35"/>
  <c r="L10" i="35" s="1"/>
  <c r="J7" i="35"/>
  <c r="J9" i="35" s="1"/>
  <c r="M8" i="35"/>
  <c r="M10" i="35" s="1"/>
  <c r="K7" i="35"/>
  <c r="N8" i="35"/>
  <c r="N10" i="35" s="1"/>
  <c r="L7" i="35"/>
  <c r="N7" i="35"/>
  <c r="N14" i="35"/>
  <c r="Q13" i="35"/>
  <c r="H24" i="35"/>
  <c r="K11" i="35"/>
  <c r="K14" i="35"/>
  <c r="K16" i="35" s="1"/>
  <c r="L14" i="35"/>
  <c r="L16" i="35" s="1"/>
  <c r="M14" i="35"/>
  <c r="I24" i="35" l="1"/>
  <c r="P7" i="35"/>
  <c r="P8" i="35" s="1"/>
  <c r="I24" i="42"/>
  <c r="P7" i="44"/>
  <c r="P8" i="44" s="1"/>
  <c r="I24" i="46"/>
  <c r="W6" i="47"/>
  <c r="W27" i="47"/>
  <c r="W5" i="47"/>
  <c r="P7" i="47"/>
  <c r="P8" i="47" s="1"/>
  <c r="L9" i="49"/>
  <c r="V5" i="49"/>
  <c r="V6" i="49"/>
  <c r="W27" i="49"/>
  <c r="U6" i="49"/>
  <c r="H17" i="49"/>
  <c r="P7" i="49"/>
  <c r="P8" i="49" s="1"/>
  <c r="H17" i="68"/>
  <c r="I24" i="68"/>
  <c r="I24" i="69"/>
  <c r="H17" i="81"/>
  <c r="U5" i="61"/>
  <c r="M9" i="82"/>
  <c r="V5" i="82"/>
  <c r="P7" i="82"/>
  <c r="P8" i="82" s="1"/>
  <c r="H17" i="82"/>
  <c r="I24" i="82"/>
  <c r="L9" i="82"/>
  <c r="U5" i="82"/>
  <c r="K9" i="82"/>
  <c r="O5" i="82"/>
  <c r="S3" i="82"/>
  <c r="W27" i="82"/>
  <c r="U6" i="82"/>
  <c r="V6" i="82"/>
  <c r="W6" i="82"/>
  <c r="N9" i="82"/>
  <c r="W5" i="82"/>
  <c r="L9" i="81"/>
  <c r="U5" i="81"/>
  <c r="I24" i="81"/>
  <c r="S3" i="81"/>
  <c r="N9" i="81"/>
  <c r="V6" i="81"/>
  <c r="W6" i="81"/>
  <c r="W5" i="81"/>
  <c r="U6" i="81"/>
  <c r="W27" i="81"/>
  <c r="K9" i="81"/>
  <c r="O5" i="81"/>
  <c r="M16" i="81"/>
  <c r="U21" i="81"/>
  <c r="M9" i="81"/>
  <c r="V5" i="81"/>
  <c r="P7" i="79"/>
  <c r="P8" i="79" s="1"/>
  <c r="K9" i="79"/>
  <c r="O5" i="79"/>
  <c r="M16" i="79"/>
  <c r="U21" i="79"/>
  <c r="I24" i="79"/>
  <c r="M9" i="79"/>
  <c r="V5" i="79"/>
  <c r="L9" i="79"/>
  <c r="U5" i="79"/>
  <c r="S3" i="79"/>
  <c r="N9" i="79"/>
  <c r="W27" i="79"/>
  <c r="V6" i="79"/>
  <c r="W5" i="79"/>
  <c r="U6" i="79"/>
  <c r="W6" i="79"/>
  <c r="M9" i="77"/>
  <c r="V5" i="77"/>
  <c r="P7" i="77"/>
  <c r="P8" i="77" s="1"/>
  <c r="H17" i="77"/>
  <c r="I24" i="77"/>
  <c r="L9" i="77"/>
  <c r="U5" i="77"/>
  <c r="K9" i="77"/>
  <c r="O5" i="77"/>
  <c r="S3" i="77"/>
  <c r="N9" i="77"/>
  <c r="W5" i="77"/>
  <c r="W27" i="77"/>
  <c r="V6" i="77"/>
  <c r="W6" i="77"/>
  <c r="U6" i="77"/>
  <c r="L9" i="74"/>
  <c r="U5" i="74"/>
  <c r="S3" i="74"/>
  <c r="W5" i="74"/>
  <c r="U6" i="74"/>
  <c r="W27" i="74"/>
  <c r="V6" i="74"/>
  <c r="W6" i="74"/>
  <c r="N9" i="74"/>
  <c r="M9" i="74"/>
  <c r="V5" i="74"/>
  <c r="P7" i="74"/>
  <c r="P8" i="74" s="1"/>
  <c r="H17" i="74"/>
  <c r="I24" i="74"/>
  <c r="K9" i="74"/>
  <c r="O5" i="74"/>
  <c r="M9" i="72"/>
  <c r="V5" i="72"/>
  <c r="L9" i="72"/>
  <c r="U5" i="72"/>
  <c r="P7" i="72"/>
  <c r="P8" i="72" s="1"/>
  <c r="I24" i="72"/>
  <c r="H17" i="72"/>
  <c r="K9" i="72"/>
  <c r="O5" i="72"/>
  <c r="S3" i="72"/>
  <c r="N9" i="72"/>
  <c r="V6" i="72"/>
  <c r="W5" i="72"/>
  <c r="U6" i="72"/>
  <c r="W27" i="72"/>
  <c r="W6" i="72"/>
  <c r="S3" i="69"/>
  <c r="N9" i="69"/>
  <c r="W27" i="69"/>
  <c r="W5" i="69"/>
  <c r="U6" i="69"/>
  <c r="V6" i="69"/>
  <c r="W6" i="69"/>
  <c r="V5" i="69"/>
  <c r="M9" i="69"/>
  <c r="U5" i="69"/>
  <c r="L9" i="69"/>
  <c r="K9" i="69"/>
  <c r="O5" i="69"/>
  <c r="M16" i="69"/>
  <c r="U21" i="69"/>
  <c r="L9" i="68"/>
  <c r="U5" i="68"/>
  <c r="K9" i="68"/>
  <c r="O5" i="68"/>
  <c r="M9" i="68"/>
  <c r="V5" i="68"/>
  <c r="S3" i="68"/>
  <c r="U6" i="68"/>
  <c r="V6" i="68"/>
  <c r="W6" i="68"/>
  <c r="W27" i="68"/>
  <c r="N9" i="68"/>
  <c r="W5" i="68"/>
  <c r="M16" i="68"/>
  <c r="U21" i="68"/>
  <c r="M9" i="65"/>
  <c r="V5" i="65"/>
  <c r="S3" i="65"/>
  <c r="W6" i="65"/>
  <c r="N9" i="65"/>
  <c r="W5" i="65"/>
  <c r="U6" i="65"/>
  <c r="W27" i="65"/>
  <c r="V6" i="65"/>
  <c r="P7" i="65"/>
  <c r="P8" i="65" s="1"/>
  <c r="H17" i="65"/>
  <c r="I24" i="65"/>
  <c r="K9" i="65"/>
  <c r="O5" i="65"/>
  <c r="U5" i="65"/>
  <c r="L9" i="65"/>
  <c r="M16" i="62"/>
  <c r="M8" i="62"/>
  <c r="M10" i="62" s="1"/>
  <c r="N8" i="62"/>
  <c r="N10" i="62" s="1"/>
  <c r="H16" i="62"/>
  <c r="J7" i="62"/>
  <c r="J9" i="62" s="1"/>
  <c r="K7" i="62"/>
  <c r="L7" i="62"/>
  <c r="K8" i="62"/>
  <c r="L8" i="62"/>
  <c r="L10" i="62" s="1"/>
  <c r="M7" i="62"/>
  <c r="N7" i="62"/>
  <c r="K9" i="60"/>
  <c r="O5" i="60"/>
  <c r="L9" i="60"/>
  <c r="U5" i="60"/>
  <c r="M9" i="60"/>
  <c r="V5" i="60"/>
  <c r="S3" i="60"/>
  <c r="U6" i="60"/>
  <c r="W27" i="60"/>
  <c r="V6" i="60"/>
  <c r="W6" i="60"/>
  <c r="N9" i="60"/>
  <c r="W5" i="60"/>
  <c r="H17" i="60"/>
  <c r="P7" i="60"/>
  <c r="P8" i="60" s="1"/>
  <c r="I24" i="60"/>
  <c r="S3" i="58"/>
  <c r="W6" i="58"/>
  <c r="N9" i="58"/>
  <c r="W5" i="58"/>
  <c r="U6" i="58"/>
  <c r="W27" i="58"/>
  <c r="V6" i="58"/>
  <c r="K9" i="58"/>
  <c r="O5" i="58"/>
  <c r="I24" i="58"/>
  <c r="P7" i="58"/>
  <c r="P8" i="58" s="1"/>
  <c r="M9" i="58"/>
  <c r="V5" i="58"/>
  <c r="L9" i="58"/>
  <c r="U5" i="58"/>
  <c r="M16" i="58"/>
  <c r="U21" i="58"/>
  <c r="K9" i="54"/>
  <c r="O5" i="54"/>
  <c r="P7" i="54"/>
  <c r="P8" i="54" s="1"/>
  <c r="H17" i="54"/>
  <c r="I24" i="54"/>
  <c r="S3" i="54"/>
  <c r="V6" i="54"/>
  <c r="N9" i="54"/>
  <c r="W5" i="54"/>
  <c r="U6" i="54"/>
  <c r="W27" i="54"/>
  <c r="W6" i="54"/>
  <c r="M9" i="54"/>
  <c r="V5" i="54"/>
  <c r="L9" i="54"/>
  <c r="U5" i="54"/>
  <c r="S3" i="51"/>
  <c r="V6" i="51"/>
  <c r="N9" i="51"/>
  <c r="W5" i="51"/>
  <c r="U6" i="51"/>
  <c r="W27" i="51"/>
  <c r="W6" i="51"/>
  <c r="K9" i="51"/>
  <c r="O5" i="51"/>
  <c r="I24" i="51"/>
  <c r="M9" i="51"/>
  <c r="V5" i="51"/>
  <c r="M16" i="51"/>
  <c r="U21" i="51"/>
  <c r="L9" i="51"/>
  <c r="U5" i="51"/>
  <c r="H17" i="51"/>
  <c r="S3" i="50"/>
  <c r="N9" i="50"/>
  <c r="U6" i="50"/>
  <c r="V6" i="50"/>
  <c r="W5" i="50"/>
  <c r="W27" i="50"/>
  <c r="W6" i="50"/>
  <c r="V5" i="50"/>
  <c r="M9" i="50"/>
  <c r="P7" i="50"/>
  <c r="P8" i="50" s="1"/>
  <c r="I24" i="50"/>
  <c r="H17" i="50"/>
  <c r="U5" i="50"/>
  <c r="L9" i="50"/>
  <c r="K9" i="50"/>
  <c r="O5" i="50"/>
  <c r="U21" i="50"/>
  <c r="M16" i="48"/>
  <c r="K8" i="48"/>
  <c r="L8" i="48"/>
  <c r="L10" i="48" s="1"/>
  <c r="M8" i="48"/>
  <c r="M10" i="48" s="1"/>
  <c r="N8" i="48"/>
  <c r="N10" i="48" s="1"/>
  <c r="J7" i="48"/>
  <c r="J9" i="48" s="1"/>
  <c r="H16" i="48"/>
  <c r="M7" i="48"/>
  <c r="K7" i="48"/>
  <c r="L7" i="48"/>
  <c r="N7" i="48"/>
  <c r="K9" i="46"/>
  <c r="O5" i="46"/>
  <c r="M9" i="46"/>
  <c r="V5" i="46"/>
  <c r="H17" i="46"/>
  <c r="S3" i="46"/>
  <c r="W6" i="46"/>
  <c r="N9" i="46"/>
  <c r="W5" i="46"/>
  <c r="U6" i="46"/>
  <c r="W27" i="46"/>
  <c r="V6" i="46"/>
  <c r="M16" i="46"/>
  <c r="U21" i="46"/>
  <c r="U5" i="46"/>
  <c r="L9" i="46"/>
  <c r="M16" i="45"/>
  <c r="K8" i="45"/>
  <c r="J7" i="45"/>
  <c r="J9" i="45" s="1"/>
  <c r="K7" i="45"/>
  <c r="L7" i="45"/>
  <c r="H16" i="45"/>
  <c r="M7" i="45"/>
  <c r="N7" i="45"/>
  <c r="L8" i="45"/>
  <c r="L10" i="45" s="1"/>
  <c r="M8" i="45"/>
  <c r="M10" i="45" s="1"/>
  <c r="N8" i="45"/>
  <c r="N10" i="45" s="1"/>
  <c r="L9" i="44"/>
  <c r="U5" i="44"/>
  <c r="K9" i="44"/>
  <c r="O5" i="44"/>
  <c r="S3" i="44"/>
  <c r="N9" i="44"/>
  <c r="W27" i="44"/>
  <c r="V6" i="44"/>
  <c r="W6" i="44"/>
  <c r="W5" i="44"/>
  <c r="U6" i="44"/>
  <c r="M9" i="44"/>
  <c r="V5" i="44"/>
  <c r="M16" i="44"/>
  <c r="U21" i="44"/>
  <c r="L9" i="43"/>
  <c r="U5" i="43"/>
  <c r="I24" i="43"/>
  <c r="H17" i="43"/>
  <c r="K9" i="43"/>
  <c r="O5" i="43"/>
  <c r="S3" i="43"/>
  <c r="N9" i="43"/>
  <c r="W27" i="43"/>
  <c r="V6" i="43"/>
  <c r="W5" i="43"/>
  <c r="U6" i="43"/>
  <c r="W6" i="43"/>
  <c r="M9" i="43"/>
  <c r="V5" i="43"/>
  <c r="M16" i="43"/>
  <c r="U21" i="43"/>
  <c r="S3" i="42"/>
  <c r="V6" i="42"/>
  <c r="W6" i="42"/>
  <c r="N9" i="42"/>
  <c r="W5" i="42"/>
  <c r="U6" i="42"/>
  <c r="W27" i="42"/>
  <c r="M9" i="42"/>
  <c r="V5" i="42"/>
  <c r="H17" i="42"/>
  <c r="L9" i="42"/>
  <c r="U5" i="42"/>
  <c r="K9" i="42"/>
  <c r="O5" i="42"/>
  <c r="M16" i="42"/>
  <c r="U21" i="42"/>
  <c r="U5" i="41"/>
  <c r="L9" i="41"/>
  <c r="M9" i="41"/>
  <c r="V5" i="41"/>
  <c r="K9" i="41"/>
  <c r="O5" i="41"/>
  <c r="P7" i="41"/>
  <c r="P8" i="41" s="1"/>
  <c r="M16" i="41"/>
  <c r="U21" i="41"/>
  <c r="H17" i="41"/>
  <c r="S3" i="41"/>
  <c r="W27" i="41"/>
  <c r="V6" i="41"/>
  <c r="N9" i="41"/>
  <c r="W5" i="41"/>
  <c r="U6" i="41"/>
  <c r="W6" i="41"/>
  <c r="M9" i="38"/>
  <c r="V5" i="38"/>
  <c r="L9" i="38"/>
  <c r="U5" i="38"/>
  <c r="S3" i="38"/>
  <c r="U6" i="38"/>
  <c r="N9" i="38"/>
  <c r="W5" i="38"/>
  <c r="V6" i="38"/>
  <c r="W27" i="38"/>
  <c r="W6" i="38"/>
  <c r="P7" i="38"/>
  <c r="P8" i="38" s="1"/>
  <c r="I24" i="38"/>
  <c r="H17" i="38"/>
  <c r="K9" i="38"/>
  <c r="O5" i="38"/>
  <c r="U21" i="38"/>
  <c r="O5" i="35"/>
  <c r="K9" i="35"/>
  <c r="S3" i="35"/>
  <c r="V6" i="35"/>
  <c r="W6" i="35"/>
  <c r="N9" i="35"/>
  <c r="W5" i="35"/>
  <c r="U6" i="35"/>
  <c r="W27" i="35"/>
  <c r="L9" i="35"/>
  <c r="U5" i="35"/>
  <c r="M16" i="35"/>
  <c r="U21" i="35"/>
  <c r="M9" i="35"/>
  <c r="V5" i="35"/>
  <c r="K9" i="62" l="1"/>
  <c r="O5" i="62"/>
  <c r="S3" i="62"/>
  <c r="W5" i="62"/>
  <c r="N9" i="62"/>
  <c r="U6" i="62"/>
  <c r="W27" i="62"/>
  <c r="V6" i="62"/>
  <c r="W6" i="62"/>
  <c r="L9" i="62"/>
  <c r="U5" i="62"/>
  <c r="P7" i="62"/>
  <c r="P8" i="62" s="1"/>
  <c r="H17" i="62"/>
  <c r="I24" i="62"/>
  <c r="M9" i="62"/>
  <c r="V5" i="62"/>
  <c r="U21" i="62"/>
  <c r="S3" i="48"/>
  <c r="V6" i="48"/>
  <c r="W6" i="48"/>
  <c r="N9" i="48"/>
  <c r="W5" i="48"/>
  <c r="U6" i="48"/>
  <c r="W27" i="48"/>
  <c r="K9" i="48"/>
  <c r="O5" i="48"/>
  <c r="M9" i="48"/>
  <c r="V5" i="48"/>
  <c r="P7" i="48"/>
  <c r="P8" i="48" s="1"/>
  <c r="I24" i="48"/>
  <c r="H17" i="48"/>
  <c r="U21" i="48"/>
  <c r="L9" i="48"/>
  <c r="U5" i="48"/>
  <c r="S3" i="45"/>
  <c r="V6" i="45"/>
  <c r="N9" i="45"/>
  <c r="W5" i="45"/>
  <c r="U6" i="45"/>
  <c r="W27" i="45"/>
  <c r="W6" i="45"/>
  <c r="L9" i="45"/>
  <c r="U5" i="45"/>
  <c r="V5" i="45"/>
  <c r="M9" i="45"/>
  <c r="O5" i="45"/>
  <c r="K9" i="45"/>
  <c r="P7" i="45"/>
  <c r="P8" i="45" s="1"/>
  <c r="H17" i="45"/>
  <c r="I24" i="45"/>
  <c r="U21" i="45"/>
  <c r="N34" i="34" l="1"/>
  <c r="O27" i="34"/>
  <c r="Q25" i="34"/>
  <c r="R25" i="34" s="1"/>
  <c r="R26" i="34" s="1"/>
  <c r="T24" i="34"/>
  <c r="P24" i="34"/>
  <c r="T21" i="34"/>
  <c r="T20" i="34"/>
  <c r="M20" i="34"/>
  <c r="P19" i="34"/>
  <c r="O19" i="34"/>
  <c r="T17" i="34"/>
  <c r="O17" i="34"/>
  <c r="O15" i="34"/>
  <c r="H15" i="34"/>
  <c r="O14" i="34"/>
  <c r="AA13" i="34"/>
  <c r="Z13" i="34"/>
  <c r="D19" i="34" s="1"/>
  <c r="U13" i="34"/>
  <c r="O13" i="34"/>
  <c r="D13" i="34"/>
  <c r="O12" i="34"/>
  <c r="D12" i="34"/>
  <c r="Y11" i="34"/>
  <c r="X11" i="34"/>
  <c r="W11" i="34"/>
  <c r="V11" i="34"/>
  <c r="U11" i="34"/>
  <c r="O11" i="34"/>
  <c r="O16" i="34" s="1"/>
  <c r="D16" i="34" s="1"/>
  <c r="D11" i="34"/>
  <c r="Z10" i="34"/>
  <c r="Q10" i="34"/>
  <c r="K10" i="34"/>
  <c r="D10" i="34"/>
  <c r="T9" i="34"/>
  <c r="T8" i="34"/>
  <c r="B8" i="34"/>
  <c r="A19" i="34" s="1"/>
  <c r="A21" i="34" s="1"/>
  <c r="T7" i="34"/>
  <c r="C5" i="34"/>
  <c r="B5" i="34"/>
  <c r="AA3" i="34"/>
  <c r="N34" i="33"/>
  <c r="O27" i="33"/>
  <c r="Q25" i="33"/>
  <c r="R25" i="33" s="1"/>
  <c r="R26" i="33" s="1"/>
  <c r="T24" i="33"/>
  <c r="P24" i="33"/>
  <c r="T21" i="33"/>
  <c r="T20" i="33"/>
  <c r="M20" i="33"/>
  <c r="P19" i="33"/>
  <c r="O19" i="33"/>
  <c r="T17" i="33"/>
  <c r="O17" i="33"/>
  <c r="O15" i="33"/>
  <c r="H15" i="33"/>
  <c r="O14" i="33"/>
  <c r="AA13" i="33"/>
  <c r="Z13" i="33"/>
  <c r="D19" i="33" s="1"/>
  <c r="U13" i="33"/>
  <c r="O13" i="33"/>
  <c r="D13" i="33"/>
  <c r="O12" i="33"/>
  <c r="D12" i="33"/>
  <c r="Y11" i="33"/>
  <c r="X11" i="33"/>
  <c r="W11" i="33"/>
  <c r="V11" i="33"/>
  <c r="U11" i="33"/>
  <c r="O11" i="33"/>
  <c r="O16" i="33" s="1"/>
  <c r="D16" i="33" s="1"/>
  <c r="D11" i="33"/>
  <c r="Z10" i="33"/>
  <c r="Q10" i="33"/>
  <c r="K10" i="33"/>
  <c r="D10" i="33"/>
  <c r="T9" i="33"/>
  <c r="T8" i="33"/>
  <c r="B8" i="33"/>
  <c r="A19" i="33" s="1"/>
  <c r="A21" i="33" s="1"/>
  <c r="T7" i="33"/>
  <c r="C5" i="33"/>
  <c r="B5" i="33"/>
  <c r="AA3" i="33"/>
  <c r="N34" i="32"/>
  <c r="O27" i="32"/>
  <c r="Q25" i="32"/>
  <c r="R25" i="32" s="1"/>
  <c r="R26" i="32" s="1"/>
  <c r="T24" i="32"/>
  <c r="P24" i="32"/>
  <c r="T21" i="32"/>
  <c r="T20" i="32"/>
  <c r="M20" i="32"/>
  <c r="P19" i="32"/>
  <c r="O19" i="32"/>
  <c r="T17" i="32"/>
  <c r="O17" i="32"/>
  <c r="O15" i="32"/>
  <c r="H15" i="32"/>
  <c r="O14" i="32"/>
  <c r="AA13" i="32"/>
  <c r="Z13" i="32"/>
  <c r="D19" i="32" s="1"/>
  <c r="U13" i="32"/>
  <c r="O13" i="32"/>
  <c r="D13" i="32"/>
  <c r="O12" i="32"/>
  <c r="D12" i="32"/>
  <c r="Y11" i="32"/>
  <c r="X11" i="32"/>
  <c r="W11" i="32"/>
  <c r="V11" i="32"/>
  <c r="U11" i="32"/>
  <c r="O11" i="32"/>
  <c r="O16" i="32" s="1"/>
  <c r="D16" i="32" s="1"/>
  <c r="D11" i="32"/>
  <c r="Z10" i="32"/>
  <c r="Q10" i="32"/>
  <c r="K10" i="32"/>
  <c r="D10" i="32"/>
  <c r="T9" i="32"/>
  <c r="T8" i="32"/>
  <c r="B8" i="32"/>
  <c r="A13" i="32" s="1"/>
  <c r="T7" i="32"/>
  <c r="C5" i="32"/>
  <c r="B5" i="32"/>
  <c r="AA3" i="32"/>
  <c r="N34" i="31"/>
  <c r="O27" i="31"/>
  <c r="Q25" i="31"/>
  <c r="R25" i="31" s="1"/>
  <c r="R26" i="31" s="1"/>
  <c r="T24" i="31"/>
  <c r="P24" i="31"/>
  <c r="T21" i="31"/>
  <c r="T20" i="31"/>
  <c r="M20" i="31"/>
  <c r="P19" i="31"/>
  <c r="O19" i="31"/>
  <c r="T17" i="31"/>
  <c r="O17" i="31"/>
  <c r="O15" i="31"/>
  <c r="H15" i="31"/>
  <c r="O14" i="31"/>
  <c r="AA13" i="31"/>
  <c r="Z13" i="31"/>
  <c r="D19" i="31" s="1"/>
  <c r="U13" i="31"/>
  <c r="O13" i="31"/>
  <c r="D13" i="31"/>
  <c r="O12" i="31"/>
  <c r="D12" i="31"/>
  <c r="Y11" i="31"/>
  <c r="X11" i="31"/>
  <c r="W11" i="31"/>
  <c r="V11" i="31"/>
  <c r="U11" i="31"/>
  <c r="O11" i="31"/>
  <c r="O16" i="31" s="1"/>
  <c r="D16" i="31" s="1"/>
  <c r="D11" i="31"/>
  <c r="Z10" i="31"/>
  <c r="Q10" i="31"/>
  <c r="K10" i="31"/>
  <c r="D10" i="31"/>
  <c r="T9" i="31"/>
  <c r="T8" i="31"/>
  <c r="B8" i="31"/>
  <c r="A13" i="31" s="1"/>
  <c r="T7" i="31"/>
  <c r="C5" i="31"/>
  <c r="B5" i="31"/>
  <c r="AA3" i="31"/>
  <c r="N34" i="30"/>
  <c r="O27" i="30"/>
  <c r="R25" i="30"/>
  <c r="R26" i="30" s="1"/>
  <c r="Q25" i="30"/>
  <c r="T24" i="30"/>
  <c r="P24" i="30"/>
  <c r="T21" i="30"/>
  <c r="T20" i="30"/>
  <c r="M20" i="30"/>
  <c r="P19" i="30"/>
  <c r="O19" i="30"/>
  <c r="T17" i="30"/>
  <c r="O17" i="30"/>
  <c r="O15" i="30"/>
  <c r="H15" i="30"/>
  <c r="O14" i="30"/>
  <c r="AA13" i="30"/>
  <c r="Z13" i="30"/>
  <c r="D19" i="30" s="1"/>
  <c r="U13" i="30"/>
  <c r="O13" i="30"/>
  <c r="D13" i="30"/>
  <c r="O12" i="30"/>
  <c r="D12" i="30"/>
  <c r="Y11" i="30"/>
  <c r="X11" i="30"/>
  <c r="W11" i="30"/>
  <c r="V11" i="30"/>
  <c r="U11" i="30"/>
  <c r="O11" i="30"/>
  <c r="O16" i="30" s="1"/>
  <c r="D16" i="30" s="1"/>
  <c r="D11" i="30"/>
  <c r="Z10" i="30"/>
  <c r="K10" i="30" s="1"/>
  <c r="Q10" i="30"/>
  <c r="D10" i="30"/>
  <c r="T9" i="30"/>
  <c r="T8" i="30"/>
  <c r="B8" i="30"/>
  <c r="A19" i="30" s="1"/>
  <c r="A21" i="30" s="1"/>
  <c r="T7" i="30"/>
  <c r="C5" i="30"/>
  <c r="B5" i="30"/>
  <c r="AA3" i="30"/>
  <c r="N34" i="29"/>
  <c r="O27" i="29"/>
  <c r="Q25" i="29"/>
  <c r="R25" i="29" s="1"/>
  <c r="R26" i="29" s="1"/>
  <c r="T24" i="29"/>
  <c r="P24" i="29"/>
  <c r="T21" i="29"/>
  <c r="T20" i="29"/>
  <c r="M20" i="29"/>
  <c r="P19" i="29"/>
  <c r="O19" i="29"/>
  <c r="T17" i="29"/>
  <c r="O17" i="29"/>
  <c r="O15" i="29"/>
  <c r="H15" i="29"/>
  <c r="O14" i="29"/>
  <c r="AA13" i="29"/>
  <c r="Z13" i="29"/>
  <c r="D19" i="29" s="1"/>
  <c r="U13" i="29"/>
  <c r="O13" i="29"/>
  <c r="D13" i="29"/>
  <c r="O12" i="29"/>
  <c r="D12" i="29"/>
  <c r="Y11" i="29"/>
  <c r="X11" i="29"/>
  <c r="W11" i="29"/>
  <c r="V11" i="29"/>
  <c r="U11" i="29"/>
  <c r="O11" i="29"/>
  <c r="O16" i="29" s="1"/>
  <c r="D16" i="29" s="1"/>
  <c r="D11" i="29"/>
  <c r="Z10" i="29"/>
  <c r="Q10" i="29"/>
  <c r="K10" i="29"/>
  <c r="D10" i="29"/>
  <c r="T9" i="29"/>
  <c r="T8" i="29"/>
  <c r="B8" i="29"/>
  <c r="A13" i="29" s="1"/>
  <c r="T7" i="29"/>
  <c r="C5" i="29"/>
  <c r="B5" i="29"/>
  <c r="AA3" i="29"/>
  <c r="N34" i="28"/>
  <c r="O27" i="28"/>
  <c r="R25" i="28"/>
  <c r="R26" i="28" s="1"/>
  <c r="Q25" i="28"/>
  <c r="T24" i="28"/>
  <c r="P24" i="28"/>
  <c r="T21" i="28"/>
  <c r="T20" i="28"/>
  <c r="M20" i="28"/>
  <c r="P19" i="28"/>
  <c r="O19" i="28"/>
  <c r="T17" i="28"/>
  <c r="O17" i="28"/>
  <c r="O15" i="28"/>
  <c r="H15" i="28"/>
  <c r="O14" i="28"/>
  <c r="AA13" i="28"/>
  <c r="Z13" i="28"/>
  <c r="D19" i="28" s="1"/>
  <c r="U13" i="28"/>
  <c r="O13" i="28"/>
  <c r="D13" i="28"/>
  <c r="O12" i="28"/>
  <c r="D12" i="28"/>
  <c r="Y11" i="28"/>
  <c r="X11" i="28"/>
  <c r="W11" i="28"/>
  <c r="V11" i="28"/>
  <c r="U11" i="28"/>
  <c r="O11" i="28"/>
  <c r="O16" i="28" s="1"/>
  <c r="D16" i="28" s="1"/>
  <c r="D11" i="28"/>
  <c r="Z10" i="28"/>
  <c r="Q10" i="28"/>
  <c r="K10" i="28"/>
  <c r="D10" i="28"/>
  <c r="T9" i="28"/>
  <c r="T8" i="28"/>
  <c r="B8" i="28"/>
  <c r="A7" i="28" s="1"/>
  <c r="T7" i="28"/>
  <c r="C5" i="28"/>
  <c r="B5" i="28"/>
  <c r="AA3" i="28"/>
  <c r="N34" i="27"/>
  <c r="O27" i="27"/>
  <c r="Q25" i="27"/>
  <c r="R25" i="27" s="1"/>
  <c r="R26" i="27" s="1"/>
  <c r="T24" i="27"/>
  <c r="P24" i="27"/>
  <c r="T21" i="27"/>
  <c r="T20" i="27"/>
  <c r="M20" i="27"/>
  <c r="P19" i="27"/>
  <c r="O19" i="27"/>
  <c r="T17" i="27"/>
  <c r="O17" i="27"/>
  <c r="O15" i="27"/>
  <c r="H15" i="27"/>
  <c r="O14" i="27"/>
  <c r="AA13" i="27"/>
  <c r="Z13" i="27"/>
  <c r="D19" i="27" s="1"/>
  <c r="U13" i="27"/>
  <c r="O13" i="27"/>
  <c r="D13" i="27"/>
  <c r="O12" i="27"/>
  <c r="D12" i="27"/>
  <c r="Y11" i="27"/>
  <c r="X11" i="27"/>
  <c r="W11" i="27"/>
  <c r="V11" i="27"/>
  <c r="U11" i="27"/>
  <c r="O11" i="27"/>
  <c r="O16" i="27" s="1"/>
  <c r="D16" i="27" s="1"/>
  <c r="D11" i="27"/>
  <c r="Z10" i="27"/>
  <c r="Q10" i="27"/>
  <c r="K10" i="27"/>
  <c r="D10" i="27"/>
  <c r="T9" i="27"/>
  <c r="T8" i="27"/>
  <c r="B8" i="27"/>
  <c r="A19" i="27" s="1"/>
  <c r="A21" i="27" s="1"/>
  <c r="T7" i="27"/>
  <c r="C5" i="27"/>
  <c r="B5" i="27"/>
  <c r="AA3" i="27"/>
  <c r="N34" i="26"/>
  <c r="O27" i="26"/>
  <c r="Q25" i="26"/>
  <c r="R25" i="26" s="1"/>
  <c r="R26" i="26" s="1"/>
  <c r="T24" i="26"/>
  <c r="P24" i="26"/>
  <c r="T21" i="26"/>
  <c r="T20" i="26"/>
  <c r="M20" i="26"/>
  <c r="P19" i="26"/>
  <c r="O19" i="26"/>
  <c r="T17" i="26"/>
  <c r="O17" i="26"/>
  <c r="O15" i="26"/>
  <c r="H15" i="26"/>
  <c r="O14" i="26"/>
  <c r="AA13" i="26"/>
  <c r="Z13" i="26"/>
  <c r="D19" i="26" s="1"/>
  <c r="U13" i="26"/>
  <c r="O13" i="26"/>
  <c r="D13" i="26"/>
  <c r="O12" i="26"/>
  <c r="D12" i="26"/>
  <c r="Y11" i="26"/>
  <c r="X11" i="26"/>
  <c r="W11" i="26"/>
  <c r="V11" i="26"/>
  <c r="U11" i="26"/>
  <c r="O11" i="26"/>
  <c r="O16" i="26" s="1"/>
  <c r="D16" i="26" s="1"/>
  <c r="D11" i="26"/>
  <c r="Z10" i="26"/>
  <c r="K10" i="26" s="1"/>
  <c r="Q10" i="26"/>
  <c r="D10" i="26"/>
  <c r="T9" i="26"/>
  <c r="T8" i="26"/>
  <c r="B8" i="26"/>
  <c r="A13" i="26" s="1"/>
  <c r="T7" i="26"/>
  <c r="C5" i="26"/>
  <c r="B5" i="26"/>
  <c r="AA3" i="26"/>
  <c r="N34" i="25"/>
  <c r="O27" i="25"/>
  <c r="Q25" i="25"/>
  <c r="R25" i="25" s="1"/>
  <c r="R26" i="25" s="1"/>
  <c r="T24" i="25"/>
  <c r="P24" i="25"/>
  <c r="T21" i="25"/>
  <c r="T20" i="25"/>
  <c r="M20" i="25"/>
  <c r="P19" i="25"/>
  <c r="O19" i="25"/>
  <c r="T17" i="25"/>
  <c r="O17" i="25"/>
  <c r="O15" i="25"/>
  <c r="H15" i="25"/>
  <c r="O14" i="25"/>
  <c r="AA13" i="25"/>
  <c r="Z13" i="25"/>
  <c r="D19" i="25" s="1"/>
  <c r="U13" i="25"/>
  <c r="O13" i="25"/>
  <c r="D13" i="25"/>
  <c r="O12" i="25"/>
  <c r="D12" i="25"/>
  <c r="Y11" i="25"/>
  <c r="X11" i="25"/>
  <c r="W11" i="25"/>
  <c r="V11" i="25"/>
  <c r="U11" i="25"/>
  <c r="O11" i="25"/>
  <c r="O16" i="25" s="1"/>
  <c r="D16" i="25" s="1"/>
  <c r="D11" i="25"/>
  <c r="Z10" i="25"/>
  <c r="Q10" i="25"/>
  <c r="K10" i="25"/>
  <c r="D10" i="25"/>
  <c r="T9" i="25"/>
  <c r="T8" i="25"/>
  <c r="B8" i="25"/>
  <c r="A13" i="25" s="1"/>
  <c r="T7" i="25"/>
  <c r="C5" i="25"/>
  <c r="B5" i="25"/>
  <c r="AA3" i="25"/>
  <c r="N34" i="24"/>
  <c r="O27" i="24"/>
  <c r="Q25" i="24"/>
  <c r="R25" i="24" s="1"/>
  <c r="R26" i="24" s="1"/>
  <c r="T24" i="24"/>
  <c r="P24" i="24"/>
  <c r="T21" i="24"/>
  <c r="T20" i="24"/>
  <c r="M20" i="24"/>
  <c r="P19" i="24"/>
  <c r="O19" i="24"/>
  <c r="T17" i="24"/>
  <c r="O17" i="24"/>
  <c r="O15" i="24"/>
  <c r="H15" i="24"/>
  <c r="O14" i="24"/>
  <c r="AA13" i="24"/>
  <c r="Z13" i="24"/>
  <c r="D19" i="24" s="1"/>
  <c r="U13" i="24"/>
  <c r="O13" i="24"/>
  <c r="D13" i="24"/>
  <c r="O12" i="24"/>
  <c r="D12" i="24"/>
  <c r="Y11" i="24"/>
  <c r="X11" i="24"/>
  <c r="W11" i="24"/>
  <c r="V11" i="24"/>
  <c r="U11" i="24"/>
  <c r="O11" i="24"/>
  <c r="O16" i="24" s="1"/>
  <c r="D16" i="24" s="1"/>
  <c r="D11" i="24"/>
  <c r="Z10" i="24"/>
  <c r="Q10" i="24"/>
  <c r="K10" i="24"/>
  <c r="D10" i="24"/>
  <c r="T9" i="24"/>
  <c r="T8" i="24"/>
  <c r="B8" i="24"/>
  <c r="A19" i="24" s="1"/>
  <c r="A21" i="24" s="1"/>
  <c r="T7" i="24"/>
  <c r="C5" i="24"/>
  <c r="B5" i="24"/>
  <c r="AA3" i="24"/>
  <c r="N34" i="23"/>
  <c r="O27" i="23"/>
  <c r="Q25" i="23"/>
  <c r="R25" i="23" s="1"/>
  <c r="R26" i="23" s="1"/>
  <c r="T24" i="23"/>
  <c r="P24" i="23"/>
  <c r="T21" i="23"/>
  <c r="T20" i="23"/>
  <c r="M20" i="23"/>
  <c r="P19" i="23"/>
  <c r="O19" i="23"/>
  <c r="D19" i="23"/>
  <c r="A19" i="23"/>
  <c r="A21" i="23" s="1"/>
  <c r="T17" i="23"/>
  <c r="O17" i="23"/>
  <c r="O15" i="23"/>
  <c r="H15" i="23"/>
  <c r="O14" i="23"/>
  <c r="AA13" i="23"/>
  <c r="Z13" i="23"/>
  <c r="U13" i="23"/>
  <c r="O13" i="23"/>
  <c r="D13" i="23"/>
  <c r="O12" i="23"/>
  <c r="D12" i="23"/>
  <c r="Y11" i="23"/>
  <c r="X11" i="23"/>
  <c r="W11" i="23"/>
  <c r="V11" i="23"/>
  <c r="U11" i="23"/>
  <c r="O11" i="23"/>
  <c r="O16" i="23" s="1"/>
  <c r="D16" i="23" s="1"/>
  <c r="D11" i="23"/>
  <c r="Z10" i="23"/>
  <c r="Q10" i="23"/>
  <c r="K10" i="23"/>
  <c r="D10" i="23"/>
  <c r="T9" i="23"/>
  <c r="T8" i="23"/>
  <c r="B8" i="23"/>
  <c r="A13" i="23" s="1"/>
  <c r="T7" i="23"/>
  <c r="C5" i="23"/>
  <c r="B5" i="23"/>
  <c r="AA3" i="23"/>
  <c r="N34" i="22"/>
  <c r="O27" i="22"/>
  <c r="R25" i="22"/>
  <c r="R26" i="22" s="1"/>
  <c r="Q25" i="22"/>
  <c r="T24" i="22"/>
  <c r="P24" i="22"/>
  <c r="T21" i="22"/>
  <c r="T20" i="22"/>
  <c r="M20" i="22"/>
  <c r="P19" i="22"/>
  <c r="O19" i="22"/>
  <c r="T17" i="22"/>
  <c r="O17" i="22"/>
  <c r="O15" i="22"/>
  <c r="H15" i="22"/>
  <c r="O14" i="22"/>
  <c r="AA13" i="22"/>
  <c r="Z13" i="22"/>
  <c r="D19" i="22" s="1"/>
  <c r="U13" i="22"/>
  <c r="O13" i="22"/>
  <c r="D13" i="22"/>
  <c r="O12" i="22"/>
  <c r="D12" i="22"/>
  <c r="Y11" i="22"/>
  <c r="X11" i="22"/>
  <c r="W11" i="22"/>
  <c r="V11" i="22"/>
  <c r="U11" i="22"/>
  <c r="O11" i="22"/>
  <c r="O16" i="22" s="1"/>
  <c r="D16" i="22" s="1"/>
  <c r="D11" i="22"/>
  <c r="Z10" i="22"/>
  <c r="Q10" i="22"/>
  <c r="K10" i="22"/>
  <c r="D10" i="22"/>
  <c r="T9" i="22"/>
  <c r="T8" i="22"/>
  <c r="B8" i="22"/>
  <c r="A13" i="22" s="1"/>
  <c r="T7" i="22"/>
  <c r="C5" i="22"/>
  <c r="B5" i="22"/>
  <c r="AA3" i="22"/>
  <c r="N34" i="21"/>
  <c r="O27" i="21"/>
  <c r="Q25" i="21"/>
  <c r="R25" i="21" s="1"/>
  <c r="R26" i="21" s="1"/>
  <c r="T24" i="21"/>
  <c r="P24" i="21"/>
  <c r="T21" i="21"/>
  <c r="T20" i="21"/>
  <c r="M20" i="21"/>
  <c r="P19" i="21"/>
  <c r="O19" i="21"/>
  <c r="T17" i="21"/>
  <c r="O17" i="21"/>
  <c r="O15" i="21"/>
  <c r="H15" i="21"/>
  <c r="O14" i="21"/>
  <c r="AA13" i="21"/>
  <c r="Z13" i="21"/>
  <c r="D19" i="21" s="1"/>
  <c r="U13" i="21"/>
  <c r="O13" i="21"/>
  <c r="D13" i="21"/>
  <c r="O12" i="21"/>
  <c r="D12" i="21"/>
  <c r="Y11" i="21"/>
  <c r="X11" i="21"/>
  <c r="W11" i="21"/>
  <c r="V11" i="21"/>
  <c r="U11" i="21"/>
  <c r="O11" i="21"/>
  <c r="O16" i="21" s="1"/>
  <c r="D16" i="21" s="1"/>
  <c r="D11" i="21"/>
  <c r="Z10" i="21"/>
  <c r="Q10" i="21"/>
  <c r="O10" i="21"/>
  <c r="D15" i="21" s="1"/>
  <c r="K10" i="21"/>
  <c r="D10" i="21"/>
  <c r="T9" i="21"/>
  <c r="T8" i="21"/>
  <c r="B8" i="21"/>
  <c r="A19" i="21" s="1"/>
  <c r="A21" i="21" s="1"/>
  <c r="T7" i="21"/>
  <c r="C5" i="21"/>
  <c r="B5" i="21"/>
  <c r="AA3" i="21"/>
  <c r="N34" i="20"/>
  <c r="O27" i="20"/>
  <c r="Q25" i="20"/>
  <c r="R25" i="20" s="1"/>
  <c r="R26" i="20" s="1"/>
  <c r="T24" i="20"/>
  <c r="P24" i="20"/>
  <c r="T21" i="20"/>
  <c r="T20" i="20"/>
  <c r="M20" i="20"/>
  <c r="P19" i="20"/>
  <c r="O19" i="20"/>
  <c r="T17" i="20"/>
  <c r="O17" i="20"/>
  <c r="O15" i="20"/>
  <c r="H15" i="20"/>
  <c r="O14" i="20"/>
  <c r="AA13" i="20"/>
  <c r="Z13" i="20"/>
  <c r="D19" i="20" s="1"/>
  <c r="U13" i="20"/>
  <c r="O13" i="20"/>
  <c r="D13" i="20"/>
  <c r="O12" i="20"/>
  <c r="D12" i="20"/>
  <c r="Y11" i="20"/>
  <c r="X11" i="20"/>
  <c r="W11" i="20"/>
  <c r="V11" i="20"/>
  <c r="U11" i="20"/>
  <c r="O11" i="20"/>
  <c r="O16" i="20" s="1"/>
  <c r="D16" i="20" s="1"/>
  <c r="D11" i="20"/>
  <c r="Z10" i="20"/>
  <c r="Q10" i="20"/>
  <c r="O10" i="20"/>
  <c r="D15" i="20" s="1"/>
  <c r="K10" i="20"/>
  <c r="D10" i="20"/>
  <c r="T9" i="20"/>
  <c r="T8" i="20"/>
  <c r="B8" i="20"/>
  <c r="A19" i="20" s="1"/>
  <c r="A21" i="20" s="1"/>
  <c r="T7" i="20"/>
  <c r="C5" i="20"/>
  <c r="B5" i="20"/>
  <c r="AA3" i="20"/>
  <c r="N34" i="19"/>
  <c r="O27" i="19"/>
  <c r="Q25" i="19"/>
  <c r="R25" i="19" s="1"/>
  <c r="R26" i="19" s="1"/>
  <c r="T24" i="19"/>
  <c r="P24" i="19"/>
  <c r="T21" i="19"/>
  <c r="T20" i="19"/>
  <c r="M20" i="19"/>
  <c r="P19" i="19"/>
  <c r="O19" i="19"/>
  <c r="T17" i="19"/>
  <c r="O17" i="19"/>
  <c r="O15" i="19"/>
  <c r="H15" i="19"/>
  <c r="D15" i="19"/>
  <c r="O14" i="19"/>
  <c r="AA13" i="19"/>
  <c r="Z13" i="19"/>
  <c r="D19" i="19" s="1"/>
  <c r="U13" i="19"/>
  <c r="O13" i="19"/>
  <c r="D13" i="19"/>
  <c r="O12" i="19"/>
  <c r="D12" i="19"/>
  <c r="Y11" i="19"/>
  <c r="X11" i="19"/>
  <c r="W11" i="19"/>
  <c r="V11" i="19"/>
  <c r="U11" i="19"/>
  <c r="O11" i="19"/>
  <c r="O16" i="19" s="1"/>
  <c r="D16" i="19" s="1"/>
  <c r="D11" i="19"/>
  <c r="Z10" i="19"/>
  <c r="Q10" i="19"/>
  <c r="O10" i="19"/>
  <c r="K10" i="19"/>
  <c r="D10" i="19"/>
  <c r="T9" i="19"/>
  <c r="T8" i="19"/>
  <c r="B8" i="19"/>
  <c r="A13" i="19" s="1"/>
  <c r="T7" i="19"/>
  <c r="C5" i="19"/>
  <c r="B5" i="19"/>
  <c r="AA3" i="19"/>
  <c r="N34" i="18"/>
  <c r="O27" i="18"/>
  <c r="R25" i="18"/>
  <c r="R26" i="18" s="1"/>
  <c r="Q25" i="18"/>
  <c r="T24" i="18"/>
  <c r="P24" i="18"/>
  <c r="T21" i="18"/>
  <c r="T20" i="18"/>
  <c r="M20" i="18"/>
  <c r="P19" i="18"/>
  <c r="O19" i="18"/>
  <c r="T17" i="18"/>
  <c r="O17" i="18"/>
  <c r="O15" i="18"/>
  <c r="H15" i="18"/>
  <c r="O14" i="18"/>
  <c r="AA13" i="18"/>
  <c r="Z13" i="18"/>
  <c r="D19" i="18" s="1"/>
  <c r="U13" i="18"/>
  <c r="O13" i="18"/>
  <c r="D13" i="18"/>
  <c r="O12" i="18"/>
  <c r="D12" i="18"/>
  <c r="Y11" i="18"/>
  <c r="X11" i="18"/>
  <c r="W11" i="18"/>
  <c r="V11" i="18"/>
  <c r="U11" i="18"/>
  <c r="O11" i="18"/>
  <c r="O16" i="18" s="1"/>
  <c r="D16" i="18" s="1"/>
  <c r="D11" i="18"/>
  <c r="Z10" i="18"/>
  <c r="K10" i="18" s="1"/>
  <c r="Q10" i="18"/>
  <c r="O10" i="18"/>
  <c r="D15" i="18" s="1"/>
  <c r="D10" i="18"/>
  <c r="T9" i="18"/>
  <c r="T8" i="18"/>
  <c r="B8" i="18"/>
  <c r="A13" i="18" s="1"/>
  <c r="T7" i="18"/>
  <c r="C5" i="18"/>
  <c r="B5" i="18"/>
  <c r="AA3" i="18"/>
  <c r="N34" i="17"/>
  <c r="O27" i="17"/>
  <c r="R25" i="17"/>
  <c r="R26" i="17" s="1"/>
  <c r="Q25" i="17"/>
  <c r="T24" i="17"/>
  <c r="P24" i="17"/>
  <c r="T21" i="17"/>
  <c r="T20" i="17"/>
  <c r="M20" i="17"/>
  <c r="P19" i="17"/>
  <c r="O19" i="17"/>
  <c r="T17" i="17"/>
  <c r="O17" i="17"/>
  <c r="O15" i="17"/>
  <c r="H15" i="17"/>
  <c r="O14" i="17"/>
  <c r="AA13" i="17"/>
  <c r="Z13" i="17"/>
  <c r="D19" i="17" s="1"/>
  <c r="U13" i="17"/>
  <c r="O13" i="17"/>
  <c r="D13" i="17"/>
  <c r="O12" i="17"/>
  <c r="D12" i="17"/>
  <c r="Y11" i="17"/>
  <c r="X11" i="17"/>
  <c r="W11" i="17"/>
  <c r="V11" i="17"/>
  <c r="U11" i="17"/>
  <c r="O11" i="17"/>
  <c r="O16" i="17" s="1"/>
  <c r="D16" i="17" s="1"/>
  <c r="D11" i="17"/>
  <c r="Z10" i="17"/>
  <c r="K10" i="17" s="1"/>
  <c r="Q10" i="17"/>
  <c r="O10" i="17"/>
  <c r="D15" i="17" s="1"/>
  <c r="D10" i="17"/>
  <c r="T9" i="17"/>
  <c r="T8" i="17"/>
  <c r="B8" i="17"/>
  <c r="A13" i="17" s="1"/>
  <c r="T7" i="17"/>
  <c r="C5" i="17"/>
  <c r="B5" i="17"/>
  <c r="AA3" i="17"/>
  <c r="N34" i="16"/>
  <c r="O27" i="16"/>
  <c r="Q25" i="16"/>
  <c r="R25" i="16" s="1"/>
  <c r="R26" i="16" s="1"/>
  <c r="T24" i="16"/>
  <c r="P24" i="16"/>
  <c r="T21" i="16"/>
  <c r="T20" i="16"/>
  <c r="M20" i="16"/>
  <c r="P19" i="16"/>
  <c r="O19" i="16"/>
  <c r="T17" i="16"/>
  <c r="O17" i="16"/>
  <c r="O15" i="16"/>
  <c r="H15" i="16"/>
  <c r="O14" i="16"/>
  <c r="AA13" i="16"/>
  <c r="Z13" i="16"/>
  <c r="D19" i="16" s="1"/>
  <c r="U13" i="16"/>
  <c r="O13" i="16"/>
  <c r="D13" i="16"/>
  <c r="O12" i="16"/>
  <c r="D12" i="16"/>
  <c r="Y11" i="16"/>
  <c r="X11" i="16"/>
  <c r="W11" i="16"/>
  <c r="V11" i="16"/>
  <c r="U11" i="16"/>
  <c r="O11" i="16"/>
  <c r="O16" i="16" s="1"/>
  <c r="D16" i="16" s="1"/>
  <c r="D11" i="16"/>
  <c r="Z10" i="16"/>
  <c r="K10" i="16" s="1"/>
  <c r="Q10" i="16"/>
  <c r="D10" i="16"/>
  <c r="T9" i="16"/>
  <c r="T8" i="16"/>
  <c r="B8" i="16"/>
  <c r="A13" i="16" s="1"/>
  <c r="T7" i="16"/>
  <c r="C5" i="16"/>
  <c r="B5" i="16"/>
  <c r="AA3" i="16"/>
  <c r="N34" i="15"/>
  <c r="O27" i="15"/>
  <c r="Q25" i="15"/>
  <c r="R25" i="15" s="1"/>
  <c r="R26" i="15" s="1"/>
  <c r="T24" i="15"/>
  <c r="P24" i="15"/>
  <c r="T21" i="15"/>
  <c r="T20" i="15"/>
  <c r="M20" i="15"/>
  <c r="P19" i="15"/>
  <c r="O19" i="15"/>
  <c r="T17" i="15"/>
  <c r="O17" i="15"/>
  <c r="O15" i="15"/>
  <c r="H15" i="15"/>
  <c r="O14" i="15"/>
  <c r="AA13" i="15"/>
  <c r="Z13" i="15"/>
  <c r="D19" i="15" s="1"/>
  <c r="U13" i="15"/>
  <c r="O13" i="15"/>
  <c r="D13" i="15"/>
  <c r="O12" i="15"/>
  <c r="D12" i="15"/>
  <c r="Y11" i="15"/>
  <c r="X11" i="15"/>
  <c r="W11" i="15"/>
  <c r="V11" i="15"/>
  <c r="U11" i="15"/>
  <c r="O11" i="15"/>
  <c r="O16" i="15" s="1"/>
  <c r="D16" i="15" s="1"/>
  <c r="D11" i="15"/>
  <c r="Z10" i="15"/>
  <c r="Q10" i="15"/>
  <c r="K10" i="15"/>
  <c r="D10" i="15"/>
  <c r="T9" i="15"/>
  <c r="T8" i="15"/>
  <c r="B8" i="15"/>
  <c r="A13" i="15" s="1"/>
  <c r="T7" i="15"/>
  <c r="C5" i="15"/>
  <c r="B5" i="15"/>
  <c r="AA3" i="15"/>
  <c r="N34" i="14"/>
  <c r="O27" i="14"/>
  <c r="Q25" i="14"/>
  <c r="R25" i="14" s="1"/>
  <c r="R26" i="14" s="1"/>
  <c r="T24" i="14"/>
  <c r="P24" i="14"/>
  <c r="T21" i="14"/>
  <c r="T20" i="14"/>
  <c r="M20" i="14"/>
  <c r="P19" i="14"/>
  <c r="O19" i="14"/>
  <c r="T17" i="14"/>
  <c r="O17" i="14"/>
  <c r="O15" i="14"/>
  <c r="H15" i="14"/>
  <c r="O14" i="14"/>
  <c r="AA13" i="14"/>
  <c r="Z13" i="14"/>
  <c r="D19" i="14" s="1"/>
  <c r="U13" i="14"/>
  <c r="O13" i="14"/>
  <c r="D13" i="14"/>
  <c r="O12" i="14"/>
  <c r="D12" i="14"/>
  <c r="Y11" i="14"/>
  <c r="X11" i="14"/>
  <c r="W11" i="14"/>
  <c r="V11" i="14"/>
  <c r="U11" i="14"/>
  <c r="O11" i="14"/>
  <c r="O16" i="14" s="1"/>
  <c r="D16" i="14" s="1"/>
  <c r="D11" i="14"/>
  <c r="Z10" i="14"/>
  <c r="K10" i="14" s="1"/>
  <c r="Q10" i="14"/>
  <c r="O10" i="14"/>
  <c r="D15" i="14" s="1"/>
  <c r="D10" i="14"/>
  <c r="T9" i="14"/>
  <c r="T8" i="14"/>
  <c r="B8" i="14"/>
  <c r="A13" i="14" s="1"/>
  <c r="T7" i="14"/>
  <c r="C5" i="14"/>
  <c r="B5" i="14"/>
  <c r="AA3" i="14"/>
  <c r="N34" i="13"/>
  <c r="O27" i="13"/>
  <c r="Q25" i="13"/>
  <c r="R25" i="13" s="1"/>
  <c r="R26" i="13" s="1"/>
  <c r="T24" i="13"/>
  <c r="P24" i="13"/>
  <c r="T21" i="13"/>
  <c r="T20" i="13"/>
  <c r="M20" i="13"/>
  <c r="P19" i="13"/>
  <c r="O19" i="13"/>
  <c r="T17" i="13"/>
  <c r="O17" i="13"/>
  <c r="O15" i="13"/>
  <c r="H15" i="13"/>
  <c r="O14" i="13"/>
  <c r="AA13" i="13"/>
  <c r="Z13" i="13"/>
  <c r="D19" i="13" s="1"/>
  <c r="U13" i="13"/>
  <c r="O13" i="13"/>
  <c r="D13" i="13"/>
  <c r="O12" i="13"/>
  <c r="D12" i="13"/>
  <c r="Y11" i="13"/>
  <c r="X11" i="13"/>
  <c r="W11" i="13"/>
  <c r="V11" i="13"/>
  <c r="U11" i="13"/>
  <c r="O11" i="13"/>
  <c r="O16" i="13" s="1"/>
  <c r="D16" i="13" s="1"/>
  <c r="D11" i="13"/>
  <c r="Z10" i="13"/>
  <c r="K10" i="13" s="1"/>
  <c r="Q10" i="13"/>
  <c r="O10" i="13"/>
  <c r="D15" i="13" s="1"/>
  <c r="D10" i="13"/>
  <c r="T9" i="13"/>
  <c r="T8" i="13"/>
  <c r="B8" i="13"/>
  <c r="A13" i="13" s="1"/>
  <c r="T7" i="13"/>
  <c r="C5" i="13"/>
  <c r="B5" i="13"/>
  <c r="AA3" i="13"/>
  <c r="N34" i="12"/>
  <c r="O27" i="12"/>
  <c r="Q25" i="12"/>
  <c r="R25" i="12" s="1"/>
  <c r="R26" i="12" s="1"/>
  <c r="T24" i="12"/>
  <c r="P24" i="12"/>
  <c r="T21" i="12"/>
  <c r="T20" i="12"/>
  <c r="M20" i="12"/>
  <c r="P19" i="12"/>
  <c r="O19" i="12"/>
  <c r="T17" i="12"/>
  <c r="O17" i="12"/>
  <c r="O15" i="12"/>
  <c r="H15" i="12"/>
  <c r="O14" i="12"/>
  <c r="AA13" i="12"/>
  <c r="Z13" i="12"/>
  <c r="D19" i="12" s="1"/>
  <c r="U13" i="12"/>
  <c r="O13" i="12"/>
  <c r="D13" i="12"/>
  <c r="O12" i="12"/>
  <c r="D12" i="12"/>
  <c r="Y11" i="12"/>
  <c r="X11" i="12"/>
  <c r="W11" i="12"/>
  <c r="V11" i="12"/>
  <c r="U11" i="12"/>
  <c r="O11" i="12"/>
  <c r="O16" i="12" s="1"/>
  <c r="D16" i="12" s="1"/>
  <c r="D11" i="12"/>
  <c r="Z10" i="12"/>
  <c r="K10" i="12" s="1"/>
  <c r="Q10" i="12"/>
  <c r="O10" i="12"/>
  <c r="D15" i="12" s="1"/>
  <c r="D10" i="12"/>
  <c r="T9" i="12"/>
  <c r="T8" i="12"/>
  <c r="B8" i="12"/>
  <c r="A13" i="12" s="1"/>
  <c r="T7" i="12"/>
  <c r="C5" i="12"/>
  <c r="B5" i="12"/>
  <c r="AA3" i="12"/>
  <c r="N34" i="11"/>
  <c r="O27" i="11"/>
  <c r="Q25" i="11"/>
  <c r="R25" i="11" s="1"/>
  <c r="R26" i="11" s="1"/>
  <c r="T24" i="11"/>
  <c r="P24" i="11"/>
  <c r="T21" i="11"/>
  <c r="T20" i="11"/>
  <c r="M20" i="11"/>
  <c r="P19" i="11"/>
  <c r="O19" i="11"/>
  <c r="T17" i="11"/>
  <c r="O17" i="11"/>
  <c r="O16" i="11"/>
  <c r="D16" i="11" s="1"/>
  <c r="O15" i="11"/>
  <c r="H15" i="11"/>
  <c r="A15" i="11"/>
  <c r="O14" i="11"/>
  <c r="AA13" i="11"/>
  <c r="Z13" i="11"/>
  <c r="D19" i="11" s="1"/>
  <c r="U13" i="11"/>
  <c r="O13" i="11"/>
  <c r="D13" i="11"/>
  <c r="O12" i="11"/>
  <c r="D12" i="11"/>
  <c r="Y11" i="11"/>
  <c r="X11" i="11"/>
  <c r="W11" i="11"/>
  <c r="V11" i="11"/>
  <c r="U11" i="11"/>
  <c r="O11" i="11"/>
  <c r="D11" i="11"/>
  <c r="Z10" i="11"/>
  <c r="K10" i="11" s="1"/>
  <c r="Q10" i="11"/>
  <c r="O10" i="11"/>
  <c r="D15" i="11" s="1"/>
  <c r="D10" i="11"/>
  <c r="T9" i="11"/>
  <c r="B9" i="11"/>
  <c r="A9" i="11"/>
  <c r="T8" i="11"/>
  <c r="B8" i="11"/>
  <c r="A13" i="11" s="1"/>
  <c r="T7" i="11"/>
  <c r="C7" i="11"/>
  <c r="B7" i="11"/>
  <c r="C5" i="11"/>
  <c r="B5" i="11"/>
  <c r="AA3" i="11"/>
  <c r="N34" i="10"/>
  <c r="O27" i="10"/>
  <c r="Q25" i="10"/>
  <c r="R25" i="10" s="1"/>
  <c r="R26" i="10" s="1"/>
  <c r="T24" i="10"/>
  <c r="P24" i="10"/>
  <c r="T21" i="10"/>
  <c r="T20" i="10"/>
  <c r="M20" i="10"/>
  <c r="P19" i="10"/>
  <c r="O19" i="10"/>
  <c r="T17" i="10"/>
  <c r="O17" i="10"/>
  <c r="O15" i="10"/>
  <c r="H15" i="10"/>
  <c r="O14" i="10"/>
  <c r="AA13" i="10"/>
  <c r="Z13" i="10"/>
  <c r="D19" i="10" s="1"/>
  <c r="U13" i="10"/>
  <c r="O13" i="10"/>
  <c r="D13" i="10"/>
  <c r="O12" i="10"/>
  <c r="D12" i="10"/>
  <c r="Y11" i="10"/>
  <c r="X11" i="10"/>
  <c r="W11" i="10"/>
  <c r="V11" i="10"/>
  <c r="U11" i="10"/>
  <c r="O11" i="10"/>
  <c r="O16" i="10" s="1"/>
  <c r="D16" i="10" s="1"/>
  <c r="D11" i="10"/>
  <c r="Z10" i="10"/>
  <c r="Q10" i="10"/>
  <c r="O10" i="10"/>
  <c r="D15" i="10" s="1"/>
  <c r="K10" i="10"/>
  <c r="D10" i="10"/>
  <c r="T9" i="10"/>
  <c r="T8" i="10"/>
  <c r="B8" i="10"/>
  <c r="A7" i="10" s="1"/>
  <c r="T7" i="10"/>
  <c r="C5" i="10"/>
  <c r="B5" i="10"/>
  <c r="AA3" i="10"/>
  <c r="N34" i="9"/>
  <c r="O27" i="9"/>
  <c r="Q25" i="9"/>
  <c r="R25" i="9" s="1"/>
  <c r="R26" i="9" s="1"/>
  <c r="T24" i="9"/>
  <c r="P24" i="9"/>
  <c r="T21" i="9"/>
  <c r="T20" i="9"/>
  <c r="M20" i="9"/>
  <c r="P19" i="9"/>
  <c r="O19" i="9"/>
  <c r="D19" i="9"/>
  <c r="A19" i="9"/>
  <c r="A21" i="9" s="1"/>
  <c r="T17" i="9"/>
  <c r="O17" i="9"/>
  <c r="O15" i="9"/>
  <c r="H15" i="9"/>
  <c r="D15" i="9"/>
  <c r="O14" i="9"/>
  <c r="AA13" i="9"/>
  <c r="Z13" i="9"/>
  <c r="U13" i="9"/>
  <c r="O13" i="9"/>
  <c r="D13" i="9"/>
  <c r="O12" i="9"/>
  <c r="D12" i="9"/>
  <c r="Y11" i="9"/>
  <c r="X11" i="9"/>
  <c r="W11" i="9"/>
  <c r="V11" i="9"/>
  <c r="U11" i="9"/>
  <c r="O11" i="9"/>
  <c r="O16" i="9" s="1"/>
  <c r="D16" i="9" s="1"/>
  <c r="D11" i="9"/>
  <c r="Z10" i="9"/>
  <c r="Q10" i="9"/>
  <c r="O10" i="9"/>
  <c r="K10" i="9"/>
  <c r="D10" i="9"/>
  <c r="T9" i="9"/>
  <c r="T8" i="9"/>
  <c r="B8" i="9"/>
  <c r="A13" i="9" s="1"/>
  <c r="T7" i="9"/>
  <c r="C5" i="9"/>
  <c r="B5" i="9"/>
  <c r="AA3" i="9"/>
  <c r="N34" i="8"/>
  <c r="O27" i="8"/>
  <c r="Q25" i="8"/>
  <c r="R25" i="8" s="1"/>
  <c r="R26" i="8" s="1"/>
  <c r="T24" i="8"/>
  <c r="P24" i="8"/>
  <c r="T21" i="8"/>
  <c r="T20" i="8"/>
  <c r="M20" i="8"/>
  <c r="P19" i="8"/>
  <c r="O19" i="8"/>
  <c r="D19" i="8"/>
  <c r="T17" i="8"/>
  <c r="O17" i="8"/>
  <c r="O15" i="8"/>
  <c r="H15" i="8"/>
  <c r="O14" i="8"/>
  <c r="AA13" i="8"/>
  <c r="Z13" i="8"/>
  <c r="U13" i="8"/>
  <c r="O13" i="8"/>
  <c r="D13" i="8"/>
  <c r="O12" i="8"/>
  <c r="D12" i="8"/>
  <c r="Y11" i="8"/>
  <c r="X11" i="8"/>
  <c r="W11" i="8"/>
  <c r="V11" i="8"/>
  <c r="U11" i="8"/>
  <c r="O11" i="8"/>
  <c r="O16" i="8" s="1"/>
  <c r="D16" i="8" s="1"/>
  <c r="D11" i="8"/>
  <c r="Z10" i="8"/>
  <c r="K10" i="8" s="1"/>
  <c r="Q10" i="8"/>
  <c r="O10" i="8"/>
  <c r="D15" i="8" s="1"/>
  <c r="D10" i="8"/>
  <c r="T9" i="8"/>
  <c r="T8" i="8"/>
  <c r="B8" i="8"/>
  <c r="A13" i="8" s="1"/>
  <c r="T7" i="8"/>
  <c r="C5" i="8"/>
  <c r="B5" i="8"/>
  <c r="AA3" i="8"/>
  <c r="N34" i="7"/>
  <c r="O27" i="7"/>
  <c r="Q25" i="7"/>
  <c r="R25" i="7" s="1"/>
  <c r="R26" i="7" s="1"/>
  <c r="T24" i="7"/>
  <c r="P24" i="7"/>
  <c r="T21" i="7"/>
  <c r="T20" i="7"/>
  <c r="M20" i="7"/>
  <c r="P19" i="7"/>
  <c r="O19" i="7"/>
  <c r="T17" i="7"/>
  <c r="O17" i="7"/>
  <c r="O16" i="7"/>
  <c r="D16" i="7" s="1"/>
  <c r="O15" i="7"/>
  <c r="H15" i="7"/>
  <c r="D15" i="7"/>
  <c r="O14" i="7"/>
  <c r="AA13" i="7"/>
  <c r="Z13" i="7"/>
  <c r="D19" i="7" s="1"/>
  <c r="U13" i="7"/>
  <c r="O13" i="7"/>
  <c r="D13" i="7"/>
  <c r="A13" i="7"/>
  <c r="O12" i="7"/>
  <c r="D12" i="7"/>
  <c r="Y11" i="7"/>
  <c r="X11" i="7"/>
  <c r="W11" i="7"/>
  <c r="V11" i="7"/>
  <c r="U11" i="7"/>
  <c r="O11" i="7"/>
  <c r="D11" i="7"/>
  <c r="Z10" i="7"/>
  <c r="K10" i="7" s="1"/>
  <c r="Q10" i="7"/>
  <c r="O10" i="7"/>
  <c r="D10" i="7"/>
  <c r="T9" i="7"/>
  <c r="A9" i="7"/>
  <c r="T8" i="7"/>
  <c r="B8" i="7"/>
  <c r="A7" i="7" s="1"/>
  <c r="T7" i="7"/>
  <c r="B7" i="7"/>
  <c r="A16" i="7" s="1"/>
  <c r="C5" i="7"/>
  <c r="B5" i="7"/>
  <c r="AA3" i="7"/>
  <c r="N34" i="6"/>
  <c r="O27" i="6"/>
  <c r="Q25" i="6"/>
  <c r="R25" i="6" s="1"/>
  <c r="R26" i="6" s="1"/>
  <c r="T24" i="6"/>
  <c r="P24" i="6"/>
  <c r="T21" i="6"/>
  <c r="T20" i="6"/>
  <c r="M20" i="6"/>
  <c r="P19" i="6"/>
  <c r="O19" i="6"/>
  <c r="T17" i="6"/>
  <c r="O17" i="6"/>
  <c r="O16" i="6"/>
  <c r="D16" i="6" s="1"/>
  <c r="O15" i="6"/>
  <c r="H15" i="6"/>
  <c r="O14" i="6"/>
  <c r="AA13" i="6"/>
  <c r="Z13" i="6"/>
  <c r="D19" i="6" s="1"/>
  <c r="U13" i="6"/>
  <c r="O13" i="6"/>
  <c r="D13" i="6"/>
  <c r="A13" i="6"/>
  <c r="O12" i="6"/>
  <c r="D12" i="6"/>
  <c r="Y11" i="6"/>
  <c r="X11" i="6"/>
  <c r="W11" i="6"/>
  <c r="V11" i="6"/>
  <c r="U11" i="6"/>
  <c r="O11" i="6"/>
  <c r="D11" i="6"/>
  <c r="Z10" i="6"/>
  <c r="K10" i="6" s="1"/>
  <c r="Q10" i="6"/>
  <c r="O10" i="6"/>
  <c r="D15" i="6" s="1"/>
  <c r="D10" i="6"/>
  <c r="T9" i="6"/>
  <c r="A9" i="6"/>
  <c r="T8" i="6"/>
  <c r="B8" i="6"/>
  <c r="A7" i="6" s="1"/>
  <c r="T7" i="6"/>
  <c r="B7" i="6"/>
  <c r="C5" i="6"/>
  <c r="B5" i="6"/>
  <c r="AA3" i="6"/>
  <c r="N34" i="5"/>
  <c r="O27" i="5"/>
  <c r="Q25" i="5"/>
  <c r="R25" i="5" s="1"/>
  <c r="R26" i="5" s="1"/>
  <c r="T24" i="5"/>
  <c r="P24" i="5"/>
  <c r="T21" i="5"/>
  <c r="T20" i="5"/>
  <c r="M20" i="5"/>
  <c r="P19" i="5"/>
  <c r="O19" i="5"/>
  <c r="T17" i="5"/>
  <c r="O17" i="5"/>
  <c r="O16" i="5"/>
  <c r="D16" i="5" s="1"/>
  <c r="O15" i="5"/>
  <c r="H15" i="5"/>
  <c r="O14" i="5"/>
  <c r="AA13" i="5"/>
  <c r="Z13" i="5"/>
  <c r="D19" i="5" s="1"/>
  <c r="U13" i="5"/>
  <c r="O13" i="5"/>
  <c r="D13" i="5"/>
  <c r="A13" i="5"/>
  <c r="O12" i="5"/>
  <c r="D12" i="5"/>
  <c r="Y11" i="5"/>
  <c r="X11" i="5"/>
  <c r="W11" i="5"/>
  <c r="V11" i="5"/>
  <c r="U11" i="5"/>
  <c r="O11" i="5"/>
  <c r="D11" i="5"/>
  <c r="Z10" i="5"/>
  <c r="K10" i="5" s="1"/>
  <c r="Q10" i="5"/>
  <c r="O10" i="5"/>
  <c r="D15" i="5" s="1"/>
  <c r="D10" i="5"/>
  <c r="T9" i="5"/>
  <c r="A9" i="5"/>
  <c r="T8" i="5"/>
  <c r="B8" i="5"/>
  <c r="A7" i="5" s="1"/>
  <c r="T7" i="5"/>
  <c r="B7" i="5"/>
  <c r="A15" i="5" s="1"/>
  <c r="C5" i="5"/>
  <c r="B5" i="5"/>
  <c r="AA3" i="5"/>
  <c r="N34" i="4"/>
  <c r="O27" i="4"/>
  <c r="R25" i="4"/>
  <c r="R26" i="4" s="1"/>
  <c r="Q25" i="4"/>
  <c r="T24" i="4"/>
  <c r="P24" i="4"/>
  <c r="T21" i="4"/>
  <c r="T20" i="4"/>
  <c r="M20" i="4"/>
  <c r="P19" i="4"/>
  <c r="O19" i="4"/>
  <c r="T17" i="4"/>
  <c r="O17" i="4"/>
  <c r="O16" i="4"/>
  <c r="D16" i="4" s="1"/>
  <c r="O15" i="4"/>
  <c r="H15" i="4"/>
  <c r="O14" i="4"/>
  <c r="AA13" i="4"/>
  <c r="Z13" i="4"/>
  <c r="D19" i="4" s="1"/>
  <c r="U13" i="4"/>
  <c r="O13" i="4"/>
  <c r="D13" i="4"/>
  <c r="A13" i="4"/>
  <c r="O12" i="4"/>
  <c r="D12" i="4"/>
  <c r="Y11" i="4"/>
  <c r="X11" i="4"/>
  <c r="W11" i="4"/>
  <c r="V11" i="4"/>
  <c r="U11" i="4"/>
  <c r="O11" i="4"/>
  <c r="D11" i="4"/>
  <c r="Z10" i="4"/>
  <c r="K10" i="4" s="1"/>
  <c r="Q10" i="4"/>
  <c r="O10" i="4"/>
  <c r="D15" i="4" s="1"/>
  <c r="D10" i="4"/>
  <c r="T9" i="4"/>
  <c r="A9" i="4"/>
  <c r="T8" i="4"/>
  <c r="B8" i="4"/>
  <c r="A7" i="4" s="1"/>
  <c r="T7" i="4"/>
  <c r="B7" i="4"/>
  <c r="A15" i="4" s="1"/>
  <c r="C5" i="4"/>
  <c r="B5" i="4"/>
  <c r="AA3" i="4"/>
  <c r="N34" i="3"/>
  <c r="O27" i="3"/>
  <c r="Q25" i="3"/>
  <c r="R25" i="3" s="1"/>
  <c r="R26" i="3" s="1"/>
  <c r="T24" i="3"/>
  <c r="P24" i="3"/>
  <c r="T21" i="3"/>
  <c r="T20" i="3"/>
  <c r="M20" i="3"/>
  <c r="P19" i="3"/>
  <c r="O19" i="3"/>
  <c r="T17" i="3"/>
  <c r="O17" i="3"/>
  <c r="O16" i="3"/>
  <c r="D16" i="3" s="1"/>
  <c r="O15" i="3"/>
  <c r="H15" i="3"/>
  <c r="O14" i="3"/>
  <c r="AA13" i="3"/>
  <c r="Z13" i="3"/>
  <c r="D19" i="3" s="1"/>
  <c r="U13" i="3"/>
  <c r="O13" i="3"/>
  <c r="D13" i="3"/>
  <c r="A13" i="3"/>
  <c r="O12" i="3"/>
  <c r="D12" i="3"/>
  <c r="Y11" i="3"/>
  <c r="X11" i="3"/>
  <c r="W11" i="3"/>
  <c r="V11" i="3"/>
  <c r="U11" i="3"/>
  <c r="O11" i="3"/>
  <c r="D11" i="3"/>
  <c r="Z10" i="3"/>
  <c r="K10" i="3" s="1"/>
  <c r="Q10" i="3"/>
  <c r="O10" i="3"/>
  <c r="D15" i="3" s="1"/>
  <c r="D10" i="3"/>
  <c r="T9" i="3"/>
  <c r="A9" i="3"/>
  <c r="T8" i="3"/>
  <c r="B8" i="3"/>
  <c r="A7" i="3" s="1"/>
  <c r="T7" i="3"/>
  <c r="B7" i="3"/>
  <c r="C5" i="3"/>
  <c r="B5" i="3"/>
  <c r="AA3" i="3"/>
  <c r="V19" i="3" l="1"/>
  <c r="U19" i="3" s="1"/>
  <c r="H14" i="3" s="1"/>
  <c r="N20" i="34"/>
  <c r="C8" i="34" s="1"/>
  <c r="A7" i="34"/>
  <c r="B7" i="34"/>
  <c r="A9" i="34"/>
  <c r="A13" i="34"/>
  <c r="A7" i="33"/>
  <c r="N20" i="33"/>
  <c r="C8" i="33" s="1"/>
  <c r="B7" i="33"/>
  <c r="A9" i="33"/>
  <c r="A13" i="33"/>
  <c r="N20" i="32"/>
  <c r="C8" i="32" s="1"/>
  <c r="A7" i="32"/>
  <c r="A19" i="32"/>
  <c r="A21" i="32" s="1"/>
  <c r="B7" i="32"/>
  <c r="A9" i="32"/>
  <c r="A7" i="31"/>
  <c r="A19" i="31"/>
  <c r="A21" i="31" s="1"/>
  <c r="N20" i="31"/>
  <c r="C8" i="31" s="1"/>
  <c r="B7" i="31"/>
  <c r="A9" i="31"/>
  <c r="N20" i="30"/>
  <c r="C8" i="30" s="1"/>
  <c r="A7" i="30"/>
  <c r="B7" i="30"/>
  <c r="A9" i="30"/>
  <c r="A13" i="30"/>
  <c r="A19" i="29"/>
  <c r="A21" i="29" s="1"/>
  <c r="N20" i="29"/>
  <c r="C8" i="29" s="1"/>
  <c r="A7" i="29"/>
  <c r="B7" i="29"/>
  <c r="A9" i="29"/>
  <c r="N20" i="28"/>
  <c r="C8" i="28" s="1"/>
  <c r="B7" i="28"/>
  <c r="A9" i="28"/>
  <c r="A13" i="28"/>
  <c r="A19" i="28"/>
  <c r="A21" i="28" s="1"/>
  <c r="N20" i="27"/>
  <c r="C8" i="27" s="1"/>
  <c r="A7" i="27"/>
  <c r="B7" i="27"/>
  <c r="A9" i="27"/>
  <c r="A13" i="27"/>
  <c r="N20" i="26"/>
  <c r="C8" i="26" s="1"/>
  <c r="A7" i="26"/>
  <c r="A19" i="26"/>
  <c r="A21" i="26" s="1"/>
  <c r="B7" i="26"/>
  <c r="A9" i="26"/>
  <c r="N20" i="25"/>
  <c r="C8" i="25" s="1"/>
  <c r="A7" i="25"/>
  <c r="A19" i="25"/>
  <c r="A21" i="25" s="1"/>
  <c r="B7" i="25"/>
  <c r="A9" i="25"/>
  <c r="N20" i="24"/>
  <c r="C8" i="24" s="1"/>
  <c r="A7" i="24"/>
  <c r="B7" i="24"/>
  <c r="A9" i="24"/>
  <c r="A13" i="24"/>
  <c r="N20" i="23"/>
  <c r="C8" i="23" s="1"/>
  <c r="A7" i="23"/>
  <c r="B7" i="23"/>
  <c r="A9" i="23"/>
  <c r="A19" i="22"/>
  <c r="A21" i="22" s="1"/>
  <c r="N20" i="22"/>
  <c r="C8" i="22" s="1"/>
  <c r="A7" i="22"/>
  <c r="B7" i="22"/>
  <c r="A9" i="22"/>
  <c r="N20" i="21"/>
  <c r="C8" i="21" s="1"/>
  <c r="A7" i="21"/>
  <c r="B7" i="21"/>
  <c r="A9" i="21"/>
  <c r="A13" i="21"/>
  <c r="N20" i="20"/>
  <c r="C8" i="20" s="1"/>
  <c r="A7" i="20"/>
  <c r="B7" i="20"/>
  <c r="A9" i="20"/>
  <c r="A13" i="20"/>
  <c r="A19" i="19"/>
  <c r="A21" i="19" s="1"/>
  <c r="A7" i="19"/>
  <c r="N20" i="19"/>
  <c r="C8" i="19" s="1"/>
  <c r="B7" i="19"/>
  <c r="A9" i="19"/>
  <c r="A19" i="18"/>
  <c r="A21" i="18" s="1"/>
  <c r="N20" i="18"/>
  <c r="C8" i="18" s="1"/>
  <c r="A7" i="18"/>
  <c r="B7" i="18"/>
  <c r="A9" i="18"/>
  <c r="N20" i="17"/>
  <c r="C8" i="17" s="1"/>
  <c r="A19" i="17"/>
  <c r="A21" i="17" s="1"/>
  <c r="A7" i="17"/>
  <c r="B7" i="17"/>
  <c r="A9" i="17"/>
  <c r="N20" i="16"/>
  <c r="C8" i="16" s="1"/>
  <c r="A7" i="16"/>
  <c r="A19" i="16"/>
  <c r="A21" i="16" s="1"/>
  <c r="B7" i="16"/>
  <c r="A9" i="16"/>
  <c r="A7" i="15"/>
  <c r="A19" i="15"/>
  <c r="A21" i="15" s="1"/>
  <c r="N20" i="15"/>
  <c r="C8" i="15" s="1"/>
  <c r="B7" i="15"/>
  <c r="A9" i="15"/>
  <c r="A19" i="14"/>
  <c r="A21" i="14" s="1"/>
  <c r="A7" i="14"/>
  <c r="N20" i="14"/>
  <c r="C8" i="14" s="1"/>
  <c r="B7" i="14"/>
  <c r="A9" i="14"/>
  <c r="A19" i="13"/>
  <c r="A21" i="13" s="1"/>
  <c r="N20" i="13"/>
  <c r="C8" i="13" s="1"/>
  <c r="A7" i="13"/>
  <c r="B7" i="13"/>
  <c r="A9" i="13"/>
  <c r="A19" i="12"/>
  <c r="A21" i="12" s="1"/>
  <c r="N20" i="12"/>
  <c r="C8" i="12" s="1"/>
  <c r="A7" i="12"/>
  <c r="B7" i="12"/>
  <c r="A9" i="12"/>
  <c r="V19" i="11"/>
  <c r="U19" i="11" s="1"/>
  <c r="F7" i="11"/>
  <c r="N20" i="11"/>
  <c r="C8" i="11" s="1"/>
  <c r="D7" i="11"/>
  <c r="N19" i="11" s="1"/>
  <c r="A16" i="11"/>
  <c r="A17" i="11" s="1"/>
  <c r="A19" i="11"/>
  <c r="A21" i="11" s="1"/>
  <c r="A7" i="11"/>
  <c r="A19" i="10"/>
  <c r="A21" i="10" s="1"/>
  <c r="B7" i="10"/>
  <c r="A9" i="10"/>
  <c r="A13" i="10"/>
  <c r="N20" i="10"/>
  <c r="C8" i="10" s="1"/>
  <c r="N20" i="9"/>
  <c r="C8" i="9" s="1"/>
  <c r="A7" i="9"/>
  <c r="B7" i="9"/>
  <c r="A9" i="9"/>
  <c r="A7" i="8"/>
  <c r="A19" i="8"/>
  <c r="A21" i="8" s="1"/>
  <c r="N20" i="8"/>
  <c r="C8" i="8" s="1"/>
  <c r="B7" i="8"/>
  <c r="A9" i="8"/>
  <c r="V19" i="7"/>
  <c r="U19" i="7" s="1"/>
  <c r="N20" i="7"/>
  <c r="C8" i="7" s="1"/>
  <c r="C7" i="7"/>
  <c r="F7" i="7" s="1"/>
  <c r="B9" i="7"/>
  <c r="D7" i="7"/>
  <c r="N19" i="7" s="1"/>
  <c r="A15" i="7"/>
  <c r="A17" i="7" s="1"/>
  <c r="A19" i="7"/>
  <c r="A21" i="7" s="1"/>
  <c r="V19" i="6"/>
  <c r="U19" i="6" s="1"/>
  <c r="A15" i="6"/>
  <c r="B9" i="6"/>
  <c r="A16" i="6"/>
  <c r="A19" i="6"/>
  <c r="A21" i="6" s="1"/>
  <c r="C7" i="6"/>
  <c r="F7" i="6" s="1"/>
  <c r="N20" i="6"/>
  <c r="C8" i="6" s="1"/>
  <c r="C7" i="5"/>
  <c r="F7" i="5" s="1"/>
  <c r="B9" i="5"/>
  <c r="A16" i="5"/>
  <c r="A17" i="5" s="1"/>
  <c r="V19" i="5"/>
  <c r="U19" i="5" s="1"/>
  <c r="D7" i="5"/>
  <c r="N19" i="5" s="1"/>
  <c r="N20" i="5"/>
  <c r="C8" i="5" s="1"/>
  <c r="A19" i="5"/>
  <c r="A21" i="5" s="1"/>
  <c r="V19" i="4"/>
  <c r="U19" i="4" s="1"/>
  <c r="A16" i="4"/>
  <c r="A17" i="4" s="1"/>
  <c r="A19" i="4"/>
  <c r="A21" i="4" s="1"/>
  <c r="N20" i="4"/>
  <c r="C8" i="4" s="1"/>
  <c r="C7" i="4"/>
  <c r="F7" i="4" s="1"/>
  <c r="B9" i="4"/>
  <c r="A15" i="3"/>
  <c r="A19" i="3"/>
  <c r="A21" i="3" s="1"/>
  <c r="A16" i="3"/>
  <c r="N20" i="3"/>
  <c r="C8" i="3" s="1"/>
  <c r="C7" i="3"/>
  <c r="F7" i="3" s="1"/>
  <c r="B9" i="3"/>
  <c r="D14" i="3" l="1"/>
  <c r="D17" i="3" s="1"/>
  <c r="E7" i="3" s="1"/>
  <c r="G7" i="3" s="1"/>
  <c r="H8" i="3" s="1"/>
  <c r="V19" i="34"/>
  <c r="U19" i="34" s="1"/>
  <c r="B9" i="34"/>
  <c r="C7" i="34"/>
  <c r="F7" i="34" s="1"/>
  <c r="A16" i="34"/>
  <c r="D7" i="34"/>
  <c r="N19" i="34" s="1"/>
  <c r="A15" i="34"/>
  <c r="A17" i="34" s="1"/>
  <c r="V19" i="33"/>
  <c r="U19" i="33" s="1"/>
  <c r="B9" i="33"/>
  <c r="C7" i="33"/>
  <c r="F7" i="33" s="1"/>
  <c r="A16" i="33"/>
  <c r="A15" i="33"/>
  <c r="A17" i="33" s="1"/>
  <c r="D7" i="33"/>
  <c r="N19" i="33" s="1"/>
  <c r="V19" i="32"/>
  <c r="U19" i="32" s="1"/>
  <c r="B9" i="32"/>
  <c r="C7" i="32"/>
  <c r="F7" i="32" s="1"/>
  <c r="D7" i="32"/>
  <c r="N19" i="32" s="1"/>
  <c r="A16" i="32"/>
  <c r="A15" i="32"/>
  <c r="A17" i="32" s="1"/>
  <c r="V19" i="31"/>
  <c r="U19" i="31" s="1"/>
  <c r="B9" i="31"/>
  <c r="C7" i="31"/>
  <c r="F7" i="31" s="1"/>
  <c r="A16" i="31"/>
  <c r="A15" i="31"/>
  <c r="A17" i="31" s="1"/>
  <c r="D7" i="31"/>
  <c r="N19" i="31" s="1"/>
  <c r="V19" i="30"/>
  <c r="U19" i="30" s="1"/>
  <c r="B9" i="30"/>
  <c r="C7" i="30"/>
  <c r="F7" i="30" s="1"/>
  <c r="A15" i="30"/>
  <c r="A17" i="30" s="1"/>
  <c r="A16" i="30"/>
  <c r="V19" i="29"/>
  <c r="U19" i="29" s="1"/>
  <c r="B9" i="29"/>
  <c r="C7" i="29"/>
  <c r="F7" i="29" s="1"/>
  <c r="D7" i="29"/>
  <c r="N19" i="29" s="1"/>
  <c r="A16" i="29"/>
  <c r="A15" i="29"/>
  <c r="A17" i="29" s="1"/>
  <c r="V19" i="28"/>
  <c r="U19" i="28" s="1"/>
  <c r="B9" i="28"/>
  <c r="C7" i="28"/>
  <c r="F7" i="28" s="1"/>
  <c r="D7" i="28"/>
  <c r="N19" i="28" s="1"/>
  <c r="A15" i="28"/>
  <c r="A16" i="28"/>
  <c r="V19" i="27"/>
  <c r="U19" i="27" s="1"/>
  <c r="B9" i="27"/>
  <c r="C7" i="27"/>
  <c r="F7" i="27" s="1"/>
  <c r="A16" i="27"/>
  <c r="A15" i="27"/>
  <c r="A17" i="27" s="1"/>
  <c r="D7" i="27"/>
  <c r="N19" i="27" s="1"/>
  <c r="V19" i="26"/>
  <c r="U19" i="26" s="1"/>
  <c r="B9" i="26"/>
  <c r="C7" i="26"/>
  <c r="F7" i="26" s="1"/>
  <c r="A15" i="26"/>
  <c r="D7" i="26"/>
  <c r="N19" i="26" s="1"/>
  <c r="A16" i="26"/>
  <c r="V19" i="25"/>
  <c r="U19" i="25" s="1"/>
  <c r="B9" i="25"/>
  <c r="C7" i="25"/>
  <c r="F7" i="25" s="1"/>
  <c r="A16" i="25"/>
  <c r="A15" i="25"/>
  <c r="A17" i="25" s="1"/>
  <c r="D7" i="25"/>
  <c r="N19" i="25" s="1"/>
  <c r="V19" i="24"/>
  <c r="U19" i="24" s="1"/>
  <c r="B9" i="24"/>
  <c r="C7" i="24"/>
  <c r="F7" i="24" s="1"/>
  <c r="A15" i="24"/>
  <c r="D7" i="24"/>
  <c r="N19" i="24" s="1"/>
  <c r="A16" i="24"/>
  <c r="V19" i="23"/>
  <c r="U19" i="23" s="1"/>
  <c r="B9" i="23"/>
  <c r="C7" i="23"/>
  <c r="F7" i="23" s="1"/>
  <c r="A16" i="23"/>
  <c r="A15" i="23"/>
  <c r="A17" i="23" s="1"/>
  <c r="D7" i="23"/>
  <c r="N19" i="23" s="1"/>
  <c r="V19" i="22"/>
  <c r="U19" i="22" s="1"/>
  <c r="B9" i="22"/>
  <c r="C7" i="22"/>
  <c r="F7" i="22" s="1"/>
  <c r="A15" i="22"/>
  <c r="A16" i="22"/>
  <c r="D7" i="22"/>
  <c r="V19" i="21"/>
  <c r="U19" i="21" s="1"/>
  <c r="B9" i="21"/>
  <c r="C7" i="21"/>
  <c r="F7" i="21" s="1"/>
  <c r="D7" i="21"/>
  <c r="N19" i="21" s="1"/>
  <c r="A16" i="21"/>
  <c r="A15" i="21"/>
  <c r="A17" i="21" s="1"/>
  <c r="V19" i="20"/>
  <c r="U19" i="20" s="1"/>
  <c r="B9" i="20"/>
  <c r="C7" i="20"/>
  <c r="F7" i="20" s="1"/>
  <c r="A16" i="20"/>
  <c r="A15" i="20"/>
  <c r="A17" i="20" s="1"/>
  <c r="D7" i="20"/>
  <c r="N19" i="20" s="1"/>
  <c r="V19" i="19"/>
  <c r="U19" i="19" s="1"/>
  <c r="B9" i="19"/>
  <c r="C7" i="19"/>
  <c r="F7" i="19" s="1"/>
  <c r="A16" i="19"/>
  <c r="A15" i="19"/>
  <c r="A17" i="19" s="1"/>
  <c r="D7" i="19"/>
  <c r="N19" i="19" s="1"/>
  <c r="V19" i="18"/>
  <c r="U19" i="18" s="1"/>
  <c r="B9" i="18"/>
  <c r="C7" i="18"/>
  <c r="F7" i="18" s="1"/>
  <c r="A16" i="18"/>
  <c r="A15" i="18"/>
  <c r="A17" i="18" s="1"/>
  <c r="D7" i="18"/>
  <c r="N19" i="18" s="1"/>
  <c r="V19" i="17"/>
  <c r="U19" i="17" s="1"/>
  <c r="B9" i="17"/>
  <c r="C7" i="17"/>
  <c r="F7" i="17" s="1"/>
  <c r="A16" i="17"/>
  <c r="A15" i="17"/>
  <c r="A17" i="17" s="1"/>
  <c r="D7" i="17"/>
  <c r="N19" i="17" s="1"/>
  <c r="V19" i="16"/>
  <c r="U19" i="16" s="1"/>
  <c r="B9" i="16"/>
  <c r="C7" i="16"/>
  <c r="F7" i="16" s="1"/>
  <c r="A15" i="16"/>
  <c r="A16" i="16"/>
  <c r="D7" i="16"/>
  <c r="V19" i="15"/>
  <c r="U19" i="15" s="1"/>
  <c r="B9" i="15"/>
  <c r="C7" i="15"/>
  <c r="F7" i="15" s="1"/>
  <c r="A16" i="15"/>
  <c r="A15" i="15"/>
  <c r="A17" i="15" s="1"/>
  <c r="D7" i="15"/>
  <c r="V19" i="14"/>
  <c r="U19" i="14" s="1"/>
  <c r="A16" i="14"/>
  <c r="A15" i="14"/>
  <c r="A17" i="14" s="1"/>
  <c r="B9" i="14"/>
  <c r="C7" i="14"/>
  <c r="F7" i="14" s="1"/>
  <c r="V19" i="13"/>
  <c r="U19" i="13" s="1"/>
  <c r="B9" i="13"/>
  <c r="C7" i="13"/>
  <c r="F7" i="13" s="1"/>
  <c r="D7" i="13"/>
  <c r="N19" i="13" s="1"/>
  <c r="A16" i="13"/>
  <c r="A15" i="13"/>
  <c r="A17" i="13" s="1"/>
  <c r="V19" i="12"/>
  <c r="U19" i="12" s="1"/>
  <c r="B9" i="12"/>
  <c r="C7" i="12"/>
  <c r="F7" i="12" s="1"/>
  <c r="A16" i="12"/>
  <c r="A15" i="12"/>
  <c r="A17" i="12" s="1"/>
  <c r="D7" i="12"/>
  <c r="N19" i="12" s="1"/>
  <c r="H14" i="11"/>
  <c r="D14" i="11"/>
  <c r="D17" i="11" s="1"/>
  <c r="E7" i="11" s="1"/>
  <c r="G7" i="11" s="1"/>
  <c r="V19" i="10"/>
  <c r="U19" i="10" s="1"/>
  <c r="B9" i="10"/>
  <c r="C7" i="10"/>
  <c r="F7" i="10" s="1"/>
  <c r="A16" i="10"/>
  <c r="A15" i="10"/>
  <c r="A17" i="10" s="1"/>
  <c r="D7" i="10"/>
  <c r="N19" i="10" s="1"/>
  <c r="V19" i="9"/>
  <c r="U19" i="9" s="1"/>
  <c r="B9" i="9"/>
  <c r="C7" i="9"/>
  <c r="F7" i="9" s="1"/>
  <c r="A16" i="9"/>
  <c r="D7" i="9"/>
  <c r="N19" i="9" s="1"/>
  <c r="A15" i="9"/>
  <c r="A17" i="9" s="1"/>
  <c r="V19" i="8"/>
  <c r="U19" i="8" s="1"/>
  <c r="B9" i="8"/>
  <c r="C7" i="8"/>
  <c r="F7" i="8" s="1"/>
  <c r="A16" i="8"/>
  <c r="A15" i="8"/>
  <c r="A17" i="8" s="1"/>
  <c r="D7" i="8"/>
  <c r="N19" i="8" s="1"/>
  <c r="D14" i="7"/>
  <c r="D17" i="7" s="1"/>
  <c r="E7" i="7" s="1"/>
  <c r="G7" i="7" s="1"/>
  <c r="H14" i="7"/>
  <c r="D7" i="6"/>
  <c r="N19" i="6" s="1"/>
  <c r="A17" i="6"/>
  <c r="D14" i="6"/>
  <c r="D17" i="6" s="1"/>
  <c r="E7" i="6" s="1"/>
  <c r="G7" i="6" s="1"/>
  <c r="H14" i="6"/>
  <c r="D14" i="5"/>
  <c r="D17" i="5" s="1"/>
  <c r="E7" i="5" s="1"/>
  <c r="G7" i="5" s="1"/>
  <c r="H14" i="5"/>
  <c r="D14" i="4"/>
  <c r="D17" i="4" s="1"/>
  <c r="E7" i="4" s="1"/>
  <c r="G7" i="4" s="1"/>
  <c r="H14" i="4"/>
  <c r="D7" i="4"/>
  <c r="N19" i="4" s="1"/>
  <c r="H7" i="3"/>
  <c r="I7" i="3" s="1"/>
  <c r="Y19" i="3"/>
  <c r="X19" i="3"/>
  <c r="X20" i="3" s="1"/>
  <c r="A17" i="3"/>
  <c r="D7" i="3"/>
  <c r="N19" i="3" s="1"/>
  <c r="O10" i="34" l="1"/>
  <c r="D15" i="34" s="1"/>
  <c r="H14" i="34"/>
  <c r="D14" i="34"/>
  <c r="H14" i="33"/>
  <c r="D14" i="33"/>
  <c r="O10" i="33"/>
  <c r="D15" i="33" s="1"/>
  <c r="D14" i="32"/>
  <c r="O10" i="32"/>
  <c r="D15" i="32" s="1"/>
  <c r="H14" i="32"/>
  <c r="O10" i="31"/>
  <c r="D15" i="31" s="1"/>
  <c r="H14" i="31"/>
  <c r="D14" i="31"/>
  <c r="D7" i="30"/>
  <c r="N19" i="30" s="1"/>
  <c r="D14" i="30"/>
  <c r="O10" i="30"/>
  <c r="D15" i="30" s="1"/>
  <c r="H14" i="30"/>
  <c r="O10" i="29"/>
  <c r="D15" i="29" s="1"/>
  <c r="H14" i="29"/>
  <c r="D14" i="29"/>
  <c r="O10" i="28"/>
  <c r="D15" i="28" s="1"/>
  <c r="H14" i="28"/>
  <c r="D14" i="28"/>
  <c r="A17" i="28"/>
  <c r="D14" i="27"/>
  <c r="O10" i="27"/>
  <c r="D15" i="27" s="1"/>
  <c r="H14" i="27"/>
  <c r="O10" i="26"/>
  <c r="D15" i="26" s="1"/>
  <c r="H14" i="26"/>
  <c r="D14" i="26"/>
  <c r="D17" i="26" s="1"/>
  <c r="E7" i="26" s="1"/>
  <c r="G7" i="26" s="1"/>
  <c r="A17" i="26"/>
  <c r="D14" i="25"/>
  <c r="O10" i="25"/>
  <c r="D15" i="25" s="1"/>
  <c r="H14" i="25"/>
  <c r="A17" i="24"/>
  <c r="D14" i="24"/>
  <c r="O10" i="24"/>
  <c r="D15" i="24" s="1"/>
  <c r="H14" i="24"/>
  <c r="H14" i="23"/>
  <c r="D14" i="23"/>
  <c r="O10" i="23"/>
  <c r="D15" i="23" s="1"/>
  <c r="O10" i="22"/>
  <c r="D15" i="22" s="1"/>
  <c r="N19" i="22"/>
  <c r="A17" i="22"/>
  <c r="D14" i="22"/>
  <c r="D17" i="22" s="1"/>
  <c r="E7" i="22" s="1"/>
  <c r="G7" i="22" s="1"/>
  <c r="H14" i="22"/>
  <c r="H14" i="21"/>
  <c r="D14" i="21"/>
  <c r="D17" i="21" s="1"/>
  <c r="E7" i="21" s="1"/>
  <c r="G7" i="21" s="1"/>
  <c r="D14" i="20"/>
  <c r="D17" i="20" s="1"/>
  <c r="E7" i="20" s="1"/>
  <c r="G7" i="20" s="1"/>
  <c r="H14" i="20"/>
  <c r="H14" i="19"/>
  <c r="D14" i="19"/>
  <c r="D17" i="19" s="1"/>
  <c r="E7" i="19" s="1"/>
  <c r="G7" i="19" s="1"/>
  <c r="H14" i="18"/>
  <c r="D14" i="18"/>
  <c r="D17" i="18" s="1"/>
  <c r="E7" i="18" s="1"/>
  <c r="G7" i="18" s="1"/>
  <c r="D14" i="17"/>
  <c r="D17" i="17" s="1"/>
  <c r="E7" i="17" s="1"/>
  <c r="G7" i="17" s="1"/>
  <c r="H14" i="17"/>
  <c r="H14" i="16"/>
  <c r="D14" i="16"/>
  <c r="O10" i="16"/>
  <c r="D15" i="16" s="1"/>
  <c r="N19" i="16"/>
  <c r="A17" i="16"/>
  <c r="N19" i="15"/>
  <c r="O10" i="15"/>
  <c r="D15" i="15" s="1"/>
  <c r="H14" i="15"/>
  <c r="D14" i="15"/>
  <c r="H14" i="14"/>
  <c r="D14" i="14"/>
  <c r="D17" i="14" s="1"/>
  <c r="E7" i="14" s="1"/>
  <c r="G7" i="14" s="1"/>
  <c r="D7" i="14"/>
  <c r="N19" i="14" s="1"/>
  <c r="D14" i="13"/>
  <c r="D17" i="13" s="1"/>
  <c r="E7" i="13" s="1"/>
  <c r="G7" i="13" s="1"/>
  <c r="H14" i="13"/>
  <c r="H14" i="12"/>
  <c r="D14" i="12"/>
  <c r="D17" i="12" s="1"/>
  <c r="E7" i="12" s="1"/>
  <c r="G7" i="12" s="1"/>
  <c r="H8" i="11"/>
  <c r="H7" i="11"/>
  <c r="I7" i="11" s="1"/>
  <c r="Y19" i="11"/>
  <c r="X19" i="11"/>
  <c r="X20" i="11" s="1"/>
  <c r="H14" i="10"/>
  <c r="D14" i="10"/>
  <c r="D17" i="10" s="1"/>
  <c r="E7" i="10" s="1"/>
  <c r="G7" i="10" s="1"/>
  <c r="H14" i="9"/>
  <c r="D14" i="9"/>
  <c r="D17" i="9" s="1"/>
  <c r="E7" i="9" s="1"/>
  <c r="G7" i="9" s="1"/>
  <c r="H14" i="8"/>
  <c r="D14" i="8"/>
  <c r="D17" i="8" s="1"/>
  <c r="E7" i="8" s="1"/>
  <c r="G7" i="8" s="1"/>
  <c r="H7" i="7"/>
  <c r="I7" i="7" s="1"/>
  <c r="H8" i="7"/>
  <c r="Y19" i="7"/>
  <c r="X19" i="7"/>
  <c r="X20" i="7" s="1"/>
  <c r="H7" i="6"/>
  <c r="I7" i="6" s="1"/>
  <c r="Y19" i="6"/>
  <c r="X19" i="6"/>
  <c r="X20" i="6" s="1"/>
  <c r="H8" i="6"/>
  <c r="H7" i="5"/>
  <c r="I7" i="5" s="1"/>
  <c r="H8" i="5"/>
  <c r="Y19" i="5"/>
  <c r="X19" i="5"/>
  <c r="X20" i="5" s="1"/>
  <c r="Y19" i="4"/>
  <c r="X19" i="4"/>
  <c r="X20" i="4" s="1"/>
  <c r="H7" i="4"/>
  <c r="I7" i="4" s="1"/>
  <c r="H8" i="4"/>
  <c r="M14" i="3"/>
  <c r="M16" i="3" s="1"/>
  <c r="L14" i="3"/>
  <c r="L16" i="3" s="1"/>
  <c r="K14" i="3"/>
  <c r="K16" i="3" s="1"/>
  <c r="K11" i="3"/>
  <c r="N7" i="3"/>
  <c r="M7" i="3"/>
  <c r="L7" i="3"/>
  <c r="K7" i="3"/>
  <c r="H16" i="3"/>
  <c r="P7" i="3" s="1"/>
  <c r="P8" i="3" s="1"/>
  <c r="J7" i="3"/>
  <c r="Y20" i="3"/>
  <c r="AA20" i="3" s="1"/>
  <c r="Z19" i="3"/>
  <c r="AA19" i="3" s="1"/>
  <c r="AB19" i="3" s="1"/>
  <c r="N14" i="3"/>
  <c r="J19" i="3"/>
  <c r="I24" i="3"/>
  <c r="I25" i="3" s="1"/>
  <c r="H24" i="3"/>
  <c r="Q13" i="3"/>
  <c r="D17" i="15" l="1"/>
  <c r="E7" i="15" s="1"/>
  <c r="G7" i="15" s="1"/>
  <c r="H7" i="15" s="1"/>
  <c r="D17" i="24"/>
  <c r="E7" i="24" s="1"/>
  <c r="G7" i="24" s="1"/>
  <c r="H8" i="24" s="1"/>
  <c r="D17" i="27"/>
  <c r="E7" i="27" s="1"/>
  <c r="G7" i="27" s="1"/>
  <c r="X19" i="27" s="1"/>
  <c r="X20" i="27" s="1"/>
  <c r="D17" i="28"/>
  <c r="E7" i="28" s="1"/>
  <c r="G7" i="28" s="1"/>
  <c r="X19" i="28" s="1"/>
  <c r="X20" i="28" s="1"/>
  <c r="D17" i="29"/>
  <c r="E7" i="29" s="1"/>
  <c r="G7" i="29" s="1"/>
  <c r="D17" i="31"/>
  <c r="E7" i="31" s="1"/>
  <c r="G7" i="31" s="1"/>
  <c r="Y19" i="31" s="1"/>
  <c r="D17" i="34"/>
  <c r="E7" i="34" s="1"/>
  <c r="G7" i="34" s="1"/>
  <c r="X19" i="34" s="1"/>
  <c r="X20" i="34" s="1"/>
  <c r="D17" i="33"/>
  <c r="E7" i="33" s="1"/>
  <c r="G7" i="33" s="1"/>
  <c r="D17" i="32"/>
  <c r="E7" i="32" s="1"/>
  <c r="G7" i="32" s="1"/>
  <c r="D17" i="30"/>
  <c r="E7" i="30" s="1"/>
  <c r="G7" i="30" s="1"/>
  <c r="X19" i="29"/>
  <c r="X20" i="29" s="1"/>
  <c r="H7" i="29"/>
  <c r="H8" i="29"/>
  <c r="Y19" i="29"/>
  <c r="H8" i="26"/>
  <c r="Y19" i="26"/>
  <c r="X19" i="26"/>
  <c r="X20" i="26" s="1"/>
  <c r="H7" i="26"/>
  <c r="D17" i="25"/>
  <c r="E7" i="25" s="1"/>
  <c r="G7" i="25" s="1"/>
  <c r="D17" i="23"/>
  <c r="E7" i="23" s="1"/>
  <c r="G7" i="23" s="1"/>
  <c r="H8" i="22"/>
  <c r="X19" i="22"/>
  <c r="X20" i="22" s="1"/>
  <c r="H7" i="22"/>
  <c r="I7" i="22" s="1"/>
  <c r="Y19" i="22"/>
  <c r="Y19" i="21"/>
  <c r="X19" i="21"/>
  <c r="X20" i="21" s="1"/>
  <c r="H7" i="21"/>
  <c r="H8" i="21"/>
  <c r="H7" i="20"/>
  <c r="Y19" i="20"/>
  <c r="X19" i="20"/>
  <c r="X20" i="20" s="1"/>
  <c r="H8" i="20"/>
  <c r="H7" i="19"/>
  <c r="Y19" i="19"/>
  <c r="H8" i="19"/>
  <c r="I7" i="19"/>
  <c r="X19" i="19"/>
  <c r="X20" i="19" s="1"/>
  <c r="H7" i="18"/>
  <c r="I7" i="18" s="1"/>
  <c r="H8" i="18"/>
  <c r="Y19" i="18"/>
  <c r="X19" i="18"/>
  <c r="X20" i="18" s="1"/>
  <c r="X19" i="17"/>
  <c r="X20" i="17" s="1"/>
  <c r="H7" i="17"/>
  <c r="Y19" i="17"/>
  <c r="H8" i="17"/>
  <c r="D17" i="16"/>
  <c r="E7" i="16" s="1"/>
  <c r="G7" i="16" s="1"/>
  <c r="Y19" i="15"/>
  <c r="H8" i="15"/>
  <c r="X19" i="15"/>
  <c r="X20" i="15" s="1"/>
  <c r="H7" i="14"/>
  <c r="X19" i="14"/>
  <c r="X20" i="14" s="1"/>
  <c r="H8" i="14"/>
  <c r="Y19" i="14"/>
  <c r="H8" i="13"/>
  <c r="H7" i="13"/>
  <c r="Y19" i="13"/>
  <c r="X19" i="13"/>
  <c r="X20" i="13" s="1"/>
  <c r="X19" i="12"/>
  <c r="X20" i="12" s="1"/>
  <c r="H7" i="12"/>
  <c r="H8" i="12"/>
  <c r="Y19" i="12"/>
  <c r="Y20" i="11"/>
  <c r="AA20" i="11" s="1"/>
  <c r="Z19" i="11"/>
  <c r="AA19" i="11" s="1"/>
  <c r="AB19" i="11" s="1"/>
  <c r="N14" i="11"/>
  <c r="J19" i="11"/>
  <c r="I24" i="11"/>
  <c r="I25" i="11" s="1"/>
  <c r="H24" i="11"/>
  <c r="Q13" i="11"/>
  <c r="N7" i="11"/>
  <c r="M7" i="11"/>
  <c r="L7" i="11"/>
  <c r="K7" i="11"/>
  <c r="H16" i="11"/>
  <c r="P7" i="11" s="1"/>
  <c r="P8" i="11" s="1"/>
  <c r="J7" i="11"/>
  <c r="M14" i="11"/>
  <c r="M16" i="11" s="1"/>
  <c r="K11" i="11"/>
  <c r="L14" i="11"/>
  <c r="L16" i="11" s="1"/>
  <c r="K14" i="11"/>
  <c r="K16" i="11" s="1"/>
  <c r="H7" i="10"/>
  <c r="I7" i="10" s="1"/>
  <c r="H8" i="10"/>
  <c r="Y19" i="10"/>
  <c r="X19" i="10"/>
  <c r="X20" i="10" s="1"/>
  <c r="H7" i="9"/>
  <c r="I7" i="9" s="1"/>
  <c r="X19" i="9"/>
  <c r="X20" i="9" s="1"/>
  <c r="H8" i="9"/>
  <c r="Y19" i="9"/>
  <c r="H7" i="8"/>
  <c r="X19" i="8"/>
  <c r="X20" i="8" s="1"/>
  <c r="H8" i="8"/>
  <c r="Y19" i="8"/>
  <c r="M7" i="7"/>
  <c r="J7" i="7"/>
  <c r="N7" i="7"/>
  <c r="L7" i="7"/>
  <c r="K7" i="7"/>
  <c r="H16" i="7"/>
  <c r="P7" i="7" s="1"/>
  <c r="P8" i="7" s="1"/>
  <c r="Y20" i="7"/>
  <c r="AA20" i="7" s="1"/>
  <c r="Z19" i="7"/>
  <c r="AA19" i="7" s="1"/>
  <c r="AB19" i="7" s="1"/>
  <c r="M14" i="7"/>
  <c r="M16" i="7" s="1"/>
  <c r="L14" i="7"/>
  <c r="L16" i="7" s="1"/>
  <c r="K11" i="7"/>
  <c r="K14" i="7"/>
  <c r="K16" i="7" s="1"/>
  <c r="H24" i="7"/>
  <c r="J19" i="7"/>
  <c r="I24" i="7"/>
  <c r="I25" i="7" s="1"/>
  <c r="Q13" i="7"/>
  <c r="N14" i="7"/>
  <c r="M7" i="6"/>
  <c r="H16" i="6"/>
  <c r="H17" i="6" s="1"/>
  <c r="L7" i="6"/>
  <c r="N7" i="6"/>
  <c r="K7" i="6"/>
  <c r="J7" i="6"/>
  <c r="Y20" i="6"/>
  <c r="AA20" i="6" s="1"/>
  <c r="Z19" i="6"/>
  <c r="AA19" i="6" s="1"/>
  <c r="AB19" i="6" s="1"/>
  <c r="M14" i="6"/>
  <c r="M16" i="6" s="1"/>
  <c r="L14" i="6"/>
  <c r="L16" i="6" s="1"/>
  <c r="K14" i="6"/>
  <c r="K16" i="6" s="1"/>
  <c r="K11" i="6"/>
  <c r="Q13" i="6"/>
  <c r="J19" i="6"/>
  <c r="I24" i="6"/>
  <c r="I25" i="6" s="1"/>
  <c r="H24" i="6"/>
  <c r="N14" i="6"/>
  <c r="M7" i="5"/>
  <c r="L7" i="5"/>
  <c r="H16" i="5"/>
  <c r="H17" i="5" s="1"/>
  <c r="K7" i="5"/>
  <c r="J7" i="5"/>
  <c r="N7" i="5"/>
  <c r="Y20" i="5"/>
  <c r="AA20" i="5" s="1"/>
  <c r="Z19" i="5"/>
  <c r="AA19" i="5" s="1"/>
  <c r="AB19" i="5" s="1"/>
  <c r="M14" i="5"/>
  <c r="M16" i="5" s="1"/>
  <c r="L14" i="5"/>
  <c r="L16" i="5" s="1"/>
  <c r="K14" i="5"/>
  <c r="K16" i="5" s="1"/>
  <c r="K11" i="5"/>
  <c r="J19" i="5"/>
  <c r="I24" i="5"/>
  <c r="I25" i="5" s="1"/>
  <c r="H24" i="5"/>
  <c r="Q13" i="5"/>
  <c r="N14" i="5"/>
  <c r="M7" i="4"/>
  <c r="L7" i="4"/>
  <c r="N7" i="4"/>
  <c r="K7" i="4"/>
  <c r="H16" i="4"/>
  <c r="P7" i="4" s="1"/>
  <c r="P8" i="4" s="1"/>
  <c r="J7" i="4"/>
  <c r="M14" i="4"/>
  <c r="M16" i="4" s="1"/>
  <c r="L14" i="4"/>
  <c r="L16" i="4" s="1"/>
  <c r="K14" i="4"/>
  <c r="K16" i="4" s="1"/>
  <c r="K11" i="4"/>
  <c r="Q13" i="4"/>
  <c r="I24" i="4"/>
  <c r="I25" i="4" s="1"/>
  <c r="H24" i="4"/>
  <c r="J19" i="4"/>
  <c r="N14" i="4"/>
  <c r="Y20" i="4"/>
  <c r="AA20" i="4" s="1"/>
  <c r="Z19" i="4"/>
  <c r="AA19" i="4" s="1"/>
  <c r="AB19" i="4" s="1"/>
  <c r="H17" i="3"/>
  <c r="S3" i="3"/>
  <c r="V6" i="3"/>
  <c r="U6" i="3"/>
  <c r="W5" i="3"/>
  <c r="N9" i="3"/>
  <c r="O23" i="3"/>
  <c r="K9" i="3"/>
  <c r="O5" i="3"/>
  <c r="U5" i="3"/>
  <c r="L9" i="3"/>
  <c r="M9" i="3"/>
  <c r="V5" i="3"/>
  <c r="N8" i="3"/>
  <c r="N10" i="3" s="1"/>
  <c r="M8" i="3"/>
  <c r="L8" i="3"/>
  <c r="K8" i="3"/>
  <c r="J9" i="3"/>
  <c r="H17" i="4" l="1"/>
  <c r="P7" i="5"/>
  <c r="P8" i="5" s="1"/>
  <c r="P7" i="6"/>
  <c r="P8" i="6" s="1"/>
  <c r="H17" i="11"/>
  <c r="Y19" i="24"/>
  <c r="X19" i="24"/>
  <c r="X20" i="24" s="1"/>
  <c r="H7" i="24"/>
  <c r="I7" i="24" s="1"/>
  <c r="K7" i="24" s="1"/>
  <c r="H7" i="27"/>
  <c r="I7" i="27"/>
  <c r="N7" i="27" s="1"/>
  <c r="H8" i="27"/>
  <c r="L14" i="27" s="1"/>
  <c r="L16" i="27" s="1"/>
  <c r="Y19" i="27"/>
  <c r="Y19" i="28"/>
  <c r="Y20" i="28" s="1"/>
  <c r="AA20" i="28" s="1"/>
  <c r="H8" i="28"/>
  <c r="H7" i="28"/>
  <c r="I7" i="28" s="1"/>
  <c r="H8" i="31"/>
  <c r="X19" i="31"/>
  <c r="X20" i="31" s="1"/>
  <c r="H7" i="31"/>
  <c r="I7" i="31" s="1"/>
  <c r="H8" i="34"/>
  <c r="K11" i="34" s="1"/>
  <c r="Y19" i="34"/>
  <c r="Y20" i="34" s="1"/>
  <c r="AA20" i="34" s="1"/>
  <c r="H7" i="34"/>
  <c r="J19" i="34" s="1"/>
  <c r="I24" i="34"/>
  <c r="I25" i="34" s="1"/>
  <c r="N14" i="34"/>
  <c r="Q13" i="34"/>
  <c r="H24" i="34"/>
  <c r="I7" i="34"/>
  <c r="Y19" i="33"/>
  <c r="X19" i="33"/>
  <c r="X20" i="33" s="1"/>
  <c r="H8" i="33"/>
  <c r="H7" i="33"/>
  <c r="H7" i="32"/>
  <c r="I7" i="32" s="1"/>
  <c r="H8" i="32"/>
  <c r="Y19" i="32"/>
  <c r="X19" i="32"/>
  <c r="X20" i="32" s="1"/>
  <c r="N14" i="31"/>
  <c r="Q13" i="31"/>
  <c r="J19" i="31"/>
  <c r="I24" i="31"/>
  <c r="I25" i="31" s="1"/>
  <c r="H24" i="31"/>
  <c r="K14" i="31"/>
  <c r="K16" i="31" s="1"/>
  <c r="M14" i="31"/>
  <c r="M16" i="31" s="1"/>
  <c r="K11" i="31"/>
  <c r="L14" i="31"/>
  <c r="L16" i="31" s="1"/>
  <c r="Y20" i="31"/>
  <c r="Z19" i="31"/>
  <c r="AA19" i="31" s="1"/>
  <c r="AB19" i="31" s="1"/>
  <c r="H8" i="30"/>
  <c r="X19" i="30"/>
  <c r="X20" i="30" s="1"/>
  <c r="Y19" i="30"/>
  <c r="H7" i="30"/>
  <c r="I7" i="30" s="1"/>
  <c r="Y20" i="29"/>
  <c r="AA20" i="29" s="1"/>
  <c r="Z19" i="29"/>
  <c r="AA19" i="29" s="1"/>
  <c r="AB19" i="29" s="1"/>
  <c r="K11" i="29"/>
  <c r="M14" i="29"/>
  <c r="M16" i="29" s="1"/>
  <c r="L14" i="29"/>
  <c r="L16" i="29" s="1"/>
  <c r="K14" i="29"/>
  <c r="K16" i="29" s="1"/>
  <c r="Q13" i="29"/>
  <c r="N14" i="29"/>
  <c r="J19" i="29"/>
  <c r="I24" i="29"/>
  <c r="I25" i="29" s="1"/>
  <c r="H24" i="29"/>
  <c r="I7" i="29"/>
  <c r="M14" i="28"/>
  <c r="M16" i="28" s="1"/>
  <c r="L14" i="28"/>
  <c r="L16" i="28" s="1"/>
  <c r="K14" i="28"/>
  <c r="K16" i="28" s="1"/>
  <c r="K11" i="28"/>
  <c r="M7" i="28"/>
  <c r="L7" i="28"/>
  <c r="N7" i="28"/>
  <c r="K7" i="28"/>
  <c r="H16" i="28"/>
  <c r="P7" i="28" s="1"/>
  <c r="P8" i="28" s="1"/>
  <c r="J7" i="28"/>
  <c r="N14" i="28"/>
  <c r="H17" i="28"/>
  <c r="J19" i="28"/>
  <c r="I24" i="28"/>
  <c r="I25" i="28" s="1"/>
  <c r="H24" i="28"/>
  <c r="Q13" i="28"/>
  <c r="Y20" i="27"/>
  <c r="AA20" i="27" s="1"/>
  <c r="Z19" i="27"/>
  <c r="AA19" i="27" s="1"/>
  <c r="AB19" i="27" s="1"/>
  <c r="M14" i="27"/>
  <c r="M16" i="27" s="1"/>
  <c r="K7" i="27"/>
  <c r="J7" i="27"/>
  <c r="H24" i="27"/>
  <c r="N14" i="27"/>
  <c r="J19" i="27"/>
  <c r="I24" i="27"/>
  <c r="I25" i="27" s="1"/>
  <c r="Q13" i="27"/>
  <c r="Y20" i="26"/>
  <c r="AA20" i="26" s="1"/>
  <c r="Z19" i="26"/>
  <c r="AA19" i="26" s="1"/>
  <c r="AB19" i="26" s="1"/>
  <c r="N14" i="26"/>
  <c r="J19" i="26"/>
  <c r="Q13" i="26"/>
  <c r="H24" i="26"/>
  <c r="I24" i="26"/>
  <c r="I25" i="26" s="1"/>
  <c r="K11" i="26"/>
  <c r="M14" i="26"/>
  <c r="M16" i="26" s="1"/>
  <c r="L14" i="26"/>
  <c r="L16" i="26" s="1"/>
  <c r="K14" i="26"/>
  <c r="K16" i="26" s="1"/>
  <c r="I7" i="26"/>
  <c r="H8" i="25"/>
  <c r="Y19" i="25"/>
  <c r="H7" i="25"/>
  <c r="I7" i="25" s="1"/>
  <c r="X19" i="25"/>
  <c r="X20" i="25" s="1"/>
  <c r="K14" i="24"/>
  <c r="K16" i="24" s="1"/>
  <c r="M14" i="24"/>
  <c r="M16" i="24" s="1"/>
  <c r="L14" i="24"/>
  <c r="L16" i="24" s="1"/>
  <c r="K11" i="24"/>
  <c r="J19" i="24"/>
  <c r="N14" i="24"/>
  <c r="I24" i="24"/>
  <c r="I25" i="24" s="1"/>
  <c r="H24" i="24"/>
  <c r="Q13" i="24"/>
  <c r="H7" i="23"/>
  <c r="I7" i="23" s="1"/>
  <c r="X19" i="23"/>
  <c r="X20" i="23" s="1"/>
  <c r="H8" i="23"/>
  <c r="Y19" i="23"/>
  <c r="L7" i="22"/>
  <c r="N7" i="22"/>
  <c r="M7" i="22"/>
  <c r="K7" i="22"/>
  <c r="H16" i="22"/>
  <c r="H17" i="22" s="1"/>
  <c r="J7" i="22"/>
  <c r="Z19" i="22"/>
  <c r="AA19" i="22" s="1"/>
  <c r="AB19" i="22" s="1"/>
  <c r="Y20" i="22"/>
  <c r="AA20" i="22" s="1"/>
  <c r="P7" i="22"/>
  <c r="P8" i="22" s="1"/>
  <c r="I24" i="22"/>
  <c r="I25" i="22" s="1"/>
  <c r="Q13" i="22"/>
  <c r="N14" i="22"/>
  <c r="H24" i="22"/>
  <c r="J19" i="22"/>
  <c r="K11" i="22"/>
  <c r="M14" i="22"/>
  <c r="M16" i="22" s="1"/>
  <c r="L14" i="22"/>
  <c r="L16" i="22" s="1"/>
  <c r="K14" i="22"/>
  <c r="K16" i="22" s="1"/>
  <c r="L14" i="21"/>
  <c r="L16" i="21" s="1"/>
  <c r="K11" i="21"/>
  <c r="M14" i="21"/>
  <c r="M16" i="21" s="1"/>
  <c r="K14" i="21"/>
  <c r="K16" i="21" s="1"/>
  <c r="J19" i="21"/>
  <c r="N14" i="21"/>
  <c r="H24" i="21"/>
  <c r="Q13" i="21"/>
  <c r="I24" i="21"/>
  <c r="I25" i="21" s="1"/>
  <c r="I7" i="21"/>
  <c r="Y20" i="21"/>
  <c r="AA20" i="21" s="1"/>
  <c r="Z19" i="21"/>
  <c r="AA19" i="21" s="1"/>
  <c r="AB19" i="21" s="1"/>
  <c r="H24" i="20"/>
  <c r="N14" i="20"/>
  <c r="J19" i="20"/>
  <c r="I24" i="20"/>
  <c r="I25" i="20" s="1"/>
  <c r="Q13" i="20"/>
  <c r="K14" i="20"/>
  <c r="K16" i="20" s="1"/>
  <c r="K11" i="20"/>
  <c r="M14" i="20"/>
  <c r="M16" i="20" s="1"/>
  <c r="L14" i="20"/>
  <c r="L16" i="20" s="1"/>
  <c r="I7" i="20"/>
  <c r="Z19" i="20"/>
  <c r="AA19" i="20" s="1"/>
  <c r="AB19" i="20" s="1"/>
  <c r="Y20" i="20"/>
  <c r="AA20" i="20" s="1"/>
  <c r="K7" i="19"/>
  <c r="H16" i="19"/>
  <c r="H17" i="19" s="1"/>
  <c r="N7" i="19"/>
  <c r="M7" i="19"/>
  <c r="J7" i="19"/>
  <c r="L7" i="19"/>
  <c r="K14" i="19"/>
  <c r="K16" i="19" s="1"/>
  <c r="K11" i="19"/>
  <c r="M14" i="19"/>
  <c r="M16" i="19" s="1"/>
  <c r="L14" i="19"/>
  <c r="L16" i="19" s="1"/>
  <c r="Y20" i="19"/>
  <c r="AA20" i="19" s="1"/>
  <c r="Z19" i="19"/>
  <c r="AA19" i="19" s="1"/>
  <c r="AB19" i="19" s="1"/>
  <c r="N14" i="19"/>
  <c r="I24" i="19"/>
  <c r="I25" i="19" s="1"/>
  <c r="H24" i="19"/>
  <c r="J19" i="19"/>
  <c r="Q13" i="19"/>
  <c r="N7" i="18"/>
  <c r="M7" i="18"/>
  <c r="L7" i="18"/>
  <c r="K7" i="18"/>
  <c r="H16" i="18"/>
  <c r="P7" i="18" s="1"/>
  <c r="P8" i="18" s="1"/>
  <c r="J7" i="18"/>
  <c r="Z19" i="18"/>
  <c r="AA19" i="18" s="1"/>
  <c r="AB19" i="18" s="1"/>
  <c r="Y20" i="18"/>
  <c r="AA20" i="18" s="1"/>
  <c r="L14" i="18"/>
  <c r="L16" i="18" s="1"/>
  <c r="M14" i="18"/>
  <c r="M16" i="18" s="1"/>
  <c r="K14" i="18"/>
  <c r="K16" i="18" s="1"/>
  <c r="K11" i="18"/>
  <c r="N14" i="18"/>
  <c r="J19" i="18"/>
  <c r="I24" i="18"/>
  <c r="I25" i="18" s="1"/>
  <c r="H24" i="18"/>
  <c r="Q13" i="18"/>
  <c r="L14" i="17"/>
  <c r="L16" i="17" s="1"/>
  <c r="M14" i="17"/>
  <c r="M16" i="17" s="1"/>
  <c r="K14" i="17"/>
  <c r="K16" i="17" s="1"/>
  <c r="K11" i="17"/>
  <c r="Z19" i="17"/>
  <c r="AA19" i="17" s="1"/>
  <c r="AB19" i="17" s="1"/>
  <c r="Y20" i="17"/>
  <c r="AA20" i="17" s="1"/>
  <c r="N14" i="17"/>
  <c r="J19" i="17"/>
  <c r="I24" i="17"/>
  <c r="I25" i="17" s="1"/>
  <c r="H24" i="17"/>
  <c r="Q13" i="17"/>
  <c r="I7" i="17"/>
  <c r="H7" i="16"/>
  <c r="H8" i="16"/>
  <c r="Y19" i="16"/>
  <c r="X19" i="16"/>
  <c r="X20" i="16" s="1"/>
  <c r="Q13" i="15"/>
  <c r="N14" i="15"/>
  <c r="J19" i="15"/>
  <c r="H24" i="15"/>
  <c r="I24" i="15"/>
  <c r="I25" i="15" s="1"/>
  <c r="I7" i="15"/>
  <c r="L14" i="15"/>
  <c r="L16" i="15" s="1"/>
  <c r="K11" i="15"/>
  <c r="K14" i="15"/>
  <c r="K16" i="15" s="1"/>
  <c r="M14" i="15"/>
  <c r="M16" i="15" s="1"/>
  <c r="Z19" i="15"/>
  <c r="AA19" i="15" s="1"/>
  <c r="AB19" i="15" s="1"/>
  <c r="Y20" i="15"/>
  <c r="AA20" i="15" s="1"/>
  <c r="L14" i="14"/>
  <c r="L16" i="14" s="1"/>
  <c r="K11" i="14"/>
  <c r="M14" i="14"/>
  <c r="M16" i="14" s="1"/>
  <c r="K14" i="14"/>
  <c r="K16" i="14" s="1"/>
  <c r="N14" i="14"/>
  <c r="H24" i="14"/>
  <c r="J19" i="14"/>
  <c r="I24" i="14"/>
  <c r="I25" i="14" s="1"/>
  <c r="Q13" i="14"/>
  <c r="Y20" i="14"/>
  <c r="AA20" i="14" s="1"/>
  <c r="Z19" i="14"/>
  <c r="AA19" i="14" s="1"/>
  <c r="AB19" i="14" s="1"/>
  <c r="I7" i="14"/>
  <c r="M14" i="13"/>
  <c r="M16" i="13" s="1"/>
  <c r="K11" i="13"/>
  <c r="L14" i="13"/>
  <c r="L16" i="13" s="1"/>
  <c r="K14" i="13"/>
  <c r="K16" i="13" s="1"/>
  <c r="Y20" i="13"/>
  <c r="AA20" i="13" s="1"/>
  <c r="Z19" i="13"/>
  <c r="AA19" i="13" s="1"/>
  <c r="AB19" i="13" s="1"/>
  <c r="N14" i="13"/>
  <c r="J19" i="13"/>
  <c r="I24" i="13"/>
  <c r="I25" i="13" s="1"/>
  <c r="H24" i="13"/>
  <c r="Q13" i="13"/>
  <c r="I7" i="13"/>
  <c r="N14" i="12"/>
  <c r="Q13" i="12"/>
  <c r="H24" i="12"/>
  <c r="J19" i="12"/>
  <c r="I24" i="12"/>
  <c r="I25" i="12" s="1"/>
  <c r="I7" i="12"/>
  <c r="Y20" i="12"/>
  <c r="AA20" i="12" s="1"/>
  <c r="Z19" i="12"/>
  <c r="AA19" i="12" s="1"/>
  <c r="AB19" i="12" s="1"/>
  <c r="M14" i="12"/>
  <c r="M16" i="12" s="1"/>
  <c r="L14" i="12"/>
  <c r="L16" i="12" s="1"/>
  <c r="K14" i="12"/>
  <c r="K16" i="12" s="1"/>
  <c r="K11" i="12"/>
  <c r="U5" i="11"/>
  <c r="L9" i="11"/>
  <c r="S3" i="11"/>
  <c r="O23" i="11"/>
  <c r="V6" i="11"/>
  <c r="W5" i="11"/>
  <c r="N9" i="11"/>
  <c r="U6" i="11"/>
  <c r="L8" i="11"/>
  <c r="K8" i="11"/>
  <c r="J9" i="11"/>
  <c r="N8" i="11"/>
  <c r="N10" i="11" s="1"/>
  <c r="M8" i="11"/>
  <c r="V5" i="11"/>
  <c r="M9" i="11"/>
  <c r="O5" i="11"/>
  <c r="K9" i="11"/>
  <c r="Y20" i="10"/>
  <c r="AA20" i="10" s="1"/>
  <c r="Z19" i="10"/>
  <c r="AA19" i="10" s="1"/>
  <c r="AB19" i="10" s="1"/>
  <c r="M7" i="10"/>
  <c r="L7" i="10"/>
  <c r="K7" i="10"/>
  <c r="J7" i="10"/>
  <c r="N7" i="10"/>
  <c r="H16" i="10"/>
  <c r="H17" i="10" s="1"/>
  <c r="M14" i="10"/>
  <c r="M16" i="10" s="1"/>
  <c r="L14" i="10"/>
  <c r="L16" i="10" s="1"/>
  <c r="K14" i="10"/>
  <c r="K16" i="10" s="1"/>
  <c r="K11" i="10"/>
  <c r="I24" i="10"/>
  <c r="I25" i="10" s="1"/>
  <c r="H24" i="10"/>
  <c r="N14" i="10"/>
  <c r="J19" i="10"/>
  <c r="Q13" i="10"/>
  <c r="Y20" i="9"/>
  <c r="AA20" i="9" s="1"/>
  <c r="Z19" i="9"/>
  <c r="AA19" i="9" s="1"/>
  <c r="AB19" i="9" s="1"/>
  <c r="K14" i="9"/>
  <c r="K16" i="9" s="1"/>
  <c r="M14" i="9"/>
  <c r="M16" i="9" s="1"/>
  <c r="L14" i="9"/>
  <c r="L16" i="9" s="1"/>
  <c r="K11" i="9"/>
  <c r="L7" i="9"/>
  <c r="J7" i="9"/>
  <c r="N7" i="9"/>
  <c r="K7" i="9"/>
  <c r="H16" i="9"/>
  <c r="P7" i="9" s="1"/>
  <c r="P8" i="9" s="1"/>
  <c r="M7" i="9"/>
  <c r="J19" i="9"/>
  <c r="N14" i="9"/>
  <c r="I24" i="9"/>
  <c r="I25" i="9" s="1"/>
  <c r="H24" i="9"/>
  <c r="Q13" i="9"/>
  <c r="Y20" i="8"/>
  <c r="AA20" i="8" s="1"/>
  <c r="Z19" i="8"/>
  <c r="AA19" i="8" s="1"/>
  <c r="AB19" i="8" s="1"/>
  <c r="L14" i="8"/>
  <c r="L16" i="8" s="1"/>
  <c r="K14" i="8"/>
  <c r="K16" i="8" s="1"/>
  <c r="K11" i="8"/>
  <c r="M14" i="8"/>
  <c r="M16" i="8" s="1"/>
  <c r="N14" i="8"/>
  <c r="J19" i="8"/>
  <c r="Q13" i="8"/>
  <c r="I24" i="8"/>
  <c r="I25" i="8" s="1"/>
  <c r="H24" i="8"/>
  <c r="I7" i="8"/>
  <c r="O5" i="7"/>
  <c r="K9" i="7"/>
  <c r="L9" i="7"/>
  <c r="U5" i="7"/>
  <c r="L8" i="7"/>
  <c r="M8" i="7"/>
  <c r="J9" i="7"/>
  <c r="N8" i="7"/>
  <c r="N10" i="7" s="1"/>
  <c r="K8" i="7"/>
  <c r="H17" i="7"/>
  <c r="N9" i="7"/>
  <c r="V6" i="7"/>
  <c r="O23" i="7"/>
  <c r="U6" i="7"/>
  <c r="W5" i="7"/>
  <c r="S3" i="7"/>
  <c r="V5" i="7"/>
  <c r="M9" i="7"/>
  <c r="L8" i="6"/>
  <c r="J9" i="6"/>
  <c r="N8" i="6"/>
  <c r="N10" i="6" s="1"/>
  <c r="M8" i="6"/>
  <c r="K8" i="6"/>
  <c r="O5" i="6"/>
  <c r="K9" i="6"/>
  <c r="N9" i="6"/>
  <c r="O23" i="6"/>
  <c r="V6" i="6"/>
  <c r="S3" i="6"/>
  <c r="U6" i="6"/>
  <c r="W5" i="6"/>
  <c r="U5" i="6"/>
  <c r="L9" i="6"/>
  <c r="V5" i="6"/>
  <c r="M9" i="6"/>
  <c r="W5" i="5"/>
  <c r="N9" i="5"/>
  <c r="V6" i="5"/>
  <c r="S3" i="5"/>
  <c r="U6" i="5"/>
  <c r="O23" i="5"/>
  <c r="M8" i="5"/>
  <c r="K8" i="5"/>
  <c r="L8" i="5"/>
  <c r="J9" i="5"/>
  <c r="N8" i="5"/>
  <c r="N10" i="5" s="1"/>
  <c r="K9" i="5"/>
  <c r="O5" i="5"/>
  <c r="U5" i="5"/>
  <c r="L9" i="5"/>
  <c r="V5" i="5"/>
  <c r="M9" i="5"/>
  <c r="K8" i="4"/>
  <c r="J9" i="4"/>
  <c r="L8" i="4"/>
  <c r="N8" i="4"/>
  <c r="N10" i="4" s="1"/>
  <c r="M8" i="4"/>
  <c r="N9" i="4"/>
  <c r="O23" i="4"/>
  <c r="S3" i="4"/>
  <c r="V6" i="4"/>
  <c r="W5" i="4"/>
  <c r="U6" i="4"/>
  <c r="K9" i="4"/>
  <c r="O5" i="4"/>
  <c r="U5" i="4"/>
  <c r="L9" i="4"/>
  <c r="V5" i="4"/>
  <c r="M9" i="4"/>
  <c r="P7" i="19" l="1"/>
  <c r="P8" i="19" s="1"/>
  <c r="Z19" i="24"/>
  <c r="AA19" i="24" s="1"/>
  <c r="AB19" i="24" s="1"/>
  <c r="Y20" i="24"/>
  <c r="AA20" i="24" s="1"/>
  <c r="H16" i="24"/>
  <c r="P7" i="24" s="1"/>
  <c r="P8" i="24" s="1"/>
  <c r="L7" i="24"/>
  <c r="U5" i="24" s="1"/>
  <c r="M7" i="24"/>
  <c r="N7" i="24"/>
  <c r="O23" i="24" s="1"/>
  <c r="J7" i="24"/>
  <c r="N8" i="24" s="1"/>
  <c r="N10" i="24" s="1"/>
  <c r="H16" i="27"/>
  <c r="P7" i="27" s="1"/>
  <c r="P8" i="27" s="1"/>
  <c r="M7" i="27"/>
  <c r="L7" i="27"/>
  <c r="K11" i="27"/>
  <c r="K14" i="27"/>
  <c r="K16" i="27" s="1"/>
  <c r="Z19" i="28"/>
  <c r="AA19" i="28" s="1"/>
  <c r="AB19" i="28" s="1"/>
  <c r="M7" i="31"/>
  <c r="L7" i="31"/>
  <c r="U5" i="31" s="1"/>
  <c r="H16" i="31"/>
  <c r="K7" i="31"/>
  <c r="J7" i="31"/>
  <c r="K8" i="31" s="1"/>
  <c r="N7" i="31"/>
  <c r="O23" i="31" s="1"/>
  <c r="AA20" i="31"/>
  <c r="Z19" i="34"/>
  <c r="AA19" i="34" s="1"/>
  <c r="AB19" i="34" s="1"/>
  <c r="K14" i="34"/>
  <c r="K16" i="34" s="1"/>
  <c r="M14" i="34"/>
  <c r="M16" i="34" s="1"/>
  <c r="L14" i="34"/>
  <c r="L16" i="34" s="1"/>
  <c r="K7" i="34"/>
  <c r="J7" i="34"/>
  <c r="N7" i="34"/>
  <c r="H16" i="34"/>
  <c r="M7" i="34"/>
  <c r="L7" i="34"/>
  <c r="M14" i="33"/>
  <c r="M16" i="33" s="1"/>
  <c r="L14" i="33"/>
  <c r="L16" i="33" s="1"/>
  <c r="K14" i="33"/>
  <c r="K16" i="33" s="1"/>
  <c r="K11" i="33"/>
  <c r="N14" i="33"/>
  <c r="J19" i="33"/>
  <c r="I24" i="33"/>
  <c r="I25" i="33" s="1"/>
  <c r="H24" i="33"/>
  <c r="Q13" i="33"/>
  <c r="I7" i="33"/>
  <c r="Z19" i="33"/>
  <c r="AA19" i="33" s="1"/>
  <c r="AB19" i="33" s="1"/>
  <c r="Y20" i="33"/>
  <c r="AA20" i="33" s="1"/>
  <c r="L7" i="32"/>
  <c r="K7" i="32"/>
  <c r="J7" i="32"/>
  <c r="N7" i="32"/>
  <c r="M7" i="32"/>
  <c r="H16" i="32"/>
  <c r="P7" i="32" s="1"/>
  <c r="P8" i="32" s="1"/>
  <c r="L14" i="32"/>
  <c r="L16" i="32" s="1"/>
  <c r="K14" i="32"/>
  <c r="K16" i="32" s="1"/>
  <c r="K11" i="32"/>
  <c r="M14" i="32"/>
  <c r="M16" i="32" s="1"/>
  <c r="Z19" i="32"/>
  <c r="AA19" i="32" s="1"/>
  <c r="AB19" i="32" s="1"/>
  <c r="Y20" i="32"/>
  <c r="AA20" i="32" s="1"/>
  <c r="Q13" i="32"/>
  <c r="N14" i="32"/>
  <c r="J19" i="32"/>
  <c r="I24" i="32"/>
  <c r="I25" i="32" s="1"/>
  <c r="H24" i="32"/>
  <c r="H17" i="32"/>
  <c r="V5" i="31"/>
  <c r="M9" i="31"/>
  <c r="O5" i="31"/>
  <c r="K9" i="31"/>
  <c r="S3" i="31"/>
  <c r="U6" i="31"/>
  <c r="W5" i="31"/>
  <c r="N9" i="31"/>
  <c r="V6" i="31"/>
  <c r="L9" i="31"/>
  <c r="H24" i="30"/>
  <c r="Q13" i="30"/>
  <c r="N14" i="30"/>
  <c r="I24" i="30"/>
  <c r="I25" i="30" s="1"/>
  <c r="J19" i="30"/>
  <c r="L14" i="30"/>
  <c r="L16" i="30" s="1"/>
  <c r="K11" i="30"/>
  <c r="M14" i="30"/>
  <c r="M16" i="30" s="1"/>
  <c r="K14" i="30"/>
  <c r="K16" i="30" s="1"/>
  <c r="Z19" i="30"/>
  <c r="AA19" i="30" s="1"/>
  <c r="AB19" i="30" s="1"/>
  <c r="Y20" i="30"/>
  <c r="AA20" i="30" s="1"/>
  <c r="N7" i="30"/>
  <c r="M7" i="30"/>
  <c r="L7" i="30"/>
  <c r="K7" i="30"/>
  <c r="H16" i="30"/>
  <c r="P7" i="30" s="1"/>
  <c r="P8" i="30" s="1"/>
  <c r="J7" i="30"/>
  <c r="N7" i="29"/>
  <c r="M7" i="29"/>
  <c r="L7" i="29"/>
  <c r="K7" i="29"/>
  <c r="H16" i="29"/>
  <c r="J7" i="29"/>
  <c r="V5" i="28"/>
  <c r="M9" i="28"/>
  <c r="N8" i="28"/>
  <c r="N10" i="28" s="1"/>
  <c r="M8" i="28"/>
  <c r="L8" i="28"/>
  <c r="K8" i="28"/>
  <c r="J9" i="28"/>
  <c r="O5" i="28"/>
  <c r="K9" i="28"/>
  <c r="S3" i="28"/>
  <c r="V6" i="28"/>
  <c r="N9" i="28"/>
  <c r="U6" i="28"/>
  <c r="W5" i="28"/>
  <c r="O23" i="28"/>
  <c r="L9" i="28"/>
  <c r="U5" i="28"/>
  <c r="V5" i="27"/>
  <c r="M9" i="27"/>
  <c r="K9" i="27"/>
  <c r="U5" i="27"/>
  <c r="L9" i="27"/>
  <c r="S3" i="27"/>
  <c r="N9" i="27"/>
  <c r="W5" i="27"/>
  <c r="U6" i="27"/>
  <c r="H17" i="27"/>
  <c r="M8" i="27"/>
  <c r="L8" i="27"/>
  <c r="K8" i="27"/>
  <c r="N8" i="27"/>
  <c r="N10" i="27" s="1"/>
  <c r="J9" i="27"/>
  <c r="N7" i="26"/>
  <c r="K7" i="26"/>
  <c r="M7" i="26"/>
  <c r="J7" i="26"/>
  <c r="L7" i="26"/>
  <c r="H16" i="26"/>
  <c r="N7" i="25"/>
  <c r="K7" i="25"/>
  <c r="H16" i="25"/>
  <c r="H17" i="25" s="1"/>
  <c r="J7" i="25"/>
  <c r="M7" i="25"/>
  <c r="L7" i="25"/>
  <c r="AA20" i="25"/>
  <c r="P7" i="25"/>
  <c r="P8" i="25" s="1"/>
  <c r="J19" i="25"/>
  <c r="N14" i="25"/>
  <c r="H24" i="25"/>
  <c r="Q13" i="25"/>
  <c r="I24" i="25"/>
  <c r="I25" i="25" s="1"/>
  <c r="Y20" i="25"/>
  <c r="Z19" i="25"/>
  <c r="AA19" i="25" s="1"/>
  <c r="AB19" i="25" s="1"/>
  <c r="K14" i="25"/>
  <c r="K16" i="25" s="1"/>
  <c r="K11" i="25"/>
  <c r="M14" i="25"/>
  <c r="M16" i="25" s="1"/>
  <c r="L14" i="25"/>
  <c r="L16" i="25" s="1"/>
  <c r="V5" i="24"/>
  <c r="M9" i="24"/>
  <c r="S3" i="24"/>
  <c r="V6" i="24"/>
  <c r="U6" i="24"/>
  <c r="N9" i="24"/>
  <c r="W5" i="24"/>
  <c r="H17" i="24"/>
  <c r="K9" i="24"/>
  <c r="O5" i="24"/>
  <c r="Y20" i="23"/>
  <c r="AA20" i="23" s="1"/>
  <c r="Z19" i="23"/>
  <c r="AA19" i="23" s="1"/>
  <c r="AB19" i="23" s="1"/>
  <c r="L14" i="23"/>
  <c r="L16" i="23" s="1"/>
  <c r="K14" i="23"/>
  <c r="K16" i="23" s="1"/>
  <c r="M14" i="23"/>
  <c r="M16" i="23" s="1"/>
  <c r="K11" i="23"/>
  <c r="L7" i="23"/>
  <c r="K7" i="23"/>
  <c r="H16" i="23"/>
  <c r="P7" i="23" s="1"/>
  <c r="P8" i="23" s="1"/>
  <c r="N7" i="23"/>
  <c r="M7" i="23"/>
  <c r="J7" i="23"/>
  <c r="N14" i="23"/>
  <c r="J19" i="23"/>
  <c r="I24" i="23"/>
  <c r="I25" i="23" s="1"/>
  <c r="H24" i="23"/>
  <c r="Q13" i="23"/>
  <c r="O5" i="22"/>
  <c r="K9" i="22"/>
  <c r="L8" i="22"/>
  <c r="K8" i="22"/>
  <c r="J9" i="22"/>
  <c r="N8" i="22"/>
  <c r="N10" i="22" s="1"/>
  <c r="M8" i="22"/>
  <c r="V5" i="22"/>
  <c r="M9" i="22"/>
  <c r="S3" i="22"/>
  <c r="O23" i="22"/>
  <c r="V6" i="22"/>
  <c r="N9" i="22"/>
  <c r="U6" i="22"/>
  <c r="W5" i="22"/>
  <c r="U5" i="22"/>
  <c r="L9" i="22"/>
  <c r="L7" i="21"/>
  <c r="N7" i="21"/>
  <c r="H16" i="21"/>
  <c r="M7" i="21"/>
  <c r="K7" i="21"/>
  <c r="J7" i="21"/>
  <c r="H16" i="20"/>
  <c r="N7" i="20"/>
  <c r="K7" i="20"/>
  <c r="J7" i="20"/>
  <c r="M7" i="20"/>
  <c r="L7" i="20"/>
  <c r="S3" i="19"/>
  <c r="U6" i="19"/>
  <c r="W5" i="19"/>
  <c r="O23" i="19"/>
  <c r="V6" i="19"/>
  <c r="N9" i="19"/>
  <c r="U5" i="19"/>
  <c r="L9" i="19"/>
  <c r="N8" i="19"/>
  <c r="N10" i="19" s="1"/>
  <c r="M8" i="19"/>
  <c r="L8" i="19"/>
  <c r="K8" i="19"/>
  <c r="J9" i="19"/>
  <c r="M9" i="19"/>
  <c r="V5" i="19"/>
  <c r="K9" i="19"/>
  <c r="O5" i="19"/>
  <c r="L8" i="18"/>
  <c r="K8" i="18"/>
  <c r="N8" i="18"/>
  <c r="N10" i="18" s="1"/>
  <c r="M8" i="18"/>
  <c r="J9" i="18"/>
  <c r="O5" i="18"/>
  <c r="K9" i="18"/>
  <c r="H17" i="18"/>
  <c r="U5" i="18"/>
  <c r="L9" i="18"/>
  <c r="M9" i="18"/>
  <c r="V5" i="18"/>
  <c r="S3" i="18"/>
  <c r="V6" i="18"/>
  <c r="N9" i="18"/>
  <c r="O23" i="18"/>
  <c r="U6" i="18"/>
  <c r="W5" i="18"/>
  <c r="N7" i="17"/>
  <c r="M7" i="17"/>
  <c r="L7" i="17"/>
  <c r="K7" i="17"/>
  <c r="H16" i="17"/>
  <c r="J7" i="17"/>
  <c r="J19" i="16"/>
  <c r="I24" i="16"/>
  <c r="I25" i="16" s="1"/>
  <c r="N14" i="16"/>
  <c r="H24" i="16"/>
  <c r="Q13" i="16"/>
  <c r="Y20" i="16"/>
  <c r="AA20" i="16" s="1"/>
  <c r="Z19" i="16"/>
  <c r="AA19" i="16" s="1"/>
  <c r="AB19" i="16" s="1"/>
  <c r="I7" i="16"/>
  <c r="M14" i="16"/>
  <c r="M16" i="16" s="1"/>
  <c r="L14" i="16"/>
  <c r="L16" i="16" s="1"/>
  <c r="K14" i="16"/>
  <c r="K16" i="16" s="1"/>
  <c r="K11" i="16"/>
  <c r="K7" i="15"/>
  <c r="H16" i="15"/>
  <c r="N7" i="15"/>
  <c r="L7" i="15"/>
  <c r="J7" i="15"/>
  <c r="M7" i="15"/>
  <c r="N7" i="14"/>
  <c r="J7" i="14"/>
  <c r="M7" i="14"/>
  <c r="L7" i="14"/>
  <c r="K7" i="14"/>
  <c r="H16" i="14"/>
  <c r="N7" i="13"/>
  <c r="M7" i="13"/>
  <c r="H16" i="13"/>
  <c r="J7" i="13"/>
  <c r="L7" i="13"/>
  <c r="K7" i="13"/>
  <c r="N7" i="12"/>
  <c r="M7" i="12"/>
  <c r="L7" i="12"/>
  <c r="K7" i="12"/>
  <c r="H16" i="12"/>
  <c r="J7" i="12"/>
  <c r="S3" i="10"/>
  <c r="W5" i="10"/>
  <c r="N9" i="10"/>
  <c r="V6" i="10"/>
  <c r="U6" i="10"/>
  <c r="O23" i="10"/>
  <c r="N8" i="10"/>
  <c r="N10" i="10" s="1"/>
  <c r="M8" i="10"/>
  <c r="K8" i="10"/>
  <c r="L8" i="10"/>
  <c r="J9" i="10"/>
  <c r="O5" i="10"/>
  <c r="K9" i="10"/>
  <c r="L9" i="10"/>
  <c r="U5" i="10"/>
  <c r="P7" i="10"/>
  <c r="P8" i="10" s="1"/>
  <c r="M9" i="10"/>
  <c r="V5" i="10"/>
  <c r="S3" i="9"/>
  <c r="N9" i="9"/>
  <c r="U6" i="9"/>
  <c r="W5" i="9"/>
  <c r="V6" i="9"/>
  <c r="O23" i="9"/>
  <c r="K8" i="9"/>
  <c r="N8" i="9"/>
  <c r="N10" i="9" s="1"/>
  <c r="M8" i="9"/>
  <c r="L8" i="9"/>
  <c r="J9" i="9"/>
  <c r="U5" i="9"/>
  <c r="L9" i="9"/>
  <c r="O5" i="9"/>
  <c r="K9" i="9"/>
  <c r="H17" i="9"/>
  <c r="V5" i="9"/>
  <c r="M9" i="9"/>
  <c r="N7" i="8"/>
  <c r="L7" i="8"/>
  <c r="K7" i="8"/>
  <c r="H16" i="8"/>
  <c r="J7" i="8"/>
  <c r="M7" i="8"/>
  <c r="L9" i="24" l="1"/>
  <c r="L8" i="24"/>
  <c r="M8" i="24"/>
  <c r="J9" i="24"/>
  <c r="K8" i="24"/>
  <c r="O23" i="27"/>
  <c r="O5" i="27"/>
  <c r="V6" i="27"/>
  <c r="J9" i="31"/>
  <c r="M8" i="31"/>
  <c r="N8" i="31"/>
  <c r="N10" i="31" s="1"/>
  <c r="L8" i="31"/>
  <c r="P7" i="31"/>
  <c r="P8" i="31" s="1"/>
  <c r="H17" i="31"/>
  <c r="L9" i="34"/>
  <c r="U5" i="34"/>
  <c r="S3" i="34"/>
  <c r="U6" i="34"/>
  <c r="O23" i="34"/>
  <c r="V6" i="34"/>
  <c r="W5" i="34"/>
  <c r="N9" i="34"/>
  <c r="N8" i="34"/>
  <c r="N10" i="34" s="1"/>
  <c r="M8" i="34"/>
  <c r="K8" i="34"/>
  <c r="J9" i="34"/>
  <c r="L8" i="34"/>
  <c r="M9" i="34"/>
  <c r="V5" i="34"/>
  <c r="H17" i="34"/>
  <c r="P7" i="34"/>
  <c r="P8" i="34" s="1"/>
  <c r="O5" i="34"/>
  <c r="K9" i="34"/>
  <c r="H16" i="33"/>
  <c r="N7" i="33"/>
  <c r="J7" i="33"/>
  <c r="M7" i="33"/>
  <c r="K7" i="33"/>
  <c r="L7" i="33"/>
  <c r="M9" i="32"/>
  <c r="V5" i="32"/>
  <c r="N8" i="32"/>
  <c r="N10" i="32" s="1"/>
  <c r="K8" i="32"/>
  <c r="J9" i="32"/>
  <c r="M8" i="32"/>
  <c r="L8" i="32"/>
  <c r="U5" i="32"/>
  <c r="L9" i="32"/>
  <c r="S3" i="32"/>
  <c r="N9" i="32"/>
  <c r="U6" i="32"/>
  <c r="W5" i="32"/>
  <c r="O23" i="32"/>
  <c r="V6" i="32"/>
  <c r="O5" i="32"/>
  <c r="K9" i="32"/>
  <c r="O5" i="30"/>
  <c r="K9" i="30"/>
  <c r="S3" i="30"/>
  <c r="O23" i="30"/>
  <c r="V6" i="30"/>
  <c r="U6" i="30"/>
  <c r="W5" i="30"/>
  <c r="N9" i="30"/>
  <c r="L8" i="30"/>
  <c r="K8" i="30"/>
  <c r="N8" i="30"/>
  <c r="N10" i="30" s="1"/>
  <c r="M8" i="30"/>
  <c r="J9" i="30"/>
  <c r="H17" i="30"/>
  <c r="L9" i="30"/>
  <c r="U5" i="30"/>
  <c r="V5" i="30"/>
  <c r="M9" i="30"/>
  <c r="P7" i="29"/>
  <c r="P8" i="29" s="1"/>
  <c r="H17" i="29"/>
  <c r="J9" i="29"/>
  <c r="N8" i="29"/>
  <c r="N10" i="29" s="1"/>
  <c r="M8" i="29"/>
  <c r="L8" i="29"/>
  <c r="K8" i="29"/>
  <c r="K9" i="29"/>
  <c r="O5" i="29"/>
  <c r="U5" i="29"/>
  <c r="L9" i="29"/>
  <c r="V5" i="29"/>
  <c r="M9" i="29"/>
  <c r="S3" i="29"/>
  <c r="O23" i="29"/>
  <c r="V6" i="29"/>
  <c r="U6" i="29"/>
  <c r="W5" i="29"/>
  <c r="N9" i="29"/>
  <c r="H17" i="26"/>
  <c r="P7" i="26"/>
  <c r="P8" i="26" s="1"/>
  <c r="M9" i="26"/>
  <c r="V5" i="26"/>
  <c r="O5" i="26"/>
  <c r="K9" i="26"/>
  <c r="U5" i="26"/>
  <c r="L9" i="26"/>
  <c r="N8" i="26"/>
  <c r="N10" i="26" s="1"/>
  <c r="M8" i="26"/>
  <c r="L8" i="26"/>
  <c r="J9" i="26"/>
  <c r="K8" i="26"/>
  <c r="S3" i="26"/>
  <c r="U6" i="26"/>
  <c r="O23" i="26"/>
  <c r="W5" i="26"/>
  <c r="V6" i="26"/>
  <c r="N9" i="26"/>
  <c r="S3" i="25"/>
  <c r="W5" i="25"/>
  <c r="U6" i="25"/>
  <c r="O23" i="25"/>
  <c r="V6" i="25"/>
  <c r="N9" i="25"/>
  <c r="U5" i="25"/>
  <c r="L9" i="25"/>
  <c r="V5" i="25"/>
  <c r="M9" i="25"/>
  <c r="K8" i="25"/>
  <c r="N8" i="25"/>
  <c r="N10" i="25" s="1"/>
  <c r="M8" i="25"/>
  <c r="L8" i="25"/>
  <c r="J9" i="25"/>
  <c r="O5" i="25"/>
  <c r="K9" i="25"/>
  <c r="S3" i="23"/>
  <c r="N9" i="23"/>
  <c r="U6" i="23"/>
  <c r="W5" i="23"/>
  <c r="V6" i="23"/>
  <c r="O23" i="23"/>
  <c r="H17" i="23"/>
  <c r="V5" i="23"/>
  <c r="M9" i="23"/>
  <c r="O5" i="23"/>
  <c r="K9" i="23"/>
  <c r="U5" i="23"/>
  <c r="L9" i="23"/>
  <c r="K8" i="23"/>
  <c r="J9" i="23"/>
  <c r="N8" i="23"/>
  <c r="N10" i="23" s="1"/>
  <c r="M8" i="23"/>
  <c r="L8" i="23"/>
  <c r="N8" i="21"/>
  <c r="N10" i="21" s="1"/>
  <c r="L8" i="21"/>
  <c r="K8" i="21"/>
  <c r="M8" i="21"/>
  <c r="J9" i="21"/>
  <c r="S3" i="21"/>
  <c r="U6" i="21"/>
  <c r="W5" i="21"/>
  <c r="O23" i="21"/>
  <c r="V6" i="21"/>
  <c r="N9" i="21"/>
  <c r="K9" i="21"/>
  <c r="O5" i="21"/>
  <c r="V5" i="21"/>
  <c r="M9" i="21"/>
  <c r="P7" i="21"/>
  <c r="P8" i="21" s="1"/>
  <c r="H17" i="21"/>
  <c r="U5" i="21"/>
  <c r="L9" i="21"/>
  <c r="U5" i="20"/>
  <c r="L9" i="20"/>
  <c r="V5" i="20"/>
  <c r="M9" i="20"/>
  <c r="K8" i="20"/>
  <c r="N8" i="20"/>
  <c r="N10" i="20" s="1"/>
  <c r="M8" i="20"/>
  <c r="J9" i="20"/>
  <c r="L8" i="20"/>
  <c r="K9" i="20"/>
  <c r="O5" i="20"/>
  <c r="S3" i="20"/>
  <c r="N9" i="20"/>
  <c r="V6" i="20"/>
  <c r="U6" i="20"/>
  <c r="W5" i="20"/>
  <c r="O23" i="20"/>
  <c r="P7" i="20"/>
  <c r="P8" i="20" s="1"/>
  <c r="H17" i="20"/>
  <c r="H17" i="17"/>
  <c r="P7" i="17"/>
  <c r="P8" i="17" s="1"/>
  <c r="V5" i="17"/>
  <c r="M9" i="17"/>
  <c r="J9" i="17"/>
  <c r="L8" i="17"/>
  <c r="N8" i="17"/>
  <c r="N10" i="17" s="1"/>
  <c r="M8" i="17"/>
  <c r="K8" i="17"/>
  <c r="O5" i="17"/>
  <c r="K9" i="17"/>
  <c r="L9" i="17"/>
  <c r="U5" i="17"/>
  <c r="S3" i="17"/>
  <c r="V6" i="17"/>
  <c r="N9" i="17"/>
  <c r="U6" i="17"/>
  <c r="W5" i="17"/>
  <c r="O23" i="17"/>
  <c r="N7" i="16"/>
  <c r="M7" i="16"/>
  <c r="H16" i="16"/>
  <c r="L7" i="16"/>
  <c r="K7" i="16"/>
  <c r="J7" i="16"/>
  <c r="M8" i="15"/>
  <c r="N8" i="15"/>
  <c r="N10" i="15" s="1"/>
  <c r="L8" i="15"/>
  <c r="K8" i="15"/>
  <c r="J9" i="15"/>
  <c r="U5" i="15"/>
  <c r="L9" i="15"/>
  <c r="S3" i="15"/>
  <c r="W5" i="15"/>
  <c r="U6" i="15"/>
  <c r="O23" i="15"/>
  <c r="V6" i="15"/>
  <c r="N9" i="15"/>
  <c r="P7" i="15"/>
  <c r="P8" i="15" s="1"/>
  <c r="H17" i="15"/>
  <c r="M9" i="15"/>
  <c r="V5" i="15"/>
  <c r="K9" i="15"/>
  <c r="O5" i="15"/>
  <c r="H17" i="14"/>
  <c r="P7" i="14"/>
  <c r="P8" i="14" s="1"/>
  <c r="K9" i="14"/>
  <c r="O5" i="14"/>
  <c r="U5" i="14"/>
  <c r="L9" i="14"/>
  <c r="V5" i="14"/>
  <c r="M9" i="14"/>
  <c r="M8" i="14"/>
  <c r="L8" i="14"/>
  <c r="K8" i="14"/>
  <c r="N8" i="14"/>
  <c r="N10" i="14" s="1"/>
  <c r="J9" i="14"/>
  <c r="V6" i="14"/>
  <c r="W5" i="14"/>
  <c r="N9" i="14"/>
  <c r="O23" i="14"/>
  <c r="U6" i="14"/>
  <c r="S3" i="14"/>
  <c r="S3" i="13"/>
  <c r="N9" i="13"/>
  <c r="V6" i="13"/>
  <c r="U6" i="13"/>
  <c r="W5" i="13"/>
  <c r="O23" i="13"/>
  <c r="O5" i="13"/>
  <c r="K9" i="13"/>
  <c r="U5" i="13"/>
  <c r="L9" i="13"/>
  <c r="J9" i="13"/>
  <c r="M8" i="13"/>
  <c r="L8" i="13"/>
  <c r="N8" i="13"/>
  <c r="N10" i="13" s="1"/>
  <c r="K8" i="13"/>
  <c r="P7" i="13"/>
  <c r="P8" i="13" s="1"/>
  <c r="H17" i="13"/>
  <c r="V5" i="13"/>
  <c r="M9" i="13"/>
  <c r="N8" i="12"/>
  <c r="N10" i="12" s="1"/>
  <c r="J9" i="12"/>
  <c r="M8" i="12"/>
  <c r="L8" i="12"/>
  <c r="K8" i="12"/>
  <c r="P7" i="12"/>
  <c r="P8" i="12" s="1"/>
  <c r="H17" i="12"/>
  <c r="O5" i="12"/>
  <c r="K9" i="12"/>
  <c r="L9" i="12"/>
  <c r="U5" i="12"/>
  <c r="V5" i="12"/>
  <c r="M9" i="12"/>
  <c r="S3" i="12"/>
  <c r="O23" i="12"/>
  <c r="V6" i="12"/>
  <c r="U6" i="12"/>
  <c r="W5" i="12"/>
  <c r="N9" i="12"/>
  <c r="V5" i="8"/>
  <c r="M9" i="8"/>
  <c r="N8" i="8"/>
  <c r="N10" i="8" s="1"/>
  <c r="M8" i="8"/>
  <c r="L8" i="8"/>
  <c r="K8" i="8"/>
  <c r="J9" i="8"/>
  <c r="P7" i="8"/>
  <c r="P8" i="8" s="1"/>
  <c r="H17" i="8"/>
  <c r="K9" i="8"/>
  <c r="O5" i="8"/>
  <c r="U5" i="8"/>
  <c r="L9" i="8"/>
  <c r="S3" i="8"/>
  <c r="V6" i="8"/>
  <c r="U6" i="8"/>
  <c r="W5" i="8"/>
  <c r="N9" i="8"/>
  <c r="O23" i="8"/>
  <c r="L9" i="33" l="1"/>
  <c r="U5" i="33"/>
  <c r="O5" i="33"/>
  <c r="K9" i="33"/>
  <c r="N8" i="33"/>
  <c r="N10" i="33" s="1"/>
  <c r="M8" i="33"/>
  <c r="L8" i="33"/>
  <c r="J9" i="33"/>
  <c r="K8" i="33"/>
  <c r="S3" i="33"/>
  <c r="U6" i="33"/>
  <c r="W5" i="33"/>
  <c r="V6" i="33"/>
  <c r="N9" i="33"/>
  <c r="O23" i="33"/>
  <c r="M9" i="33"/>
  <c r="V5" i="33"/>
  <c r="P7" i="33"/>
  <c r="P8" i="33" s="1"/>
  <c r="H17" i="33"/>
  <c r="L8" i="16"/>
  <c r="K8" i="16"/>
  <c r="J9" i="16"/>
  <c r="N8" i="16"/>
  <c r="N10" i="16" s="1"/>
  <c r="M8" i="16"/>
  <c r="K9" i="16"/>
  <c r="O5" i="16"/>
  <c r="U5" i="16"/>
  <c r="L9" i="16"/>
  <c r="P7" i="16"/>
  <c r="P8" i="16" s="1"/>
  <c r="H17" i="16"/>
  <c r="V5" i="16"/>
  <c r="M9" i="16"/>
  <c r="S3" i="16"/>
  <c r="V6" i="16"/>
  <c r="W5" i="16"/>
  <c r="N9" i="16"/>
  <c r="U6" i="16"/>
  <c r="O23" i="16"/>
</calcChain>
</file>

<file path=xl/sharedStrings.xml><?xml version="1.0" encoding="utf-8"?>
<sst xmlns="http://schemas.openxmlformats.org/spreadsheetml/2006/main" count="8784" uniqueCount="189">
  <si>
    <t>2YRS</t>
  </si>
  <si>
    <t>3YRS</t>
  </si>
  <si>
    <t>4YRS</t>
  </si>
  <si>
    <t>5YRS</t>
  </si>
  <si>
    <t>Actual Vehicle Value</t>
  </si>
  <si>
    <t>Vehicle Price</t>
  </si>
  <si>
    <t>Vat</t>
  </si>
  <si>
    <t>Add Ons</t>
  </si>
  <si>
    <t>Total VAT Charges</t>
  </si>
  <si>
    <t xml:space="preserve">Full Vehicle Value Including Add Ons </t>
  </si>
  <si>
    <t>Finance Amount (80%)</t>
  </si>
  <si>
    <t>2- Yrs EMI</t>
  </si>
  <si>
    <t>3-Yrs EMI</t>
  </si>
  <si>
    <t>4-Yrs EMI</t>
  </si>
  <si>
    <t>5-Year EMI</t>
  </si>
  <si>
    <t>Subvention</t>
  </si>
  <si>
    <t>Total Interest</t>
  </si>
  <si>
    <t>NO</t>
  </si>
  <si>
    <t>FO Ceramic+ Intr&amp;Extr CeramicGold WdwTnt</t>
  </si>
  <si>
    <t>YES</t>
  </si>
  <si>
    <t>Registration</t>
  </si>
  <si>
    <t>DP Finance</t>
  </si>
  <si>
    <t>Extended Warranty</t>
  </si>
  <si>
    <t>VRI</t>
  </si>
  <si>
    <t>1YR</t>
  </si>
  <si>
    <t>5 YRS</t>
  </si>
  <si>
    <t>Veh Insurance</t>
  </si>
  <si>
    <t>Vehicle Insurance</t>
  </si>
  <si>
    <t>Gap Ins</t>
  </si>
  <si>
    <t>Discount</t>
  </si>
  <si>
    <t xml:space="preserve">Bank Interest rate </t>
  </si>
  <si>
    <t>Down Payment</t>
  </si>
  <si>
    <t>Permissible</t>
  </si>
  <si>
    <t>Banks</t>
  </si>
  <si>
    <t>Salary Bracket</t>
  </si>
  <si>
    <t>Ø</t>
  </si>
  <si>
    <t>OTLNR</t>
  </si>
  <si>
    <t>Security Cheque for Bank - ( One Scurity Cheque bank need from your salary account after finance approval from the bank )</t>
  </si>
  <si>
    <t xml:space="preserve">***Please bring this Calculation Sheet at the time of submission of full documents (clear copies).  Interest rate may vary subject to salary and bank applied </t>
  </si>
  <si>
    <t xml:space="preserve">***This sheet is only communication between dealer and the customer, avoid discussing with bank personal </t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</si>
  <si>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trike/>
        <sz val="21"/>
        <color theme="1"/>
        <rFont val="Agency FB"/>
        <family val="2"/>
      </rPr>
      <t>Labour Card</t>
    </r>
    <r>
      <rPr>
        <b/>
        <sz val="21"/>
        <color theme="1"/>
        <rFont val="Agency FB"/>
        <family val="2"/>
      </rPr>
      <t>/Free Zone/Employer ID.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</si>
  <si>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Copy of the UAE Driver’s License Both Sides.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</si>
  <si>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Current Dated Salary Certificate from The Employer.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</si>
  <si>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Pay Slips For The Last 3 Months-[If Variance In Salary ].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</si>
  <si>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IBAN.</t>
    </r>
  </si>
  <si>
    <t>Finance Calculator</t>
  </si>
  <si>
    <t>MY-2025</t>
  </si>
  <si>
    <t xml:space="preserve">Vehicle Vat With Vat </t>
  </si>
  <si>
    <t>Down-Payment
(20%)</t>
  </si>
  <si>
    <t xml:space="preserve">Accessories </t>
  </si>
  <si>
    <t xml:space="preserve"> REQUIRED DOCUMENTS FOR AUTO LOAN FINANCE</t>
  </si>
  <si>
    <t>New VRI</t>
  </si>
  <si>
    <t>Insurance</t>
  </si>
  <si>
    <t>Tenor</t>
  </si>
  <si>
    <t>EMI</t>
  </si>
  <si>
    <t>1-YR EMI</t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</si>
  <si>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Passport Copy, Digital Visa &amp; Address Page For Indian Passport, Page #44 For Philippines Passport.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</si>
  <si>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Emirates ID Card Copy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</si>
  <si>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trike/>
        <sz val="20"/>
        <color theme="1"/>
        <rFont val="Agency FB"/>
        <family val="2"/>
      </rPr>
      <t>Labour Card</t>
    </r>
    <r>
      <rPr>
        <b/>
        <sz val="20"/>
        <color theme="1"/>
        <rFont val="Agency FB"/>
        <family val="2"/>
      </rPr>
      <t>/Free Zone/Employer ID.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</si>
  <si>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Copy of the UAE Driver’s License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</si>
  <si>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Current Dated Salary Certificate from The Employer.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</si>
  <si>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</si>
  <si>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IBAN.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</si>
  <si>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Trade License Copy –All Three Pages For [LLC]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</si>
  <si>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</si>
  <si>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</si>
  <si>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</si>
  <si>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Certificate Copy.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</si>
  <si>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Tenancy Contract Copy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</si>
  <si>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</si>
  <si>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10 Recent Invoice Copies. [Sales &amp; Purchase Invoices]. </t>
    </r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</si>
  <si>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</si>
  <si>
    <t>Depreciation On Prorata Basis[Per Day]</t>
  </si>
  <si>
    <t>Bank PF</t>
  </si>
  <si>
    <t>DP PF</t>
  </si>
  <si>
    <t xml:space="preserve">DP Fin Amt
</t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</si>
  <si>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>Last Six Months bank statement from [From 1st December 2025-31st May 2026].</t>
    </r>
  </si>
  <si>
    <t>RMC-10-70KMS</t>
  </si>
  <si>
    <t>3 Months</t>
  </si>
  <si>
    <t>5000-9999</t>
  </si>
  <si>
    <r>
      <t xml:space="preserve">For Any Further Clarification On Finance Kindly Forward An Email : </t>
    </r>
    <r>
      <rPr>
        <b/>
        <sz val="20"/>
        <rFont val="Bahnschrift SemiLight SemiConde"/>
        <family val="2"/>
      </rPr>
      <t>naveen@habtoormotors.com</t>
    </r>
    <r>
      <rPr>
        <sz val="20"/>
        <rFont val="Bahnschrift SemiLight SemiConde"/>
        <family val="2"/>
      </rPr>
      <t xml:space="preserve"> Or Reach Us On Boardline 04-608-4000</t>
    </r>
    <r>
      <rPr>
        <sz val="16"/>
        <rFont val="Bahnschrift SemiLight SemiConde"/>
        <family val="2"/>
      </rPr>
      <t>,For Any Further Clarification On The Vehicle[s] Kindly Coordinate With The Sales Team :-</t>
    </r>
  </si>
  <si>
    <t xml:space="preserve">Bachir </t>
  </si>
  <si>
    <t>SIB STL</t>
  </si>
  <si>
    <t>SIB NON STL</t>
  </si>
  <si>
    <t xml:space="preserve">Reservation
</t>
  </si>
  <si>
    <t>Reservation</t>
  </si>
  <si>
    <t>ATG16</t>
  </si>
  <si>
    <t>MIG09</t>
  </si>
  <si>
    <t>MIG10</t>
  </si>
  <si>
    <t>ATG17</t>
  </si>
  <si>
    <t>ASG48</t>
  </si>
  <si>
    <t>ASG43</t>
  </si>
  <si>
    <t>ASG40</t>
  </si>
  <si>
    <t>ASG42</t>
  </si>
  <si>
    <t>ASG44</t>
  </si>
  <si>
    <t>ASG45</t>
  </si>
  <si>
    <t>ECG38</t>
  </si>
  <si>
    <t>ECG37</t>
  </si>
  <si>
    <t>ECG40</t>
  </si>
  <si>
    <t>ECG43</t>
  </si>
  <si>
    <t>XPML</t>
  </si>
  <si>
    <t>XPHL</t>
  </si>
  <si>
    <t>XPMLP</t>
  </si>
  <si>
    <t>XPMLP-01</t>
  </si>
  <si>
    <t>XC</t>
  </si>
  <si>
    <t>OTF03</t>
  </si>
  <si>
    <t>OTP03</t>
  </si>
  <si>
    <t>OTF06</t>
  </si>
  <si>
    <t>OTP06</t>
  </si>
  <si>
    <t>OTP06-01</t>
  </si>
  <si>
    <t>OTF08</t>
  </si>
  <si>
    <t>OTP08</t>
  </si>
  <si>
    <t>MOP57</t>
  </si>
  <si>
    <t>MOG64</t>
  </si>
  <si>
    <t>MOG59</t>
  </si>
  <si>
    <t>MOG59P</t>
  </si>
  <si>
    <t>MOG61</t>
  </si>
  <si>
    <t>MOP61</t>
  </si>
  <si>
    <r>
      <t xml:space="preserve">For Any Further Clarification On Finance Kindly Forward An Email : </t>
    </r>
    <r>
      <rPr>
        <b/>
        <sz val="12"/>
        <rFont val="Bahnschrift SemiLight SemiConde"/>
        <family val="2"/>
      </rPr>
      <t>naveen@habtoormotors.com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</si>
  <si>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10 Recent Invoice Copies. [Sales &amp; Purchase Invoices].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</si>
  <si>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</si>
  <si>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Tenancy Contract Copy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</si>
  <si>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Certificate Copy.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</si>
  <si>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>Last Six Months bank statement from [From 1st January 2026-30th July  2026].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</si>
  <si>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</si>
  <si>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</si>
  <si>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</si>
  <si>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Trade License Copy –All Three Pages For [LLC] </t>
    </r>
  </si>
  <si>
    <t>Simon Lobo</t>
  </si>
  <si>
    <t>For Any Further Clarification On The Vehicle[s] Kindly Coordinate With The Sales Executive :-</t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</si>
  <si>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  <r>
      <rPr>
        <sz val="16"/>
        <rFont val="Bahnschrift SemiLight SemiConde"/>
        <family val="2"/>
      </rPr>
      <t xml:space="preserve"> Or Reach Us On Boardline -04-608-4000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</si>
  <si>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IBAN.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</si>
  <si>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</si>
  <si>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Current Dated Salary Certificate from The Employer.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</si>
  <si>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Copy of the UAE Driver’s License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</si>
  <si>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trike/>
        <sz val="20"/>
        <color theme="1"/>
        <rFont val="Agency FB"/>
        <family val="2"/>
      </rPr>
      <t>Labour Card</t>
    </r>
    <r>
      <rPr>
        <sz val="20"/>
        <color theme="1"/>
        <rFont val="Agency FB"/>
        <family val="2"/>
      </rPr>
      <t>/Free Zone/Employer ID.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</si>
  <si>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Emirates ID Card Copy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</si>
  <si>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Passport Copy, Digital Visa &amp; Address Page For Indian Passport, Page #44 For Philippines Passport.</t>
    </r>
  </si>
  <si>
    <t>Emirates NBD</t>
  </si>
  <si>
    <t>ROI</t>
  </si>
  <si>
    <t>Accessory</t>
  </si>
  <si>
    <t>1-Yr EMI</t>
  </si>
  <si>
    <t xml:space="preserve">Down-Payment
</t>
  </si>
  <si>
    <t>Total Vehicle Value With Vat</t>
  </si>
  <si>
    <t>MY-2026</t>
  </si>
  <si>
    <t>Email ID :</t>
  </si>
  <si>
    <t>Contact Number:</t>
  </si>
  <si>
    <t>Customer Name:</t>
  </si>
  <si>
    <t>H16</t>
  </si>
  <si>
    <t>P16</t>
  </si>
  <si>
    <t>HL</t>
  </si>
  <si>
    <t>H17</t>
  </si>
  <si>
    <t>H59</t>
  </si>
  <si>
    <t>P61</t>
  </si>
  <si>
    <t>H61</t>
  </si>
  <si>
    <t>P59</t>
  </si>
  <si>
    <t>P57</t>
  </si>
  <si>
    <t>H64</t>
  </si>
  <si>
    <t>P08</t>
  </si>
  <si>
    <t>H57</t>
  </si>
  <si>
    <t>P09</t>
  </si>
  <si>
    <t>G09</t>
  </si>
  <si>
    <t>G08</t>
  </si>
  <si>
    <t>G05</t>
  </si>
  <si>
    <t>P05</t>
  </si>
  <si>
    <t>G12</t>
  </si>
  <si>
    <t>P12</t>
  </si>
  <si>
    <t>P06</t>
  </si>
  <si>
    <t>P03</t>
  </si>
  <si>
    <t>G06</t>
  </si>
  <si>
    <t>G03</t>
  </si>
  <si>
    <t>G10</t>
  </si>
  <si>
    <t>P10</t>
  </si>
  <si>
    <t>PRP</t>
  </si>
  <si>
    <t>H37</t>
  </si>
  <si>
    <t>HLP</t>
  </si>
  <si>
    <t>H38</t>
  </si>
  <si>
    <t>H45</t>
  </si>
  <si>
    <t>H48</t>
  </si>
  <si>
    <t>H42</t>
  </si>
  <si>
    <t>H44</t>
  </si>
  <si>
    <t>H40</t>
  </si>
  <si>
    <t>H43</t>
  </si>
  <si>
    <t>EH40</t>
  </si>
  <si>
    <t>EH43</t>
  </si>
  <si>
    <t>ML</t>
  </si>
  <si>
    <t>PR</t>
  </si>
  <si>
    <t>MLP</t>
  </si>
  <si>
    <t xml:space="preserve">FO PPF Gold Package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</si>
</sst>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mmmm\ d\,\ yyyy;@"/>
    <numFmt numFmtId="165" formatCode="#,##0.00000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ahnschrift SemiLight SemiConde"/>
      <family val="2"/>
    </font>
    <font>
      <sz val="21"/>
      <color theme="1"/>
      <name val="Wingdings"/>
      <charset val="2"/>
    </font>
    <font>
      <sz val="7"/>
      <color theme="1"/>
      <name val="Times New Roman"/>
      <family val="1"/>
    </font>
    <font>
      <b/>
      <strike/>
      <sz val="21"/>
      <color theme="1"/>
      <name val="Agency FB"/>
      <family val="2"/>
    </font>
    <font>
      <b/>
      <sz val="21"/>
      <color theme="1"/>
      <name val="Agency FB"/>
      <family val="2"/>
    </font>
    <font>
      <b/>
      <sz val="72"/>
      <color theme="1"/>
      <name val="Bahnschrift SemiLight SemiConde"/>
      <family val="2"/>
    </font>
    <font>
      <b/>
      <sz val="16"/>
      <name val="Bahnschrift SemiLight SemiConde"/>
      <family val="2"/>
    </font>
    <font>
      <b/>
      <sz val="20"/>
      <color theme="1"/>
      <name val="Bahnschrift SemiLight SemiConde"/>
      <family val="2"/>
    </font>
    <font>
      <b/>
      <sz val="20"/>
      <color rgb="FFFF0000"/>
      <name val="Bahnschrift SemiLight SemiConde"/>
      <family val="2"/>
    </font>
    <font>
      <sz val="20"/>
      <color theme="1"/>
      <name val="Bahnschrift SemiLight SemiConde"/>
      <family val="2"/>
    </font>
    <font>
      <sz val="20"/>
      <color theme="0"/>
      <name val="Bahnschrift SemiLight SemiConde"/>
      <family val="2"/>
    </font>
    <font>
      <b/>
      <sz val="20"/>
      <color rgb="FFFFFF00"/>
      <name val="Bahnschrift SemiLight SemiConde"/>
      <family val="2"/>
    </font>
    <font>
      <b/>
      <sz val="20"/>
      <color theme="0"/>
      <name val="Bahnschrift SemiLight SemiConde"/>
      <family val="2"/>
    </font>
    <font>
      <sz val="20"/>
      <name val="Bahnschrift SemiLight SemiConde"/>
      <family val="2"/>
    </font>
    <font>
      <b/>
      <sz val="20"/>
      <name val="Bahnschrift SemiLight SemiConde"/>
      <family val="2"/>
    </font>
    <font>
      <b/>
      <sz val="20"/>
      <color theme="1"/>
      <name val="Wingdings"/>
      <charset val="2"/>
    </font>
    <font>
      <b/>
      <sz val="20"/>
      <color theme="1"/>
      <name val="Times New Roman"/>
      <family val="1"/>
    </font>
    <font>
      <b/>
      <sz val="20"/>
      <color theme="1"/>
      <name val="Agency FB"/>
      <family val="2"/>
    </font>
    <font>
      <b/>
      <sz val="20"/>
      <color theme="1"/>
      <name val="Bookman Old Style"/>
      <family val="1"/>
    </font>
    <font>
      <b/>
      <strike/>
      <sz val="20"/>
      <color theme="1"/>
      <name val="Agency FB"/>
      <family val="2"/>
    </font>
    <font>
      <sz val="16"/>
      <name val="Bahnschrift SemiLight SemiConde"/>
      <family val="2"/>
    </font>
    <font>
      <sz val="16"/>
      <color rgb="FF000000"/>
      <name val="Wingdings"/>
      <charset val="2"/>
    </font>
    <font>
      <sz val="16"/>
      <color rgb="FF000000"/>
      <name val="Times New Roman"/>
      <family val="1"/>
    </font>
    <font>
      <sz val="16"/>
      <color rgb="FF000000"/>
      <name val="Bookman Old Style"/>
      <family val="1"/>
    </font>
    <font>
      <i/>
      <sz val="16"/>
      <color rgb="FF000000"/>
      <name val="Bookman Old Style"/>
      <family val="1"/>
    </font>
    <font>
      <i/>
      <sz val="16"/>
      <color theme="1"/>
      <name val="Bookman Old Style"/>
      <family val="1"/>
    </font>
    <font>
      <sz val="16"/>
      <color theme="1"/>
      <name val="Bookman Old Style"/>
      <family val="1"/>
    </font>
    <font>
      <b/>
      <sz val="16"/>
      <color theme="1"/>
      <name val="Bookman Old Style"/>
      <family val="1"/>
    </font>
    <font>
      <b/>
      <i/>
      <sz val="16"/>
      <color theme="1"/>
      <name val="Bookman Old Style"/>
      <family val="1"/>
    </font>
    <font>
      <b/>
      <sz val="20"/>
      <color theme="0"/>
      <name val="Bookman Old Style"/>
      <family val="1"/>
    </font>
    <font>
      <sz val="16"/>
      <color theme="1"/>
      <name val="Bahnschrift SemiLight SemiConde"/>
      <family val="2"/>
    </font>
    <font>
      <sz val="16"/>
      <color rgb="FFFF0000"/>
      <name val="Bookman Old Style"/>
      <family val="1"/>
    </font>
    <font>
      <sz val="20"/>
      <color rgb="FFFF0000"/>
      <name val="Bahnschrift SemiLight SemiConde"/>
      <family val="2"/>
    </font>
    <font>
      <sz val="16"/>
      <name val="Bookman Old Style"/>
      <family val="1"/>
    </font>
    <font>
      <sz val="12"/>
      <name val="Bahnschrift SemiLight SemiConde"/>
      <family val="2"/>
    </font>
    <font>
      <b/>
      <sz val="12"/>
      <name val="Bahnschrift SemiLight SemiConde"/>
      <family val="2"/>
    </font>
    <font>
      <sz val="13"/>
      <color rgb="FF000000"/>
      <name val="Wingdings"/>
      <charset val="2"/>
    </font>
    <font>
      <sz val="7"/>
      <color rgb="FF000000"/>
      <name val="Times New Roman"/>
      <family val="1"/>
    </font>
    <font>
      <sz val="13"/>
      <color rgb="FF000000"/>
      <name val="Bookman Old Style"/>
      <family val="1"/>
    </font>
    <font>
      <i/>
      <sz val="12"/>
      <color theme="1"/>
      <name val="Bookman Old Style"/>
      <family val="1"/>
    </font>
    <font>
      <b/>
      <i/>
      <sz val="12"/>
      <color theme="1"/>
      <name val="Bookman Old Style"/>
      <family val="1"/>
    </font>
    <font>
      <i/>
      <sz val="12"/>
      <color rgb="FF000000"/>
      <name val="Bookman Old Style"/>
      <family val="1"/>
    </font>
    <font>
      <b/>
      <sz val="16"/>
      <color theme="0"/>
      <name val="Bahnschrift SemiLight SemiConde"/>
      <family val="2"/>
    </font>
    <font>
      <sz val="16"/>
      <color theme="0"/>
      <name val="Bahnschrift SemiLight SemiConde"/>
      <family val="2"/>
    </font>
    <font>
      <sz val="20"/>
      <color theme="1"/>
      <name val="Bookman Old Style"/>
      <family val="1"/>
    </font>
    <font>
      <sz val="20"/>
      <color theme="1"/>
      <name val="Wingdings"/>
      <charset val="2"/>
    </font>
    <font>
      <sz val="20"/>
      <color theme="1"/>
      <name val="Times New Roman"/>
      <family val="1"/>
    </font>
    <font>
      <sz val="20"/>
      <color theme="1"/>
      <name val="Agency FB"/>
      <family val="2"/>
    </font>
    <font>
      <strike/>
      <sz val="20"/>
      <color theme="1"/>
      <name val="Agency FB"/>
      <family val="2"/>
    </font>
    <font>
      <sz val="20"/>
      <color theme="0"/>
      <name val="Bookman Old Style"/>
      <family val="1"/>
    </font>
    <font>
      <sz val="12"/>
      <name val="Bookman Old Style"/>
      <family val="1"/>
    </font>
    <font>
      <sz val="12"/>
      <color rgb="FFFF0000"/>
      <name val="Bahnschrift SemiLight SemiConde"/>
      <family val="2"/>
    </font>
    <font>
      <b/>
      <sz val="16"/>
      <color theme="1"/>
      <name val="Bahnschrift SemiLight SemiConde"/>
      <family val="2"/>
    </font>
    <font>
      <sz val="12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4" fontId="3" fillId="3" borderId="10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4" fontId="2" fillId="4" borderId="10" xfId="0" applyNumberFormat="1" applyFont="1" applyFill="1" applyBorder="1" applyAlignment="1" applyProtection="1">
      <alignment horizontal="center"/>
      <protection locked="0"/>
    </xf>
    <xf numFmtId="9" fontId="2" fillId="0" borderId="0" xfId="2" applyFont="1" applyProtection="1">
      <protection locked="0"/>
    </xf>
    <xf numFmtId="4" fontId="2" fillId="6" borderId="13" xfId="0" applyNumberFormat="1" applyFont="1" applyFill="1" applyBorder="1" applyAlignment="1" applyProtection="1">
      <alignment horizontal="center"/>
      <protection locked="0"/>
    </xf>
    <xf numFmtId="10" fontId="4" fillId="0" borderId="0" xfId="2" applyNumberFormat="1" applyFont="1" applyProtection="1">
      <protection locked="0"/>
    </xf>
    <xf numFmtId="4" fontId="2" fillId="0" borderId="14" xfId="0" applyNumberFormat="1" applyFont="1" applyBorder="1" applyAlignment="1" applyProtection="1">
      <alignment horizontal="left"/>
      <protection locked="0"/>
    </xf>
    <xf numFmtId="4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4" fontId="2" fillId="2" borderId="0" xfId="0" applyNumberFormat="1" applyFont="1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5" fillId="0" borderId="0" xfId="0" applyFont="1" applyAlignment="1">
      <alignment horizontal="left" vertical="center" indent="13"/>
    </xf>
    <xf numFmtId="4" fontId="10" fillId="0" borderId="9" xfId="0" applyNumberFormat="1" applyFont="1" applyBorder="1" applyProtection="1">
      <protection locked="0"/>
    </xf>
    <xf numFmtId="164" fontId="11" fillId="0" borderId="9" xfId="0" applyNumberFormat="1" applyFont="1" applyBorder="1" applyAlignment="1" applyProtection="1">
      <alignment horizontal="left"/>
      <protection locked="0"/>
    </xf>
    <xf numFmtId="164" fontId="11" fillId="0" borderId="9" xfId="0" applyNumberFormat="1" applyFont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horizontal="center"/>
      <protection locked="0"/>
    </xf>
    <xf numFmtId="4" fontId="13" fillId="0" borderId="9" xfId="0" applyNumberFormat="1" applyFont="1" applyBorder="1" applyProtection="1">
      <protection locked="0"/>
    </xf>
    <xf numFmtId="4" fontId="13" fillId="0" borderId="9" xfId="0" applyNumberFormat="1" applyFont="1" applyBorder="1" applyAlignment="1" applyProtection="1">
      <alignment horizontal="center"/>
      <protection locked="0"/>
    </xf>
    <xf numFmtId="4" fontId="14" fillId="0" borderId="9" xfId="0" applyNumberFormat="1" applyFont="1" applyBorder="1" applyProtection="1">
      <protection locked="0"/>
    </xf>
    <xf numFmtId="9" fontId="14" fillId="0" borderId="9" xfId="2" applyFont="1" applyBorder="1" applyAlignment="1" applyProtection="1">
      <alignment horizontal="center"/>
      <protection locked="0"/>
    </xf>
    <xf numFmtId="10" fontId="14" fillId="0" borderId="9" xfId="2" applyNumberFormat="1" applyFont="1" applyBorder="1" applyAlignment="1" applyProtection="1">
      <alignment horizontal="center"/>
      <protection locked="0"/>
    </xf>
    <xf numFmtId="4" fontId="11" fillId="3" borderId="9" xfId="0" applyNumberFormat="1" applyFont="1" applyFill="1" applyBorder="1" applyAlignment="1" applyProtection="1">
      <alignment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hidden="1"/>
    </xf>
    <xf numFmtId="43" fontId="11" fillId="5" borderId="9" xfId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center"/>
      <protection hidden="1"/>
    </xf>
    <xf numFmtId="43" fontId="11" fillId="2" borderId="9" xfId="1" applyFont="1" applyFill="1" applyBorder="1" applyAlignment="1" applyProtection="1">
      <alignment horizontal="center"/>
      <protection locked="0"/>
    </xf>
    <xf numFmtId="43" fontId="15" fillId="2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Protection="1">
      <protection locked="0"/>
    </xf>
    <xf numFmtId="43" fontId="13" fillId="0" borderId="9" xfId="1" applyFont="1" applyBorder="1" applyAlignment="1" applyProtection="1">
      <alignment horizontal="center"/>
      <protection locked="0"/>
    </xf>
    <xf numFmtId="43" fontId="11" fillId="5" borderId="9" xfId="1" applyFont="1" applyFill="1" applyBorder="1" applyProtection="1">
      <protection locked="0"/>
    </xf>
    <xf numFmtId="4" fontId="11" fillId="0" borderId="9" xfId="0" applyNumberFormat="1" applyFont="1" applyBorder="1" applyProtection="1">
      <protection locked="0"/>
    </xf>
    <xf numFmtId="4" fontId="11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right" wrapText="1"/>
      <protection hidden="1"/>
    </xf>
    <xf numFmtId="4" fontId="11" fillId="0" borderId="9" xfId="0" applyNumberFormat="1" applyFont="1" applyBorder="1" applyAlignment="1" applyProtection="1">
      <alignment horizontal="left" wrapText="1"/>
      <protection hidden="1"/>
    </xf>
    <xf numFmtId="4" fontId="16" fillId="0" borderId="9" xfId="0" applyNumberFormat="1" applyFont="1" applyBorder="1" applyAlignment="1" applyProtection="1">
      <alignment horizontal="right"/>
      <protection locked="0"/>
    </xf>
    <xf numFmtId="4" fontId="13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left"/>
      <protection hidden="1"/>
    </xf>
    <xf numFmtId="4" fontId="11" fillId="5" borderId="9" xfId="0" applyNumberFormat="1" applyFont="1" applyFill="1" applyBorder="1" applyProtection="1">
      <protection locked="0"/>
    </xf>
    <xf numFmtId="10" fontId="11" fillId="5" borderId="9" xfId="2" applyNumberFormat="1" applyFont="1" applyFill="1" applyBorder="1" applyAlignment="1" applyProtection="1">
      <alignment horizontal="center"/>
      <protection locked="0"/>
    </xf>
    <xf numFmtId="4" fontId="14" fillId="0" borderId="9" xfId="0" applyNumberFormat="1" applyFont="1" applyBorder="1" applyAlignment="1" applyProtection="1">
      <alignment horizontal="right"/>
      <protection locked="0"/>
    </xf>
    <xf numFmtId="4" fontId="11" fillId="0" borderId="11" xfId="0" applyNumberFormat="1" applyFont="1" applyBorder="1" applyProtection="1">
      <protection hidden="1"/>
    </xf>
    <xf numFmtId="4" fontId="11" fillId="0" borderId="11" xfId="0" applyNumberFormat="1" applyFont="1" applyBorder="1" applyAlignment="1" applyProtection="1">
      <alignment wrapText="1"/>
      <protection hidden="1"/>
    </xf>
    <xf numFmtId="43" fontId="14" fillId="6" borderId="9" xfId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center"/>
    </xf>
    <xf numFmtId="4" fontId="11" fillId="0" borderId="9" xfId="0" applyNumberFormat="1" applyFont="1" applyBorder="1" applyAlignment="1" applyProtection="1">
      <alignment horizontal="center" wrapText="1"/>
      <protection hidden="1"/>
    </xf>
    <xf numFmtId="4" fontId="14" fillId="6" borderId="9" xfId="0" applyNumberFormat="1" applyFont="1" applyFill="1" applyBorder="1" applyProtection="1">
      <protection locked="0"/>
    </xf>
    <xf numFmtId="4" fontId="14" fillId="6" borderId="9" xfId="0" applyNumberFormat="1" applyFont="1" applyFill="1" applyBorder="1" applyAlignment="1" applyProtection="1">
      <alignment wrapText="1"/>
      <protection locked="0"/>
    </xf>
    <xf numFmtId="4" fontId="11" fillId="0" borderId="12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Alignment="1" applyProtection="1">
      <alignment wrapText="1"/>
      <protection locked="0"/>
    </xf>
    <xf numFmtId="4" fontId="14" fillId="0" borderId="9" xfId="0" applyNumberFormat="1" applyFont="1" applyBorder="1" applyAlignment="1" applyProtection="1">
      <alignment horizontal="center" wrapText="1"/>
      <protection locked="0"/>
    </xf>
    <xf numFmtId="43" fontId="16" fillId="6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locked="0"/>
    </xf>
    <xf numFmtId="4" fontId="11" fillId="0" borderId="9" xfId="0" applyNumberFormat="1" applyFont="1" applyBorder="1" applyAlignment="1" applyProtection="1">
      <alignment horizontal="center" wrapText="1"/>
      <protection locked="0"/>
    </xf>
    <xf numFmtId="10" fontId="12" fillId="2" borderId="9" xfId="2" applyNumberFormat="1" applyFont="1" applyFill="1" applyBorder="1" applyProtection="1">
      <protection locked="0"/>
    </xf>
    <xf numFmtId="9" fontId="13" fillId="0" borderId="9" xfId="2" applyFont="1" applyBorder="1" applyAlignment="1" applyProtection="1">
      <alignment horizontal="center"/>
      <protection locked="0"/>
    </xf>
    <xf numFmtId="4" fontId="13" fillId="0" borderId="9" xfId="0" applyNumberFormat="1" applyFont="1" applyBorder="1" applyAlignment="1" applyProtection="1">
      <alignment horizontal="center" wrapText="1"/>
      <protection locked="0"/>
    </xf>
    <xf numFmtId="10" fontId="11" fillId="2" borderId="9" xfId="2" applyNumberFormat="1" applyFont="1" applyFill="1" applyBorder="1" applyProtection="1">
      <protection locked="0"/>
    </xf>
    <xf numFmtId="0" fontId="19" fillId="0" borderId="4" xfId="0" applyFont="1" applyBorder="1" applyAlignment="1">
      <alignment horizontal="left" vertical="center" indent="13"/>
    </xf>
    <xf numFmtId="4" fontId="22" fillId="0" borderId="0" xfId="0" applyNumberFormat="1" applyFont="1" applyProtection="1">
      <protection locked="0"/>
    </xf>
    <xf numFmtId="4" fontId="22" fillId="0" borderId="0" xfId="0" applyNumberFormat="1" applyFont="1"/>
    <xf numFmtId="4" fontId="22" fillId="0" borderId="3" xfId="0" applyNumberFormat="1" applyFont="1" applyBorder="1" applyProtection="1">
      <protection locked="0"/>
    </xf>
    <xf numFmtId="4" fontId="22" fillId="0" borderId="5" xfId="0" applyNumberFormat="1" applyFont="1" applyBorder="1" applyProtection="1">
      <protection locked="0"/>
    </xf>
    <xf numFmtId="4" fontId="22" fillId="0" borderId="8" xfId="0" applyNumberFormat="1" applyFont="1" applyBorder="1" applyProtection="1">
      <protection locked="0"/>
    </xf>
    <xf numFmtId="4" fontId="24" fillId="6" borderId="4" xfId="0" applyNumberFormat="1" applyFont="1" applyFill="1" applyBorder="1" applyAlignment="1">
      <alignment horizontal="left"/>
    </xf>
    <xf numFmtId="4" fontId="24" fillId="6" borderId="0" xfId="0" applyNumberFormat="1" applyFont="1" applyFill="1" applyAlignment="1">
      <alignment horizontal="left"/>
    </xf>
    <xf numFmtId="4" fontId="24" fillId="6" borderId="5" xfId="0" applyNumberFormat="1" applyFont="1" applyFill="1" applyBorder="1" applyAlignment="1">
      <alignment horizontal="left"/>
    </xf>
    <xf numFmtId="0" fontId="25" fillId="0" borderId="4" xfId="0" applyFont="1" applyBorder="1" applyAlignment="1">
      <alignment horizontal="left" vertical="center" indent="5"/>
    </xf>
    <xf numFmtId="0" fontId="28" fillId="0" borderId="0" xfId="0" applyFont="1" applyAlignment="1">
      <alignment horizontal="center"/>
    </xf>
    <xf numFmtId="4" fontId="29" fillId="0" borderId="0" xfId="0" applyNumberFormat="1" applyFont="1"/>
    <xf numFmtId="4" fontId="30" fillId="0" borderId="0" xfId="0" applyNumberFormat="1" applyFont="1"/>
    <xf numFmtId="4" fontId="30" fillId="0" borderId="0" xfId="0" applyNumberFormat="1" applyFont="1" applyAlignment="1">
      <alignment horizontal="right"/>
    </xf>
    <xf numFmtId="4" fontId="31" fillId="0" borderId="5" xfId="0" applyNumberFormat="1" applyFont="1" applyBorder="1"/>
    <xf numFmtId="0" fontId="32" fillId="0" borderId="0" xfId="0" applyFont="1" applyAlignment="1">
      <alignment horizontal="center"/>
    </xf>
    <xf numFmtId="4" fontId="30" fillId="0" borderId="5" xfId="0" applyNumberFormat="1" applyFont="1" applyBorder="1"/>
    <xf numFmtId="0" fontId="30" fillId="0" borderId="0" xfId="0" applyFont="1" applyAlignment="1" applyProtection="1">
      <alignment horizontal="center"/>
      <protection locked="0"/>
    </xf>
    <xf numFmtId="4" fontId="30" fillId="0" borderId="0" xfId="0" applyNumberFormat="1" applyFont="1" applyAlignment="1" applyProtection="1">
      <alignment horizontal="center"/>
      <protection locked="0"/>
    </xf>
    <xf numFmtId="4" fontId="30" fillId="0" borderId="0" xfId="0" applyNumberFormat="1" applyFont="1" applyProtection="1">
      <protection locked="0"/>
    </xf>
    <xf numFmtId="4" fontId="30" fillId="0" borderId="5" xfId="0" applyNumberFormat="1" applyFont="1" applyBorder="1" applyProtection="1">
      <protection locked="0"/>
    </xf>
    <xf numFmtId="4" fontId="33" fillId="0" borderId="0" xfId="0" applyNumberFormat="1" applyFont="1"/>
    <xf numFmtId="0" fontId="30" fillId="0" borderId="0" xfId="0" applyFont="1" applyProtection="1">
      <protection locked="0"/>
    </xf>
    <xf numFmtId="43" fontId="30" fillId="0" borderId="0" xfId="0" applyNumberFormat="1" applyFont="1" applyProtection="1">
      <protection locked="0"/>
    </xf>
    <xf numFmtId="43" fontId="30" fillId="0" borderId="0" xfId="0" applyNumberFormat="1" applyFont="1" applyAlignment="1" applyProtection="1">
      <alignment horizontal="center"/>
      <protection locked="0"/>
    </xf>
    <xf numFmtId="4" fontId="31" fillId="0" borderId="0" xfId="0" applyNumberFormat="1" applyFont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/>
      <protection locked="0"/>
    </xf>
    <xf numFmtId="43" fontId="31" fillId="0" borderId="0" xfId="0" applyNumberFormat="1" applyFont="1" applyAlignment="1" applyProtection="1">
      <alignment horizontal="center"/>
      <protection locked="0"/>
    </xf>
    <xf numFmtId="4" fontId="34" fillId="0" borderId="0" xfId="0" applyNumberFormat="1" applyFont="1" applyProtection="1">
      <protection locked="0"/>
    </xf>
    <xf numFmtId="4" fontId="34" fillId="0" borderId="0" xfId="0" applyNumberFormat="1" applyFont="1" applyAlignment="1" applyProtection="1">
      <alignment vertical="center" wrapText="1"/>
      <protection locked="0"/>
    </xf>
    <xf numFmtId="4" fontId="30" fillId="0" borderId="0" xfId="0" applyNumberFormat="1" applyFont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0" applyNumberFormat="1" applyFont="1" applyAlignment="1" applyProtection="1">
      <alignment vertical="center" wrapText="1"/>
      <protection locked="0"/>
    </xf>
    <xf numFmtId="43" fontId="30" fillId="0" borderId="0" xfId="1" applyFont="1" applyProtection="1">
      <protection locked="0"/>
    </xf>
    <xf numFmtId="10" fontId="34" fillId="0" borderId="0" xfId="2" applyNumberFormat="1" applyFont="1" applyProtection="1">
      <protection locked="0"/>
    </xf>
    <xf numFmtId="10" fontId="30" fillId="0" borderId="0" xfId="2" applyNumberFormat="1" applyFont="1" applyProtection="1">
      <protection locked="0"/>
    </xf>
    <xf numFmtId="43" fontId="35" fillId="2" borderId="0" xfId="0" applyNumberFormat="1" applyFont="1" applyFill="1" applyAlignment="1" applyProtection="1">
      <alignment horizontal="center"/>
      <protection locked="0"/>
    </xf>
    <xf numFmtId="4" fontId="35" fillId="2" borderId="0" xfId="0" applyNumberFormat="1" applyFont="1" applyFill="1" applyProtection="1">
      <protection locked="0"/>
    </xf>
    <xf numFmtId="43" fontId="35" fillId="2" borderId="0" xfId="0" applyNumberFormat="1" applyFont="1" applyFill="1" applyProtection="1">
      <protection locked="0"/>
    </xf>
    <xf numFmtId="4" fontId="18" fillId="0" borderId="9" xfId="0" applyNumberFormat="1" applyFont="1" applyBorder="1" applyAlignment="1" applyProtection="1">
      <alignment horizontal="right"/>
      <protection locked="0"/>
    </xf>
    <xf numFmtId="4" fontId="12" fillId="2" borderId="9" xfId="0" applyNumberFormat="1" applyFont="1" applyFill="1" applyBorder="1" applyProtection="1">
      <protection locked="0"/>
    </xf>
    <xf numFmtId="4" fontId="18" fillId="0" borderId="9" xfId="0" applyNumberFormat="1" applyFont="1" applyBorder="1" applyProtection="1">
      <protection locked="0"/>
    </xf>
    <xf numFmtId="165" fontId="18" fillId="0" borderId="9" xfId="0" applyNumberFormat="1" applyFont="1" applyBorder="1" applyProtection="1">
      <protection locked="0"/>
    </xf>
    <xf numFmtId="4" fontId="24" fillId="6" borderId="11" xfId="0" applyNumberFormat="1" applyFont="1" applyFill="1" applyBorder="1"/>
    <xf numFmtId="4" fontId="24" fillId="6" borderId="13" xfId="0" applyNumberFormat="1" applyFont="1" applyFill="1" applyBorder="1"/>
    <xf numFmtId="43" fontId="11" fillId="0" borderId="9" xfId="1" applyFont="1" applyBorder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wrapText="1"/>
      <protection hidden="1"/>
    </xf>
    <xf numFmtId="10" fontId="36" fillId="0" borderId="9" xfId="2" applyNumberFormat="1" applyFont="1" applyFill="1" applyBorder="1" applyProtection="1">
      <protection locked="0"/>
    </xf>
    <xf numFmtId="0" fontId="37" fillId="0" borderId="0" xfId="0" applyFont="1" applyProtection="1">
      <protection locked="0"/>
    </xf>
    <xf numFmtId="4" fontId="10" fillId="6" borderId="13" xfId="0" applyNumberFormat="1" applyFont="1" applyFill="1" applyBorder="1"/>
    <xf numFmtId="4" fontId="10" fillId="6" borderId="9" xfId="0" applyNumberFormat="1" applyFont="1" applyFill="1" applyBorder="1" applyAlignment="1">
      <alignment horizontal="center"/>
    </xf>
    <xf numFmtId="4" fontId="37" fillId="0" borderId="0" xfId="0" applyNumberFormat="1" applyFont="1" applyProtection="1">
      <protection locked="0"/>
    </xf>
    <xf numFmtId="0" fontId="37" fillId="0" borderId="9" xfId="0" applyFont="1" applyBorder="1" applyProtection="1">
      <protection locked="0"/>
    </xf>
    <xf numFmtId="4" fontId="12" fillId="0" borderId="9" xfId="0" applyNumberFormat="1" applyFont="1" applyBorder="1" applyAlignment="1" applyProtection="1">
      <alignment horizontal="right"/>
      <protection locked="0"/>
    </xf>
    <xf numFmtId="4" fontId="4" fillId="0" borderId="0" xfId="0" applyNumberFormat="1" applyFont="1" applyProtection="1">
      <protection locked="0"/>
    </xf>
    <xf numFmtId="4" fontId="2" fillId="0" borderId="5" xfId="0" applyNumberFormat="1" applyFont="1" applyBorder="1" applyProtection="1">
      <protection locked="0"/>
    </xf>
    <xf numFmtId="0" fontId="40" fillId="0" borderId="4" xfId="0" applyFont="1" applyBorder="1" applyAlignment="1">
      <alignment horizontal="left" vertical="center" indent="5"/>
    </xf>
    <xf numFmtId="4" fontId="2" fillId="0" borderId="5" xfId="0" applyNumberFormat="1" applyFont="1" applyBorder="1"/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4" fontId="43" fillId="0" borderId="0" xfId="0" applyNumberFormat="1" applyFont="1"/>
    <xf numFmtId="0" fontId="44" fillId="0" borderId="0" xfId="0" applyFont="1" applyAlignment="1">
      <alignment horizontal="center"/>
    </xf>
    <xf numFmtId="4" fontId="3" fillId="0" borderId="5" xfId="0" applyNumberFormat="1" applyFont="1" applyBorder="1"/>
    <xf numFmtId="0" fontId="45" fillId="0" borderId="0" xfId="0" applyFont="1" applyAlignment="1">
      <alignment horizontal="center"/>
    </xf>
    <xf numFmtId="4" fontId="4" fillId="6" borderId="5" xfId="0" applyNumberFormat="1" applyFont="1" applyFill="1" applyBorder="1" applyAlignment="1">
      <alignment horizontal="left"/>
    </xf>
    <xf numFmtId="4" fontId="38" fillId="6" borderId="0" xfId="0" applyNumberFormat="1" applyFont="1" applyFill="1" applyAlignment="1">
      <alignment horizontal="left"/>
    </xf>
    <xf numFmtId="4" fontId="38" fillId="6" borderId="4" xfId="0" applyNumberFormat="1" applyFont="1" applyFill="1" applyBorder="1" applyAlignment="1">
      <alignment horizontal="left"/>
    </xf>
    <xf numFmtId="4" fontId="34" fillId="6" borderId="12" xfId="0" applyNumberFormat="1" applyFont="1" applyFill="1" applyBorder="1"/>
    <xf numFmtId="4" fontId="46" fillId="6" borderId="9" xfId="0" applyNumberFormat="1" applyFont="1" applyFill="1" applyBorder="1" applyAlignment="1">
      <alignment horizontal="center"/>
    </xf>
    <xf numFmtId="4" fontId="47" fillId="6" borderId="13" xfId="0" applyNumberFormat="1" applyFont="1" applyFill="1" applyBorder="1"/>
    <xf numFmtId="4" fontId="46" fillId="6" borderId="13" xfId="0" applyNumberFormat="1" applyFont="1" applyFill="1" applyBorder="1"/>
    <xf numFmtId="0" fontId="48" fillId="0" borderId="0" xfId="0" applyFont="1" applyProtection="1">
      <protection locked="0"/>
    </xf>
    <xf numFmtId="4" fontId="48" fillId="0" borderId="0" xfId="0" applyNumberFormat="1" applyFont="1" applyProtection="1">
      <protection locked="0"/>
    </xf>
    <xf numFmtId="4" fontId="13" fillId="0" borderId="0" xfId="0" applyNumberFormat="1" applyFont="1" applyProtection="1">
      <protection locked="0"/>
    </xf>
    <xf numFmtId="4" fontId="48" fillId="0" borderId="8" xfId="0" applyNumberFormat="1" applyFont="1" applyBorder="1" applyProtection="1">
      <protection locked="0"/>
    </xf>
    <xf numFmtId="0" fontId="49" fillId="0" borderId="4" xfId="0" applyFont="1" applyBorder="1" applyAlignment="1">
      <alignment horizontal="left" vertical="center" indent="13"/>
    </xf>
    <xf numFmtId="4" fontId="48" fillId="0" borderId="5" xfId="0" applyNumberFormat="1" applyFont="1" applyBorder="1" applyProtection="1">
      <protection locked="0"/>
    </xf>
    <xf numFmtId="43" fontId="48" fillId="0" borderId="0" xfId="0" applyNumberFormat="1" applyFont="1" applyProtection="1">
      <protection locked="0"/>
    </xf>
    <xf numFmtId="0" fontId="48" fillId="0" borderId="0" xfId="0" applyFont="1" applyAlignment="1" applyProtection="1">
      <alignment horizontal="right"/>
      <protection locked="0"/>
    </xf>
    <xf numFmtId="4" fontId="48" fillId="0" borderId="0" xfId="0" applyNumberFormat="1" applyFont="1"/>
    <xf numFmtId="4" fontId="53" fillId="0" borderId="0" xfId="0" applyNumberFormat="1" applyFont="1"/>
    <xf numFmtId="4" fontId="48" fillId="0" borderId="3" xfId="0" applyNumberFormat="1" applyFont="1" applyBorder="1" applyProtection="1">
      <protection locked="0"/>
    </xf>
    <xf numFmtId="0" fontId="54" fillId="0" borderId="0" xfId="0" applyFont="1" applyProtection="1">
      <protection locked="0"/>
    </xf>
    <xf numFmtId="4" fontId="54" fillId="0" borderId="0" xfId="0" applyNumberFormat="1" applyFont="1" applyProtection="1">
      <protection locked="0"/>
    </xf>
    <xf numFmtId="4" fontId="38" fillId="0" borderId="0" xfId="0" applyNumberFormat="1" applyFont="1" applyProtection="1">
      <protection locked="0"/>
    </xf>
    <xf numFmtId="4" fontId="54" fillId="2" borderId="0" xfId="0" applyNumberFormat="1" applyFont="1" applyFill="1" applyAlignment="1" applyProtection="1">
      <alignment horizontal="left"/>
      <protection locked="0"/>
    </xf>
    <xf numFmtId="43" fontId="2" fillId="0" borderId="0" xfId="0" applyNumberFormat="1" applyFont="1" applyProtection="1">
      <protection locked="0"/>
    </xf>
    <xf numFmtId="4" fontId="55" fillId="0" borderId="0" xfId="0" applyNumberFormat="1" applyFont="1" applyProtection="1">
      <protection locked="0"/>
    </xf>
    <xf numFmtId="10" fontId="11" fillId="0" borderId="9" xfId="2" applyNumberFormat="1" applyFont="1" applyFill="1" applyBorder="1" applyProtection="1">
      <protection locked="0"/>
    </xf>
    <xf numFmtId="165" fontId="10" fillId="0" borderId="9" xfId="0" applyNumberFormat="1" applyFont="1" applyBorder="1" applyProtection="1">
      <protection locked="0"/>
    </xf>
    <xf numFmtId="4" fontId="56" fillId="0" borderId="9" xfId="0" applyNumberFormat="1" applyFont="1" applyBorder="1" applyProtection="1">
      <protection locked="0"/>
    </xf>
    <xf numFmtId="10" fontId="2" fillId="0" borderId="0" xfId="2" applyNumberFormat="1" applyFont="1" applyProtection="1">
      <protection locked="0"/>
    </xf>
    <xf numFmtId="43" fontId="57" fillId="2" borderId="0" xfId="0" applyNumberFormat="1" applyFont="1" applyFill="1" applyProtection="1">
      <protection locked="0"/>
    </xf>
    <xf numFmtId="4" fontId="57" fillId="2" borderId="0" xfId="0" applyNumberFormat="1" applyFont="1" applyFill="1" applyProtection="1">
      <protection locked="0"/>
    </xf>
    <xf numFmtId="10" fontId="38" fillId="0" borderId="0" xfId="2" applyNumberFormat="1" applyFont="1" applyProtection="1">
      <protection locked="0"/>
    </xf>
    <xf numFmtId="9" fontId="11" fillId="0" borderId="9" xfId="2" applyFont="1" applyBorder="1" applyAlignment="1" applyProtection="1">
      <alignment horizontal="left"/>
      <protection locked="0"/>
    </xf>
    <xf numFmtId="43" fontId="57" fillId="2" borderId="0" xfId="0" applyNumberFormat="1" applyFont="1" applyFill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horizontal="center" wrapText="1"/>
      <protection locked="0"/>
    </xf>
    <xf numFmtId="4" fontId="11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Protection="1">
      <protection locked="0"/>
    </xf>
    <xf numFmtId="10" fontId="16" fillId="6" borderId="9" xfId="2" applyNumberFormat="1" applyFont="1" applyFill="1" applyBorder="1" applyAlignment="1" applyProtection="1">
      <alignment horizontal="center"/>
      <protection locked="0"/>
    </xf>
    <xf numFmtId="4" fontId="11" fillId="5" borderId="9" xfId="0" applyNumberFormat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right"/>
      <protection locked="0"/>
    </xf>
    <xf numFmtId="43" fontId="2" fillId="0" borderId="0" xfId="1" applyFont="1" applyProtection="1">
      <protection locked="0"/>
    </xf>
    <xf numFmtId="43" fontId="2" fillId="0" borderId="0" xfId="0" applyNumberFormat="1" applyFont="1" applyAlignment="1" applyProtection="1">
      <alignment vertical="center" wrapText="1"/>
      <protection locked="0"/>
    </xf>
    <xf numFmtId="4" fontId="2" fillId="0" borderId="0" xfId="0" applyNumberFormat="1" applyFont="1" applyAlignment="1" applyProtection="1">
      <alignment vertical="center" wrapText="1"/>
      <protection locked="0"/>
    </xf>
    <xf numFmtId="4" fontId="4" fillId="0" borderId="0" xfId="0" applyNumberFormat="1" applyFont="1" applyAlignment="1" applyProtection="1">
      <alignment vertical="center" wrapText="1"/>
      <protection locked="0"/>
    </xf>
    <xf numFmtId="10" fontId="16" fillId="0" borderId="9" xfId="2" applyNumberFormat="1" applyFont="1" applyBorder="1" applyAlignment="1" applyProtection="1">
      <alignment horizontal="center"/>
      <protection locked="0"/>
    </xf>
    <xf numFmtId="9" fontId="16" fillId="0" borderId="9" xfId="2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43" fontId="3" fillId="0" borderId="0" xfId="0" applyNumberFormat="1" applyFont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/>
      <protection locked="0"/>
    </xf>
    <xf numFmtId="4" fontId="11" fillId="0" borderId="8" xfId="0" applyNumberFormat="1" applyFont="1" applyBorder="1" applyAlignment="1" applyProtection="1">
      <alignment vertical="center"/>
      <protection locked="0"/>
    </xf>
    <xf numFmtId="4" fontId="11" fillId="0" borderId="7" xfId="0" applyNumberFormat="1" applyFont="1" applyBorder="1" applyAlignment="1" applyProtection="1">
      <alignment vertical="center"/>
      <protection locked="0"/>
    </xf>
    <xf numFmtId="4" fontId="11" fillId="0" borderId="6" xfId="0" applyNumberFormat="1" applyFont="1" applyBorder="1" applyAlignment="1" applyProtection="1">
      <alignment vertical="center"/>
      <protection locked="0"/>
    </xf>
    <xf numFmtId="43" fontId="2" fillId="0" borderId="0" xfId="0" applyNumberFormat="1" applyFont="1" applyAlignment="1" applyProtection="1">
      <alignment horizontal="center"/>
      <protection locked="0"/>
    </xf>
    <xf numFmtId="4" fontId="11" fillId="0" borderId="5" xfId="0" applyNumberFormat="1" applyFont="1" applyBorder="1" applyAlignment="1" applyProtection="1">
      <alignment vertical="center"/>
      <protection locked="0"/>
    </xf>
    <xf numFmtId="4" fontId="11" fillId="0" borderId="0" xfId="0" applyNumberFormat="1" applyFont="1" applyAlignment="1" applyProtection="1">
      <alignment vertical="center"/>
      <protection locked="0"/>
    </xf>
    <xf numFmtId="4" fontId="11" fillId="0" borderId="4" xfId="0" applyNumberFormat="1" applyFont="1" applyBorder="1" applyAlignment="1" applyProtection="1">
      <alignment vertical="center"/>
      <protection locked="0"/>
    </xf>
    <xf numFmtId="4" fontId="11" fillId="0" borderId="3" xfId="0" applyNumberFormat="1" applyFont="1" applyBorder="1" applyAlignment="1" applyProtection="1">
      <alignment vertical="center"/>
      <protection locked="0"/>
    </xf>
    <xf numFmtId="4" fontId="11" fillId="0" borderId="2" xfId="0" applyNumberFormat="1" applyFont="1" applyBorder="1" applyAlignment="1" applyProtection="1">
      <alignment vertical="center"/>
      <protection locked="0"/>
    </xf>
    <xf numFmtId="4" fontId="11" fillId="0" borderId="1" xfId="0" applyNumberFormat="1" applyFont="1" applyBorder="1" applyAlignment="1" applyProtection="1">
      <alignment vertical="center"/>
      <protection locked="0"/>
    </xf>
    <xf numFmtId="4" fontId="11" fillId="0" borderId="11" xfId="0" applyNumberFormat="1" applyFont="1" applyBorder="1" applyAlignment="1" applyProtection="1">
      <alignment horizontal="left" wrapText="1"/>
      <protection hidden="1"/>
    </xf>
    <xf numFmtId="4" fontId="11" fillId="0" borderId="12" xfId="0" applyNumberFormat="1" applyFont="1" applyBorder="1" applyAlignment="1" applyProtection="1">
      <alignment horizontal="left" wrapText="1"/>
      <protection hidden="1"/>
    </xf>
    <xf numFmtId="10" fontId="11" fillId="0" borderId="11" xfId="2" applyNumberFormat="1" applyFont="1" applyBorder="1" applyAlignment="1" applyProtection="1">
      <alignment horizontal="left"/>
      <protection locked="0"/>
    </xf>
    <xf numFmtId="10" fontId="11" fillId="0" borderId="13" xfId="2" applyNumberFormat="1" applyFont="1" applyBorder="1" applyAlignment="1" applyProtection="1">
      <alignment horizontal="left"/>
      <protection locked="0"/>
    </xf>
    <xf numFmtId="10" fontId="11" fillId="0" borderId="12" xfId="2" applyNumberFormat="1" applyFont="1" applyBorder="1" applyAlignment="1" applyProtection="1">
      <alignment horizontal="left"/>
      <protection locked="0"/>
    </xf>
    <xf numFmtId="4" fontId="18" fillId="0" borderId="11" xfId="0" applyNumberFormat="1" applyFont="1" applyBorder="1" applyAlignment="1" applyProtection="1">
      <alignment horizontal="center"/>
      <protection locked="0"/>
    </xf>
    <xf numFmtId="4" fontId="18" fillId="0" borderId="13" xfId="0" applyNumberFormat="1" applyFont="1" applyBorder="1" applyAlignment="1" applyProtection="1">
      <alignment horizontal="center"/>
      <protection locked="0"/>
    </xf>
    <xf numFmtId="4" fontId="18" fillId="0" borderId="12" xfId="0" applyNumberFormat="1" applyFont="1" applyBorder="1" applyAlignment="1" applyProtection="1">
      <alignment horizontal="center"/>
      <protection locked="0"/>
    </xf>
    <xf numFmtId="4" fontId="39" fillId="6" borderId="11" xfId="0" applyNumberFormat="1" applyFont="1" applyFill="1" applyBorder="1" applyAlignment="1">
      <alignment horizontal="left"/>
    </xf>
    <xf numFmtId="4" fontId="39" fillId="6" borderId="13" xfId="0" applyNumberFormat="1" applyFont="1" applyFill="1" applyBorder="1" applyAlignment="1">
      <alignment horizontal="left"/>
    </xf>
    <xf numFmtId="4" fontId="39" fillId="6" borderId="12" xfId="0" applyNumberFormat="1" applyFont="1" applyFill="1" applyBorder="1" applyAlignment="1">
      <alignment horizontal="left"/>
    </xf>
    <xf numFmtId="4" fontId="24" fillId="6" borderId="11" xfId="0" applyNumberFormat="1" applyFont="1" applyFill="1" applyBorder="1" applyAlignment="1">
      <alignment horizontal="left"/>
    </xf>
    <xf numFmtId="4" fontId="24" fillId="6" borderId="13" xfId="0" applyNumberFormat="1" applyFont="1" applyFill="1" applyBorder="1" applyAlignment="1">
      <alignment horizontal="left"/>
    </xf>
    <xf numFmtId="4" fontId="24" fillId="6" borderId="12" xfId="0" applyNumberFormat="1" applyFont="1" applyFill="1" applyBorder="1" applyAlignment="1">
      <alignment horizontal="left"/>
    </xf>
    <xf numFmtId="4" fontId="38" fillId="6" borderId="11" xfId="0" applyNumberFormat="1" applyFont="1" applyFill="1" applyBorder="1" applyAlignment="1">
      <alignment horizontal="left"/>
    </xf>
    <xf numFmtId="4" fontId="38" fillId="6" borderId="13" xfId="0" applyNumberFormat="1" applyFont="1" applyFill="1" applyBorder="1" applyAlignment="1">
      <alignment horizontal="left"/>
    </xf>
    <xf numFmtId="4" fontId="38" fillId="6" borderId="12" xfId="0" applyNumberFormat="1" applyFont="1" applyFill="1" applyBorder="1" applyAlignment="1">
      <alignment horizontal="left"/>
    </xf>
    <xf numFmtId="4" fontId="9" fillId="0" borderId="1" xfId="0" applyNumberFormat="1" applyFont="1" applyBorder="1" applyAlignment="1" applyProtection="1">
      <alignment horizontal="center" vertical="center"/>
      <protection locked="0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4" fontId="9" fillId="0" borderId="3" xfId="0" applyNumberFormat="1" applyFont="1" applyBorder="1" applyAlignment="1" applyProtection="1">
      <alignment horizontal="center" vertical="center"/>
      <protection locked="0"/>
    </xf>
    <xf numFmtId="4" fontId="9" fillId="0" borderId="4" xfId="0" applyNumberFormat="1" applyFont="1" applyBorder="1" applyAlignment="1" applyProtection="1">
      <alignment horizontal="center" vertical="center"/>
      <protection locked="0"/>
    </xf>
    <xf numFmtId="4" fontId="9" fillId="0" borderId="0" xfId="0" applyNumberFormat="1" applyFont="1" applyAlignment="1" applyProtection="1">
      <alignment horizontal="center" vertical="center"/>
      <protection locked="0"/>
    </xf>
    <xf numFmtId="4" fontId="9" fillId="0" borderId="5" xfId="0" applyNumberFormat="1" applyFont="1" applyBorder="1" applyAlignment="1" applyProtection="1">
      <alignment horizontal="center" vertical="center"/>
      <protection locked="0"/>
    </xf>
    <xf numFmtId="4" fontId="9" fillId="0" borderId="6" xfId="0" applyNumberFormat="1" applyFont="1" applyBorder="1" applyAlignment="1" applyProtection="1">
      <alignment horizontal="center" vertical="center"/>
      <protection locked="0"/>
    </xf>
    <xf numFmtId="4" fontId="9" fillId="0" borderId="7" xfId="0" applyNumberFormat="1" applyFont="1" applyBorder="1" applyAlignment="1" applyProtection="1">
      <alignment horizontal="center" vertical="center"/>
      <protection locked="0"/>
    </xf>
    <xf numFmtId="4" fontId="9" fillId="0" borderId="8" xfId="0" applyNumberFormat="1" applyFont="1" applyBorder="1" applyAlignment="1" applyProtection="1">
      <alignment horizontal="center" vertical="center"/>
      <protection locked="0"/>
    </xf>
    <xf numFmtId="4" fontId="11" fillId="0" borderId="11" xfId="0" applyNumberFormat="1" applyFont="1" applyBorder="1" applyAlignment="1" applyProtection="1">
      <alignment horizontal="center"/>
      <protection locked="0"/>
    </xf>
    <xf numFmtId="4" fontId="11" fillId="0" borderId="13" xfId="0" applyNumberFormat="1" applyFont="1" applyBorder="1" applyAlignment="1" applyProtection="1">
      <alignment horizontal="center"/>
      <protection locked="0"/>
    </xf>
    <xf numFmtId="4" fontId="11" fillId="0" borderId="12" xfId="0" applyNumberFormat="1" applyFont="1" applyBorder="1" applyAlignment="1" applyProtection="1">
      <alignment horizontal="center"/>
      <protection locked="0"/>
    </xf>
    <xf numFmtId="4" fontId="18" fillId="6" borderId="11" xfId="0" applyNumberFormat="1" applyFont="1" applyFill="1" applyBorder="1" applyAlignment="1">
      <alignment horizontal="left"/>
    </xf>
    <xf numFmtId="4" fontId="18" fillId="6" borderId="13" xfId="0" applyNumberFormat="1" applyFont="1" applyFill="1" applyBorder="1" applyAlignment="1">
      <alignment horizontal="left"/>
    </xf>
    <xf numFmtId="4" fontId="18" fillId="6" borderId="12" xfId="0" applyNumberFormat="1" applyFont="1" applyFill="1" applyBorder="1" applyAlignment="1">
      <alignment horizontal="left"/>
    </xf>
    <xf numFmtId="4" fontId="17" fillId="6" borderId="11" xfId="0" applyNumberFormat="1" applyFont="1" applyFill="1" applyBorder="1" applyAlignment="1">
      <alignment horizontal="left"/>
    </xf>
    <xf numFmtId="4" fontId="17" fillId="6" borderId="13" xfId="0" applyNumberFormat="1" applyFont="1" applyFill="1" applyBorder="1" applyAlignment="1">
      <alignment horizontal="left"/>
    </xf>
    <xf numFmtId="4" fontId="17" fillId="6" borderId="12" xfId="0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4C2B-0396-4694-B8C9-01C0BCF867B4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MLP</v>
      </c>
      <c r="D5" s="19" t="s">
        <v>187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10939.6049375525</v>
      </c>
      <c r="S5" s="151"/>
      <c r="U5" s="151">
        <f>L7+L14</f>
        <v>4516.582728213958</v>
      </c>
      <c r="V5" s="151">
        <f>M7+M14</f>
        <v>3054.2603557212501</v>
      </c>
      <c r="W5" s="151">
        <f>N7+N14</f>
        <v>2147.010319880625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3568.7537648806256</v>
      </c>
      <c r="V6" s="170">
        <f>N7+K14</f>
        <v>8806.9897700524998</v>
      </c>
      <c r="W6" s="170" t="e">
        <f>N7+J14</f>
        <v>#VALUE!</v>
      </c>
    </row>
    <row r="7" spans="1:27" ht="26.25" thickBot="1" x14ac:dyDescent="0.4">
      <c r="A7" s="6">
        <f>B8</f>
        <v>80900</v>
      </c>
      <c r="B7" s="29">
        <f>IF(L20="YES",C8*1,IF(L20="NO",B8*1))</f>
        <v>80900</v>
      </c>
      <c r="C7" s="29">
        <f>B7*5/100</f>
        <v>4045</v>
      </c>
      <c r="D7" s="168">
        <f>B7+C7</f>
        <v>84945</v>
      </c>
      <c r="E7" s="29">
        <f>D17</f>
        <v>20985.758375000001</v>
      </c>
      <c r="F7" s="29">
        <f>(C7)+(D10+D11+D12+D13+D16)*5/100</f>
        <v>4745</v>
      </c>
      <c r="G7" s="30">
        <f>B7+E7+F7</f>
        <v>106630.758375</v>
      </c>
      <c r="H7" s="29">
        <f>G7*D20</f>
        <v>21326.151675000001</v>
      </c>
      <c r="I7" s="30">
        <f>(G7-H7)</f>
        <v>85304.606700000004</v>
      </c>
      <c r="J7" s="30">
        <f>(((I7*D19)*1)+I7)/12</f>
        <v>7385.2463250525007</v>
      </c>
      <c r="K7" s="30">
        <f>(((I7*D19)*2)+I7)/24</f>
        <v>3830.8877125525</v>
      </c>
      <c r="L7" s="30">
        <f>(((I7*D19)*3)+I7)/36</f>
        <v>2646.1015083858333</v>
      </c>
      <c r="M7" s="30">
        <f>(((I7*D19)*4)+I7)/48</f>
        <v>2053.7084063025</v>
      </c>
      <c r="N7" s="30">
        <f>((((I7*D19)*5)+I7)/60)</f>
        <v>1698.2725450525002</v>
      </c>
      <c r="O7" s="118"/>
      <c r="P7" s="2">
        <f>H7+H16</f>
        <v>22221.850045350002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80900</v>
      </c>
      <c r="C8" s="32">
        <f>IF(L20="YES",N20,IF(L20="NO",N20))</f>
        <v>80900</v>
      </c>
      <c r="D8" s="29">
        <v>0</v>
      </c>
      <c r="E8" s="33"/>
      <c r="F8" s="188"/>
      <c r="G8" s="189"/>
      <c r="H8" s="110">
        <f>G7*20/100</f>
        <v>21326.151675000001</v>
      </c>
      <c r="I8" s="34"/>
      <c r="J8" s="34" t="s">
        <v>15</v>
      </c>
      <c r="K8" s="34">
        <f>(I7*K5+I7)/24</f>
        <v>3554.3586125000002</v>
      </c>
      <c r="L8" s="34">
        <f>(I7*L5+I7)/36</f>
        <v>2449.9009129758333</v>
      </c>
      <c r="M8" s="34">
        <f>(I7*M5+I7)/48</f>
        <v>1897.6720632137501</v>
      </c>
      <c r="N8" s="34">
        <f>(I7*N5+I7)/60</f>
        <v>1566.3347533565</v>
      </c>
      <c r="O8" s="118">
        <v>0</v>
      </c>
      <c r="P8" s="2">
        <f>P7/12</f>
        <v>1851.8208371125002</v>
      </c>
      <c r="T8" s="1">
        <f>25973-12973</f>
        <v>13000</v>
      </c>
    </row>
    <row r="9" spans="1:27" ht="25.5" x14ac:dyDescent="0.35">
      <c r="A9" s="8">
        <f>B8/(100%-A8)</f>
        <v>101125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3318.3492006300075</v>
      </c>
      <c r="K9" s="38">
        <f>(K7*24)-I7</f>
        <v>6636.6984012600005</v>
      </c>
      <c r="L9" s="38">
        <f>(L7*36)-I7</f>
        <v>9955.0476018899935</v>
      </c>
      <c r="M9" s="38">
        <f>(M7*48)-I7</f>
        <v>13273.396802520001</v>
      </c>
      <c r="N9" s="38">
        <f>(N7*60)-I7</f>
        <v>16591.746003150009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2891.8261671299988</v>
      </c>
      <c r="M10" s="41">
        <f>(M8*48)-I7</f>
        <v>5783.6523342599976</v>
      </c>
      <c r="N10" s="41">
        <f>(N8*60)-I7</f>
        <v>8675.4785013899964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20326.151675000001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102404.83799999999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1777.1793062500001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3295.7583750000003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7108.7172250000003</v>
      </c>
      <c r="L14" s="44">
        <f>(H8*L12+H8)/12</f>
        <v>1870.4812198281252</v>
      </c>
      <c r="M14" s="44">
        <f>(H8*M12+H8)/24</f>
        <v>1000.55194941875</v>
      </c>
      <c r="N14" s="165">
        <f>(H7*N12+H7)/60</f>
        <v>448.737774828125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2557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895.69837035000012</v>
      </c>
      <c r="I16" s="33"/>
      <c r="J16" s="44" t="s">
        <v>16</v>
      </c>
      <c r="K16" s="44">
        <f>(K14*3)-H8</f>
        <v>0</v>
      </c>
      <c r="L16" s="44">
        <f>(L14*12)-H8</f>
        <v>1119.6229629375011</v>
      </c>
      <c r="M16" s="44">
        <f>(M14*24)-H8</f>
        <v>2687.0951110499991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2687</v>
      </c>
      <c r="B17" s="37"/>
      <c r="C17" s="20"/>
      <c r="D17" s="29">
        <f>SUM(D10:D16)</f>
        <v>20985.758375000001</v>
      </c>
      <c r="E17" s="48"/>
      <c r="F17" s="48"/>
      <c r="G17" s="54"/>
      <c r="H17" s="33">
        <f>+SUM(H12:H16)+(H7)</f>
        <v>23136.850045350002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2548.35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54.6</v>
      </c>
      <c r="K19" s="37"/>
      <c r="L19" s="37"/>
      <c r="M19" s="37"/>
      <c r="N19" s="34">
        <f>D7</f>
        <v>84945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99645</v>
      </c>
      <c r="V19" s="157">
        <f>(B7+D10+D11+D12+D13+D16)*1.05</f>
        <v>99645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2548.35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2698.8244944712501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58.42781280821918</v>
      </c>
      <c r="I24" s="145">
        <f>H7+H12+H16</f>
        <v>22821.850045350002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3568.7537648806256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316CAC7-A31B-454E-98B8-A92A81DCD764}">
      <formula1>"ALAA HAMMAD,KHALED QASSEM,RAMY RAOUF,SIMON LOBO,MHAREN CLEMENTE GARADO"</formula1>
    </dataValidation>
    <dataValidation type="list" allowBlank="1" showInputMessage="1" showErrorMessage="1" sqref="M34" xr:uid="{B6EA54C1-7758-4411-B528-0CFB8B36B695}">
      <formula1>"Alaa Hammad,Bachir Ibrahim Mourad,Khaled Qassem,Ramy Raoof,Simon Lobo,Mharen Clemente Garado,Ranjith"</formula1>
    </dataValidation>
    <dataValidation type="list" allowBlank="1" showInputMessage="1" showErrorMessage="1" sqref="B11" xr:uid="{05125E34-988B-479B-B995-FE6F242A7692}">
      <formula1>"FO Ceramic+ Intr&amp;Extr CeramicGold WdwTnt,FO Mirror Camera Sensor"</formula1>
    </dataValidation>
    <dataValidation type="list" allowBlank="1" showInputMessage="1" showErrorMessage="1" sqref="B12" xr:uid="{D4CF4A16-CB89-4687-9B69-C19E98F801FE}">
      <formula1>"FO Exterior ceramic All Cars SCOTCHGUARD,FO Mirror Camera Sensor,FO PPF Gold Package "</formula1>
    </dataValidation>
    <dataValidation type="list" allowBlank="1" showInputMessage="1" showErrorMessage="1" sqref="K20" xr:uid="{452187FF-1850-4229-9500-83CE636AC87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1DAA289-2CDD-4387-B1BF-BECE17A1C16C}">
      <formula1>"RMC-10-40KMS,RMC-10-60KMS,RMC-10-70KMS,RMC-10-100000KMS,RMC-40-70KMS,RMC-40-100000KMS"</formula1>
    </dataValidation>
    <dataValidation type="list" allowBlank="1" showInputMessage="1" showErrorMessage="1" sqref="K24" xr:uid="{A24B2972-D4C1-4218-82EA-2B7E65ABBE23}">
      <formula1>"RMC-10-70K,RMC-10-100000K,RMC-40-70K"</formula1>
    </dataValidation>
    <dataValidation type="list" allowBlank="1" showInputMessage="1" showErrorMessage="1" sqref="D5" xr:uid="{6B93DDDB-50AE-49A0-AFFF-C1B39D07DAF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7EBBA5B-6E22-4C03-8029-0B5BCE1A801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F30A71F-A510-4656-AB4C-A247177B43F2}">
      <formula1>"YES,NO"</formula1>
    </dataValidation>
    <dataValidation type="list" allowBlank="1" showInputMessage="1" showErrorMessage="1" sqref="K21" xr:uid="{E9D86DE2-6F93-4061-A2C8-F48D56EDFD70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6D08-D193-4857-B2B5-A22FBF2ECB1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</v>
      </c>
      <c r="D5" s="19" t="s">
        <v>186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12658.184208477502</v>
      </c>
      <c r="S5" s="151"/>
      <c r="U5" s="151">
        <f>L7+L14</f>
        <v>5226.1243886702086</v>
      </c>
      <c r="V5" s="151">
        <f>M7+M14</f>
        <v>3534.0755378337503</v>
      </c>
      <c r="W5" s="151">
        <f>N7+N14</f>
        <v>2484.2992303368751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4129.3943253368752</v>
      </c>
      <c r="V6" s="170">
        <f>N7+K14</f>
        <v>10190.541565977501</v>
      </c>
      <c r="W6" s="170" t="e">
        <f>N7+J14</f>
        <v>#VALUE!</v>
      </c>
    </row>
    <row r="7" spans="1:27" ht="26.25" thickBot="1" x14ac:dyDescent="0.4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168">
        <f>B7+C7</f>
        <v>100695</v>
      </c>
      <c r="E7" s="29">
        <f>D17</f>
        <v>21987.132125</v>
      </c>
      <c r="F7" s="29">
        <f>(C7)+(D10+D11+D12+D13+D16)*5/100</f>
        <v>5495</v>
      </c>
      <c r="G7" s="30">
        <f>B7+E7+F7</f>
        <v>123382.132125</v>
      </c>
      <c r="H7" s="29">
        <f>G7*D20</f>
        <v>24676.426425000001</v>
      </c>
      <c r="I7" s="30">
        <f>(G7-H7)</f>
        <v>98705.705700000006</v>
      </c>
      <c r="J7" s="30">
        <f>(((I7*D19)*1)+I7)/12</f>
        <v>8545.4464709775002</v>
      </c>
      <c r="K7" s="30">
        <f>(((I7*D19)*2)+I7)/24</f>
        <v>4432.7087334775006</v>
      </c>
      <c r="L7" s="30">
        <f>(((I7*D19)*3)+I7)/36</f>
        <v>3061.7961543108336</v>
      </c>
      <c r="M7" s="30">
        <f>(((I7*D19)*4)+I7)/48</f>
        <v>2376.3398647275003</v>
      </c>
      <c r="N7" s="30">
        <f>((((I7*D19)*5)+I7)/60)</f>
        <v>1965.0660909775002</v>
      </c>
      <c r="O7" s="118"/>
      <c r="P7" s="2">
        <f>H7+H16</f>
        <v>25712.836334850002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95900</v>
      </c>
      <c r="C8" s="32">
        <f>IF(L20="YES",N20,IF(L20="NO",N20))</f>
        <v>95900</v>
      </c>
      <c r="D8" s="29">
        <v>0</v>
      </c>
      <c r="E8" s="33"/>
      <c r="F8" s="188"/>
      <c r="G8" s="189"/>
      <c r="H8" s="110">
        <f>G7*20/100</f>
        <v>24676.426425000001</v>
      </c>
      <c r="I8" s="34"/>
      <c r="J8" s="34" t="s">
        <v>15</v>
      </c>
      <c r="K8" s="34">
        <f>(I7*K5+I7)/24</f>
        <v>4112.7377375000005</v>
      </c>
      <c r="L8" s="34">
        <f>(I7*L5+I7)/36</f>
        <v>2834.7730312008334</v>
      </c>
      <c r="M8" s="34">
        <f>(I7*M5+I7)/48</f>
        <v>2195.7906780512499</v>
      </c>
      <c r="N8" s="34">
        <f>(I7*N5+I7)/60</f>
        <v>1812.4012661615002</v>
      </c>
      <c r="O8" s="118">
        <v>0</v>
      </c>
      <c r="P8" s="2">
        <f>P7/12</f>
        <v>2142.7363612375002</v>
      </c>
      <c r="T8" s="1">
        <f>25973-12973</f>
        <v>13000</v>
      </c>
    </row>
    <row r="9" spans="1:27" ht="25.5" x14ac:dyDescent="0.35">
      <c r="A9" s="8">
        <f>B8/(100%-A8)</f>
        <v>119875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3839.6519517300039</v>
      </c>
      <c r="K9" s="38">
        <f>(K7*24)-I7</f>
        <v>7679.3039034600079</v>
      </c>
      <c r="L9" s="38">
        <f>(L7*36)-I7</f>
        <v>11518.955855189997</v>
      </c>
      <c r="M9" s="38">
        <f>(M7*48)-I7</f>
        <v>15358.607806920001</v>
      </c>
      <c r="N9" s="38">
        <f>(N7*60)-I7</f>
        <v>19198.259758650005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3346.1234232300048</v>
      </c>
      <c r="M10" s="41">
        <f>(M8*48)-I7</f>
        <v>6692.2468464599951</v>
      </c>
      <c r="N10" s="41">
        <f>(N8*60)-I7</f>
        <v>10038.37026969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4170.4425000000001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23676.426425000001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121392.13799999999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2056.3688687500003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3816.6896250000004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8225.4754750000011</v>
      </c>
      <c r="L14" s="44">
        <f>(H8*L12+H8)/12</f>
        <v>2164.3282343593751</v>
      </c>
      <c r="M14" s="44">
        <f>(H8*M12+H8)/24</f>
        <v>1157.73567310625</v>
      </c>
      <c r="N14" s="165">
        <f>(H7*N12+H7)/60</f>
        <v>519.23313935937506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3007</v>
      </c>
      <c r="B15" s="37" t="s">
        <v>27</v>
      </c>
      <c r="C15" s="20" t="s">
        <v>19</v>
      </c>
      <c r="D15" s="29">
        <f>IF(C15="YES",O10,IF(C15="NO",0))</f>
        <v>4170.4425000000001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1036.4099098500001</v>
      </c>
      <c r="I16" s="33"/>
      <c r="J16" s="44" t="s">
        <v>16</v>
      </c>
      <c r="K16" s="44">
        <f>(K14*3)-H8</f>
        <v>0</v>
      </c>
      <c r="L16" s="44">
        <f>(L14*12)-H8</f>
        <v>1295.5123873125012</v>
      </c>
      <c r="M16" s="44">
        <f>(M14*24)-H8</f>
        <v>3109.2297295499993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3137</v>
      </c>
      <c r="B17" s="37"/>
      <c r="C17" s="20"/>
      <c r="D17" s="29">
        <f>SUM(D10:D16)</f>
        <v>21987.132125</v>
      </c>
      <c r="E17" s="48"/>
      <c r="F17" s="48"/>
      <c r="G17" s="54"/>
      <c r="H17" s="33">
        <f>+SUM(H12:H16)+(H7)</f>
        <v>26627.836334850002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3020.85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63.230136986301368</v>
      </c>
      <c r="K19" s="37"/>
      <c r="L19" s="37"/>
      <c r="M19" s="37"/>
      <c r="N19" s="34">
        <f>D7</f>
        <v>100695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115395</v>
      </c>
      <c r="V19" s="157">
        <f>(B7+D10+D11+D12+D13+D16)*1.05</f>
        <v>115395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3020.85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3122.8017640837502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67.606647739726029</v>
      </c>
      <c r="I24" s="145">
        <f>H7+H12+H16</f>
        <v>26312.836334850002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4129.3943253368752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C4676CE-26DA-4AC5-B36F-B6A4DB4043E1}">
      <formula1>"ALAA HAMMAD,KHALED QASSEM,RAMY RAOUF,SIMON LOBO,MHAREN CLEMENTE GARADO"</formula1>
    </dataValidation>
    <dataValidation type="list" allowBlank="1" showInputMessage="1" showErrorMessage="1" sqref="M34" xr:uid="{95D63BC2-F39D-464A-ABC3-38D37F55A45B}">
      <formula1>"Alaa Hammad,Bachir Ibrahim Mourad,Khaled Qassem,Ramy Raoof,Simon Lobo,Mharen Clemente Garado,Ranjith"</formula1>
    </dataValidation>
    <dataValidation type="list" allowBlank="1" showInputMessage="1" showErrorMessage="1" sqref="B11" xr:uid="{717EA880-97D4-462B-876E-756FB2FEC616}">
      <formula1>"FO Ceramic+ Intr&amp;Extr CeramicGold WdwTnt,FO Mirror Camera Sensor"</formula1>
    </dataValidation>
    <dataValidation type="list" allowBlank="1" showInputMessage="1" showErrorMessage="1" sqref="B12" xr:uid="{E1C8EC6F-5A01-4758-9B9C-879354FE09E3}">
      <formula1>"FO Exterior ceramic All Cars SCOTCHGUARD,FO Mirror Camera Sensor,FO PPF Gold Package "</formula1>
    </dataValidation>
    <dataValidation type="list" allowBlank="1" showInputMessage="1" showErrorMessage="1" sqref="K20" xr:uid="{3395EBF6-C279-485C-9193-E11AC6E46B8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3583CBF-D534-4FC2-B5A9-9948D5B68D02}">
      <formula1>"RMC-10-40KMS,RMC-10-60KMS,RMC-10-70KMS,RMC-10-100000KMS,RMC-40-70KMS,RMC-40-100000KMS"</formula1>
    </dataValidation>
    <dataValidation type="list" allowBlank="1" showInputMessage="1" showErrorMessage="1" sqref="K24" xr:uid="{9322AA83-45FD-493D-AC13-13E222522F6F}">
      <formula1>"RMC-10-70K,RMC-10-100000K,RMC-40-70K"</formula1>
    </dataValidation>
    <dataValidation type="list" allowBlank="1" showInputMessage="1" showErrorMessage="1" sqref="D5" xr:uid="{AB9D3A41-2581-4DBE-B0B9-8526C57A385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C7FC0BE-526B-4416-9EE6-42E6480A5FA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6D7E907-B7B4-44DA-8E65-E0F08F41A713}">
      <formula1>"YES,NO"</formula1>
    </dataValidation>
    <dataValidation type="list" allowBlank="1" showInputMessage="1" showErrorMessage="1" sqref="K21" xr:uid="{9562CF1A-C78C-444F-B120-7E1C2CF5605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2C17-A7A2-41F0-837A-1E19D6A783D0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</v>
      </c>
      <c r="D5" s="19" t="s">
        <v>185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9938.0314935275019</v>
      </c>
      <c r="S5" s="151"/>
      <c r="U5" s="151">
        <f>L7+L14</f>
        <v>4103.0678577827084</v>
      </c>
      <c r="V5" s="151">
        <f>M7+M14</f>
        <v>2774.6281312587503</v>
      </c>
      <c r="W5" s="151">
        <f>N7+N14</f>
        <v>1950.4411994493753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3242.0171944493754</v>
      </c>
      <c r="V6" s="170">
        <f>N7+K14</f>
        <v>8000.6675010275012</v>
      </c>
      <c r="W6" s="170" t="e">
        <f>N7+J14</f>
        <v>#VALUE!</v>
      </c>
    </row>
    <row r="7" spans="1:27" ht="26.25" thickBot="1" x14ac:dyDescent="0.4">
      <c r="A7" s="6">
        <f>B8</f>
        <v>71900</v>
      </c>
      <c r="B7" s="29">
        <f>IF(L20="YES",C8*1,IF(L20="NO",B8*1))</f>
        <v>71900</v>
      </c>
      <c r="C7" s="29">
        <f>B7*5/100</f>
        <v>3595</v>
      </c>
      <c r="D7" s="168">
        <f>B7+C7</f>
        <v>75495</v>
      </c>
      <c r="E7" s="29">
        <f>D17</f>
        <v>20673.199625000001</v>
      </c>
      <c r="F7" s="29">
        <f>(C7)+(D10+D11+D12+D13+D16)*5/100</f>
        <v>4295</v>
      </c>
      <c r="G7" s="30">
        <f>B7+E7+F7</f>
        <v>96868.199625000008</v>
      </c>
      <c r="H7" s="29">
        <f>G7*D20</f>
        <v>19373.639925000003</v>
      </c>
      <c r="I7" s="30">
        <f>(G7-H7)</f>
        <v>77494.559700000013</v>
      </c>
      <c r="J7" s="30">
        <f>(((I7*D19)*1)+I7)/12</f>
        <v>6709.0915060275011</v>
      </c>
      <c r="K7" s="30">
        <f>(((I7*D19)*2)+I7)/24</f>
        <v>3480.1515185275007</v>
      </c>
      <c r="L7" s="30">
        <f>(((I7*D19)*3)+I7)/36</f>
        <v>2403.8381893608334</v>
      </c>
      <c r="M7" s="30">
        <f>(((I7*D19)*4)+I7)/48</f>
        <v>1865.6815247775003</v>
      </c>
      <c r="N7" s="30">
        <f>((((I7*D19)*5)+I7)/60)</f>
        <v>1542.7875260275002</v>
      </c>
      <c r="O7" s="118"/>
      <c r="P7" s="2">
        <f>H7+H16</f>
        <v>20187.332801850003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71900</v>
      </c>
      <c r="C8" s="32">
        <f>IF(L20="YES",N20,IF(L20="NO",N20))</f>
        <v>71900</v>
      </c>
      <c r="D8" s="29">
        <v>0</v>
      </c>
      <c r="E8" s="33"/>
      <c r="F8" s="188"/>
      <c r="G8" s="189"/>
      <c r="H8" s="110">
        <f>G7*20/100</f>
        <v>19373.639925000003</v>
      </c>
      <c r="I8" s="34"/>
      <c r="J8" s="34" t="s">
        <v>15</v>
      </c>
      <c r="K8" s="34">
        <f>(I7*K5+I7)/24</f>
        <v>3228.9399875000004</v>
      </c>
      <c r="L8" s="34">
        <f>(I7*L5+I7)/36</f>
        <v>2225.6007020508337</v>
      </c>
      <c r="M8" s="34">
        <f>(I7*M5+I7)/48</f>
        <v>1723.9310593262501</v>
      </c>
      <c r="N8" s="34">
        <f>(I7*N5+I7)/60</f>
        <v>1422.9292736915004</v>
      </c>
      <c r="O8" s="118">
        <v>0</v>
      </c>
      <c r="P8" s="2">
        <f>P7/12</f>
        <v>1682.2777334875002</v>
      </c>
      <c r="T8" s="1">
        <f>25973-12973</f>
        <v>13000</v>
      </c>
    </row>
    <row r="9" spans="1:27" ht="25.5" x14ac:dyDescent="0.35">
      <c r="A9" s="8">
        <f>B8/(100%-A8)</f>
        <v>89875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3014.5383723300038</v>
      </c>
      <c r="K9" s="38">
        <f>(K7*24)-I7</f>
        <v>6029.0767446600075</v>
      </c>
      <c r="L9" s="38">
        <f>(L7*36)-I7</f>
        <v>9043.6151169899967</v>
      </c>
      <c r="M9" s="38">
        <f>(M7*48)-I7</f>
        <v>12058.153489320001</v>
      </c>
      <c r="N9" s="38">
        <f>(N7*60)-I7</f>
        <v>15072.691861650004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2627.0655738299974</v>
      </c>
      <c r="M10" s="41">
        <f>(M8*48)-I7</f>
        <v>5254.1311476599949</v>
      </c>
      <c r="N10" s="41">
        <f>(N8*60)-I7</f>
        <v>7881.1967214900069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18373.639925000003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91012.457999999999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1614.4699937500002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2983.1996250000002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6457.8799750000007</v>
      </c>
      <c r="L14" s="44">
        <f>(H8*L12+H8)/12</f>
        <v>1699.2296684218752</v>
      </c>
      <c r="M14" s="44">
        <f>(H8*M12+H8)/24</f>
        <v>908.94660648125011</v>
      </c>
      <c r="N14" s="165">
        <f>(H7*N12+H7)/60</f>
        <v>407.65367342187506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2287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813.69287685000018</v>
      </c>
      <c r="I16" s="33"/>
      <c r="J16" s="44" t="s">
        <v>16</v>
      </c>
      <c r="K16" s="44">
        <f>(K14*3)-H8</f>
        <v>0</v>
      </c>
      <c r="L16" s="44">
        <f>(L14*12)-H8</f>
        <v>1017.1160960624984</v>
      </c>
      <c r="M16" s="44">
        <f>(M14*24)-H8</f>
        <v>2441.0786305500005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2417</v>
      </c>
      <c r="B17" s="37"/>
      <c r="C17" s="20"/>
      <c r="D17" s="29">
        <f>SUM(D10:D16)</f>
        <v>20673.199625000001</v>
      </c>
      <c r="E17" s="48"/>
      <c r="F17" s="48"/>
      <c r="G17" s="54"/>
      <c r="H17" s="33">
        <f>+SUM(H12:H16)+(H7)</f>
        <v>21102.332801850003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2264.85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49.421917808219177</v>
      </c>
      <c r="K19" s="37"/>
      <c r="L19" s="37"/>
      <c r="M19" s="37"/>
      <c r="N19" s="34">
        <f>D7</f>
        <v>75495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90195</v>
      </c>
      <c r="V19" s="157">
        <f>(B7+D10+D11+D12+D13+D16)*1.05</f>
        <v>90195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2264.85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2451.7341325087505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53.078465547945214</v>
      </c>
      <c r="I24" s="145">
        <f>H7+H12+H16</f>
        <v>20787.332801850003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3242.0171944493754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3897787-1CF5-4C88-BAF9-ECF63CE474D3}">
      <formula1>"ALAA HAMMAD,KHALED QASSEM,RAMY RAOUF,SIMON LOBO,MHAREN CLEMENTE GARADO"</formula1>
    </dataValidation>
    <dataValidation type="list" allowBlank="1" showInputMessage="1" showErrorMessage="1" sqref="M34" xr:uid="{B879E2CE-BDF2-40D8-A961-F5C30107DBFE}">
      <formula1>"Alaa Hammad,Bachir Ibrahim Mourad,Khaled Qassem,Ramy Raoof,Simon Lobo,Mharen Clemente Garado,Ranjith"</formula1>
    </dataValidation>
    <dataValidation type="list" allowBlank="1" showInputMessage="1" showErrorMessage="1" sqref="B11" xr:uid="{4C40CA22-9B1E-4A9A-A084-FF1EE07F674F}">
      <formula1>"FO Ceramic+ Intr&amp;Extr CeramicGold WdwTnt,FO Mirror Camera Sensor"</formula1>
    </dataValidation>
    <dataValidation type="list" allowBlank="1" showInputMessage="1" showErrorMessage="1" sqref="B12" xr:uid="{4141B497-C9E0-4FEE-82D2-3B484B0570B8}">
      <formula1>"FO Exterior ceramic All Cars SCOTCHGUARD,FO Mirror Camera Sensor,FO PPF Gold Package "</formula1>
    </dataValidation>
    <dataValidation type="list" allowBlank="1" showInputMessage="1" showErrorMessage="1" sqref="K20" xr:uid="{EEE8FABA-BF1E-4EB0-811C-92255D27416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1513DA3-D20D-4654-A17D-1601FAE83283}">
      <formula1>"RMC-10-40KMS,RMC-10-60KMS,RMC-10-70KMS,RMC-10-100000KMS,RMC-40-70KMS,RMC-40-100000KMS"</formula1>
    </dataValidation>
    <dataValidation type="list" allowBlank="1" showInputMessage="1" showErrorMessage="1" sqref="K24" xr:uid="{DBC48ACF-A1B0-47CB-B2BD-6E534451770B}">
      <formula1>"RMC-10-70K,RMC-10-100000K,RMC-40-70K"</formula1>
    </dataValidation>
    <dataValidation type="list" allowBlank="1" showInputMessage="1" showErrorMessage="1" sqref="D5" xr:uid="{ED5652E1-229F-4825-8C4C-3DC4F427736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442CC9-C71F-4AFB-9C18-6D01818F6A8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D907A92-3C65-47DA-A457-911ED03C3D21}">
      <formula1>"YES,NO"</formula1>
    </dataValidation>
    <dataValidation type="list" allowBlank="1" showInputMessage="1" showErrorMessage="1" sqref="K21" xr:uid="{7422CBDC-5F12-4566-B731-9AB0AD7753E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BBF5-BABF-4CC5-8593-0C3E6B0B415E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H43</v>
      </c>
      <c r="D5" s="19" t="s">
        <v>184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13890.2563259075</v>
      </c>
      <c r="S5" s="151"/>
      <c r="U5" s="151">
        <f>L7+L14</f>
        <v>5734.8041515377081</v>
      </c>
      <c r="V5" s="151">
        <f>M7+M14</f>
        <v>3878.0613622887495</v>
      </c>
      <c r="W5" s="151">
        <f>N7+N14</f>
        <v>2726.1060932043747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4531.3249282043744</v>
      </c>
      <c r="V6" s="170">
        <f>N7+K14</f>
        <v>11182.4280734075</v>
      </c>
      <c r="W6" s="170" t="e">
        <f>N7+J14</f>
        <v>#VALUE!</v>
      </c>
    </row>
    <row r="7" spans="1:27" ht="26.25" thickBot="1" x14ac:dyDescent="0.4">
      <c r="A7" s="6">
        <f>B8</f>
        <v>106900</v>
      </c>
      <c r="B7" s="29">
        <f>IF(L20="YES",C8*1,IF(L20="NO",B8*1))</f>
        <v>106900</v>
      </c>
      <c r="C7" s="29">
        <f>B7*5/100</f>
        <v>5345</v>
      </c>
      <c r="D7" s="168">
        <f>B7+C7</f>
        <v>112245</v>
      </c>
      <c r="E7" s="29">
        <f>D17</f>
        <v>22456.412625000001</v>
      </c>
      <c r="F7" s="29">
        <f>(C7)+(D10+D11+D12+D13+D16)*5/100</f>
        <v>6035</v>
      </c>
      <c r="G7" s="30">
        <f>B7+E7+F7</f>
        <v>135391.412625</v>
      </c>
      <c r="H7" s="29">
        <f>G7*D20</f>
        <v>27078.282525000002</v>
      </c>
      <c r="I7" s="30">
        <f>(G7-H7)</f>
        <v>108313.13009999999</v>
      </c>
      <c r="J7" s="30">
        <f>(((I7*D19)*1)+I7)/12</f>
        <v>9377.2092384074986</v>
      </c>
      <c r="K7" s="30">
        <f>(((I7*D19)*2)+I7)/24</f>
        <v>4864.1621509075003</v>
      </c>
      <c r="L7" s="30">
        <f>(((I7*D19)*3)+I7)/36</f>
        <v>3359.8131217408331</v>
      </c>
      <c r="M7" s="30">
        <f>(((I7*D19)*4)+I7)/48</f>
        <v>2607.6386071574998</v>
      </c>
      <c r="N7" s="30">
        <f>((((I7*D19)*5)+I7)/60)</f>
        <v>2156.3338984074999</v>
      </c>
      <c r="O7" s="118"/>
      <c r="P7" s="2">
        <f>H7+H16</f>
        <v>28215.570391050001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106900</v>
      </c>
      <c r="C8" s="32">
        <f>IF(L20="YES",N20,IF(L20="NO",N20))</f>
        <v>106900</v>
      </c>
      <c r="D8" s="29">
        <v>0</v>
      </c>
      <c r="E8" s="33"/>
      <c r="F8" s="188"/>
      <c r="G8" s="189"/>
      <c r="H8" s="110">
        <f>G7*20/100</f>
        <v>27078.282524999999</v>
      </c>
      <c r="I8" s="34"/>
      <c r="J8" s="34" t="s">
        <v>15</v>
      </c>
      <c r="K8" s="34">
        <f>(I7*K5+I7)/24</f>
        <v>4513.0470875000001</v>
      </c>
      <c r="L8" s="34">
        <f>(I7*L5+I7)/36</f>
        <v>3110.6929225108333</v>
      </c>
      <c r="M8" s="34">
        <f>(I7*M5+I7)/48</f>
        <v>2409.51584001625</v>
      </c>
      <c r="N8" s="34">
        <f>(I7*N5+I7)/60</f>
        <v>1988.8095905195</v>
      </c>
      <c r="O8" s="118">
        <v>0</v>
      </c>
      <c r="P8" s="2">
        <f>P7/12</f>
        <v>2351.2975325875</v>
      </c>
      <c r="T8" s="1">
        <f>25973-12973</f>
        <v>13000</v>
      </c>
    </row>
    <row r="9" spans="1:27" ht="25.5" x14ac:dyDescent="0.35">
      <c r="A9" s="8">
        <f>B8/(100%-A8)</f>
        <v>133625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4213.3807608899806</v>
      </c>
      <c r="K9" s="38">
        <f>(K7*24)-I7</f>
        <v>8426.7615217800048</v>
      </c>
      <c r="L9" s="38">
        <f>(L7*36)-I7</f>
        <v>12640.14228267</v>
      </c>
      <c r="M9" s="38">
        <f>(M7*48)-I7</f>
        <v>16853.523043559995</v>
      </c>
      <c r="N9" s="38">
        <f>(N7*60)-I7</f>
        <v>21066.90380444999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3671.8151103900018</v>
      </c>
      <c r="M10" s="41">
        <f>(M8*48)-I7</f>
        <v>7343.6302207800036</v>
      </c>
      <c r="N10" s="41">
        <f>(N8*60)-I7</f>
        <v>11015.445331170005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4464.6525000000001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26078.282524999999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135316.158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2256.52354375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4191.7601249999998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9026.0941750000002</v>
      </c>
      <c r="L14" s="44">
        <f>(H8*L12+H8)/12</f>
        <v>2374.991029796875</v>
      </c>
      <c r="M14" s="44">
        <f>(H8*M12+H8)/24</f>
        <v>1270.4227551312499</v>
      </c>
      <c r="N14" s="165">
        <f>(H7*N12+H7)/60</f>
        <v>569.77219479687506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3337</v>
      </c>
      <c r="B15" s="37" t="s">
        <v>27</v>
      </c>
      <c r="C15" s="20" t="s">
        <v>19</v>
      </c>
      <c r="D15" s="29">
        <f>IF(C15="YES",O10,IF(C15="NO",0))</f>
        <v>4464.6525000000001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1137.28786605</v>
      </c>
      <c r="I16" s="33"/>
      <c r="J16" s="44" t="s">
        <v>16</v>
      </c>
      <c r="K16" s="44">
        <f>(K14*3)-H8</f>
        <v>0</v>
      </c>
      <c r="L16" s="44">
        <f>(L14*12)-H8</f>
        <v>1421.6098325625026</v>
      </c>
      <c r="M16" s="44">
        <f>(M14*24)-H8</f>
        <v>3411.8635981500011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3467</v>
      </c>
      <c r="B17" s="37"/>
      <c r="C17" s="20"/>
      <c r="D17" s="29">
        <f>SUM(D10:D16)</f>
        <v>22456.412625000001</v>
      </c>
      <c r="E17" s="48"/>
      <c r="F17" s="48"/>
      <c r="G17" s="54"/>
      <c r="H17" s="33">
        <f>+SUM(H12:H16)+(H7)</f>
        <v>29130.570391050001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3367.35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69.443835616438349</v>
      </c>
      <c r="K19" s="37"/>
      <c r="L19" s="37"/>
      <c r="M19" s="37"/>
      <c r="N19" s="34">
        <f>D7</f>
        <v>112245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126735</v>
      </c>
      <c r="V19" s="157">
        <f>(B7+D10+D11+D12+D13+D16)*1.05</f>
        <v>126735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3367.35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3426.7566535387496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74.187075410958911</v>
      </c>
      <c r="I24" s="145">
        <f>H7+H12+H16</f>
        <v>28815.570391050001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4531.3249282043744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2372711-86E0-4404-9AA6-FFB0FD4D9124}">
      <formula1>"ALAA HAMMAD,KHALED QASSEM,RAMY RAOUF,SIMON LOBO,MHAREN CLEMENTE GARADO"</formula1>
    </dataValidation>
    <dataValidation type="list" allowBlank="1" showInputMessage="1" showErrorMessage="1" sqref="M34" xr:uid="{0D5FFC3D-BDBF-4BBD-AFB5-45FE5429DF0C}">
      <formula1>"Alaa Hammad,Bachir Ibrahim Mourad,Khaled Qassem,Ramy Raoof,Simon Lobo,Mharen Clemente Garado,Ranjith"</formula1>
    </dataValidation>
    <dataValidation type="list" allowBlank="1" showInputMessage="1" showErrorMessage="1" sqref="B11" xr:uid="{2AE49203-D913-4137-98CE-9E4F61CB5411}">
      <formula1>"FO Ceramic+ Intr&amp;Extr CeramicGold WdwTnt,FO Mirror Camera Sensor"</formula1>
    </dataValidation>
    <dataValidation type="list" allowBlank="1" showInputMessage="1" showErrorMessage="1" sqref="B12" xr:uid="{A7E9C2FA-0916-48AF-BF76-4A0D02CFA4A6}">
      <formula1>"FO Exterior ceramic All Cars SCOTCHGUARD,FO Mirror Camera Sensor,FO PPF Gold Package "</formula1>
    </dataValidation>
    <dataValidation type="list" allowBlank="1" showInputMessage="1" showErrorMessage="1" sqref="K20" xr:uid="{28882F51-F23E-41D3-A9BC-131C0F165EE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C29D3C4-CA11-4EFB-8EA8-82A2FE29C4B8}">
      <formula1>"RMC-10-40KMS,RMC-10-60KMS,RMC-10-70KMS,RMC-10-100000KMS,RMC-40-70KMS,RMC-40-100000KMS"</formula1>
    </dataValidation>
    <dataValidation type="list" allowBlank="1" showInputMessage="1" showErrorMessage="1" sqref="K24" xr:uid="{12EC4B8B-C3E9-4B33-B218-04C3CF44CF2E}">
      <formula1>"RMC-10-70K,RMC-10-100000K,RMC-40-70K"</formula1>
    </dataValidation>
    <dataValidation type="list" allowBlank="1" showInputMessage="1" showErrorMessage="1" sqref="D5" xr:uid="{7E4B6454-CD89-4DD9-9CEF-7B1FF9CF816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26E900-3DFD-4178-862B-9F54E5D28E4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3C3B658-E763-4663-95C4-94FF87CF7B5E}">
      <formula1>"YES,NO"</formula1>
    </dataValidation>
    <dataValidation type="list" allowBlank="1" showInputMessage="1" showErrorMessage="1" sqref="K21" xr:uid="{A68CBA3A-9069-4965-A647-FC2455B14E8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B21-C262-4976-B040-0C6FB7788649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H40</v>
      </c>
      <c r="D5" s="19" t="s">
        <v>183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13087.5018368325</v>
      </c>
      <c r="S5" s="151"/>
      <c r="U5" s="151">
        <f>L7+L14</f>
        <v>5403.3747186606251</v>
      </c>
      <c r="V5" s="151">
        <f>M7+M14</f>
        <v>3653.9379844012501</v>
      </c>
      <c r="W5" s="151">
        <f>N7+N14</f>
        <v>2568.5572436606249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4269.4477286606252</v>
      </c>
      <c r="V6" s="170">
        <f>N7+K14</f>
        <v>10536.166109332502</v>
      </c>
      <c r="W6" s="170" t="e">
        <f>N7+J14</f>
        <v>#VALUE!</v>
      </c>
    </row>
    <row r="7" spans="1:27" ht="26.25" thickBot="1" x14ac:dyDescent="0.4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168">
        <f>B7+C7</f>
        <v>104895</v>
      </c>
      <c r="E7" s="29">
        <f>D17</f>
        <v>21981.786375000003</v>
      </c>
      <c r="F7" s="29">
        <f>(C7)+(D10+D11+D12+D13+D16)*5/100</f>
        <v>5685</v>
      </c>
      <c r="G7" s="30">
        <f>B7+E7+F7</f>
        <v>127566.786375</v>
      </c>
      <c r="H7" s="29">
        <f>G7*D20</f>
        <v>25513.357275000002</v>
      </c>
      <c r="I7" s="30">
        <f>(G7-H7)</f>
        <v>102053.42909999999</v>
      </c>
      <c r="J7" s="30">
        <f>(((I7*D19)*1)+I7)/12</f>
        <v>8835.2756243325002</v>
      </c>
      <c r="K7" s="30">
        <f>(((I7*D19)*2)+I7)/24</f>
        <v>4583.0494118324996</v>
      </c>
      <c r="L7" s="30">
        <f>(((I7*D19)*3)+I7)/36</f>
        <v>3165.6406743325001</v>
      </c>
      <c r="M7" s="30">
        <f>(((I7*D19)*4)+I7)/48</f>
        <v>2456.9363055825002</v>
      </c>
      <c r="N7" s="30">
        <f>((((I7*D19)*5)+I7)/60)</f>
        <v>2031.7136843324997</v>
      </c>
      <c r="O7" s="118"/>
      <c r="P7" s="2">
        <f>H7+H16</f>
        <v>26584.918280550002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99900</v>
      </c>
      <c r="C8" s="32">
        <f>IF(L20="YES",N20,IF(L20="NO",N20))</f>
        <v>99900</v>
      </c>
      <c r="D8" s="29">
        <v>0</v>
      </c>
      <c r="E8" s="33"/>
      <c r="F8" s="188"/>
      <c r="G8" s="189"/>
      <c r="H8" s="110">
        <f>G7*20/100</f>
        <v>25513.357275000002</v>
      </c>
      <c r="I8" s="34"/>
      <c r="J8" s="34" t="s">
        <v>15</v>
      </c>
      <c r="K8" s="34">
        <f>(I7*K5+I7)/24</f>
        <v>4252.2262124999997</v>
      </c>
      <c r="L8" s="34">
        <f>(I7*L5+I7)/36</f>
        <v>2930.9177874024995</v>
      </c>
      <c r="M8" s="34">
        <f>(I7*M5+I7)/48</f>
        <v>2270.26357485375</v>
      </c>
      <c r="N8" s="34">
        <f>(I7*N5+I7)/60</f>
        <v>1873.8710473245001</v>
      </c>
      <c r="O8" s="118">
        <v>0</v>
      </c>
      <c r="P8" s="2">
        <f>P7/12</f>
        <v>2215.4098567125002</v>
      </c>
      <c r="T8" s="1">
        <f>25973-12973</f>
        <v>13000</v>
      </c>
    </row>
    <row r="9" spans="1:27" ht="25.5" x14ac:dyDescent="0.35">
      <c r="A9" s="8">
        <f>B8/(100%-A8)</f>
        <v>124875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3969.8783919900161</v>
      </c>
      <c r="K9" s="38">
        <f>(K7*24)-I7</f>
        <v>7939.7567839799885</v>
      </c>
      <c r="L9" s="38">
        <f>(L7*36)-I7</f>
        <v>11909.635175970005</v>
      </c>
      <c r="M9" s="38">
        <f>(M7*48)-I7</f>
        <v>15879.513567960021</v>
      </c>
      <c r="N9" s="38">
        <f>(N7*60)-I7</f>
        <v>19849.391959949993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3459.6112464899925</v>
      </c>
      <c r="M10" s="41">
        <f>(M8*48)-I7</f>
        <v>6919.2224929799995</v>
      </c>
      <c r="N10" s="41">
        <f>(N8*60)-I7</f>
        <v>10378.833739470007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4233.1275000000005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24513.357275000002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126455.41799999999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2126.1131062500003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3948.6588750000001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8504.4524250000013</v>
      </c>
      <c r="L14" s="44">
        <f>(H8*L12+H8)/12</f>
        <v>2237.734044328125</v>
      </c>
      <c r="M14" s="44">
        <f>(H8*M12+H8)/24</f>
        <v>1197.0016788187502</v>
      </c>
      <c r="N14" s="165">
        <f>(H7*N12+H7)/60</f>
        <v>536.84355932812502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3127</v>
      </c>
      <c r="B15" s="37" t="s">
        <v>27</v>
      </c>
      <c r="C15" s="20" t="s">
        <v>19</v>
      </c>
      <c r="D15" s="29">
        <f>IF(C15="YES",O10,IF(C15="NO",0))</f>
        <v>4233.1275000000005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1071.5610055499999</v>
      </c>
      <c r="I16" s="33"/>
      <c r="J16" s="44" t="s">
        <v>16</v>
      </c>
      <c r="K16" s="44">
        <f>(K14*3)-H8</f>
        <v>0</v>
      </c>
      <c r="L16" s="44">
        <f>(L14*12)-H8</f>
        <v>1339.4512569375001</v>
      </c>
      <c r="M16" s="44">
        <f>(M14*24)-H8</f>
        <v>3214.6830166500004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3257</v>
      </c>
      <c r="B17" s="37"/>
      <c r="C17" s="20"/>
      <c r="D17" s="29">
        <f>SUM(D10:D16)</f>
        <v>21981.786375000003</v>
      </c>
      <c r="E17" s="48"/>
      <c r="F17" s="48"/>
      <c r="G17" s="54"/>
      <c r="H17" s="33">
        <f>+SUM(H12:H16)+(H7)</f>
        <v>27499.918280550002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3146.85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65.416438356164377</v>
      </c>
      <c r="K19" s="37"/>
      <c r="L19" s="37"/>
      <c r="M19" s="37"/>
      <c r="N19" s="34">
        <f>D7</f>
        <v>104895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119385</v>
      </c>
      <c r="V19" s="157">
        <f>(B7+D10+D11+D12+D13+D16)*1.05</f>
        <v>119385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3146.85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3228.7153631512501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69.899608972602749</v>
      </c>
      <c r="I24" s="145">
        <f>H7+H12+H16</f>
        <v>27184.918280550002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4269.4477286606252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11055C3-4875-466E-B2C6-B180ADC5CF95}">
      <formula1>"ALAA HAMMAD,KHALED QASSEM,RAMY RAOUF,SIMON LOBO,MHAREN CLEMENTE GARADO"</formula1>
    </dataValidation>
    <dataValidation type="list" allowBlank="1" showInputMessage="1" showErrorMessage="1" sqref="M34" xr:uid="{9D27BBCE-D93E-43AC-8CFF-2F7DE6184021}">
      <formula1>"Alaa Hammad,Bachir Ibrahim Mourad,Khaled Qassem,Ramy Raoof,Simon Lobo,Mharen Clemente Garado,Ranjith"</formula1>
    </dataValidation>
    <dataValidation type="list" allowBlank="1" showInputMessage="1" showErrorMessage="1" sqref="B11" xr:uid="{46107514-FB4C-44DD-B82E-37950C99B06F}">
      <formula1>"FO Ceramic+ Intr&amp;Extr CeramicGold WdwTnt,FO Mirror Camera Sensor"</formula1>
    </dataValidation>
    <dataValidation type="list" allowBlank="1" showInputMessage="1" showErrorMessage="1" sqref="B12" xr:uid="{4C2B51EB-44EE-40BA-B3E3-A2A0C6888B04}">
      <formula1>"FO Exterior ceramic All Cars SCOTCHGUARD,FO Mirror Camera Sensor,FO PPF Gold Package "</formula1>
    </dataValidation>
    <dataValidation type="list" allowBlank="1" showInputMessage="1" showErrorMessage="1" sqref="K20" xr:uid="{60918381-4C9D-46D0-92C3-F1592B2F40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177A944-F058-4A11-8B68-514040058BA9}">
      <formula1>"RMC-10-40KMS,RMC-10-60KMS,RMC-10-70KMS,RMC-10-100000KMS,RMC-40-70KMS,RMC-40-100000KMS"</formula1>
    </dataValidation>
    <dataValidation type="list" allowBlank="1" showInputMessage="1" showErrorMessage="1" sqref="K24" xr:uid="{C9060ABD-8083-4268-80F0-DAE6D904847D}">
      <formula1>"RMC-10-70K,RMC-10-100000K,RMC-40-70K"</formula1>
    </dataValidation>
    <dataValidation type="list" allowBlank="1" showInputMessage="1" showErrorMessage="1" sqref="D5" xr:uid="{5F6BD396-C6C5-495D-881F-6B7EC26E50E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75CC92-85A0-4B07-96C5-FF9944C40AE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528C77-9325-468A-BA16-19A32F0D124E}">
      <formula1>"YES,NO"</formula1>
    </dataValidation>
    <dataValidation type="list" allowBlank="1" showInputMessage="1" showErrorMessage="1" sqref="K21" xr:uid="{3ECEC8B1-7503-44BA-AE0B-7FF598B83191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D544-E80D-47B5-A00A-6EB73AF335D1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H43</v>
      </c>
      <c r="D5" s="19" t="s">
        <v>182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9820.0769886358339</v>
      </c>
      <c r="S5" s="151"/>
      <c r="U5" s="151">
        <f>L7+L14</f>
        <v>4054.3685416236804</v>
      </c>
      <c r="V5" s="151">
        <f>M7+M14</f>
        <v>2741.6960674295833</v>
      </c>
      <c r="W5" s="151">
        <f>N7+N14</f>
        <v>1927.2914110681249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3203.537689401458</v>
      </c>
      <c r="V6" s="170">
        <f>N7+K14</f>
        <v>7905.7075711358339</v>
      </c>
      <c r="W6" s="170" t="e">
        <f>N7+J14</f>
        <v>#VALUE!</v>
      </c>
    </row>
    <row r="7" spans="1:27" ht="26.25" thickBot="1" x14ac:dyDescent="0.4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168">
        <f>B7+C7</f>
        <v>74445</v>
      </c>
      <c r="E7" s="29">
        <f>D17</f>
        <v>20573.470874999999</v>
      </c>
      <c r="F7" s="29">
        <f>(C7)+(D10+D11+D12+D13+D16)*5/100</f>
        <v>4245</v>
      </c>
      <c r="G7" s="30">
        <f>B7+E7+F7</f>
        <v>95718.470874999999</v>
      </c>
      <c r="H7" s="29">
        <f>G7*D20</f>
        <v>19143.694175000001</v>
      </c>
      <c r="I7" s="30">
        <f>(G7-H7)</f>
        <v>76574.776700000002</v>
      </c>
      <c r="J7" s="30">
        <f>(((I7*D19)*1)+I7)/12</f>
        <v>6629.4612928025008</v>
      </c>
      <c r="K7" s="30">
        <f>(((I7*D19)*2)+I7)/24</f>
        <v>3438.8455969691672</v>
      </c>
      <c r="L7" s="30">
        <f>(((I7*D19)*3)+I7)/36</f>
        <v>2375.3070316913891</v>
      </c>
      <c r="M7" s="30">
        <f>(((I7*D19)*4)+I7)/48</f>
        <v>1843.5377490525</v>
      </c>
      <c r="N7" s="30">
        <f>((((I7*D19)*5)+I7)/60)</f>
        <v>1524.4761794691667</v>
      </c>
      <c r="O7" s="118"/>
      <c r="P7" s="2">
        <f>H7+H16</f>
        <v>19947.729330350001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70900</v>
      </c>
      <c r="C8" s="32">
        <f>IF(L20="YES",N20,IF(L20="NO",N20))</f>
        <v>70900</v>
      </c>
      <c r="D8" s="29">
        <v>0</v>
      </c>
      <c r="E8" s="33"/>
      <c r="F8" s="188"/>
      <c r="G8" s="189"/>
      <c r="H8" s="110">
        <f>G7*20/100</f>
        <v>19143.694175000001</v>
      </c>
      <c r="I8" s="34"/>
      <c r="J8" s="34" t="s">
        <v>15</v>
      </c>
      <c r="K8" s="34">
        <f>(I7*K5+I7)/24</f>
        <v>3190.6156958333336</v>
      </c>
      <c r="L8" s="34">
        <f>(I7*L5+I7)/36</f>
        <v>2199.1850452813892</v>
      </c>
      <c r="M8" s="34">
        <f>(I7*M5+I7)/48</f>
        <v>1703.4697200054168</v>
      </c>
      <c r="N8" s="34">
        <f>(I7*N5+I7)/60</f>
        <v>1406.0405248398336</v>
      </c>
      <c r="O8" s="118">
        <v>0</v>
      </c>
      <c r="P8" s="2">
        <f>P7/12</f>
        <v>1662.3107775291667</v>
      </c>
      <c r="T8" s="1">
        <f>25973-12973</f>
        <v>13000</v>
      </c>
    </row>
    <row r="9" spans="1:27" ht="25.5" x14ac:dyDescent="0.35">
      <c r="A9" s="8">
        <f>B8/(100%-A8)</f>
        <v>88625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2978.7588136300037</v>
      </c>
      <c r="K9" s="38">
        <f>(K7*24)-I7</f>
        <v>5957.5176272600074</v>
      </c>
      <c r="L9" s="38">
        <f>(L7*36)-I7</f>
        <v>8936.2764408899966</v>
      </c>
      <c r="M9" s="38">
        <f>(M7*48)-I7</f>
        <v>11915.03525452</v>
      </c>
      <c r="N9" s="38">
        <f>(N7*60)-I7</f>
        <v>14893.794068150004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2595.884930130007</v>
      </c>
      <c r="M10" s="41">
        <f>(M8*48)-I7</f>
        <v>5191.7698602599994</v>
      </c>
      <c r="N10" s="41">
        <f>(N8*60)-I7</f>
        <v>7787.6547903900064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18143.694175000001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89746.637999999992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1595.3078479166668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2948.4708750000004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6381.2313916666672</v>
      </c>
      <c r="L14" s="44">
        <f>(H8*L12+H8)/12</f>
        <v>1679.0615099322915</v>
      </c>
      <c r="M14" s="44">
        <f>(H8*M12+H8)/24</f>
        <v>898.15831837708345</v>
      </c>
      <c r="N14" s="165">
        <f>(H7*N12+H7)/60</f>
        <v>402.81523159895835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2257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804.03515535000008</v>
      </c>
      <c r="I16" s="33"/>
      <c r="J16" s="44" t="s">
        <v>16</v>
      </c>
      <c r="K16" s="44">
        <f>(K14*3)-H8</f>
        <v>0</v>
      </c>
      <c r="L16" s="44">
        <f>(L14*12)-H8</f>
        <v>1005.0439441874987</v>
      </c>
      <c r="M16" s="44">
        <f>(M14*24)-H8</f>
        <v>2412.1054660500013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2387</v>
      </c>
      <c r="B17" s="37"/>
      <c r="C17" s="20"/>
      <c r="D17" s="29">
        <f>SUM(D10:D16)</f>
        <v>20573.470874999999</v>
      </c>
      <c r="E17" s="48"/>
      <c r="F17" s="48"/>
      <c r="G17" s="54"/>
      <c r="H17" s="33">
        <f>+SUM(H12:H16)+(H7)</f>
        <v>20862.729330350001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2233.35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48.846575342465755</v>
      </c>
      <c r="K19" s="37"/>
      <c r="L19" s="37"/>
      <c r="M19" s="37"/>
      <c r="N19" s="34">
        <f>D7</f>
        <v>74445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89145</v>
      </c>
      <c r="V19" s="157">
        <f>(B7+D10+D11+D12+D13+D16)*1.05</f>
        <v>89145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2233.35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2422.6344978462503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52.448477191780825</v>
      </c>
      <c r="I24" s="145">
        <f>H7+H12+H16</f>
        <v>20547.729330350001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3203.537689401458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E9AFA1D-DF53-4499-93C3-A2A64811A3C7}">
      <formula1>"ALAA HAMMAD,KHALED QASSEM,RAMY RAOUF,SIMON LOBO,MHAREN CLEMENTE GARADO"</formula1>
    </dataValidation>
    <dataValidation type="list" allowBlank="1" showInputMessage="1" showErrorMessage="1" sqref="M34" xr:uid="{F6AABF43-720C-4984-8F76-FD87651E7601}">
      <formula1>"Alaa Hammad,Bachir Ibrahim Mourad,Khaled Qassem,Ramy Raoof,Simon Lobo,Mharen Clemente Garado,Ranjith"</formula1>
    </dataValidation>
    <dataValidation type="list" allowBlank="1" showInputMessage="1" showErrorMessage="1" sqref="B11" xr:uid="{BDA0A70C-D4BB-4AAA-8DCE-5297FF97C99D}">
      <formula1>"FO Ceramic+ Intr&amp;Extr CeramicGold WdwTnt,FO Mirror Camera Sensor"</formula1>
    </dataValidation>
    <dataValidation type="list" allowBlank="1" showInputMessage="1" showErrorMessage="1" sqref="B12" xr:uid="{68F60167-D1DF-4F62-96A1-E753023BEC47}">
      <formula1>"FO Exterior ceramic All Cars SCOTCHGUARD,FO Mirror Camera Sensor,FO PPF Gold Package "</formula1>
    </dataValidation>
    <dataValidation type="list" allowBlank="1" showInputMessage="1" showErrorMessage="1" sqref="K20" xr:uid="{A5F68580-D5A6-43E0-AD1B-D07F1E7835B7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FEAB03E-6F03-4A25-B8C3-CF46F950E5F4}">
      <formula1>"RMC-10-40KMS,RMC-10-60KMS,RMC-10-70KMS,RMC-10-100000KMS,RMC-40-70KMS,RMC-40-100000KMS"</formula1>
    </dataValidation>
    <dataValidation type="list" allowBlank="1" showInputMessage="1" showErrorMessage="1" sqref="K24" xr:uid="{167F7E71-B9F0-4FCA-9CC3-DE9D5FF3811D}">
      <formula1>"RMC-10-70K,RMC-10-100000K,RMC-40-70K"</formula1>
    </dataValidation>
    <dataValidation type="list" allowBlank="1" showInputMessage="1" showErrorMessage="1" sqref="D5" xr:uid="{4F0A3AC8-DE88-4C14-BE48-429FA7358BC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A181F34-6C14-4BCC-8B47-356EBB3D98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27C523-D474-43F0-AA3C-969AE39A1C02}">
      <formula1>"YES,NO"</formula1>
    </dataValidation>
    <dataValidation type="list" allowBlank="1" showInputMessage="1" showErrorMessage="1" sqref="K21" xr:uid="{3862C3DC-1891-4B22-8D66-90269915637E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ADBF-7E21-451F-8148-853608AF9C4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H40</v>
      </c>
      <c r="D5" s="19" t="s">
        <v>181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10042.648865085834</v>
      </c>
      <c r="S5" s="151"/>
      <c r="U5" s="151">
        <f>L7+L14</f>
        <v>4146.2607350528478</v>
      </c>
      <c r="V5" s="151">
        <f>M7+M14</f>
        <v>2803.8365617545837</v>
      </c>
      <c r="W5" s="151">
        <f>N7+N14</f>
        <v>1970.9734378306252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3276.1458161639584</v>
      </c>
      <c r="V6" s="170">
        <f>N7+K14</f>
        <v>8084.8902975858346</v>
      </c>
      <c r="W6" s="170" t="e">
        <f>N7+J14</f>
        <v>#VALUE!</v>
      </c>
    </row>
    <row r="7" spans="1:27" ht="26.25" thickBot="1" x14ac:dyDescent="0.4">
      <c r="A7" s="6">
        <f>B8</f>
        <v>72900</v>
      </c>
      <c r="B7" s="29">
        <f>IF(L20="YES",C8*1,IF(L20="NO",B8*1))</f>
        <v>72900</v>
      </c>
      <c r="C7" s="29">
        <f>B7*5/100</f>
        <v>3645</v>
      </c>
      <c r="D7" s="168">
        <f>B7+C7</f>
        <v>76545</v>
      </c>
      <c r="E7" s="29">
        <f>D17</f>
        <v>20642.928375</v>
      </c>
      <c r="F7" s="29">
        <f>(C7)+(D10+D11+D12+D13+D16)*5/100</f>
        <v>4345</v>
      </c>
      <c r="G7" s="30">
        <f>B7+E7+F7</f>
        <v>97887.928375000003</v>
      </c>
      <c r="H7" s="29">
        <f>G7*D20</f>
        <v>19577.585675000002</v>
      </c>
      <c r="I7" s="30">
        <f>(G7-H7)</f>
        <v>78310.342700000008</v>
      </c>
      <c r="J7" s="30">
        <f>(((I7*D19)*1)+I7)/12</f>
        <v>6779.7179192525009</v>
      </c>
      <c r="K7" s="30">
        <f>(((I7*D19)*2)+I7)/24</f>
        <v>3516.7869734191668</v>
      </c>
      <c r="L7" s="30">
        <f>(((I7*D19)*3)+I7)/36</f>
        <v>2429.1433248080557</v>
      </c>
      <c r="M7" s="30">
        <f>(((I7*D19)*4)+I7)/48</f>
        <v>1885.3215005025002</v>
      </c>
      <c r="N7" s="30">
        <f>((((I7*D19)*5)+I7)/60)</f>
        <v>1559.0284059191667</v>
      </c>
      <c r="O7" s="118"/>
      <c r="P7" s="2">
        <f>H7+H16</f>
        <v>20399.844273350001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72900</v>
      </c>
      <c r="C8" s="32">
        <f>IF(L20="YES",N20,IF(L20="NO",N20))</f>
        <v>72900</v>
      </c>
      <c r="D8" s="29">
        <v>0</v>
      </c>
      <c r="E8" s="33"/>
      <c r="F8" s="188"/>
      <c r="G8" s="189"/>
      <c r="H8" s="110">
        <f>G7*20/100</f>
        <v>19577.585675000002</v>
      </c>
      <c r="I8" s="34"/>
      <c r="J8" s="34" t="s">
        <v>15</v>
      </c>
      <c r="K8" s="34">
        <f>(I7*K5+I7)/24</f>
        <v>3262.9309458333337</v>
      </c>
      <c r="L8" s="34">
        <f>(I7*L5+I7)/36</f>
        <v>2249.0295365980555</v>
      </c>
      <c r="M8" s="34">
        <f>(I7*M5+I7)/48</f>
        <v>1742.0788319804169</v>
      </c>
      <c r="N8" s="34">
        <f>(I7*N5+I7)/60</f>
        <v>1437.9084092098335</v>
      </c>
      <c r="O8" s="118">
        <v>0</v>
      </c>
      <c r="P8" s="2">
        <f>P7/12</f>
        <v>1699.9870227791669</v>
      </c>
      <c r="T8" s="1">
        <f>25973-12973</f>
        <v>13000</v>
      </c>
    </row>
    <row r="9" spans="1:27" ht="25.5" x14ac:dyDescent="0.35">
      <c r="A9" s="8">
        <f>B8/(100%-A8)</f>
        <v>91125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3046.2723310300062</v>
      </c>
      <c r="K9" s="38">
        <f>(K7*24)-I7</f>
        <v>6092.5446620599978</v>
      </c>
      <c r="L9" s="38">
        <f>(L7*36)-I7</f>
        <v>9138.816993090004</v>
      </c>
      <c r="M9" s="38">
        <f>(M7*48)-I7</f>
        <v>12185.089324119996</v>
      </c>
      <c r="N9" s="38">
        <f>(N7*60)-I7</f>
        <v>15231.361655150002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2654.7206175299943</v>
      </c>
      <c r="M10" s="41">
        <f>(M8*48)-I7</f>
        <v>5309.4412350600032</v>
      </c>
      <c r="N10" s="41">
        <f>(N8*60)-I7</f>
        <v>7964.1618525899976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18577.585675000002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92278.277999999991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1631.4654729166668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3017.9283750000004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6525.8618916666674</v>
      </c>
      <c r="L14" s="44">
        <f>(H8*L12+H8)/12</f>
        <v>1717.1174102447919</v>
      </c>
      <c r="M14" s="44">
        <f>(H8*M12+H8)/24</f>
        <v>918.51506125208346</v>
      </c>
      <c r="N14" s="165">
        <f>(H7*N12+H7)/60</f>
        <v>411.94503191145839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2317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822.25859835000017</v>
      </c>
      <c r="I16" s="33"/>
      <c r="J16" s="44" t="s">
        <v>16</v>
      </c>
      <c r="K16" s="44">
        <f>(K14*3)-H8</f>
        <v>0</v>
      </c>
      <c r="L16" s="44">
        <f>(L14*12)-H8</f>
        <v>1027.8232479375001</v>
      </c>
      <c r="M16" s="44">
        <f>(M14*24)-H8</f>
        <v>2466.7757950500018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2447</v>
      </c>
      <c r="B17" s="37"/>
      <c r="C17" s="20"/>
      <c r="D17" s="29">
        <f>SUM(D10:D16)</f>
        <v>20642.928375</v>
      </c>
      <c r="E17" s="48"/>
      <c r="F17" s="48"/>
      <c r="G17" s="54"/>
      <c r="H17" s="33">
        <f>+SUM(H12:H16)+(H7)</f>
        <v>21314.844273350001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2296.35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49.9972602739726</v>
      </c>
      <c r="K19" s="37"/>
      <c r="L19" s="37"/>
      <c r="M19" s="37"/>
      <c r="N19" s="34">
        <f>D7</f>
        <v>76545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91245</v>
      </c>
      <c r="V19" s="157">
        <f>(B7+D10+D11+D12+D13+D16)*1.05</f>
        <v>91245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2296.35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2477.5434671712501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53.637221027397267</v>
      </c>
      <c r="I24" s="145">
        <f>H7+H12+H16</f>
        <v>20999.844273350001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3276.1458161639584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F90D944-7F5A-4B22-A2D1-42DA272C8867}">
      <formula1>"ALAA HAMMAD,KHALED QASSEM,RAMY RAOUF,SIMON LOBO,MHAREN CLEMENTE GARADO"</formula1>
    </dataValidation>
    <dataValidation type="list" allowBlank="1" showInputMessage="1" showErrorMessage="1" sqref="M34" xr:uid="{B57021EF-1E99-4A63-8265-9531FDF13A8D}">
      <formula1>"Alaa Hammad,Bachir Ibrahim Mourad,Khaled Qassem,Ramy Raoof,Simon Lobo,Mharen Clemente Garado,Ranjith"</formula1>
    </dataValidation>
    <dataValidation type="list" allowBlank="1" showInputMessage="1" showErrorMessage="1" sqref="B11" xr:uid="{24D92019-4740-42A4-A081-E0A691E0E5B0}">
      <formula1>"FO Ceramic+ Intr&amp;Extr CeramicGold WdwTnt,FO Mirror Camera Sensor"</formula1>
    </dataValidation>
    <dataValidation type="list" allowBlank="1" showInputMessage="1" showErrorMessage="1" sqref="B12" xr:uid="{D4063896-597B-443E-8348-150914A8C700}">
      <formula1>"FO Exterior ceramic All Cars SCOTCHGUARD,FO Mirror Camera Sensor,FO PPF Gold Package "</formula1>
    </dataValidation>
    <dataValidation type="list" allowBlank="1" showInputMessage="1" showErrorMessage="1" sqref="K20" xr:uid="{D029433E-97A5-43D3-BBEA-C0F9216864DD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A8B8D8C-D308-4142-BE70-51CFABFF38C6}">
      <formula1>"RMC-10-40KMS,RMC-10-60KMS,RMC-10-70KMS,RMC-10-100000KMS,RMC-40-70KMS,RMC-40-100000KMS"</formula1>
    </dataValidation>
    <dataValidation type="list" allowBlank="1" showInputMessage="1" showErrorMessage="1" sqref="K24" xr:uid="{BFC3BF48-421F-4FD5-84F2-6EE3931CDFE2}">
      <formula1>"RMC-10-70K,RMC-10-100000K,RMC-40-70K"</formula1>
    </dataValidation>
    <dataValidation type="list" allowBlank="1" showInputMessage="1" showErrorMessage="1" sqref="D5" xr:uid="{3299FFC6-0105-40F8-B7FC-654D4BEF4B6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EDFF16-FFB0-4739-858E-7D9EE094E6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DA1A47-62C3-4652-A914-CC3B98A15B1E}">
      <formula1>"YES,NO"</formula1>
    </dataValidation>
    <dataValidation type="list" allowBlank="1" showInputMessage="1" showErrorMessage="1" sqref="K21" xr:uid="{80B23138-B271-4F51-B2B5-3A26C303CC7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C882-84BA-4BB9-89D7-D3FF598AC375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H44</v>
      </c>
      <c r="D5" s="19" t="s">
        <v>180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10153.934803310834</v>
      </c>
      <c r="S5" s="151"/>
      <c r="U5" s="151">
        <f>L7+L14</f>
        <v>4192.2068317674311</v>
      </c>
      <c r="V5" s="151">
        <f>M7+M14</f>
        <v>2834.9068089170833</v>
      </c>
      <c r="W5" s="151">
        <f>N7+N14</f>
        <v>1992.8144512118752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3312.4498795452087</v>
      </c>
      <c r="V6" s="170">
        <f>N7+K14</f>
        <v>8174.481660810834</v>
      </c>
      <c r="W6" s="170" t="e">
        <f>N7+J14</f>
        <v>#VALUE!</v>
      </c>
    </row>
    <row r="7" spans="1:27" ht="26.25" thickBot="1" x14ac:dyDescent="0.4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168">
        <f>B7+C7</f>
        <v>77595</v>
      </c>
      <c r="E7" s="29">
        <f>D17</f>
        <v>20677.657124999998</v>
      </c>
      <c r="F7" s="29">
        <f>(C7)+(D10+D11+D12+D13+D16)*5/100</f>
        <v>4395</v>
      </c>
      <c r="G7" s="30">
        <f>B7+E7+F7</f>
        <v>98972.657124999998</v>
      </c>
      <c r="H7" s="29">
        <f>G7*D20</f>
        <v>19794.531425000001</v>
      </c>
      <c r="I7" s="30">
        <f>(G7-H7)</f>
        <v>79178.125700000004</v>
      </c>
      <c r="J7" s="30">
        <f>(((I7*D19)*1)+I7)/12</f>
        <v>6854.8462324775001</v>
      </c>
      <c r="K7" s="30">
        <f>(((I7*D19)*2)+I7)/24</f>
        <v>3555.757661644167</v>
      </c>
      <c r="L7" s="30">
        <f>(((I7*D19)*3)+I7)/36</f>
        <v>2456.061471366389</v>
      </c>
      <c r="M7" s="30">
        <f>(((I7*D19)*4)+I7)/48</f>
        <v>1906.2133762275</v>
      </c>
      <c r="N7" s="30">
        <f>((((I7*D19)*5)+I7)/60)</f>
        <v>1576.3045191441668</v>
      </c>
      <c r="O7" s="118"/>
      <c r="P7" s="2">
        <f>H7+H16</f>
        <v>20625.901744850002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73900</v>
      </c>
      <c r="C8" s="32">
        <f>IF(L20="YES",N20,IF(L20="NO",N20))</f>
        <v>73900</v>
      </c>
      <c r="D8" s="29">
        <v>0</v>
      </c>
      <c r="E8" s="33"/>
      <c r="F8" s="188"/>
      <c r="G8" s="189"/>
      <c r="H8" s="110">
        <f>G7*20/100</f>
        <v>19794.531425000001</v>
      </c>
      <c r="I8" s="34"/>
      <c r="J8" s="34" t="s">
        <v>15</v>
      </c>
      <c r="K8" s="34">
        <f>(I7*K5+I7)/24</f>
        <v>3299.0885708333335</v>
      </c>
      <c r="L8" s="34">
        <f>(I7*L5+I7)/36</f>
        <v>2273.9517822563889</v>
      </c>
      <c r="M8" s="34">
        <f>(I7*M5+I7)/48</f>
        <v>1761.3833879679169</v>
      </c>
      <c r="N8" s="34">
        <f>(I7*N5+I7)/60</f>
        <v>1453.8423513948335</v>
      </c>
      <c r="O8" s="118">
        <v>0</v>
      </c>
      <c r="P8" s="2">
        <f>P7/12</f>
        <v>1718.8251454041667</v>
      </c>
      <c r="T8" s="1">
        <f>25973-12973</f>
        <v>13000</v>
      </c>
    </row>
    <row r="9" spans="1:27" ht="25.5" x14ac:dyDescent="0.35">
      <c r="A9" s="8">
        <f>B8/(100%-A8)</f>
        <v>92375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3080.0290897300001</v>
      </c>
      <c r="K9" s="38">
        <f>(K7*24)-I7</f>
        <v>6160.0581794600002</v>
      </c>
      <c r="L9" s="38">
        <f>(L7*36)-I7</f>
        <v>9240.0872691900004</v>
      </c>
      <c r="M9" s="38">
        <f>(M7*48)-I7</f>
        <v>12320.11635892</v>
      </c>
      <c r="N9" s="38">
        <f>(N7*60)-I7</f>
        <v>15400.145448650001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2684.1384612300026</v>
      </c>
      <c r="M10" s="41">
        <f>(M8*48)-I7</f>
        <v>5368.2769224600052</v>
      </c>
      <c r="N10" s="41">
        <f>(N8*60)-I7</f>
        <v>8052.4153836900077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18794.531425000001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93544.097999999998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1649.5442854166668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3052.6571250000002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6598.177141666667</v>
      </c>
      <c r="L14" s="44">
        <f>(H8*L12+H8)/12</f>
        <v>1736.1453604010419</v>
      </c>
      <c r="M14" s="44">
        <f>(H8*M12+H8)/24</f>
        <v>928.69343268958346</v>
      </c>
      <c r="N14" s="165">
        <f>(H7*N12+H7)/60</f>
        <v>416.50993206770835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831.3703198500001</v>
      </c>
      <c r="I16" s="33"/>
      <c r="J16" s="44" t="s">
        <v>16</v>
      </c>
      <c r="K16" s="44">
        <f>(K14*3)-H8</f>
        <v>0</v>
      </c>
      <c r="L16" s="44">
        <f>(L14*12)-H8</f>
        <v>1039.2128998125008</v>
      </c>
      <c r="M16" s="44">
        <f>(M14*24)-H8</f>
        <v>2494.110959550002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2477</v>
      </c>
      <c r="B17" s="37"/>
      <c r="C17" s="20"/>
      <c r="D17" s="29">
        <f>SUM(D10:D16)</f>
        <v>20677.657124999998</v>
      </c>
      <c r="E17" s="48"/>
      <c r="F17" s="48"/>
      <c r="G17" s="54"/>
      <c r="H17" s="33">
        <f>+SUM(H12:H16)+(H7)</f>
        <v>21540.901744850002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2327.85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50.57260273972603</v>
      </c>
      <c r="K19" s="37"/>
      <c r="L19" s="37"/>
      <c r="M19" s="37"/>
      <c r="N19" s="34">
        <f>D7</f>
        <v>77595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92295</v>
      </c>
      <c r="V19" s="157">
        <f>(B7+D10+D11+D12+D13+D16)*1.05</f>
        <v>92295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2327.85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2504.9979518337504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54.231592945205485</v>
      </c>
      <c r="I24" s="145">
        <f>H7+H12+H16</f>
        <v>21225.901744850002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3312.4498795452087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6FBF805-F2F8-44F1-92E6-9AB9A6A33215}">
      <formula1>"ALAA HAMMAD,KHALED QASSEM,RAMY RAOUF,SIMON LOBO,MHAREN CLEMENTE GARADO"</formula1>
    </dataValidation>
    <dataValidation type="list" allowBlank="1" showInputMessage="1" showErrorMessage="1" sqref="M34" xr:uid="{AE9C8C8D-475F-48A7-98BE-6E01F085C946}">
      <formula1>"Alaa Hammad,Bachir Ibrahim Mourad,Khaled Qassem,Ramy Raoof,Simon Lobo,Mharen Clemente Garado,Ranjith"</formula1>
    </dataValidation>
    <dataValidation type="list" allowBlank="1" showInputMessage="1" showErrorMessage="1" sqref="B11" xr:uid="{F9B24E08-7AB8-4FAC-8669-62E64855EC90}">
      <formula1>"FO Ceramic+ Intr&amp;Extr CeramicGold WdwTnt,FO Mirror Camera Sensor"</formula1>
    </dataValidation>
    <dataValidation type="list" allowBlank="1" showInputMessage="1" showErrorMessage="1" sqref="B12" xr:uid="{AB291D88-D636-4D23-88B4-807D8588AABB}">
      <formula1>"FO Exterior ceramic All Cars SCOTCHGUARD,FO Mirror Camera Sensor,FO PPF Gold Package "</formula1>
    </dataValidation>
    <dataValidation type="list" allowBlank="1" showInputMessage="1" showErrorMessage="1" sqref="K20" xr:uid="{D3914535-0864-4FF8-80C2-FF2BF98C18B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02511EF-0E99-4F51-95DC-4B8A14476BAD}">
      <formula1>"RMC-10-40KMS,RMC-10-60KMS,RMC-10-70KMS,RMC-10-100000KMS,RMC-40-70KMS,RMC-40-100000KMS"</formula1>
    </dataValidation>
    <dataValidation type="list" allowBlank="1" showInputMessage="1" showErrorMessage="1" sqref="K24" xr:uid="{A59686D5-8B3A-4C97-AF3D-7764B36AABED}">
      <formula1>"RMC-10-70K,RMC-10-100000K,RMC-40-70K"</formula1>
    </dataValidation>
    <dataValidation type="list" allowBlank="1" showInputMessage="1" showErrorMessage="1" sqref="D5" xr:uid="{F638BFBC-7B74-46AF-AD06-FBF3A7A7EE8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706FF59-62B9-4D59-B61A-D514FD051CE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7758519-20C9-4D12-8F0A-9BFCAB8349EA}">
      <formula1>"YES,NO"</formula1>
    </dataValidation>
    <dataValidation type="list" allowBlank="1" showInputMessage="1" showErrorMessage="1" sqref="K21" xr:uid="{5471A594-F2C6-4E0F-A4E9-0DAC7FB174F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85EC-7FCC-4F64-AC65-FA14FB7A5E8F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H42</v>
      </c>
      <c r="D5" s="19" t="s">
        <v>179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10265.220741535835</v>
      </c>
      <c r="S5" s="151"/>
      <c r="U5" s="151">
        <f>L7+L14</f>
        <v>4238.1529284820144</v>
      </c>
      <c r="V5" s="151">
        <f>M7+M14</f>
        <v>2865.9770560795837</v>
      </c>
      <c r="W5" s="151">
        <f>N7+N14</f>
        <v>2014.6554645931251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3348.7539429264589</v>
      </c>
      <c r="V6" s="170">
        <f>N7+K14</f>
        <v>8264.0730240358334</v>
      </c>
      <c r="W6" s="170" t="e">
        <f>N7+J14</f>
        <v>#VALUE!</v>
      </c>
    </row>
    <row r="7" spans="1:27" ht="26.25" thickBot="1" x14ac:dyDescent="0.4">
      <c r="A7" s="6">
        <f>B8</f>
        <v>74900</v>
      </c>
      <c r="B7" s="29">
        <f>IF(L20="YES",C8*1,IF(L20="NO",B8*1))</f>
        <v>74900</v>
      </c>
      <c r="C7" s="29">
        <f>B7*5/100</f>
        <v>3745</v>
      </c>
      <c r="D7" s="168">
        <f>B7+C7</f>
        <v>78645</v>
      </c>
      <c r="E7" s="29">
        <f>D17</f>
        <v>20712.385875</v>
      </c>
      <c r="F7" s="29">
        <f>(C7)+(D10+D11+D12+D13+D16)*5/100</f>
        <v>4445</v>
      </c>
      <c r="G7" s="30">
        <f>B7+E7+F7</f>
        <v>100057.38587500001</v>
      </c>
      <c r="H7" s="29">
        <f>G7*D20</f>
        <v>20011.477175000004</v>
      </c>
      <c r="I7" s="30">
        <f>(G7-H7)</f>
        <v>80045.9087</v>
      </c>
      <c r="J7" s="30">
        <f>(((I7*D19)*1)+I7)/12</f>
        <v>6929.9745457024992</v>
      </c>
      <c r="K7" s="30">
        <f>(((I7*D19)*2)+I7)/24</f>
        <v>3594.7283498691668</v>
      </c>
      <c r="L7" s="30">
        <f>(((I7*D19)*3)+I7)/36</f>
        <v>2482.9796179247223</v>
      </c>
      <c r="M7" s="30">
        <f>(((I7*D19)*4)+I7)/48</f>
        <v>1927.1052519525001</v>
      </c>
      <c r="N7" s="30">
        <f>((((I7*D19)*5)+I7)/60)</f>
        <v>1593.5806323691666</v>
      </c>
      <c r="O7" s="118"/>
      <c r="P7" s="2">
        <f>H7+H16</f>
        <v>20851.959216350002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74900</v>
      </c>
      <c r="C8" s="32">
        <f>IF(L20="YES",N20,IF(L20="NO",N20))</f>
        <v>74900</v>
      </c>
      <c r="D8" s="29">
        <v>0</v>
      </c>
      <c r="E8" s="33"/>
      <c r="F8" s="188"/>
      <c r="G8" s="189"/>
      <c r="H8" s="110">
        <f>G7*20/100</f>
        <v>20011.477175000004</v>
      </c>
      <c r="I8" s="34"/>
      <c r="J8" s="34" t="s">
        <v>15</v>
      </c>
      <c r="K8" s="34">
        <f>(I7*K5+I7)/24</f>
        <v>3335.2461958333333</v>
      </c>
      <c r="L8" s="34">
        <f>(I7*L5+I7)/36</f>
        <v>2298.8740279147223</v>
      </c>
      <c r="M8" s="34">
        <f>(I7*M5+I7)/48</f>
        <v>1780.6879439554166</v>
      </c>
      <c r="N8" s="34">
        <f>(I7*N5+I7)/60</f>
        <v>1469.7762935798335</v>
      </c>
      <c r="O8" s="118">
        <v>0</v>
      </c>
      <c r="P8" s="2">
        <f>P7/12</f>
        <v>1737.6632680291668</v>
      </c>
      <c r="T8" s="1">
        <f>25973-12973</f>
        <v>13000</v>
      </c>
    </row>
    <row r="9" spans="1:27" ht="25.5" x14ac:dyDescent="0.35">
      <c r="A9" s="8">
        <f>B8/(100%-A8)</f>
        <v>93625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3113.7858484299941</v>
      </c>
      <c r="K9" s="38">
        <f>(K7*24)-I7</f>
        <v>6227.5716968600027</v>
      </c>
      <c r="L9" s="38">
        <f>(L7*36)-I7</f>
        <v>9341.3575452899968</v>
      </c>
      <c r="M9" s="38">
        <f>(M7*48)-I7</f>
        <v>12455.143393720005</v>
      </c>
      <c r="N9" s="38">
        <f>(N7*60)-I7</f>
        <v>15568.929242149999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2713.5563049300108</v>
      </c>
      <c r="M10" s="41">
        <f>(M8*48)-I7</f>
        <v>5427.1126098599925</v>
      </c>
      <c r="N10" s="41">
        <f>(N8*60)-I7</f>
        <v>8140.6689147900033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19011.477175000004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94809.917999999991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1667.6230979166669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3087.3858750000004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6670.4923916666676</v>
      </c>
      <c r="L14" s="44">
        <f>(H8*L12+H8)/12</f>
        <v>1755.1733105572921</v>
      </c>
      <c r="M14" s="44">
        <f>(H8*M12+H8)/24</f>
        <v>938.87180412708346</v>
      </c>
      <c r="N14" s="165">
        <f>(H7*N12+H7)/60</f>
        <v>421.07483222395842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2377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840.48204135000003</v>
      </c>
      <c r="I16" s="33"/>
      <c r="J16" s="44" t="s">
        <v>16</v>
      </c>
      <c r="K16" s="44">
        <f>(K14*3)-H8</f>
        <v>0</v>
      </c>
      <c r="L16" s="44">
        <f>(L14*12)-H8</f>
        <v>1050.6025516875015</v>
      </c>
      <c r="M16" s="44">
        <f>(M14*24)-H8</f>
        <v>2521.4461240499986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2507</v>
      </c>
      <c r="B17" s="37"/>
      <c r="C17" s="20"/>
      <c r="D17" s="29">
        <f>SUM(D10:D16)</f>
        <v>20712.385875</v>
      </c>
      <c r="E17" s="48"/>
      <c r="F17" s="48"/>
      <c r="G17" s="54"/>
      <c r="H17" s="33">
        <f>+SUM(H12:H16)+(H7)</f>
        <v>21766.959216350006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2359.35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51.147945205479452</v>
      </c>
      <c r="K19" s="37"/>
      <c r="L19" s="37"/>
      <c r="M19" s="37"/>
      <c r="N19" s="34">
        <f>D7</f>
        <v>78645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93345</v>
      </c>
      <c r="V19" s="157">
        <f>(B7+D10+D11+D12+D13+D16)*1.05</f>
        <v>93345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2359.35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2532.4524364962499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54.825964863013709</v>
      </c>
      <c r="I24" s="145">
        <f>H7+H12+H16</f>
        <v>21451.959216350002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3348.7539429264589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89DAFEBD-B04D-4818-8548-7D945B482BC8}">
      <formula1>"ALAA HAMMAD,KHALED QASSEM,RAMY RAOUF,SIMON LOBO,MHAREN CLEMENTE GARADO"</formula1>
    </dataValidation>
    <dataValidation type="list" allowBlank="1" showInputMessage="1" showErrorMessage="1" sqref="M34" xr:uid="{342C670D-AD35-4C68-A23C-C4530D321DBC}">
      <formula1>"Alaa Hammad,Bachir Ibrahim Mourad,Khaled Qassem,Ramy Raoof,Simon Lobo,Mharen Clemente Garado,Ranjith"</formula1>
    </dataValidation>
    <dataValidation type="list" allowBlank="1" showInputMessage="1" showErrorMessage="1" sqref="B11" xr:uid="{623AE1FC-75EB-42DB-A36D-82F968CC7A84}">
      <formula1>"FO Ceramic+ Intr&amp;Extr CeramicGold WdwTnt,FO Mirror Camera Sensor"</formula1>
    </dataValidation>
    <dataValidation type="list" allowBlank="1" showInputMessage="1" showErrorMessage="1" sqref="B12" xr:uid="{F45AFFBE-8A4C-45D7-A6F8-51EA9CA82755}">
      <formula1>"FO Exterior ceramic All Cars SCOTCHGUARD,FO Mirror Camera Sensor,FO PPF Gold Package "</formula1>
    </dataValidation>
    <dataValidation type="list" allowBlank="1" showInputMessage="1" showErrorMessage="1" sqref="K20" xr:uid="{2FEA0948-9605-41B5-A441-EACA9B4C5A4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6B16661-FCDA-4998-923B-E6C09088EBC3}">
      <formula1>"RMC-10-40KMS,RMC-10-60KMS,RMC-10-70KMS,RMC-10-100000KMS,RMC-40-70KMS,RMC-40-100000KMS"</formula1>
    </dataValidation>
    <dataValidation type="list" allowBlank="1" showInputMessage="1" showErrorMessage="1" sqref="K24" xr:uid="{375DD358-E0FD-4D8F-9529-3DE0D18EDBCB}">
      <formula1>"RMC-10-70K,RMC-10-100000K,RMC-40-70K"</formula1>
    </dataValidation>
    <dataValidation type="list" allowBlank="1" showInputMessage="1" showErrorMessage="1" sqref="D5" xr:uid="{B707C068-6E76-405F-91BE-3FC44375EBA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73B8230-8D31-4AB7-975C-08DD3A483ED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856479-1E19-479D-9C2D-EAD639F36F82}">
      <formula1>"YES,NO"</formula1>
    </dataValidation>
    <dataValidation type="list" allowBlank="1" showInputMessage="1" showErrorMessage="1" sqref="K21" xr:uid="{15BADF90-EFA8-4925-8200-276151BF9E55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521C-2062-46B9-B2AC-F780485F71B4}">
  <sheetPr>
    <pageSetUpPr fitToPage="1"/>
  </sheetPr>
  <dimension ref="A1:AA54"/>
  <sheetViews>
    <sheetView tabSelected="1" topLeftCell="B1" zoomScaleNormal="100" workbookViewId="0">
      <selection activeCell="C17" sqref="C17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H48</v>
      </c>
      <c r="D5" s="19" t="s">
        <v>178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9486.2191739608334</v>
      </c>
      <c r="S5" s="151"/>
      <c r="U5" s="151">
        <f>L7+L14</f>
        <v>3916.5302514799305</v>
      </c>
      <c r="V5" s="151">
        <f>M7+M14</f>
        <v>2648.4853259420834</v>
      </c>
      <c r="W5" s="151">
        <f>N7+N14</f>
        <v>1861.7683709243752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3094.6254992577087</v>
      </c>
      <c r="V6" s="170">
        <f>N7+K14</f>
        <v>7636.9334814608337</v>
      </c>
      <c r="W6" s="170" t="e">
        <f>N7+J14</f>
        <v>#VALUE!</v>
      </c>
    </row>
    <row r="7" spans="1:27" ht="26.25" thickBot="1" x14ac:dyDescent="0.4">
      <c r="A7" s="6">
        <f>B8</f>
        <v>67900</v>
      </c>
      <c r="B7" s="29">
        <f>IF(L20="YES",C8*1,IF(L20="NO",B8*1))</f>
        <v>67900</v>
      </c>
      <c r="C7" s="29">
        <f>B7*5/100</f>
        <v>3395</v>
      </c>
      <c r="D7" s="168">
        <f>B7+C7</f>
        <v>71295</v>
      </c>
      <c r="E7" s="29">
        <f>D17</f>
        <v>20469.284625</v>
      </c>
      <c r="F7" s="29">
        <f>(C7)+(D10+D11+D12+D13+D16)*5/100</f>
        <v>4095</v>
      </c>
      <c r="G7" s="30">
        <f>B7+E7+F7</f>
        <v>92464.284625</v>
      </c>
      <c r="H7" s="29">
        <f>G7*D20</f>
        <v>18492.856925</v>
      </c>
      <c r="I7" s="30">
        <f>(G7-H7)</f>
        <v>73971.4277</v>
      </c>
      <c r="J7" s="30">
        <f>(((I7*D19)*1)+I7)/12</f>
        <v>6404.0763531275006</v>
      </c>
      <c r="K7" s="30">
        <f>(((I7*D19)*2)+I7)/24</f>
        <v>3321.9335322941665</v>
      </c>
      <c r="L7" s="30">
        <f>(((I7*D19)*3)+I7)/36</f>
        <v>2294.5525920163891</v>
      </c>
      <c r="M7" s="30">
        <f>(((I7*D19)*4)+I7)/48</f>
        <v>1780.8621218774999</v>
      </c>
      <c r="N7" s="30">
        <f>((((I7*D19)*5)+I7)/60)</f>
        <v>1472.6478397941669</v>
      </c>
      <c r="O7" s="118"/>
      <c r="P7" s="2">
        <f>H7+H16</f>
        <v>19269.55691585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67900</v>
      </c>
      <c r="C8" s="32">
        <f>IF(L20="YES",N20,IF(L20="NO",N20))</f>
        <v>67900</v>
      </c>
      <c r="D8" s="29">
        <v>0</v>
      </c>
      <c r="E8" s="33"/>
      <c r="F8" s="188"/>
      <c r="G8" s="189"/>
      <c r="H8" s="110">
        <f>G7*20/100</f>
        <v>18492.856925</v>
      </c>
      <c r="I8" s="34"/>
      <c r="J8" s="34" t="s">
        <v>15</v>
      </c>
      <c r="K8" s="34">
        <f>(I7*K5+I7)/24</f>
        <v>3082.1428208333332</v>
      </c>
      <c r="L8" s="34">
        <f>(I7*L5+I7)/36</f>
        <v>2124.418308306389</v>
      </c>
      <c r="M8" s="34">
        <f>(I7*M5+I7)/48</f>
        <v>1645.5560520429165</v>
      </c>
      <c r="N8" s="34">
        <f>(I7*N5+I7)/60</f>
        <v>1358.2386982848334</v>
      </c>
      <c r="O8" s="118">
        <v>0</v>
      </c>
      <c r="P8" s="2">
        <f>P7/12</f>
        <v>1605.7964096541666</v>
      </c>
      <c r="T8" s="1">
        <f>25973-12973</f>
        <v>13000</v>
      </c>
    </row>
    <row r="9" spans="1:27" ht="25.5" x14ac:dyDescent="0.35">
      <c r="A9" s="8">
        <f>B8/(100%-A8)</f>
        <v>84875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2877.4885375300073</v>
      </c>
      <c r="K9" s="38">
        <f>(K7*24)-I7</f>
        <v>5754.9770750600001</v>
      </c>
      <c r="L9" s="38">
        <f>(L7*36)-I7</f>
        <v>8632.4656125900074</v>
      </c>
      <c r="M9" s="38">
        <f>(M7*48)-I7</f>
        <v>11509.95415012</v>
      </c>
      <c r="N9" s="38">
        <f>(N7*60)-I7</f>
        <v>14387.442687650007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2507.6313990300114</v>
      </c>
      <c r="M10" s="41">
        <f>(M8*48)-I7</f>
        <v>5015.2627980599937</v>
      </c>
      <c r="N10" s="41">
        <f>(N8*60)-I7</f>
        <v>7522.894197090005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17492.856925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85949.178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1541.0714104166666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2844.2846250000002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6164.2856416666664</v>
      </c>
      <c r="L14" s="44">
        <f>(H8*L12+H8)/12</f>
        <v>1621.9776594635416</v>
      </c>
      <c r="M14" s="44">
        <f>(H8*M12+H8)/24</f>
        <v>867.62320406458332</v>
      </c>
      <c r="N14" s="165">
        <f>(H7*N12+H7)/60</f>
        <v>389.12053113020835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2167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776.69999085000006</v>
      </c>
      <c r="I16" s="33"/>
      <c r="J16" s="44" t="s">
        <v>16</v>
      </c>
      <c r="K16" s="44">
        <f>(K14*3)-H8</f>
        <v>0</v>
      </c>
      <c r="L16" s="44">
        <f>(L14*12)-H8</f>
        <v>970.87498856250022</v>
      </c>
      <c r="M16" s="44">
        <f>(M14*24)-H8</f>
        <v>2330.0999725500005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2297</v>
      </c>
      <c r="B17" s="37"/>
      <c r="C17" s="20"/>
      <c r="D17" s="29">
        <f>SUM(D10:D16)</f>
        <v>20469.284625</v>
      </c>
      <c r="E17" s="48"/>
      <c r="F17" s="48"/>
      <c r="G17" s="54"/>
      <c r="H17" s="33">
        <f>+SUM(H12:H16)+(H7)</f>
        <v>20184.55691585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2138.85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47.12054794520548</v>
      </c>
      <c r="K19" s="37"/>
      <c r="L19" s="37"/>
      <c r="M19" s="37"/>
      <c r="N19" s="34">
        <f>D7</f>
        <v>71295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85995</v>
      </c>
      <c r="V19" s="157">
        <f>(B7+D10+D11+D12+D13+D16)*1.05</f>
        <v>85995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67900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2138.85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2340.2710438587501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50.665361438356165</v>
      </c>
      <c r="I24" s="145">
        <f>H7+H12+H16</f>
        <v>19869.55691585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3094.6254992577087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EFD455B-45F2-45E3-967C-CAFFA1FB2378}">
      <formula1>"ALAA HAMMAD,KHALED QASSEM,RAMY RAOUF,SIMON LOBO,MHAREN CLEMENTE GARADO"</formula1>
    </dataValidation>
    <dataValidation type="list" allowBlank="1" showInputMessage="1" showErrorMessage="1" sqref="M34" xr:uid="{C4414CE2-3F67-438A-970F-996645E74C25}">
      <formula1>"Alaa Hammad,Bachir Ibrahim Mourad,Khaled Qassem,Ramy Raoof,Simon Lobo,Mharen Clemente Garado,Ranjith"</formula1>
    </dataValidation>
    <dataValidation type="list" allowBlank="1" showInputMessage="1" showErrorMessage="1" sqref="B11" xr:uid="{CD4F09D7-9994-43C5-A86F-9F05FB8C6945}">
      <formula1>"FO Ceramic+ Intr&amp;Extr CeramicGold WdwTnt,FO Mirror Camera Sensor"</formula1>
    </dataValidation>
    <dataValidation type="list" allowBlank="1" showInputMessage="1" showErrorMessage="1" sqref="B12" xr:uid="{AE8873FD-D6CB-4A17-A867-56C537B1DB8D}">
      <formula1>"FO Exterior ceramic All Cars SCOTCHGUARD,FO Mirror Camera Sensor,FO PPF Gold Package "</formula1>
    </dataValidation>
    <dataValidation type="list" allowBlank="1" showInputMessage="1" showErrorMessage="1" sqref="K20" xr:uid="{4BF82802-D579-4B5B-AA84-FB6F7DE4355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4792EBC-3A39-45BB-B2CF-664A3333142C}">
      <formula1>"RMC-10-40KMS,RMC-10-60KMS,RMC-10-70KMS,RMC-10-100000KMS,RMC-40-70KMS,RMC-40-100000KMS"</formula1>
    </dataValidation>
    <dataValidation type="list" allowBlank="1" showInputMessage="1" showErrorMessage="1" sqref="K24" xr:uid="{9CA09C36-65F0-4D77-9DE0-F41634A14320}">
      <formula1>"RMC-10-70K,RMC-10-100000K,RMC-40-70K"</formula1>
    </dataValidation>
    <dataValidation type="list" allowBlank="1" showInputMessage="1" showErrorMessage="1" sqref="D5" xr:uid="{2361156B-700D-4296-A1EC-661B01FF19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3B74109-B76B-4C03-AD6F-64016A4A653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9153589-C801-46E3-AFE3-CC34192D427E}">
      <formula1>"YES,NO"</formula1>
    </dataValidation>
    <dataValidation type="list" allowBlank="1" showInputMessage="1" showErrorMessage="1" sqref="K21" xr:uid="{1B5756AD-3D9F-4421-87F8-4CB844A9807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C595-BE8B-4232-97BF-74A67870667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H45</v>
      </c>
      <c r="D5" s="19" t="s">
        <v>177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10821.650432660832</v>
      </c>
      <c r="S5" s="151"/>
      <c r="U5" s="151">
        <f>L7+L14</f>
        <v>4467.88341205493</v>
      </c>
      <c r="V5" s="151">
        <f>M7+M14</f>
        <v>3021.3282918920831</v>
      </c>
      <c r="W5" s="151">
        <f>N7+N14</f>
        <v>2123.8605314993752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3530.2742598327086</v>
      </c>
      <c r="V6" s="170">
        <f>N7+K14</f>
        <v>8712.0298401608325</v>
      </c>
      <c r="W6" s="170" t="e">
        <f>N7+J14</f>
        <v>#VALUE!</v>
      </c>
    </row>
    <row r="7" spans="1:27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168">
        <f>B7+C7</f>
        <v>83895</v>
      </c>
      <c r="E7" s="29">
        <f>D17</f>
        <v>20886.029624999999</v>
      </c>
      <c r="F7" s="29">
        <f>(C7)+(D10+D11+D12+D13+D16)*5/100</f>
        <v>4695</v>
      </c>
      <c r="G7" s="30">
        <f>B7+E7+F7</f>
        <v>105481.029625</v>
      </c>
      <c r="H7" s="29">
        <f>G7*D20</f>
        <v>21096.205925000002</v>
      </c>
      <c r="I7" s="30">
        <f>(G7-H7)</f>
        <v>84384.823699999994</v>
      </c>
      <c r="J7" s="30">
        <f>(((I7*D19)*1)+I7)/12</f>
        <v>7305.6161118275004</v>
      </c>
      <c r="K7" s="30">
        <f>(((I7*D19)*2)+I7)/24</f>
        <v>3789.5817909941666</v>
      </c>
      <c r="L7" s="30">
        <f>(((I7*D19)*3)+I7)/36</f>
        <v>2617.5703507163885</v>
      </c>
      <c r="M7" s="30">
        <f>(((I7*D19)*4)+I7)/48</f>
        <v>2031.5646305774999</v>
      </c>
      <c r="N7" s="30">
        <f>((((I7*D19)*5)+I7)/60)</f>
        <v>1679.9611984941666</v>
      </c>
      <c r="O7" s="118"/>
      <c r="P7" s="2">
        <f>H7+H16</f>
        <v>21982.246573850003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21096.205924999998</v>
      </c>
      <c r="I8" s="34"/>
      <c r="J8" s="34" t="s">
        <v>15</v>
      </c>
      <c r="K8" s="34">
        <f>(I7*K5+I7)/24</f>
        <v>3516.0343208333329</v>
      </c>
      <c r="L8" s="34">
        <f>(I7*L5+I7)/36</f>
        <v>2423.4852562063884</v>
      </c>
      <c r="M8" s="34">
        <f>(I7*M5+I7)/48</f>
        <v>1877.2107238929166</v>
      </c>
      <c r="N8" s="34">
        <f>(I7*N5+I7)/60</f>
        <v>1549.4460045048331</v>
      </c>
      <c r="O8" s="118">
        <v>0</v>
      </c>
      <c r="P8" s="2">
        <f>P7/12</f>
        <v>1831.8538811541669</v>
      </c>
      <c r="T8" s="1">
        <f>25973-12973</f>
        <v>13000</v>
      </c>
    </row>
    <row r="9" spans="1:27" ht="25.5" x14ac:dyDescent="0.35">
      <c r="A9" s="8">
        <f>B8/(100%-A8)</f>
        <v>99875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3282.5696419300075</v>
      </c>
      <c r="K9" s="38">
        <f>(K7*24)-I7</f>
        <v>6565.1392838600004</v>
      </c>
      <c r="L9" s="38">
        <f>(L7*36)-I7</f>
        <v>9847.7089257899934</v>
      </c>
      <c r="M9" s="38">
        <f>(M7*48)-I7</f>
        <v>13130.278567720001</v>
      </c>
      <c r="N9" s="38">
        <f>(N7*60)-I7</f>
        <v>16412.848209650008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2860.6455234299938</v>
      </c>
      <c r="M10" s="41">
        <f>(M8*48)-I7</f>
        <v>5721.2910468600021</v>
      </c>
      <c r="N10" s="41">
        <f>(N8*60)-I7</f>
        <v>8581.9365702899959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20096.205924999998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1758.0171604166669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3261.0296250000001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7032.0686416666658</v>
      </c>
      <c r="L14" s="44">
        <f>(H8*L12+H8)/12</f>
        <v>1850.3130613385417</v>
      </c>
      <c r="M14" s="44">
        <f>(H8*M12+H8)/24</f>
        <v>989.76366131458326</v>
      </c>
      <c r="N14" s="165">
        <f>(H7*N12+H7)/60</f>
        <v>443.89933300520835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886.04064885000003</v>
      </c>
      <c r="I16" s="33"/>
      <c r="J16" s="44" t="s">
        <v>16</v>
      </c>
      <c r="K16" s="44">
        <f>(K14*3)-H8</f>
        <v>0</v>
      </c>
      <c r="L16" s="44">
        <f>(L14*12)-H8</f>
        <v>1107.5508110625015</v>
      </c>
      <c r="M16" s="44">
        <f>(M14*24)-H8</f>
        <v>2658.1219465499998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2657</v>
      </c>
      <c r="B17" s="37"/>
      <c r="C17" s="20"/>
      <c r="D17" s="29">
        <f>SUM(D10:D16)</f>
        <v>20886.029624999999</v>
      </c>
      <c r="E17" s="48"/>
      <c r="F17" s="48"/>
      <c r="G17" s="54"/>
      <c r="H17" s="33">
        <f>+SUM(H12:H16)+(H7)</f>
        <v>22897.246573850003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54.024657534246572</v>
      </c>
      <c r="K19" s="37"/>
      <c r="L19" s="37"/>
      <c r="M19" s="37"/>
      <c r="N19" s="34">
        <f>D7</f>
        <v>83895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98595</v>
      </c>
      <c r="V19" s="157">
        <f>(B7+D10+D11+D12+D13+D16)*1.05</f>
        <v>98595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2669.7248598087499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57.797824452054797</v>
      </c>
      <c r="I24" s="145">
        <f>H7+H12+H16</f>
        <v>22582.246573850003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3530.2742598327086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F7B128A-45DB-4422-842F-FDAF84CED39A}">
      <formula1>"ALAA HAMMAD,KHALED QASSEM,RAMY RAOUF,SIMON LOBO,MHAREN CLEMENTE GARADO"</formula1>
    </dataValidation>
    <dataValidation type="list" allowBlank="1" showInputMessage="1" showErrorMessage="1" sqref="M34" xr:uid="{0CC476CC-4C35-4244-94E3-60D710CF8638}">
      <formula1>"Alaa Hammad,Bachir Ibrahim Mourad,Khaled Qassem,Ramy Raoof,Simon Lobo,Mharen Clemente Garado,Ranjith"</formula1>
    </dataValidation>
    <dataValidation type="list" allowBlank="1" showInputMessage="1" showErrorMessage="1" sqref="B11" xr:uid="{006022C0-A9D9-4F54-9587-D3F90DAD0B6A}">
      <formula1>"FO Ceramic+ Intr&amp;Extr CeramicGold WdwTnt,FO Mirror Camera Sensor"</formula1>
    </dataValidation>
    <dataValidation type="list" allowBlank="1" showInputMessage="1" showErrorMessage="1" sqref="B12" xr:uid="{81C7449B-20A2-4619-B39B-B690E9581CF9}">
      <formula1>"FO Exterior ceramic All Cars SCOTCHGUARD,FO Mirror Camera Sensor,FO PPF Gold Package "</formula1>
    </dataValidation>
    <dataValidation type="list" allowBlank="1" showInputMessage="1" showErrorMessage="1" sqref="K20" xr:uid="{B1217E6F-7394-4050-8DCC-CD2EF8FC2DC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8C36F23-B568-4D4A-B4C8-146580C0C5F2}">
      <formula1>"RMC-10-40KMS,RMC-10-60KMS,RMC-10-70KMS,RMC-10-100000KMS,RMC-40-70KMS,RMC-40-100000KMS"</formula1>
    </dataValidation>
    <dataValidation type="list" allowBlank="1" showInputMessage="1" showErrorMessage="1" sqref="K24" xr:uid="{131ACF93-459C-42C5-9D55-5FD401190E85}">
      <formula1>"RMC-10-70K,RMC-10-100000K,RMC-40-70K"</formula1>
    </dataValidation>
    <dataValidation type="list" allowBlank="1" showInputMessage="1" showErrorMessage="1" sqref="D5" xr:uid="{71AD0552-1E33-487D-807F-03D4CEE123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0A4F82B1-A4A9-4520-B351-85A293ADE49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D047E20-8C3C-495B-97A6-303AD8E124CA}">
      <formula1>"YES,NO"</formula1>
    </dataValidation>
    <dataValidation type="list" allowBlank="1" showInputMessage="1" showErrorMessage="1" sqref="K21" xr:uid="{A20DCDAE-FE70-4309-9862-2131C5E05B7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0876-3A23-4D68-801C-76DE636C3D2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H38</v>
      </c>
      <c r="D5" s="19" t="s">
        <v>176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11578.394812590834</v>
      </c>
      <c r="S5" s="151"/>
      <c r="U5" s="151">
        <f>L7+L14</f>
        <v>4780.3168697140973</v>
      </c>
      <c r="V5" s="151">
        <f>M7+M14</f>
        <v>3232.6059725970836</v>
      </c>
      <c r="W5" s="151">
        <f>N7+N14</f>
        <v>2272.3794224918752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3777.1418908252085</v>
      </c>
      <c r="V6" s="170">
        <f>N7+K14</f>
        <v>9321.2511100908341</v>
      </c>
      <c r="W6" s="170" t="e">
        <f>N7+J14</f>
        <v>#VALUE!</v>
      </c>
    </row>
    <row r="7" spans="1:27" ht="26.25" thickBot="1" x14ac:dyDescent="0.4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168">
        <f>B7+C7</f>
        <v>91245</v>
      </c>
      <c r="E7" s="29">
        <f>D17</f>
        <v>20922.185125</v>
      </c>
      <c r="F7" s="29">
        <f>(C7)+(D10+D11+D12+D13+D16)*5/100</f>
        <v>5035</v>
      </c>
      <c r="G7" s="30">
        <f>B7+E7+F7</f>
        <v>112857.185125</v>
      </c>
      <c r="H7" s="29">
        <f>G7*D20</f>
        <v>22571.437025000003</v>
      </c>
      <c r="I7" s="30">
        <f>(G7-H7)</f>
        <v>90285.748099999997</v>
      </c>
      <c r="J7" s="30">
        <f>(((I7*D19)*1)+I7)/12</f>
        <v>7816.4886417574999</v>
      </c>
      <c r="K7" s="30">
        <f>(((I7*D19)*2)+I7)/24</f>
        <v>4054.5824709241665</v>
      </c>
      <c r="L7" s="30">
        <f>(((I7*D19)*3)+I7)/36</f>
        <v>2800.6137473130557</v>
      </c>
      <c r="M7" s="30">
        <f>(((I7*D19)*4)+I7)/48</f>
        <v>2173.6293855075</v>
      </c>
      <c r="N7" s="30">
        <f>((((I7*D19)*5)+I7)/60)</f>
        <v>1797.4387684241667</v>
      </c>
      <c r="O7" s="118"/>
      <c r="P7" s="2">
        <f>H7+H16</f>
        <v>23519.437380050003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86900</v>
      </c>
      <c r="C8" s="32">
        <f>IF(L20="YES",N20,IF(L20="NO",N20))</f>
        <v>86900</v>
      </c>
      <c r="D8" s="29">
        <v>0</v>
      </c>
      <c r="E8" s="33"/>
      <c r="F8" s="188"/>
      <c r="G8" s="189"/>
      <c r="H8" s="110">
        <f>G7*20/100</f>
        <v>22571.437025000003</v>
      </c>
      <c r="I8" s="34"/>
      <c r="J8" s="34" t="s">
        <v>15</v>
      </c>
      <c r="K8" s="34">
        <f>(I7*K5+I7)/24</f>
        <v>3761.9061708333334</v>
      </c>
      <c r="L8" s="34">
        <f>(I7*L5+I7)/36</f>
        <v>2592.9565266830555</v>
      </c>
      <c r="M8" s="34">
        <f>(I7*M5+I7)/48</f>
        <v>2008.4817046079168</v>
      </c>
      <c r="N8" s="34">
        <f>(I7*N5+I7)/60</f>
        <v>1657.7968113628333</v>
      </c>
      <c r="O8" s="118">
        <v>0</v>
      </c>
      <c r="P8" s="2">
        <f>P7/12</f>
        <v>1959.9531150041669</v>
      </c>
      <c r="T8" s="1">
        <f>25973-12973</f>
        <v>13000</v>
      </c>
    </row>
    <row r="9" spans="1:27" ht="25.5" x14ac:dyDescent="0.35">
      <c r="A9" s="8">
        <f>B8/(100%-A8)</f>
        <v>108625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3512.1156010900013</v>
      </c>
      <c r="K9" s="38">
        <f>(K7*24)-I7</f>
        <v>7024.2312021800026</v>
      </c>
      <c r="L9" s="38">
        <f>(L7*36)-I7</f>
        <v>10536.346803270004</v>
      </c>
      <c r="M9" s="38">
        <f>(M7*48)-I7</f>
        <v>14048.462404360005</v>
      </c>
      <c r="N9" s="38">
        <f>(N7*60)-I7</f>
        <v>17560.578005450006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3060.6868605899945</v>
      </c>
      <c r="M10" s="41">
        <f>(M8*48)-I7</f>
        <v>6121.3737211800035</v>
      </c>
      <c r="N10" s="41">
        <f>(N8*60)-I7</f>
        <v>9182.060581769998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21571.437025000003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109999.758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1880.9530854166669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3497.185125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7523.8123416666676</v>
      </c>
      <c r="L14" s="44">
        <f>(H8*L12+H8)/12</f>
        <v>1979.7031224010418</v>
      </c>
      <c r="M14" s="44">
        <f>(H8*M12+H8)/24</f>
        <v>1058.9765870895835</v>
      </c>
      <c r="N14" s="165">
        <f>(H7*N12+H7)/60</f>
        <v>474.94065406770841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2737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948.00035505000005</v>
      </c>
      <c r="I16" s="33"/>
      <c r="J16" s="44" t="s">
        <v>16</v>
      </c>
      <c r="K16" s="44">
        <f>(K14*3)-H8</f>
        <v>0</v>
      </c>
      <c r="L16" s="44">
        <f>(L14*12)-H8</f>
        <v>1185.0004438124997</v>
      </c>
      <c r="M16" s="44">
        <f>(M14*24)-H8</f>
        <v>2844.0010651500015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2867</v>
      </c>
      <c r="B17" s="37"/>
      <c r="C17" s="20"/>
      <c r="D17" s="29">
        <f>SUM(D10:D16)</f>
        <v>20922.185125</v>
      </c>
      <c r="E17" s="48"/>
      <c r="F17" s="48"/>
      <c r="G17" s="54"/>
      <c r="H17" s="33">
        <f>+SUM(H12:H16)+(H7)</f>
        <v>24434.437380050003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2737.35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57.936986301369863</v>
      </c>
      <c r="K19" s="37"/>
      <c r="L19" s="37"/>
      <c r="M19" s="37"/>
      <c r="N19" s="34">
        <f>D7</f>
        <v>91245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105735</v>
      </c>
      <c r="V19" s="157">
        <f>(B7+D10+D11+D12+D13+D16)*1.05</f>
        <v>105735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2737.35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2856.41535551375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61.839553493150696</v>
      </c>
      <c r="I24" s="145">
        <f>H7+H12+H16</f>
        <v>24119.437380050003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3777.1418908252085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9F224807-4423-4624-B2E7-449E4F5C380F}">
      <formula1>"ALAA HAMMAD,KHALED QASSEM,RAMY RAOUF,SIMON LOBO,MHAREN CLEMENTE GARADO"</formula1>
    </dataValidation>
    <dataValidation type="list" allowBlank="1" showInputMessage="1" showErrorMessage="1" sqref="M34" xr:uid="{30E264D6-D607-4C4E-B14B-75FBC244D005}">
      <formula1>"Alaa Hammad,Bachir Ibrahim Mourad,Khaled Qassem,Ramy Raoof,Simon Lobo,Mharen Clemente Garado,Ranjith"</formula1>
    </dataValidation>
    <dataValidation type="list" allowBlank="1" showInputMessage="1" showErrorMessage="1" sqref="B11" xr:uid="{2A26317B-1C8D-4B08-A80D-4995B919B8C9}">
      <formula1>"FO Ceramic+ Intr&amp;Extr CeramicGold WdwTnt,FO Mirror Camera Sensor"</formula1>
    </dataValidation>
    <dataValidation type="list" allowBlank="1" showInputMessage="1" showErrorMessage="1" sqref="B12" xr:uid="{AB455B79-FF8D-487A-8EDA-EC437844F21A}">
      <formula1>"FO Exterior ceramic All Cars SCOTCHGUARD,FO Mirror Camera Sensor,FO PPF Gold Package "</formula1>
    </dataValidation>
    <dataValidation type="list" allowBlank="1" showInputMessage="1" showErrorMessage="1" sqref="K20" xr:uid="{E60A4FAA-6F9B-4044-B9CD-E261CAD6F2A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FFC7300-AEB3-4743-82A7-6D260475EDEC}">
      <formula1>"RMC-10-40KMS,RMC-10-60KMS,RMC-10-70KMS,RMC-10-100000KMS,RMC-40-70KMS,RMC-40-100000KMS"</formula1>
    </dataValidation>
    <dataValidation type="list" allowBlank="1" showInputMessage="1" showErrorMessage="1" sqref="K24" xr:uid="{AA09AC16-52DD-4FFA-A53C-4C28AE4E3726}">
      <formula1>"RMC-10-70K,RMC-10-100000K,RMC-40-70K"</formula1>
    </dataValidation>
    <dataValidation type="list" allowBlank="1" showInputMessage="1" showErrorMessage="1" sqref="D5" xr:uid="{D2E7A61B-4AA7-4BBA-99BF-F3B2C157ECF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9F05D589-3124-4094-A5D9-94315CE135F8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8821491F-855B-403A-8224-C3C16174FB02}">
      <formula1>"YES,NO"</formula1>
    </dataValidation>
    <dataValidation type="list" allowBlank="1" showInputMessage="1" showErrorMessage="1" sqref="K21" xr:uid="{82FD7038-1FCB-4C2B-8D4F-9797B2D6D23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4A92-6A6E-405A-993C-67E303A1B4C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HLP</v>
      </c>
      <c r="D5" s="19" t="s">
        <v>175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12199.467357577501</v>
      </c>
      <c r="S5" s="151"/>
      <c r="U5" s="151">
        <f>L7+L14</f>
        <v>5036.7361413118761</v>
      </c>
      <c r="V5" s="151">
        <f>M7+M14</f>
        <v>3406.0050361837502</v>
      </c>
      <c r="W5" s="151">
        <f>N7+N14</f>
        <v>2394.2713163118756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3979.7502113118753</v>
      </c>
      <c r="V6" s="170">
        <f>N7+K14</f>
        <v>9821.2490150775011</v>
      </c>
      <c r="W6" s="170" t="e">
        <f>N7+J14</f>
        <v>#VALUE!</v>
      </c>
    </row>
    <row r="7" spans="1:27" ht="26.25" thickBot="1" x14ac:dyDescent="0.4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168">
        <f>B7+C7</f>
        <v>96495</v>
      </c>
      <c r="E7" s="29">
        <f>D17</f>
        <v>21715.917125</v>
      </c>
      <c r="F7" s="29">
        <f>(C7)+(D10+D11+D12+D13+D16)*5/100</f>
        <v>5295</v>
      </c>
      <c r="G7" s="30">
        <f>B7+E7+F7</f>
        <v>118910.91712500001</v>
      </c>
      <c r="H7" s="29">
        <f>G7*D20</f>
        <v>23782.183425000003</v>
      </c>
      <c r="I7" s="30">
        <f>(G7-H7)</f>
        <v>95128.733700000012</v>
      </c>
      <c r="J7" s="30">
        <f>(((I7*D19)*1)+I7)/12</f>
        <v>8235.7701200775009</v>
      </c>
      <c r="K7" s="30">
        <f>(((I7*D19)*2)+I7)/24</f>
        <v>4272.0728825775004</v>
      </c>
      <c r="L7" s="30">
        <f>(((I7*D19)*3)+I7)/36</f>
        <v>2950.8404700775004</v>
      </c>
      <c r="M7" s="30">
        <f>(((I7*D19)*4)+I7)/48</f>
        <v>2290.2242638275002</v>
      </c>
      <c r="N7" s="30">
        <f>((((I7*D19)*5)+I7)/60)</f>
        <v>1893.8545400775004</v>
      </c>
      <c r="O7" s="118"/>
      <c r="P7" s="2">
        <f>H7+H16</f>
        <v>24781.035128850002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91900</v>
      </c>
      <c r="C8" s="32">
        <f>IF(L20="YES",N20,IF(L20="NO",N20))</f>
        <v>91900</v>
      </c>
      <c r="D8" s="29">
        <v>0</v>
      </c>
      <c r="E8" s="33"/>
      <c r="F8" s="188"/>
      <c r="G8" s="189"/>
      <c r="H8" s="110">
        <f>G7*20/100</f>
        <v>23782.183425000003</v>
      </c>
      <c r="I8" s="34"/>
      <c r="J8" s="34" t="s">
        <v>15</v>
      </c>
      <c r="K8" s="34">
        <f>(I7*K5+I7)/24</f>
        <v>3963.6972375000005</v>
      </c>
      <c r="L8" s="34">
        <f>(I7*L5+I7)/36</f>
        <v>2732.0443825675006</v>
      </c>
      <c r="M8" s="34">
        <f>(I7*M5+I7)/48</f>
        <v>2116.21795510125</v>
      </c>
      <c r="N8" s="34">
        <f>(I7*N5+I7)/60</f>
        <v>1746.7220986215002</v>
      </c>
      <c r="O8" s="118">
        <v>0</v>
      </c>
      <c r="P8" s="2">
        <f>P7/12</f>
        <v>2065.0862607375002</v>
      </c>
      <c r="T8" s="1">
        <f>25973-12973</f>
        <v>13000</v>
      </c>
    </row>
    <row r="9" spans="1:27" ht="25.5" x14ac:dyDescent="0.35">
      <c r="A9" s="8">
        <f>B8/(100%-A8)</f>
        <v>114875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3700.5077409299993</v>
      </c>
      <c r="K9" s="38">
        <f>(K7*24)-I7</f>
        <v>7401.0154818599985</v>
      </c>
      <c r="L9" s="38">
        <f>(L7*36)-I7</f>
        <v>11101.523222789998</v>
      </c>
      <c r="M9" s="38">
        <f>(M7*48)-I7</f>
        <v>14802.030963719997</v>
      </c>
      <c r="N9" s="38">
        <f>(N7*60)-I7</f>
        <v>18502.538704650011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3224.8640724300058</v>
      </c>
      <c r="M10" s="41">
        <f>(M8*48)-I7</f>
        <v>6449.7281448599824</v>
      </c>
      <c r="N10" s="41">
        <f>(N8*60)-I7</f>
        <v>9674.5922172900027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4038.1424999999999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22782.183425000003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116328.85799999999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1981.8486187500002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3677.774625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7927.394475000001</v>
      </c>
      <c r="L14" s="44">
        <f>(H8*L12+H8)/12</f>
        <v>2085.8956712343752</v>
      </c>
      <c r="M14" s="44">
        <f>(H8*M12+H8)/24</f>
        <v>1115.7807723562501</v>
      </c>
      <c r="N14" s="165">
        <f>(H7*N12+H7)/60</f>
        <v>500.41677623437505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2887</v>
      </c>
      <c r="B15" s="37" t="s">
        <v>27</v>
      </c>
      <c r="C15" s="20" t="s">
        <v>19</v>
      </c>
      <c r="D15" s="29">
        <f>IF(C15="YES",O10,IF(C15="NO",0))</f>
        <v>4038.1424999999999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998.85170385000015</v>
      </c>
      <c r="I16" s="33"/>
      <c r="J16" s="44" t="s">
        <v>16</v>
      </c>
      <c r="K16" s="44">
        <f>(K14*3)-H8</f>
        <v>0</v>
      </c>
      <c r="L16" s="44">
        <f>(L14*12)-H8</f>
        <v>1248.5646298124993</v>
      </c>
      <c r="M16" s="44">
        <f>(M14*24)-H8</f>
        <v>2996.5551115499984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3017</v>
      </c>
      <c r="B17" s="37"/>
      <c r="C17" s="20"/>
      <c r="D17" s="29">
        <f>SUM(D10:D16)</f>
        <v>21715.917125</v>
      </c>
      <c r="E17" s="48"/>
      <c r="F17" s="48"/>
      <c r="G17" s="54"/>
      <c r="H17" s="33">
        <f>+SUM(H12:H16)+(H7)</f>
        <v>25696.035128850002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2894.85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60.92876712328767</v>
      </c>
      <c r="K19" s="37"/>
      <c r="L19" s="37"/>
      <c r="M19" s="37"/>
      <c r="N19" s="34">
        <f>D7</f>
        <v>96495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111195</v>
      </c>
      <c r="V19" s="157">
        <f>(B7+D10+D11+D12+D13+D16)*1.05</f>
        <v>111195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2894.85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3009.6353124337502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65.156666917808224</v>
      </c>
      <c r="I24" s="145">
        <f>H7+H12+H16</f>
        <v>25381.035128850002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3979.7502113118753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F04CD700-1C80-4294-977A-0ADCAAB0462D}">
      <formula1>"ALAA HAMMAD,KHALED QASSEM,RAMY RAOUF,SIMON LOBO,MHAREN CLEMENTE GARADO"</formula1>
    </dataValidation>
    <dataValidation type="list" allowBlank="1" showInputMessage="1" showErrorMessage="1" sqref="M34" xr:uid="{7EA143CA-1D63-4AC5-80F9-5B284805363E}">
      <formula1>"Alaa Hammad,Bachir Ibrahim Mourad,Khaled Qassem,Ramy Raoof,Simon Lobo,Mharen Clemente Garado,Ranjith"</formula1>
    </dataValidation>
    <dataValidation type="list" allowBlank="1" showInputMessage="1" showErrorMessage="1" sqref="B11" xr:uid="{A8BAB4E9-BCD7-4F4A-A382-F6BFB8907FF6}">
      <formula1>"FO Ceramic+ Intr&amp;Extr CeramicGold WdwTnt,FO Mirror Camera Sensor"</formula1>
    </dataValidation>
    <dataValidation type="list" allowBlank="1" showInputMessage="1" showErrorMessage="1" sqref="B12" xr:uid="{D8675AEE-1FD7-4860-BD49-BD6567A39F6E}">
      <formula1>"FO Exterior ceramic All Cars SCOTCHGUARD,FO Mirror Camera Sensor,FO PPF Gold Package "</formula1>
    </dataValidation>
    <dataValidation type="list" allowBlank="1" showInputMessage="1" showErrorMessage="1" sqref="K20" xr:uid="{E22CC3E1-13BC-4FAB-95FD-DCEE86F7021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26CFC9-1D3E-44FD-82F6-3FD40C17C2C1}">
      <formula1>"RMC-10-40KMS,RMC-10-60KMS,RMC-10-70KMS,RMC-10-100000KMS,RMC-40-70KMS,RMC-40-100000KMS"</formula1>
    </dataValidation>
    <dataValidation type="list" allowBlank="1" showInputMessage="1" showErrorMessage="1" sqref="K24" xr:uid="{10A227AC-A749-452F-85B5-BDC3C24B84F2}">
      <formula1>"RMC-10-70K,RMC-10-100000K,RMC-40-70K"</formula1>
    </dataValidation>
    <dataValidation type="list" allowBlank="1" showInputMessage="1" showErrorMessage="1" sqref="D5" xr:uid="{C7803BE2-25BB-4B55-B5F8-5B57B5C2669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BCD7EBC-E4FE-47A8-966B-B9DFD19BFC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7ED12A3-90FB-49F9-923F-E138539531F9}">
      <formula1>"YES,NO"</formula1>
    </dataValidation>
    <dataValidation type="list" allowBlank="1" showInputMessage="1" showErrorMessage="1" sqref="K21" xr:uid="{F401250D-DBA7-4874-854F-22C93C28412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060C-E817-4ED2-A25A-EBC0530F0329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H37</v>
      </c>
      <c r="D5" s="19" t="s">
        <v>174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10799.393245015834</v>
      </c>
      <c r="S5" s="151"/>
      <c r="U5" s="151">
        <f>L7+L14</f>
        <v>4458.6941927120133</v>
      </c>
      <c r="V5" s="151">
        <f>M7+M14</f>
        <v>3015.1142424595832</v>
      </c>
      <c r="W5" s="151">
        <f>N7+N14</f>
        <v>2119.4923288231248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3523.0134471564579</v>
      </c>
      <c r="V6" s="170">
        <f>N7+K14</f>
        <v>8694.1115675158326</v>
      </c>
      <c r="W6" s="170" t="e">
        <f>N7+J14</f>
        <v>#VALUE!</v>
      </c>
    </row>
    <row r="7" spans="1:27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168">
        <f>B7+C7</f>
        <v>83895</v>
      </c>
      <c r="E7" s="29">
        <f>D17</f>
        <v>20679.083875</v>
      </c>
      <c r="F7" s="29">
        <f>(C7)+(D10+D11+D12+D13+D16)*5/100</f>
        <v>4685</v>
      </c>
      <c r="G7" s="30">
        <f>B7+E7+F7</f>
        <v>105264.083875</v>
      </c>
      <c r="H7" s="29">
        <f>G7*D20</f>
        <v>21052.816774999999</v>
      </c>
      <c r="I7" s="30">
        <f>(G7-H7)</f>
        <v>84211.267099999997</v>
      </c>
      <c r="J7" s="30">
        <f>(((I7*D19)*1)+I7)/12</f>
        <v>7290.5904491824995</v>
      </c>
      <c r="K7" s="30">
        <f>(((I7*D19)*2)+I7)/24</f>
        <v>3781.7876533491667</v>
      </c>
      <c r="L7" s="30">
        <f>(((I7*D19)*3)+I7)/36</f>
        <v>2612.186721404722</v>
      </c>
      <c r="M7" s="30">
        <f>(((I7*D19)*4)+I7)/48</f>
        <v>2027.3862554324999</v>
      </c>
      <c r="N7" s="30">
        <f>((((I7*D19)*5)+I7)/60)</f>
        <v>1676.5059758491666</v>
      </c>
      <c r="O7" s="118"/>
      <c r="P7" s="2">
        <f>H7+H16</f>
        <v>21937.035079549998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21052.816774999999</v>
      </c>
      <c r="I8" s="34"/>
      <c r="J8" s="34" t="s">
        <v>15</v>
      </c>
      <c r="K8" s="34">
        <f>(I7*K5+I7)/24</f>
        <v>3508.8027958333332</v>
      </c>
      <c r="L8" s="34">
        <f>(I7*L5+I7)/36</f>
        <v>2418.5008070747222</v>
      </c>
      <c r="M8" s="34">
        <f>(I7*M5+I7)/48</f>
        <v>1873.3498126954166</v>
      </c>
      <c r="N8" s="34">
        <f>(I7*N5+I7)/60</f>
        <v>1546.2592160678332</v>
      </c>
      <c r="O8" s="118">
        <v>0</v>
      </c>
      <c r="P8" s="2">
        <f>P7/12</f>
        <v>1828.0862566291664</v>
      </c>
      <c r="T8" s="1">
        <f>25973-12973</f>
        <v>13000</v>
      </c>
    </row>
    <row r="9" spans="1:27" ht="25.5" x14ac:dyDescent="0.35">
      <c r="A9" s="8">
        <f>B8/(100%-A8)</f>
        <v>99875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3275.81829019</v>
      </c>
      <c r="K9" s="38">
        <f>(K7*24)-I7</f>
        <v>6551.6365803799999</v>
      </c>
      <c r="L9" s="38">
        <f>(L7*36)-I7</f>
        <v>9827.4548705699999</v>
      </c>
      <c r="M9" s="38">
        <f>(M7*48)-I7</f>
        <v>13103.27316076</v>
      </c>
      <c r="N9" s="38">
        <f>(N7*60)-I7</f>
        <v>16379.09145095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2854.761954689995</v>
      </c>
      <c r="M10" s="41">
        <f>(M8*48)-I7</f>
        <v>5709.5239093800046</v>
      </c>
      <c r="N10" s="41">
        <f>(N8*60)-I7</f>
        <v>8564.2858640699997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20052.816774999999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1754.4013979166666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3254.0838750000003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7017.6055916666664</v>
      </c>
      <c r="L14" s="44">
        <f>(H8*L12+H8)/12</f>
        <v>1846.5074713072916</v>
      </c>
      <c r="M14" s="44">
        <f>(H8*M12+H8)/24</f>
        <v>987.72798702708326</v>
      </c>
      <c r="N14" s="165">
        <f>(H7*N12+H7)/60</f>
        <v>442.98635297395833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884.21830454999997</v>
      </c>
      <c r="I16" s="33"/>
      <c r="J16" s="44" t="s">
        <v>16</v>
      </c>
      <c r="K16" s="44">
        <f>(K14*3)-H8</f>
        <v>0</v>
      </c>
      <c r="L16" s="44">
        <f>(L14*12)-H8</f>
        <v>1105.2728806874984</v>
      </c>
      <c r="M16" s="44">
        <f>(M14*24)-H8</f>
        <v>2652.6549136499998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2657</v>
      </c>
      <c r="B17" s="37"/>
      <c r="C17" s="20"/>
      <c r="D17" s="29">
        <f>SUM(D10:D16)</f>
        <v>20679.083875</v>
      </c>
      <c r="E17" s="48"/>
      <c r="F17" s="48"/>
      <c r="G17" s="54"/>
      <c r="H17" s="33">
        <f>+SUM(H12:H16)+(H7)</f>
        <v>22852.035079549998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53.909589041095892</v>
      </c>
      <c r="K19" s="37"/>
      <c r="L19" s="37"/>
      <c r="M19" s="37"/>
      <c r="N19" s="34">
        <f>D7</f>
        <v>83895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98385</v>
      </c>
      <c r="V19" s="157">
        <f>(B7+D10+D11+D12+D13+D16)*1.05</f>
        <v>98385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2664.2339628762497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57.678950068493151</v>
      </c>
      <c r="I24" s="145">
        <f>H7+H12+H16</f>
        <v>22537.035079549998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3523.0134471564579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F68B9EE-CAE0-47FE-9781-BAD6D067CD1D}">
      <formula1>"ALAA HAMMAD,KHALED QASSEM,RAMY RAOUF,SIMON LOBO,MHAREN CLEMENTE GARADO"</formula1>
    </dataValidation>
    <dataValidation type="list" allowBlank="1" showInputMessage="1" showErrorMessage="1" sqref="M34" xr:uid="{6E35F5BD-BA4B-4749-83C4-CC57FA1D0682}">
      <formula1>"Alaa Hammad,Bachir Ibrahim Mourad,Khaled Qassem,Ramy Raoof,Simon Lobo,Mharen Clemente Garado,Ranjith"</formula1>
    </dataValidation>
    <dataValidation type="list" allowBlank="1" showInputMessage="1" showErrorMessage="1" sqref="B11" xr:uid="{E05DCB98-87AF-42EB-BE79-AF0D371CE648}">
      <formula1>"FO Ceramic+ Intr&amp;Extr CeramicGold WdwTnt,FO Mirror Camera Sensor"</formula1>
    </dataValidation>
    <dataValidation type="list" allowBlank="1" showInputMessage="1" showErrorMessage="1" sqref="B12" xr:uid="{537F8888-849B-40B0-8B69-C54DBE605CCC}">
      <formula1>"FO Exterior ceramic All Cars SCOTCHGUARD,FO Mirror Camera Sensor,FO PPF Gold Package "</formula1>
    </dataValidation>
    <dataValidation type="list" allowBlank="1" showInputMessage="1" showErrorMessage="1" sqref="K20" xr:uid="{CF8CEBB0-DBFA-43B3-B707-2881E8519E4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210FFA1-FA22-4039-AE5F-329272B7DF62}">
      <formula1>"RMC-10-40KMS,RMC-10-60KMS,RMC-10-70KMS,RMC-10-100000KMS,RMC-40-70KMS,RMC-40-100000KMS"</formula1>
    </dataValidation>
    <dataValidation type="list" allowBlank="1" showInputMessage="1" showErrorMessage="1" sqref="K24" xr:uid="{9FA0358B-E2EF-4B68-A183-844D2FDC5E07}">
      <formula1>"RMC-10-70K,RMC-10-100000K,RMC-40-70K"</formula1>
    </dataValidation>
    <dataValidation type="list" allowBlank="1" showInputMessage="1" showErrorMessage="1" sqref="D5" xr:uid="{41917803-B52E-4534-9687-2E0C5FA1EFA0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4B7DFE7-6661-41BC-8CFE-426933A9AD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BEF1CA0-D13D-4358-871D-54AAD49E4813}">
      <formula1>"YES,NO"</formula1>
    </dataValidation>
    <dataValidation type="list" allowBlank="1" showInputMessage="1" showErrorMessage="1" sqref="K21" xr:uid="{949BFE9B-4050-4829-B272-CC5EBD97C8F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3024-CF5A-4E6C-8FBF-DBF5D21AC34C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PRP</v>
      </c>
      <c r="D5" s="19" t="s">
        <v>173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13460.938697552501</v>
      </c>
      <c r="S5" s="151"/>
      <c r="U5" s="151">
        <f>L7+L14</f>
        <v>5557.5538215472916</v>
      </c>
      <c r="V5" s="151">
        <f>M7+M14</f>
        <v>3758.1989157212502</v>
      </c>
      <c r="W5" s="151">
        <f>N7+N14</f>
        <v>2641.8480798806254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4391.2715248806253</v>
      </c>
      <c r="V6" s="170">
        <f>N7+K14</f>
        <v>10836.803530052501</v>
      </c>
      <c r="W6" s="170" t="e">
        <f>N7+J14</f>
        <v>#VALUE!</v>
      </c>
    </row>
    <row r="7" spans="1:27" ht="26.25" thickBot="1" x14ac:dyDescent="0.4">
      <c r="A7" s="6">
        <f>B8</f>
        <v>102900</v>
      </c>
      <c r="B7" s="29">
        <f>IF(L20="YES",C8*1,IF(L20="NO",B8*1))</f>
        <v>102900</v>
      </c>
      <c r="C7" s="29">
        <f>B7*5/100</f>
        <v>5145</v>
      </c>
      <c r="D7" s="168">
        <f>B7+C7</f>
        <v>108045</v>
      </c>
      <c r="E7" s="29">
        <f>D17</f>
        <v>22461.758375000001</v>
      </c>
      <c r="F7" s="29">
        <f>(C7)+(D10+D11+D12+D13+D16)*5/100</f>
        <v>5845</v>
      </c>
      <c r="G7" s="30">
        <f>B7+E7+F7</f>
        <v>131206.758375</v>
      </c>
      <c r="H7" s="29">
        <f>G7*D20</f>
        <v>26241.351675000002</v>
      </c>
      <c r="I7" s="30">
        <f>(G7-H7)</f>
        <v>104965.40670000001</v>
      </c>
      <c r="J7" s="30">
        <f>(((I7*D19)*1)+I7)/12</f>
        <v>9087.3800850525004</v>
      </c>
      <c r="K7" s="30">
        <f>(((I7*D19)*2)+I7)/24</f>
        <v>4713.8214725525004</v>
      </c>
      <c r="L7" s="30">
        <f>(((I7*D19)*3)+I7)/36</f>
        <v>3255.9686017191671</v>
      </c>
      <c r="M7" s="30">
        <f>(((I7*D19)*4)+I7)/48</f>
        <v>2527.0421663025004</v>
      </c>
      <c r="N7" s="30">
        <f>((((I7*D19)*5)+I7)/60)</f>
        <v>2089.6863050525003</v>
      </c>
      <c r="O7" s="118"/>
      <c r="P7" s="2">
        <f>H7+H16</f>
        <v>27343.488445350002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102900</v>
      </c>
      <c r="C8" s="32">
        <f>IF(L20="YES",N20,IF(L20="NO",N20))</f>
        <v>102900</v>
      </c>
      <c r="D8" s="29">
        <v>0</v>
      </c>
      <c r="E8" s="33"/>
      <c r="F8" s="188"/>
      <c r="G8" s="189"/>
      <c r="H8" s="110">
        <f>G7*20/100</f>
        <v>26241.351674999998</v>
      </c>
      <c r="I8" s="34"/>
      <c r="J8" s="34" t="s">
        <v>15</v>
      </c>
      <c r="K8" s="34">
        <f>(I7*K5+I7)/24</f>
        <v>4373.5586125</v>
      </c>
      <c r="L8" s="34">
        <f>(I7*L5+I7)/36</f>
        <v>3014.5481663091668</v>
      </c>
      <c r="M8" s="34">
        <f>(I7*M5+I7)/48</f>
        <v>2335.0429432137503</v>
      </c>
      <c r="N8" s="34">
        <f>(I7*N5+I7)/60</f>
        <v>1927.3398093565002</v>
      </c>
      <c r="O8" s="118">
        <v>0</v>
      </c>
      <c r="P8" s="2">
        <f>P7/12</f>
        <v>2278.6240371125</v>
      </c>
      <c r="T8" s="1">
        <f>25973-12973</f>
        <v>13000</v>
      </c>
    </row>
    <row r="9" spans="1:27" ht="25.5" x14ac:dyDescent="0.35">
      <c r="A9" s="8">
        <f>B8/(100%-A8)</f>
        <v>128625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4083.1543206299975</v>
      </c>
      <c r="K9" s="38">
        <f>(K7*24)-I7</f>
        <v>8166.3086412600096</v>
      </c>
      <c r="L9" s="38">
        <f>(L7*36)-I7</f>
        <v>12249.462961890007</v>
      </c>
      <c r="M9" s="38">
        <f>(M7*48)-I7</f>
        <v>16332.617282520005</v>
      </c>
      <c r="N9" s="38">
        <f>(N7*60)-I7</f>
        <v>20415.771603150017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3558.3272871299996</v>
      </c>
      <c r="M10" s="41">
        <f>(M8*48)-I7</f>
        <v>7116.6545742600138</v>
      </c>
      <c r="N10" s="41">
        <f>(N8*60)-I7</f>
        <v>10674.981861389999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4401.9675000000007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25241.351674999998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130252.878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2186.77930625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4059.7908750000001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8747.117225</v>
      </c>
      <c r="L14" s="44">
        <f>(H8*L12+H8)/12</f>
        <v>2301.585219828125</v>
      </c>
      <c r="M14" s="44">
        <f>(H8*M12+H8)/24</f>
        <v>1231.15674941875</v>
      </c>
      <c r="N14" s="165">
        <f>(H7*N12+H7)/60</f>
        <v>552.16177482812498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3217</v>
      </c>
      <c r="B15" s="37" t="s">
        <v>27</v>
      </c>
      <c r="C15" s="20" t="s">
        <v>19</v>
      </c>
      <c r="D15" s="29">
        <f>IF(C15="YES",O10,IF(C15="NO",0))</f>
        <v>4401.9675000000007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1102.1367703500002</v>
      </c>
      <c r="I16" s="33"/>
      <c r="J16" s="44" t="s">
        <v>16</v>
      </c>
      <c r="K16" s="44">
        <f>(K14*3)-H8</f>
        <v>0</v>
      </c>
      <c r="L16" s="44">
        <f>(L14*12)-H8</f>
        <v>1377.6709629375036</v>
      </c>
      <c r="M16" s="44">
        <f>(M14*24)-H8</f>
        <v>3306.41031105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3347</v>
      </c>
      <c r="B17" s="37"/>
      <c r="C17" s="20"/>
      <c r="D17" s="29">
        <f>SUM(D10:D16)</f>
        <v>22461.758375000001</v>
      </c>
      <c r="E17" s="48"/>
      <c r="F17" s="48"/>
      <c r="G17" s="54"/>
      <c r="H17" s="33">
        <f>+SUM(H12:H16)+(H7)</f>
        <v>28258.488445350002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3241.35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67.257534246575347</v>
      </c>
      <c r="K19" s="37"/>
      <c r="L19" s="37"/>
      <c r="M19" s="37"/>
      <c r="N19" s="34">
        <f>D7</f>
        <v>108045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122745</v>
      </c>
      <c r="V19" s="157">
        <f>(B7+D10+D11+D12+D13+D16)*1.05</f>
        <v>122745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3241.35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3320.8430544712501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71.894114178082191</v>
      </c>
      <c r="I24" s="145">
        <f>H7+H12+H16</f>
        <v>27943.488445350002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4391.2715248806253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1C53A48-2130-4ACC-9380-7F07EF8811F0}">
      <formula1>"ALAA HAMMAD,KHALED QASSEM,RAMY RAOUF,SIMON LOBO,MHAREN CLEMENTE GARADO"</formula1>
    </dataValidation>
    <dataValidation type="list" allowBlank="1" showInputMessage="1" showErrorMessage="1" sqref="M34" xr:uid="{63E02C7D-A5C8-4FA1-8274-1F7D3686734F}">
      <formula1>"Alaa Hammad,Bachir Ibrahim Mourad,Khaled Qassem,Ramy Raoof,Simon Lobo,Mharen Clemente Garado,Ranjith"</formula1>
    </dataValidation>
    <dataValidation type="list" allowBlank="1" showInputMessage="1" showErrorMessage="1" sqref="B11" xr:uid="{D295C745-81CA-43A7-A570-D08F2C87922A}">
      <formula1>"FO Ceramic+ Intr&amp;Extr CeramicGold WdwTnt,FO Mirror Camera Sensor"</formula1>
    </dataValidation>
    <dataValidation type="list" allowBlank="1" showInputMessage="1" showErrorMessage="1" sqref="B12" xr:uid="{471F5FA6-605C-4881-AFBA-A182BADFB0C2}">
      <formula1>"FO Exterior ceramic All Cars SCOTCHGUARD,FO Mirror Camera Sensor,FO PPF Gold Package "</formula1>
    </dataValidation>
    <dataValidation type="list" allowBlank="1" showInputMessage="1" showErrorMessage="1" sqref="K20" xr:uid="{B472BDAE-5C14-48EC-A448-DCA5A9CE56F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169BBD1F-E9BB-4460-8F4A-DA032DC218AC}">
      <formula1>"RMC-10-40KMS,RMC-10-60KMS,RMC-10-70KMS,RMC-10-100000KMS,RMC-40-70KMS,RMC-40-100000KMS"</formula1>
    </dataValidation>
    <dataValidation type="list" allowBlank="1" showInputMessage="1" showErrorMessage="1" sqref="K24" xr:uid="{97A61B80-8F40-4549-9F77-9D00278202DB}">
      <formula1>"RMC-10-70K,RMC-10-100000K,RMC-40-70K"</formula1>
    </dataValidation>
    <dataValidation type="list" allowBlank="1" showInputMessage="1" showErrorMessage="1" sqref="D5" xr:uid="{1B686F34-C2E1-43B1-96B7-E2770369596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59E5F16-41F1-4F39-A59A-D11FE10443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ABE74CC-F9E9-4531-8CCD-04C44EB98366}">
      <formula1>"YES,NO"</formula1>
    </dataValidation>
    <dataValidation type="list" allowBlank="1" showInputMessage="1" showErrorMessage="1" sqref="K21" xr:uid="{0FEFBA30-064B-4712-B5F0-ABB92283AF2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C6B-0742-4EF5-BFEB-DAF18264547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HL</v>
      </c>
      <c r="D5" s="19" t="s">
        <v>101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9782.231180012499</v>
      </c>
      <c r="S5" s="151"/>
      <c r="U5" s="151">
        <f>L7+L14</f>
        <v>4038.7433223822918</v>
      </c>
      <c r="V5" s="151">
        <f>M7+M14</f>
        <v>2731.12978523125</v>
      </c>
      <c r="W5" s="151">
        <f>N7+N14</f>
        <v>1919.8637807156249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3191.1915057156248</v>
      </c>
      <c r="V6" s="170">
        <f>N7+K14</f>
        <v>7875.2395925124993</v>
      </c>
      <c r="W6" s="170" t="e">
        <f>N7+J14</f>
        <v>#VALUE!</v>
      </c>
    </row>
    <row r="7" spans="1:27" ht="26.25" thickBot="1" x14ac:dyDescent="0.4">
      <c r="A7" s="6">
        <f>B8</f>
        <v>71000</v>
      </c>
      <c r="B7" s="29">
        <f>IF(L20="YES",C8*1,IF(L20="NO",B8*1))</f>
        <v>71000</v>
      </c>
      <c r="C7" s="29">
        <f>B7*5/100</f>
        <v>3550</v>
      </c>
      <c r="D7" s="168">
        <f>B7+C7</f>
        <v>74550</v>
      </c>
      <c r="E7" s="29">
        <f>D17</f>
        <v>20124.579375000001</v>
      </c>
      <c r="F7" s="29">
        <f>(C7)+(D10+D11+D12+D13+D16)*5/100</f>
        <v>4225</v>
      </c>
      <c r="G7" s="30">
        <f>B7+E7+F7</f>
        <v>95349.579375000001</v>
      </c>
      <c r="H7" s="29">
        <f>G7*D20</f>
        <v>19069.915875000002</v>
      </c>
      <c r="I7" s="30">
        <f>(G7-H7)</f>
        <v>76279.663499999995</v>
      </c>
      <c r="J7" s="30">
        <f>(((I7*D19)*1)+I7)/12</f>
        <v>6603.9118675124992</v>
      </c>
      <c r="K7" s="30">
        <f>(((I7*D19)*2)+I7)/24</f>
        <v>3425.5925550124998</v>
      </c>
      <c r="L7" s="30">
        <f>(((I7*D19)*3)+I7)/36</f>
        <v>2366.1527841791667</v>
      </c>
      <c r="M7" s="30">
        <f>(((I7*D19)*4)+I7)/48</f>
        <v>1836.4328987625001</v>
      </c>
      <c r="N7" s="30">
        <f>((((I7*D19)*5)+I7)/60)</f>
        <v>1518.6009675124999</v>
      </c>
      <c r="O7" s="118"/>
      <c r="P7" s="2">
        <f>H7+H16</f>
        <v>19870.852341750004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71000</v>
      </c>
      <c r="C8" s="32">
        <f>IF(L20="YES",N20,IF(L20="NO",N20))</f>
        <v>71000</v>
      </c>
      <c r="D8" s="29">
        <v>0</v>
      </c>
      <c r="E8" s="33"/>
      <c r="F8" s="188"/>
      <c r="G8" s="189"/>
      <c r="H8" s="110">
        <f>G7*20/100</f>
        <v>19069.915874999999</v>
      </c>
      <c r="I8" s="34"/>
      <c r="J8" s="34" t="s">
        <v>15</v>
      </c>
      <c r="K8" s="34">
        <f>(I7*K5+I7)/24</f>
        <v>3178.3193124999998</v>
      </c>
      <c r="L8" s="34">
        <f>(I7*L5+I7)/36</f>
        <v>2190.7095581291669</v>
      </c>
      <c r="M8" s="34">
        <f>(I7*M5+I7)/48</f>
        <v>1696.9046809437498</v>
      </c>
      <c r="N8" s="34">
        <f>(I7*N5+I7)/60</f>
        <v>1400.6217546324999</v>
      </c>
      <c r="O8" s="118">
        <v>0</v>
      </c>
      <c r="P8" s="2">
        <f>P7/12</f>
        <v>1655.9043618125004</v>
      </c>
      <c r="T8" s="1">
        <f>25973-12973</f>
        <v>13000</v>
      </c>
    </row>
    <row r="9" spans="1:27" ht="25.5" x14ac:dyDescent="0.35">
      <c r="A9" s="8">
        <f>B8/(100%-A8)</f>
        <v>88750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2967.2789101499948</v>
      </c>
      <c r="K9" s="38">
        <f>(K7*24)-I7</f>
        <v>5934.5578203000041</v>
      </c>
      <c r="L9" s="38">
        <f>(L7*36)-I7</f>
        <v>8901.8367304500134</v>
      </c>
      <c r="M9" s="38">
        <f>(M7*48)-I7</f>
        <v>11869.115640600008</v>
      </c>
      <c r="N9" s="38">
        <f>(N7*60)-I7</f>
        <v>14836.394550750003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2585.8805926500063</v>
      </c>
      <c r="M10" s="41">
        <f>(M8*48)-I7</f>
        <v>5171.761185299998</v>
      </c>
      <c r="N10" s="41">
        <f>(N8*60)-I7</f>
        <v>7757.6417779500043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18069.915874999999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89873.22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1589.1596562500001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2934.5793749999998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6356.6386249999996</v>
      </c>
      <c r="L14" s="44">
        <f>(H8*L12+H8)/12</f>
        <v>1672.5905382031249</v>
      </c>
      <c r="M14" s="44">
        <f>(H8*M12+H8)/24</f>
        <v>894.69688646874999</v>
      </c>
      <c r="N14" s="165">
        <f>(H7*N12+H7)/60</f>
        <v>401.26281320312506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2260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800.93646675000002</v>
      </c>
      <c r="I16" s="33"/>
      <c r="J16" s="44" t="s">
        <v>16</v>
      </c>
      <c r="K16" s="44">
        <f>(K14*3)-H8</f>
        <v>0</v>
      </c>
      <c r="L16" s="44">
        <f>(L14*12)-H8</f>
        <v>1001.1705834374989</v>
      </c>
      <c r="M16" s="44">
        <f>(M14*24)-H8</f>
        <v>2402.8094002500002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2390</v>
      </c>
      <c r="B17" s="37"/>
      <c r="C17" s="20"/>
      <c r="D17" s="29">
        <f>SUM(D10:D16)</f>
        <v>20124.579375000001</v>
      </c>
      <c r="E17" s="48"/>
      <c r="F17" s="48"/>
      <c r="G17" s="54"/>
      <c r="H17" s="33">
        <f>+SUM(H12:H16)+(H7)</f>
        <v>20785.852341750004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2236.5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48.61643835616438</v>
      </c>
      <c r="K19" s="37"/>
      <c r="L19" s="37"/>
      <c r="M19" s="37"/>
      <c r="N19" s="34">
        <f>D7</f>
        <v>74550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88725</v>
      </c>
      <c r="V19" s="157">
        <f>(B7+D10+D11+D12+D13+D16)*1.05</f>
        <v>88725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71000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2236.5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2413.2978539812498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52.246344863013704</v>
      </c>
      <c r="I24" s="145">
        <f>H7+H12+H16</f>
        <v>20470.852341750004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3191.1915057156248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2F77A77-B269-4CB3-BFAC-8FC0EE81DF62}">
      <formula1>"ALAA HAMMAD,KHALED QASSEM,RAMY RAOUF,SIMON LOBO,MHAREN CLEMENTE GARADO"</formula1>
    </dataValidation>
    <dataValidation type="list" allowBlank="1" showInputMessage="1" showErrorMessage="1" sqref="M34" xr:uid="{D1F31494-262D-4802-BFEF-D2C07A91B1F6}">
      <formula1>"Alaa Hammad,Bachir Ibrahim Mourad,Khaled Qassem,Ramy Raoof,Simon Lobo,Mharen Clemente Garado,Ranjith"</formula1>
    </dataValidation>
    <dataValidation type="list" allowBlank="1" showInputMessage="1" showErrorMessage="1" sqref="B11" xr:uid="{F8BAE27F-CBC0-495A-A6EC-72C31EE085F0}">
      <formula1>"FO Ceramic+ Intr&amp;Extr CeramicGold WdwTnt,FO Mirror Camera Sensor"</formula1>
    </dataValidation>
    <dataValidation type="list" allowBlank="1" showInputMessage="1" showErrorMessage="1" sqref="B12" xr:uid="{59FAA037-C1DF-4832-A590-40ACA2E4D291}">
      <formula1>"FO Exterior ceramic All Cars SCOTCHGUARD,FO Mirror Camera Sensor,FO PPF Gold Package "</formula1>
    </dataValidation>
    <dataValidation type="list" allowBlank="1" showInputMessage="1" showErrorMessage="1" sqref="K20" xr:uid="{0D8D27CD-C1A0-4454-8B0D-4759B496B13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DC58AC9-81B7-4A06-AD4C-2A33E3791CD2}">
      <formula1>"RMC-10-40KMS,RMC-10-60KMS,RMC-10-70KMS,RMC-10-100000KMS,RMC-40-70KMS,RMC-40-100000KMS"</formula1>
    </dataValidation>
    <dataValidation type="list" allowBlank="1" showInputMessage="1" showErrorMessage="1" sqref="K24" xr:uid="{1D4CD1C6-1E32-41C9-B6E1-31FC91C523BD}">
      <formula1>"RMC-10-70K,RMC-10-100000K,RMC-40-70K"</formula1>
    </dataValidation>
    <dataValidation type="list" allowBlank="1" showInputMessage="1" showErrorMessage="1" sqref="D5" xr:uid="{593D6F95-6DB4-40EC-980A-440B75732CCC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FB5344-89D2-4E69-8601-4A5BDEA8284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579A640-CBC3-48FA-96B2-29A945609289}">
      <formula1>"YES,NO"</formula1>
    </dataValidation>
    <dataValidation type="list" allowBlank="1" showInputMessage="1" showErrorMessage="1" sqref="K21" xr:uid="{9E36D2B2-2898-4F00-B802-D3F50A37B0E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840D-73F6-45E3-B622-DEDE03526B0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</v>
      </c>
      <c r="D5" s="19" t="s">
        <v>102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10327.532277315</v>
      </c>
      <c r="S5" s="151"/>
      <c r="U5" s="151">
        <f>L7+L14</f>
        <v>4263.8791962837495</v>
      </c>
      <c r="V5" s="151">
        <f>M7+M14</f>
        <v>2883.3739963275002</v>
      </c>
      <c r="W5" s="151">
        <f>N7+N14</f>
        <v>2026.8847462837502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3369.0814162837501</v>
      </c>
      <c r="V6" s="170">
        <f>N7+K14</f>
        <v>8314.2372723150002</v>
      </c>
      <c r="W6" s="170" t="e">
        <f>N7+J14</f>
        <v>#VALUE!</v>
      </c>
    </row>
    <row r="7" spans="1:27" ht="26.25" thickBot="1" x14ac:dyDescent="0.4">
      <c r="A7" s="6">
        <f>B8</f>
        <v>75900</v>
      </c>
      <c r="B7" s="29">
        <f>IF(L20="YES",C8*1,IF(L20="NO",B8*1))</f>
        <v>75900</v>
      </c>
      <c r="C7" s="29">
        <f>B7*5/100</f>
        <v>3795</v>
      </c>
      <c r="D7" s="168">
        <f>B7+C7</f>
        <v>79695</v>
      </c>
      <c r="E7" s="29">
        <f>D17</f>
        <v>20294.750250000001</v>
      </c>
      <c r="F7" s="29">
        <f>(C7)+(D10+D11+D12+D13+D16)*5/100</f>
        <v>4470</v>
      </c>
      <c r="G7" s="30">
        <f>B7+E7+F7</f>
        <v>100664.75025</v>
      </c>
      <c r="H7" s="29">
        <f>G7*D20</f>
        <v>20132.950049999999</v>
      </c>
      <c r="I7" s="30">
        <f>(G7-H7)</f>
        <v>80531.800199999998</v>
      </c>
      <c r="J7" s="30">
        <f>(((I7*D19)*1)+I7)/12</f>
        <v>6972.0406023149999</v>
      </c>
      <c r="K7" s="30">
        <f>(((I7*D19)*2)+I7)/24</f>
        <v>3616.5489273149997</v>
      </c>
      <c r="L7" s="30">
        <f>(((I7*D19)*3)+I7)/36</f>
        <v>2498.0517023150001</v>
      </c>
      <c r="M7" s="30">
        <f>(((I7*D19)*4)+I7)/48</f>
        <v>1938.803089815</v>
      </c>
      <c r="N7" s="30">
        <f>((((I7*D19)*5)+I7)/60)</f>
        <v>1603.2539223150002</v>
      </c>
      <c r="O7" s="118"/>
      <c r="P7" s="2">
        <f>H7+H16</f>
        <v>20978.533952099999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75900</v>
      </c>
      <c r="C8" s="32">
        <f>IF(L20="YES",N20,IF(L20="NO",N20))</f>
        <v>75900</v>
      </c>
      <c r="D8" s="29">
        <v>0</v>
      </c>
      <c r="E8" s="33"/>
      <c r="F8" s="188"/>
      <c r="G8" s="189"/>
      <c r="H8" s="110">
        <f>G7*20/100</f>
        <v>20132.950049999999</v>
      </c>
      <c r="I8" s="34"/>
      <c r="J8" s="34" t="s">
        <v>15</v>
      </c>
      <c r="K8" s="34">
        <f>(I7*K5+I7)/24</f>
        <v>3355.4916749999998</v>
      </c>
      <c r="L8" s="34">
        <f>(I7*L5+I7)/36</f>
        <v>2312.8285618549999</v>
      </c>
      <c r="M8" s="34">
        <f>(I7*M5+I7)/48</f>
        <v>1791.4970052824999</v>
      </c>
      <c r="N8" s="34">
        <f>(I7*N5+I7)/60</f>
        <v>1478.6980713390001</v>
      </c>
      <c r="O8" s="118">
        <v>0</v>
      </c>
      <c r="P8" s="2">
        <f>P7/12</f>
        <v>1748.211162675</v>
      </c>
      <c r="T8" s="1">
        <f>25973-12973</f>
        <v>13000</v>
      </c>
    </row>
    <row r="9" spans="1:27" ht="25.5" x14ac:dyDescent="0.35">
      <c r="A9" s="8">
        <f>B8/(100%-A8)</f>
        <v>94875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3132.6870277800044</v>
      </c>
      <c r="K9" s="38">
        <f>(K7*24)-I7</f>
        <v>6265.3740555599943</v>
      </c>
      <c r="L9" s="38">
        <f>(L7*36)-I7</f>
        <v>9398.0610833399987</v>
      </c>
      <c r="M9" s="38">
        <f>(M7*48)-I7</f>
        <v>12530.748111120003</v>
      </c>
      <c r="N9" s="38">
        <f>(N7*60)-I7</f>
        <v>15663.435138900008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2730.0280267799972</v>
      </c>
      <c r="M10" s="41">
        <f>(M8*48)-I7</f>
        <v>5460.0560535599943</v>
      </c>
      <c r="N10" s="41">
        <f>(N8*60)-I7</f>
        <v>8190.084080340006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19132.950049999999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96075.737999999998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1677.7458374999999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3104.7502500000001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6710.9833499999995</v>
      </c>
      <c r="L14" s="44">
        <f>(H8*L12+H8)/12</f>
        <v>1765.8274939687499</v>
      </c>
      <c r="M14" s="44">
        <f>(H8*M12+H8)/24</f>
        <v>944.57090651250007</v>
      </c>
      <c r="N14" s="165">
        <f>(H7*N12+H7)/60</f>
        <v>423.63082396874995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2407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845.58390210000005</v>
      </c>
      <c r="I16" s="33"/>
      <c r="J16" s="44" t="s">
        <v>16</v>
      </c>
      <c r="K16" s="44">
        <f>(K14*3)-H8</f>
        <v>0</v>
      </c>
      <c r="L16" s="44">
        <f>(L14*12)-H8</f>
        <v>1056.9798776249991</v>
      </c>
      <c r="M16" s="44">
        <f>(M14*24)-H8</f>
        <v>2536.7517063000014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2537</v>
      </c>
      <c r="B17" s="37"/>
      <c r="C17" s="20"/>
      <c r="D17" s="29">
        <f>SUM(D10:D16)</f>
        <v>20294.750250000001</v>
      </c>
      <c r="E17" s="48"/>
      <c r="F17" s="48"/>
      <c r="G17" s="54"/>
      <c r="H17" s="33">
        <f>+SUM(H12:H16)+(H7)</f>
        <v>21893.533952099999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2390.85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51.435616438356163</v>
      </c>
      <c r="K19" s="37"/>
      <c r="L19" s="37"/>
      <c r="M19" s="37"/>
      <c r="N19" s="34">
        <f>D7</f>
        <v>79695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93870</v>
      </c>
      <c r="V19" s="157">
        <f>(B7+D10+D11+D12+D13+D16)*1.05</f>
        <v>93870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2390.85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2547.8248288275004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55.158767260273969</v>
      </c>
      <c r="I24" s="145">
        <f>H7+H12+H16</f>
        <v>21578.533952099999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3369.0814162837501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61E2B98-87AA-4210-9F4D-28B9E8B70629}">
      <formula1>"ALAA HAMMAD,KHALED QASSEM,RAMY RAOUF,SIMON LOBO,MHAREN CLEMENTE GARADO"</formula1>
    </dataValidation>
    <dataValidation type="list" allowBlank="1" showInputMessage="1" showErrorMessage="1" sqref="M34" xr:uid="{5E66A3C9-44E3-4F9A-967A-3FC32F8EC35B}">
      <formula1>"Alaa Hammad,Bachir Ibrahim Mourad,Khaled Qassem,Ramy Raoof,Simon Lobo,Mharen Clemente Garado,Ranjith"</formula1>
    </dataValidation>
    <dataValidation type="list" allowBlank="1" showInputMessage="1" showErrorMessage="1" sqref="B11" xr:uid="{9FA04911-3694-4DCA-AAD3-FC2B0854766E}">
      <formula1>"FO Ceramic+ Intr&amp;Extr CeramicGold WdwTnt,FO Mirror Camera Sensor"</formula1>
    </dataValidation>
    <dataValidation type="list" allowBlank="1" showInputMessage="1" showErrorMessage="1" sqref="B12" xr:uid="{8B654996-A0E3-4A05-A8E6-032D73D3EBFD}">
      <formula1>"FO Exterior ceramic All Cars SCOTCHGUARD,FO Mirror Camera Sensor,FO PPF Gold Package "</formula1>
    </dataValidation>
    <dataValidation type="list" allowBlank="1" showInputMessage="1" showErrorMessage="1" sqref="K20" xr:uid="{B2B55519-10A7-450F-BE0D-FB05978F5EF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8A9DA5-2E74-4BEE-86CB-D9E5C546C4AB}">
      <formula1>"RMC-10-40KMS,RMC-10-60KMS,RMC-10-70KMS,RMC-10-100000KMS,RMC-40-70KMS,RMC-40-100000KMS"</formula1>
    </dataValidation>
    <dataValidation type="list" allowBlank="1" showInputMessage="1" showErrorMessage="1" sqref="K24" xr:uid="{70630857-8F5F-458E-B406-00F0AFCA0222}">
      <formula1>"RMC-10-70K,RMC-10-100000K,RMC-40-70K"</formula1>
    </dataValidation>
    <dataValidation type="list" allowBlank="1" showInputMessage="1" showErrorMessage="1" sqref="D5" xr:uid="{60E92CBD-0760-4CDE-96C7-E0384E9319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EDEF984-AD96-4023-B24F-28EF699E5ED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FBF97BF-3148-4C20-A458-FA420AB3A217}">
      <formula1>"YES,NO"</formula1>
    </dataValidation>
    <dataValidation type="list" allowBlank="1" showInputMessage="1" showErrorMessage="1" sqref="K21" xr:uid="{DCCE52F0-67CD-4DA7-8419-0142F5F1DF9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692E-80E6-4DAD-846A-23EAA7FEEA1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</v>
      </c>
      <c r="D5" s="19" t="s">
        <v>100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9659.816647964999</v>
      </c>
      <c r="S5" s="151"/>
      <c r="U5" s="151">
        <f>L7+L14</f>
        <v>3988.2026159962497</v>
      </c>
      <c r="V5" s="151">
        <f>M7+M14</f>
        <v>2696.9525133524999</v>
      </c>
      <c r="W5" s="151">
        <f>N7+N14</f>
        <v>1895.8386659962498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3151.2570359962497</v>
      </c>
      <c r="V6" s="170">
        <f>N7+K14</f>
        <v>7776.6890929649999</v>
      </c>
      <c r="W6" s="170" t="e">
        <f>N7+J14</f>
        <v>#VALUE!</v>
      </c>
    </row>
    <row r="7" spans="1:27" ht="26.25" thickBot="1" x14ac:dyDescent="0.4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168">
        <f>B7+C7</f>
        <v>73395</v>
      </c>
      <c r="E7" s="29">
        <f>D17</f>
        <v>20086.37775</v>
      </c>
      <c r="F7" s="29">
        <f>(C7)+(D10+D11+D12+D13+D16)*5/100</f>
        <v>4170</v>
      </c>
      <c r="G7" s="30">
        <f>B7+E7+F7</f>
        <v>94156.37775</v>
      </c>
      <c r="H7" s="29">
        <f>G7*D20</f>
        <v>18831.275550000002</v>
      </c>
      <c r="I7" s="30">
        <f>(G7-H7)</f>
        <v>75325.102199999994</v>
      </c>
      <c r="J7" s="30">
        <f>(((I7*D19)*1)+I7)/12</f>
        <v>6521.2707229649995</v>
      </c>
      <c r="K7" s="30">
        <f>(((I7*D19)*2)+I7)/24</f>
        <v>3382.7247979649997</v>
      </c>
      <c r="L7" s="30">
        <f>(((I7*D19)*3)+I7)/36</f>
        <v>2336.5428229650001</v>
      </c>
      <c r="M7" s="30">
        <f>(((I7*D19)*4)+I7)/48</f>
        <v>1813.4518354649999</v>
      </c>
      <c r="N7" s="30">
        <f>((((I7*D19)*5)+I7)/60)</f>
        <v>1499.5972429649999</v>
      </c>
      <c r="O7" s="118"/>
      <c r="P7" s="2">
        <f>H7+H16</f>
        <v>19622.189123100001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69900</v>
      </c>
      <c r="C8" s="32">
        <f>IF(L20="YES",N20,IF(L20="NO",N20))</f>
        <v>69900</v>
      </c>
      <c r="D8" s="29">
        <v>0</v>
      </c>
      <c r="E8" s="33"/>
      <c r="F8" s="188"/>
      <c r="G8" s="189"/>
      <c r="H8" s="110">
        <f>G7*20/100</f>
        <v>18831.275549999998</v>
      </c>
      <c r="I8" s="34"/>
      <c r="J8" s="34" t="s">
        <v>15</v>
      </c>
      <c r="K8" s="34">
        <f>(I7*K5+I7)/24</f>
        <v>3138.5459249999999</v>
      </c>
      <c r="L8" s="34">
        <f>(I7*L5+I7)/36</f>
        <v>2163.2950879049999</v>
      </c>
      <c r="M8" s="34">
        <f>(I7*M5+I7)/48</f>
        <v>1675.6696693574997</v>
      </c>
      <c r="N8" s="34">
        <f>(I7*N5+I7)/60</f>
        <v>1383.094418229</v>
      </c>
      <c r="O8" s="118">
        <v>0</v>
      </c>
      <c r="P8" s="2">
        <f>P7/12</f>
        <v>1635.1824269250001</v>
      </c>
      <c r="T8" s="1">
        <f>25973-12973</f>
        <v>13000</v>
      </c>
    </row>
    <row r="9" spans="1:27" ht="25.5" x14ac:dyDescent="0.35">
      <c r="A9" s="8">
        <f>B8/(100%-A8)</f>
        <v>87375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2930.1464755799971</v>
      </c>
      <c r="K9" s="38">
        <f>(K7*24)-I7</f>
        <v>5860.2929511599941</v>
      </c>
      <c r="L9" s="38">
        <f>(L7*36)-I7</f>
        <v>8790.4394267400057</v>
      </c>
      <c r="M9" s="38">
        <f>(M7*48)-I7</f>
        <v>11720.585902320003</v>
      </c>
      <c r="N9" s="38">
        <f>(N7*60)-I7</f>
        <v>14650.7323779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2553.520964580006</v>
      </c>
      <c r="M10" s="41">
        <f>(M8*48)-I7</f>
        <v>5107.0419291599974</v>
      </c>
      <c r="N10" s="41">
        <f>(N8*60)-I7</f>
        <v>7660.5628937400033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17831.275549999998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88480.817999999999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1569.2729625000002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2896.3777500000001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6277.0918499999998</v>
      </c>
      <c r="L14" s="44">
        <f>(H8*L12+H8)/12</f>
        <v>1651.6597930312498</v>
      </c>
      <c r="M14" s="44">
        <f>(H8*M12+H8)/24</f>
        <v>883.50067788749993</v>
      </c>
      <c r="N14" s="165">
        <f>(H7*N12+H7)/60</f>
        <v>396.24142303125001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2227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790.91357310000001</v>
      </c>
      <c r="I16" s="33"/>
      <c r="J16" s="44" t="s">
        <v>16</v>
      </c>
      <c r="K16" s="44">
        <f>(K14*3)-H8</f>
        <v>0</v>
      </c>
      <c r="L16" s="44">
        <f>(L14*12)-H8</f>
        <v>988.64196637499845</v>
      </c>
      <c r="M16" s="44">
        <f>(M14*24)-H8</f>
        <v>2372.7407192999999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2357</v>
      </c>
      <c r="B17" s="37"/>
      <c r="C17" s="20"/>
      <c r="D17" s="29">
        <f>SUM(D10:D16)</f>
        <v>20086.37775</v>
      </c>
      <c r="E17" s="48"/>
      <c r="F17" s="48"/>
      <c r="G17" s="54"/>
      <c r="H17" s="33">
        <f>+SUM(H12:H16)+(H7)</f>
        <v>20537.189123100001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2201.85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47.983561643835614</v>
      </c>
      <c r="K19" s="37"/>
      <c r="L19" s="37"/>
      <c r="M19" s="37"/>
      <c r="N19" s="34">
        <f>D7</f>
        <v>73395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87570</v>
      </c>
      <c r="V19" s="157">
        <f>(B7+D10+D11+D12+D13+D16)*1.05</f>
        <v>87570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69900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2201.85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2383.0979208524996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51.592535753424663</v>
      </c>
      <c r="I24" s="145">
        <f>H7+H12+H16</f>
        <v>20222.189123100001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3151.2570359962497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3F25576-CB7B-4610-AF81-D18DC96299EA}">
      <formula1>"ALAA HAMMAD,KHALED QASSEM,RAMY RAOUF,SIMON LOBO,MHAREN CLEMENTE GARADO"</formula1>
    </dataValidation>
    <dataValidation type="list" allowBlank="1" showInputMessage="1" showErrorMessage="1" sqref="M34" xr:uid="{A1398AB4-5579-47EB-84B1-3046BACAEFC6}">
      <formula1>"Alaa Hammad,Bachir Ibrahim Mourad,Khaled Qassem,Ramy Raoof,Simon Lobo,Mharen Clemente Garado,Ranjith"</formula1>
    </dataValidation>
    <dataValidation type="list" allowBlank="1" showInputMessage="1" showErrorMessage="1" sqref="B11" xr:uid="{BA13ADE4-4636-40B9-A425-8588BAD72E87}">
      <formula1>"FO Ceramic+ Intr&amp;Extr CeramicGold WdwTnt,FO Mirror Camera Sensor"</formula1>
    </dataValidation>
    <dataValidation type="list" allowBlank="1" showInputMessage="1" showErrorMessage="1" sqref="B12" xr:uid="{795616FB-4E41-4732-AF5E-E660B418FEFF}">
      <formula1>"FO Exterior ceramic All Cars SCOTCHGUARD,FO Mirror Camera Sensor,FO PPF Gold Package "</formula1>
    </dataValidation>
    <dataValidation type="list" allowBlank="1" showInputMessage="1" showErrorMessage="1" sqref="K20" xr:uid="{940E1A67-A9E1-4F7A-970D-68918F8385B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CCF4AF9-3E4E-4F16-A0BA-B2CAE55AEAA5}">
      <formula1>"RMC-10-40KMS,RMC-10-60KMS,RMC-10-70KMS,RMC-10-100000KMS,RMC-40-70KMS,RMC-40-100000KMS"</formula1>
    </dataValidation>
    <dataValidation type="list" allowBlank="1" showInputMessage="1" showErrorMessage="1" sqref="K24" xr:uid="{8928B528-ACEB-4E23-A0CF-BB8F92A88953}">
      <formula1>"RMC-10-70K,RMC-10-100000K,RMC-40-70K"</formula1>
    </dataValidation>
    <dataValidation type="list" allowBlank="1" showInputMessage="1" showErrorMessage="1" sqref="D5" xr:uid="{F26CE11F-708D-47B0-B8CB-858E416D57F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CDB0083-0B95-48BE-9001-35A28086BCD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3A300B-1BB2-475B-8D35-14247FF8C14C}">
      <formula1>"YES,NO"</formula1>
    </dataValidation>
    <dataValidation type="list" allowBlank="1" showInputMessage="1" showErrorMessage="1" sqref="K21" xr:uid="{35F0D139-BC11-47B0-A305-5F36A824757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2206-73DC-450D-A11F-B37C422EBAC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P-01</v>
      </c>
      <c r="D5" s="19" t="s">
        <v>103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10538.975559942499</v>
      </c>
      <c r="S5" s="151"/>
      <c r="U5" s="151">
        <f>L7+L14</f>
        <v>4351.1767800414582</v>
      </c>
      <c r="V5" s="151">
        <f>M7+M14</f>
        <v>2942.4074659362495</v>
      </c>
      <c r="W5" s="151">
        <f>N7+N14</f>
        <v>2068.3826717081251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3438.0591367081247</v>
      </c>
      <c r="V6" s="170">
        <f>N7+K14</f>
        <v>8484.4608624424982</v>
      </c>
      <c r="W6" s="170" t="e">
        <f>N7+J14</f>
        <v>#VALUE!</v>
      </c>
    </row>
    <row r="7" spans="1:27" ht="26.25" thickBot="1" x14ac:dyDescent="0.4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168">
        <f>B7+C7</f>
        <v>81690</v>
      </c>
      <c r="E7" s="29">
        <f>D17</f>
        <v>20360.734875000002</v>
      </c>
      <c r="F7" s="29">
        <f>(C7)+(D10+D11+D12+D13+D16)*5/100</f>
        <v>4565</v>
      </c>
      <c r="G7" s="30">
        <f>B7+E7+F7</f>
        <v>102725.73487499999</v>
      </c>
      <c r="H7" s="29">
        <f>G7*D20</f>
        <v>20545.146975</v>
      </c>
      <c r="I7" s="30">
        <f>(G7-H7)</f>
        <v>82180.587899999999</v>
      </c>
      <c r="J7" s="30">
        <f>(((I7*D19)*1)+I7)/12</f>
        <v>7114.7843974425004</v>
      </c>
      <c r="K7" s="30">
        <f>(((I7*D19)*2)+I7)/24</f>
        <v>3690.5932349425002</v>
      </c>
      <c r="L7" s="30">
        <f>(((I7*D19)*3)+I7)/36</f>
        <v>2549.1961807758335</v>
      </c>
      <c r="M7" s="30">
        <f>(((I7*D19)*4)+I7)/48</f>
        <v>1978.4976536924999</v>
      </c>
      <c r="N7" s="30">
        <f>((((I7*D19)*5)+I7)/60)</f>
        <v>1636.0785374425</v>
      </c>
      <c r="O7" s="118"/>
      <c r="P7" s="2">
        <f>H7+H16</f>
        <v>21408.04314795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77800</v>
      </c>
      <c r="C8" s="32">
        <f>IF(L20="YES",N20,IF(L20="NO",N20))</f>
        <v>77800</v>
      </c>
      <c r="D8" s="29">
        <v>0</v>
      </c>
      <c r="E8" s="33"/>
      <c r="F8" s="188"/>
      <c r="G8" s="189"/>
      <c r="H8" s="110">
        <f>G7*20/100</f>
        <v>20545.146974999996</v>
      </c>
      <c r="I8" s="34"/>
      <c r="J8" s="34" t="s">
        <v>15</v>
      </c>
      <c r="K8" s="34">
        <f>(I7*K5+I7)/24</f>
        <v>3424.1911624999998</v>
      </c>
      <c r="L8" s="34">
        <f>(I7*L5+I7)/36</f>
        <v>2360.1808286058335</v>
      </c>
      <c r="M8" s="34">
        <f>(I7*M5+I7)/48</f>
        <v>1828.17566165875</v>
      </c>
      <c r="N8" s="34">
        <f>(I7*N5+I7)/60</f>
        <v>1508.9725614904999</v>
      </c>
      <c r="O8" s="118">
        <v>0</v>
      </c>
      <c r="P8" s="2">
        <f>P7/12</f>
        <v>1784.0035956624999</v>
      </c>
      <c r="T8" s="1">
        <f>25973-12973</f>
        <v>13000</v>
      </c>
    </row>
    <row r="9" spans="1:27" ht="25.5" x14ac:dyDescent="0.35">
      <c r="A9" s="8">
        <f>B8/(100%-A8)</f>
        <v>97250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3196.8248693100031</v>
      </c>
      <c r="K9" s="38">
        <f>(K7*24)-I7</f>
        <v>6393.6497386200062</v>
      </c>
      <c r="L9" s="38">
        <f>(L7*36)-I7</f>
        <v>9590.4746079300094</v>
      </c>
      <c r="M9" s="38">
        <f>(M7*48)-I7</f>
        <v>12787.299477239998</v>
      </c>
      <c r="N9" s="38">
        <f>(N7*60)-I7</f>
        <v>15984.124346550001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2785.921929810007</v>
      </c>
      <c r="M10" s="41">
        <f>(M8*48)-I7</f>
        <v>5571.8438596199994</v>
      </c>
      <c r="N10" s="41">
        <f>(N8*60)-I7</f>
        <v>8357.7657894299919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19545.146974999996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98480.796000000002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1712.0955812499999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3170.7348750000001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6848.3823249999987</v>
      </c>
      <c r="L14" s="44">
        <f>(H8*L12+H8)/12</f>
        <v>1801.9805992656247</v>
      </c>
      <c r="M14" s="44">
        <f>(H8*M12+H8)/24</f>
        <v>963.9098122437498</v>
      </c>
      <c r="N14" s="165">
        <f>(H7*N12+H7)/60</f>
        <v>432.30413426562501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2464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862.89617295000005</v>
      </c>
      <c r="I16" s="33"/>
      <c r="J16" s="44" t="s">
        <v>16</v>
      </c>
      <c r="K16" s="44">
        <f>(K14*3)-H8</f>
        <v>0</v>
      </c>
      <c r="L16" s="44">
        <f>(L14*12)-H8</f>
        <v>1078.6202161875008</v>
      </c>
      <c r="M16" s="44">
        <f>(M14*24)-H8</f>
        <v>2588.6885188499982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2594</v>
      </c>
      <c r="B17" s="37"/>
      <c r="C17" s="20"/>
      <c r="D17" s="29">
        <f>SUM(D10:D16)</f>
        <v>20360.734875000002</v>
      </c>
      <c r="E17" s="48"/>
      <c r="F17" s="48"/>
      <c r="G17" s="54"/>
      <c r="H17" s="33">
        <f>+SUM(H12:H16)+(H7)</f>
        <v>22323.04314795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2450.6999999999998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52.528767123287672</v>
      </c>
      <c r="K19" s="37"/>
      <c r="L19" s="37"/>
      <c r="M19" s="37"/>
      <c r="N19" s="34">
        <f>D7</f>
        <v>81690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95865</v>
      </c>
      <c r="V19" s="157">
        <f>(B7+D10+D11+D12+D13+D16)*1.05</f>
        <v>95865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77800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2450.6999999999998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2599.9883496862499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56.288073904109588</v>
      </c>
      <c r="I24" s="145">
        <f>H7+H12+H16</f>
        <v>22008.04314795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3438.0591367081247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D53ED190-1199-4C97-8FB3-F0908F974CC6}">
      <formula1>"ALAA HAMMAD,KHALED QASSEM,RAMY RAOUF,SIMON LOBO,MHAREN CLEMENTE GARADO"</formula1>
    </dataValidation>
    <dataValidation type="list" allowBlank="1" showInputMessage="1" showErrorMessage="1" sqref="M34" xr:uid="{1F81F778-2772-42E5-9445-04A62D02E317}">
      <formula1>"Alaa Hammad,Bachir Ibrahim Mourad,Khaled Qassem,Ramy Raoof,Simon Lobo,Mharen Clemente Garado,Ranjith"</formula1>
    </dataValidation>
    <dataValidation type="list" allowBlank="1" showInputMessage="1" showErrorMessage="1" sqref="B11" xr:uid="{03774AB9-0A3C-4CF5-93CC-C069D993ECC9}">
      <formula1>"FO Ceramic+ Intr&amp;Extr CeramicGold WdwTnt,FO Mirror Camera Sensor"</formula1>
    </dataValidation>
    <dataValidation type="list" allowBlank="1" showInputMessage="1" showErrorMessage="1" sqref="B12" xr:uid="{901B227C-FEC6-4DB1-9084-47BA0008D184}">
      <formula1>"FO Exterior ceramic All Cars SCOTCHGUARD,FO Mirror Camera Sensor,FO PPF Gold Package "</formula1>
    </dataValidation>
    <dataValidation type="list" allowBlank="1" showInputMessage="1" showErrorMessage="1" sqref="K20" xr:uid="{5073F5C3-6627-415B-985E-CE515A949B3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14CCAA5-7F8A-4724-9C3B-D01D881FE6F9}">
      <formula1>"RMC-10-40KMS,RMC-10-60KMS,RMC-10-70KMS,RMC-10-100000KMS,RMC-40-70KMS,RMC-40-100000KMS"</formula1>
    </dataValidation>
    <dataValidation type="list" allowBlank="1" showInputMessage="1" showErrorMessage="1" sqref="K24" xr:uid="{E7AB3507-BC6C-4925-BA8D-C1389AEC5DB9}">
      <formula1>"RMC-10-70K,RMC-10-100000K,RMC-40-70K"</formula1>
    </dataValidation>
    <dataValidation type="list" allowBlank="1" showInputMessage="1" showErrorMessage="1" sqref="D5" xr:uid="{3D7DF99F-5083-47DF-868D-6019701ACE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C6427D-F4A8-4C19-BCC2-F659114C297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8C49599-B0D0-4FA2-8F5B-A7BFDF2DA1DC}">
      <formula1>"YES,NO"</formula1>
    </dataValidation>
    <dataValidation type="list" allowBlank="1" showInputMessage="1" showErrorMessage="1" sqref="K21" xr:uid="{0BEAD2B8-5847-4193-8946-E81AA40234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3C2-C206-43E9-BE1E-586414D564F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Cross</v>
      </c>
      <c r="D5" s="19" t="s">
        <v>104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11329.10572134</v>
      </c>
      <c r="S5" s="151"/>
      <c r="U5" s="151">
        <f>L7+L14</f>
        <v>4677.394066715</v>
      </c>
      <c r="V5" s="151">
        <f>M7+M14</f>
        <v>3163.00622079</v>
      </c>
      <c r="W5" s="151">
        <f>N7+N14</f>
        <v>2223.453866715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3695.8179867150002</v>
      </c>
      <c r="V6" s="170">
        <f>N7+K14</f>
        <v>9120.5595413400006</v>
      </c>
      <c r="W6" s="170" t="e">
        <f>N7+J14</f>
        <v>#VALUE!</v>
      </c>
    </row>
    <row r="7" spans="1:27" ht="26.25" thickBot="1" x14ac:dyDescent="0.4">
      <c r="A7" s="6">
        <f>B8</f>
        <v>84900</v>
      </c>
      <c r="B7" s="29">
        <f>IF(L20="YES",C8*1,IF(L20="NO",B8*1))</f>
        <v>84900</v>
      </c>
      <c r="C7" s="29">
        <f>B7*5/100</f>
        <v>4245</v>
      </c>
      <c r="D7" s="168">
        <f>B7+C7</f>
        <v>89145</v>
      </c>
      <c r="E7" s="29">
        <f>D17</f>
        <v>20607.309000000001</v>
      </c>
      <c r="F7" s="29">
        <f>(C7)+(D10+D11+D12+D13+D16)*5/100</f>
        <v>4920</v>
      </c>
      <c r="G7" s="30">
        <f>B7+E7+F7</f>
        <v>110427.30900000001</v>
      </c>
      <c r="H7" s="29">
        <f>G7*D20</f>
        <v>22085.461800000005</v>
      </c>
      <c r="I7" s="30">
        <f>(G7-H7)</f>
        <v>88341.847200000004</v>
      </c>
      <c r="J7" s="30">
        <f>(((I7*D19)*1)+I7)/12</f>
        <v>7648.1954213399995</v>
      </c>
      <c r="K7" s="30">
        <f>(((I7*D19)*2)+I7)/24</f>
        <v>3967.2851213400004</v>
      </c>
      <c r="L7" s="30">
        <f>(((I7*D19)*3)+I7)/36</f>
        <v>2740.3150213399999</v>
      </c>
      <c r="M7" s="30">
        <f>(((I7*D19)*4)+I7)/48</f>
        <v>2126.8299713400002</v>
      </c>
      <c r="N7" s="30">
        <f>((((I7*D19)*5)+I7)/60)</f>
        <v>1758.7389413400001</v>
      </c>
      <c r="O7" s="118"/>
      <c r="P7" s="2">
        <f>H7+H16</f>
        <v>23013.051195600005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84900</v>
      </c>
      <c r="C8" s="32">
        <f>IF(L20="YES",N20,IF(L20="NO",N20))</f>
        <v>84900</v>
      </c>
      <c r="D8" s="29">
        <v>0</v>
      </c>
      <c r="E8" s="33"/>
      <c r="F8" s="188"/>
      <c r="G8" s="189"/>
      <c r="H8" s="110">
        <f>G7*20/100</f>
        <v>22085.461800000001</v>
      </c>
      <c r="I8" s="34"/>
      <c r="J8" s="34" t="s">
        <v>15</v>
      </c>
      <c r="K8" s="34">
        <f>(I7*K5+I7)/24</f>
        <v>3680.9103</v>
      </c>
      <c r="L8" s="34">
        <f>(I7*L5+I7)/36</f>
        <v>2537.12877278</v>
      </c>
      <c r="M8" s="34">
        <f>(I7*M5+I7)/48</f>
        <v>1965.2380091699999</v>
      </c>
      <c r="N8" s="34">
        <f>(I7*N5+I7)/60</f>
        <v>1622.1035510039999</v>
      </c>
      <c r="O8" s="118">
        <v>0</v>
      </c>
      <c r="P8" s="2">
        <f>P7/12</f>
        <v>1917.7542663000004</v>
      </c>
      <c r="T8" s="1">
        <f>25973-12973</f>
        <v>13000</v>
      </c>
    </row>
    <row r="9" spans="1:27" ht="25.5" x14ac:dyDescent="0.35">
      <c r="A9" s="8">
        <f>B8/(100%-A8)</f>
        <v>106125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3436.4978560799937</v>
      </c>
      <c r="K9" s="38">
        <f>(K7*24)-I7</f>
        <v>6872.9957121600019</v>
      </c>
      <c r="L9" s="38">
        <f>(L7*36)-I7</f>
        <v>10309.493568239996</v>
      </c>
      <c r="M9" s="38">
        <f>(M7*48)-I7</f>
        <v>13745.991424320004</v>
      </c>
      <c r="N9" s="38">
        <f>(N7*60)-I7</f>
        <v>17182.489280399997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2994.7886200799985</v>
      </c>
      <c r="M10" s="41">
        <f>(M8*48)-I7</f>
        <v>5989.577240159997</v>
      </c>
      <c r="N10" s="41">
        <f>(N8*60)-I7</f>
        <v>8984.3658602399955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21085.461800000001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107468.118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1840.4551500000005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3417.3090000000002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7361.8206</v>
      </c>
      <c r="L14" s="44">
        <f>(H8*L12+H8)/12</f>
        <v>1937.0790453750003</v>
      </c>
      <c r="M14" s="44">
        <f>(H8*M12+H8)/24</f>
        <v>1036.1762494500001</v>
      </c>
      <c r="N14" s="165">
        <f>(H7*N12+H7)/60</f>
        <v>464.71492537500012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2677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927.5893956000001</v>
      </c>
      <c r="I16" s="33"/>
      <c r="J16" s="44" t="s">
        <v>16</v>
      </c>
      <c r="K16" s="44">
        <f>(K14*3)-H8</f>
        <v>0</v>
      </c>
      <c r="L16" s="44">
        <f>(L14*12)-H8</f>
        <v>1159.4867445000018</v>
      </c>
      <c r="M16" s="44">
        <f>(M14*24)-H8</f>
        <v>2782.7681868000036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2807</v>
      </c>
      <c r="B17" s="37"/>
      <c r="C17" s="20"/>
      <c r="D17" s="29">
        <f>SUM(D10:D16)</f>
        <v>20607.309000000001</v>
      </c>
      <c r="E17" s="48"/>
      <c r="F17" s="48"/>
      <c r="G17" s="54"/>
      <c r="H17" s="33">
        <f>+SUM(H12:H16)+(H7)</f>
        <v>23928.051195600005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2674.35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56.613698630136987</v>
      </c>
      <c r="K19" s="37"/>
      <c r="L19" s="37"/>
      <c r="M19" s="37"/>
      <c r="N19" s="34">
        <f>D7</f>
        <v>89145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103320</v>
      </c>
      <c r="V19" s="157">
        <f>(B7+D10+D11+D12+D13+D16)*1.05</f>
        <v>103320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2674.35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2794.9151907900005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60.508114520547956</v>
      </c>
      <c r="I24" s="145">
        <f>H7+H12+H16</f>
        <v>23613.051195600005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3695.8179867150002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FAE4F8E-0806-4698-85D5-ADF8FBC677BF}">
      <formula1>"ALAA HAMMAD,KHALED QASSEM,RAMY RAOUF,SIMON LOBO,MHAREN CLEMENTE GARADO"</formula1>
    </dataValidation>
    <dataValidation type="list" allowBlank="1" showInputMessage="1" showErrorMessage="1" sqref="M34" xr:uid="{3AD36224-DD51-4BD9-9A09-7622675D2BCE}">
      <formula1>"Alaa Hammad,Bachir Ibrahim Mourad,Khaled Qassem,Ramy Raoof,Simon Lobo,Mharen Clemente Garado,Ranjith"</formula1>
    </dataValidation>
    <dataValidation type="list" allowBlank="1" showInputMessage="1" showErrorMessage="1" sqref="B11" xr:uid="{F1E0E77C-EF18-4CDD-B67F-FA623273689A}">
      <formula1>"FO Ceramic+ Intr&amp;Extr CeramicGold WdwTnt,FO Mirror Camera Sensor"</formula1>
    </dataValidation>
    <dataValidation type="list" allowBlank="1" showInputMessage="1" showErrorMessage="1" sqref="B12" xr:uid="{1984B292-1EEF-42E4-B5E8-82AB14783446}">
      <formula1>"FO Exterior ceramic All Cars SCOTCHGUARD,FO Mirror Camera Sensor,FO PPF Gold Package "</formula1>
    </dataValidation>
    <dataValidation type="list" allowBlank="1" showInputMessage="1" showErrorMessage="1" sqref="K20" xr:uid="{57DABEAA-DE17-4E60-AC28-530A1B2DB37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2253D41-9216-47C1-BDBC-80E323286DF4}">
      <formula1>"RMC-10-40KMS,RMC-10-60KMS,RMC-10-70KMS,RMC-10-100000KMS,RMC-40-70KMS,RMC-40-100000KMS"</formula1>
    </dataValidation>
    <dataValidation type="list" allowBlank="1" showInputMessage="1" showErrorMessage="1" sqref="K24" xr:uid="{E6546AF3-F11D-4511-849A-AF4C363C1C1A}">
      <formula1>"RMC-10-70K,RMC-10-100000K,RMC-40-70K"</formula1>
    </dataValidation>
    <dataValidation type="list" allowBlank="1" showInputMessage="1" showErrorMessage="1" sqref="D5" xr:uid="{4B13367D-0D8E-4695-A97D-2A69FBABF5A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ED8D43E5-561B-45D7-BC94-80177C543FD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3A4E19D-D69A-4361-973A-734FBDB96397}">
      <formula1>"YES,NO"</formula1>
    </dataValidation>
    <dataValidation type="list" allowBlank="1" showInputMessage="1" showErrorMessage="1" sqref="K21" xr:uid="{67DA0608-B365-4273-8952-23F1AB3CC20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AEBF-C849-4E53-84FB-E7C001DDCB93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P10</v>
      </c>
      <c r="D5" s="19" t="s">
        <v>172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12440.293704299998</v>
      </c>
      <c r="S5" s="151"/>
      <c r="U5" s="151">
        <f>L7+L14</f>
        <v>5136.1649711749997</v>
      </c>
      <c r="V5" s="151">
        <f>M7+M14</f>
        <v>3473.24204955</v>
      </c>
      <c r="W5" s="151">
        <f>N7+N14</f>
        <v>2441.5359711750002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4058.3133711749997</v>
      </c>
      <c r="V6" s="170">
        <f>N7+K14</f>
        <v>10015.1276043</v>
      </c>
      <c r="W6" s="170" t="e">
        <f>N7+J14</f>
        <v>#VALUE!</v>
      </c>
    </row>
    <row r="7" spans="1:27" ht="26.25" thickBot="1" x14ac:dyDescent="0.4">
      <c r="A7" s="6">
        <f>B8</f>
        <v>93900</v>
      </c>
      <c r="B7" s="29">
        <f>IF(L20="YES",C8*1,IF(L20="NO",B8*1))</f>
        <v>93900</v>
      </c>
      <c r="C7" s="29">
        <f>B7*5/100</f>
        <v>4695</v>
      </c>
      <c r="D7" s="168">
        <f>B7+C7</f>
        <v>98595</v>
      </c>
      <c r="E7" s="29">
        <f>D17</f>
        <v>21958.305</v>
      </c>
      <c r="F7" s="29">
        <f>(C7)+(D10+D11+D12+D13+D16)*5/100</f>
        <v>5400</v>
      </c>
      <c r="G7" s="30">
        <f>B7+E7+F7</f>
        <v>121258.30499999999</v>
      </c>
      <c r="H7" s="29">
        <f>G7*D20</f>
        <v>24251.661</v>
      </c>
      <c r="I7" s="30">
        <f>(G7-H7)</f>
        <v>97006.644</v>
      </c>
      <c r="J7" s="30">
        <f>(((I7*D19)*1)+I7)/12</f>
        <v>8398.3502042999989</v>
      </c>
      <c r="K7" s="30">
        <f>(((I7*D19)*2)+I7)/24</f>
        <v>4356.4067043000005</v>
      </c>
      <c r="L7" s="30">
        <f>(((I7*D19)*3)+I7)/36</f>
        <v>3009.0922043</v>
      </c>
      <c r="M7" s="30">
        <f>(((I7*D19)*4)+I7)/48</f>
        <v>2335.4349543000003</v>
      </c>
      <c r="N7" s="30">
        <f>((((I7*D19)*5)+I7)/60)</f>
        <v>1931.2406043000001</v>
      </c>
      <c r="O7" s="118"/>
      <c r="P7" s="2">
        <f>H7+H16</f>
        <v>25270.230761999999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93900</v>
      </c>
      <c r="C8" s="32">
        <f>IF(L20="YES",N20,IF(L20="NO",N20))</f>
        <v>93900</v>
      </c>
      <c r="D8" s="29">
        <v>0</v>
      </c>
      <c r="E8" s="33"/>
      <c r="F8" s="188"/>
      <c r="G8" s="189"/>
      <c r="H8" s="110">
        <f>G7*20/100</f>
        <v>24251.660999999996</v>
      </c>
      <c r="I8" s="34"/>
      <c r="J8" s="34" t="s">
        <v>15</v>
      </c>
      <c r="K8" s="34">
        <f>(I7*K5+I7)/24</f>
        <v>4041.9434999999999</v>
      </c>
      <c r="L8" s="34">
        <f>(I7*L5+I7)/36</f>
        <v>2785.9769231</v>
      </c>
      <c r="M8" s="34">
        <f>(I7*M5+I7)/48</f>
        <v>2157.9936346499999</v>
      </c>
      <c r="N8" s="34">
        <f>(I7*N5+I7)/60</f>
        <v>1781.20366158</v>
      </c>
      <c r="O8" s="118">
        <v>0</v>
      </c>
      <c r="P8" s="2">
        <f>P7/12</f>
        <v>2105.8525635000001</v>
      </c>
      <c r="T8" s="1">
        <f>25973-12973</f>
        <v>13000</v>
      </c>
    </row>
    <row r="9" spans="1:27" ht="25.5" x14ac:dyDescent="0.35">
      <c r="A9" s="8">
        <f>B8/(100%-A8)</f>
        <v>117375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3773.5584515999944</v>
      </c>
      <c r="K9" s="38">
        <f>(K7*24)-I7</f>
        <v>7547.116903200018</v>
      </c>
      <c r="L9" s="38">
        <f>(L7*36)-I7</f>
        <v>11320.675354799998</v>
      </c>
      <c r="M9" s="38">
        <f>(M7*48)-I7</f>
        <v>15094.233806400007</v>
      </c>
      <c r="N9" s="38">
        <f>(N7*60)-I7</f>
        <v>18867.792258000001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3288.5252315999969</v>
      </c>
      <c r="M10" s="41">
        <f>(M8*48)-I7</f>
        <v>6577.0504631999938</v>
      </c>
      <c r="N10" s="41">
        <f>(N8*60)-I7</f>
        <v>9865.5756948000053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4107.6000000000004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23251.660999999996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118860.49799999999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2020.9717499999999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3750.7049999999999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8083.8869999999988</v>
      </c>
      <c r="L14" s="44">
        <f>(H8*L12+H8)/12</f>
        <v>2127.0727668749996</v>
      </c>
      <c r="M14" s="44">
        <f>(H8*M12+H8)/24</f>
        <v>1137.80709525</v>
      </c>
      <c r="N14" s="165">
        <f>(H7*N12+H7)/60</f>
        <v>510.29536687500001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2947</v>
      </c>
      <c r="B15" s="37" t="s">
        <v>27</v>
      </c>
      <c r="C15" s="20" t="s">
        <v>19</v>
      </c>
      <c r="D15" s="29">
        <f>IF(C15="YES",O10,IF(C15="NO",0))</f>
        <v>4107.6000000000004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1018.5697620000001</v>
      </c>
      <c r="I16" s="33"/>
      <c r="J16" s="44" t="s">
        <v>16</v>
      </c>
      <c r="K16" s="44">
        <f>(K14*3)-H8</f>
        <v>0</v>
      </c>
      <c r="L16" s="44">
        <f>(L14*12)-H8</f>
        <v>1273.212202499999</v>
      </c>
      <c r="M16" s="44">
        <f>(M14*24)-H8</f>
        <v>3055.7092860000012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3077</v>
      </c>
      <c r="B17" s="37"/>
      <c r="C17" s="20"/>
      <c r="D17" s="29">
        <f>SUM(D10:D16)</f>
        <v>21958.305</v>
      </c>
      <c r="E17" s="48"/>
      <c r="F17" s="48"/>
      <c r="G17" s="54"/>
      <c r="H17" s="33">
        <f>+SUM(H12:H16)+(H7)</f>
        <v>26185.230761999999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2957.85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62.136986301369866</v>
      </c>
      <c r="K19" s="37"/>
      <c r="L19" s="37"/>
      <c r="M19" s="37"/>
      <c r="N19" s="34">
        <f>D7</f>
        <v>98595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113400</v>
      </c>
      <c r="V19" s="157">
        <f>(B7+D10+D11+D12+D13+D16)*1.05</f>
        <v>113400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2957.85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3069.0476995500003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66.442906849315065</v>
      </c>
      <c r="I24" s="145">
        <f>H7+H12+H16</f>
        <v>25870.230761999999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4058.3133711749997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28EDD70-9BCD-4A01-B71C-7B31CBD2DBB2}">
      <formula1>"ALAA HAMMAD,KHALED QASSEM,RAMY RAOUF,SIMON LOBO,MHAREN CLEMENTE GARADO"</formula1>
    </dataValidation>
    <dataValidation type="list" allowBlank="1" showInputMessage="1" showErrorMessage="1" sqref="M34" xr:uid="{5A6541B8-AB59-4332-AE52-C3DB6EE097A1}">
      <formula1>"Alaa Hammad,Bachir Ibrahim Mourad,Khaled Qassem,Ramy Raoof,Simon Lobo,Mharen Clemente Garado,Ranjith"</formula1>
    </dataValidation>
    <dataValidation type="list" allowBlank="1" showInputMessage="1" showErrorMessage="1" sqref="B11" xr:uid="{84D77010-ABB9-47D4-9285-2F80FBF5B74D}">
      <formula1>"FO Ceramic+ Intr&amp;Extr CeramicGold WdwTnt,FO Mirror Camera Sensor"</formula1>
    </dataValidation>
    <dataValidation type="list" allowBlank="1" showInputMessage="1" showErrorMessage="1" sqref="B12" xr:uid="{40617387-4730-44D4-AF35-D751C372E408}">
      <formula1>"FO Exterior ceramic All Cars SCOTCHGUARD,FO Mirror Camera Sensor,FO PPF Gold Package "</formula1>
    </dataValidation>
    <dataValidation type="list" allowBlank="1" showInputMessage="1" showErrorMessage="1" sqref="K20" xr:uid="{5EAB25B4-2CE8-4F79-966A-EF7205C7B08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39FECEE-ABDA-426F-80D8-BEEBBBE6DA30}">
      <formula1>"RMC-10-40KMS,RMC-10-60KMS,RMC-10-70KMS,RMC-10-100000KMS,RMC-40-70KMS,RMC-40-100000KMS"</formula1>
    </dataValidation>
    <dataValidation type="list" allowBlank="1" showInputMessage="1" showErrorMessage="1" sqref="K24" xr:uid="{21899F88-BA08-4FAC-93F4-E5F98EAE5C4B}">
      <formula1>"RMC-10-70K,RMC-10-100000K,RMC-40-70K"</formula1>
    </dataValidation>
    <dataValidation type="list" allowBlank="1" showInputMessage="1" showErrorMessage="1" sqref="D5" xr:uid="{9346AE89-61BA-4B24-B5CD-B36F8E80E93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9C4F9E3-5B28-4527-9CE4-F61417F1EBDB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A58FECB-F758-4681-86B1-56D462E09D3E}">
      <formula1>"YES,NO"</formula1>
    </dataValidation>
    <dataValidation type="list" allowBlank="1" showInputMessage="1" showErrorMessage="1" sqref="K21" xr:uid="{6953C8E2-2276-48F2-BF9B-CE54B5DE58C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9EA1-A41F-44EA-A36C-FCE0CABDBC97}">
  <sheetPr>
    <pageSetUpPr fitToPage="1"/>
  </sheetPr>
  <dimension ref="A1:AA54"/>
  <sheetViews>
    <sheetView topLeftCell="B4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G10</v>
      </c>
      <c r="D5" s="19" t="s">
        <v>171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11064.143151600001</v>
      </c>
      <c r="S5" s="151"/>
      <c r="U5" s="151">
        <f>L7+L14</f>
        <v>4568.0002291000001</v>
      </c>
      <c r="V5" s="151">
        <f>M7+M14</f>
        <v>3089.0305446000002</v>
      </c>
      <c r="W5" s="151">
        <f>N7+N14</f>
        <v>2171.4522290999998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3609.3810291</v>
      </c>
      <c r="V6" s="170">
        <f>N7+K14</f>
        <v>8907.2499516000007</v>
      </c>
      <c r="W6" s="170" t="e">
        <f>N7+J14</f>
        <v>#VALUE!</v>
      </c>
    </row>
    <row r="7" spans="1:27" ht="26.25" thickBot="1" x14ac:dyDescent="0.4">
      <c r="A7" s="6">
        <f>B8</f>
        <v>81900</v>
      </c>
      <c r="B7" s="29">
        <f>IF(L20="YES",C8*1,IF(L20="NO",B8*1))</f>
        <v>81900</v>
      </c>
      <c r="C7" s="29">
        <f>B7*5/100</f>
        <v>4095</v>
      </c>
      <c r="D7" s="168">
        <f>B7+C7</f>
        <v>85995</v>
      </c>
      <c r="E7" s="29">
        <f>D17</f>
        <v>21144.66</v>
      </c>
      <c r="F7" s="29">
        <f>(C7)+(D10+D11+D12+D13+D16)*5/100</f>
        <v>4800</v>
      </c>
      <c r="G7" s="30">
        <f>B7+E7+F7</f>
        <v>107844.66</v>
      </c>
      <c r="H7" s="29">
        <f>G7*D20</f>
        <v>21568.932000000001</v>
      </c>
      <c r="I7" s="30">
        <f>(G7-H7)</f>
        <v>86275.728000000003</v>
      </c>
      <c r="J7" s="30">
        <f>(((I7*D19)*1)+I7)/12</f>
        <v>7469.3211516000001</v>
      </c>
      <c r="K7" s="30">
        <f>(((I7*D19)*2)+I7)/24</f>
        <v>3874.4991516000005</v>
      </c>
      <c r="L7" s="30">
        <f>(((I7*D19)*3)+I7)/36</f>
        <v>2676.2251516000001</v>
      </c>
      <c r="M7" s="30">
        <f>(((I7*D19)*4)+I7)/48</f>
        <v>2077.0881516000004</v>
      </c>
      <c r="N7" s="30">
        <f>((((I7*D19)*5)+I7)/60)</f>
        <v>1717.6059516</v>
      </c>
      <c r="O7" s="118"/>
      <c r="P7" s="2">
        <f>H7+H16</f>
        <v>22474.827144000003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81900</v>
      </c>
      <c r="C8" s="32">
        <f>IF(L20="YES",N20,IF(L20="NO",N20))</f>
        <v>81900</v>
      </c>
      <c r="D8" s="29">
        <v>0</v>
      </c>
      <c r="E8" s="33"/>
      <c r="F8" s="188"/>
      <c r="G8" s="189"/>
      <c r="H8" s="110">
        <f>G7*20/100</f>
        <v>21568.932000000001</v>
      </c>
      <c r="I8" s="34"/>
      <c r="J8" s="34" t="s">
        <v>15</v>
      </c>
      <c r="K8" s="34">
        <f>(I7*K5+I7)/24</f>
        <v>3594.8220000000001</v>
      </c>
      <c r="L8" s="34">
        <f>(I7*L5+I7)/36</f>
        <v>2477.7909772000003</v>
      </c>
      <c r="M8" s="34">
        <f>(I7*M5+I7)/48</f>
        <v>1919.2754658000001</v>
      </c>
      <c r="N8" s="34">
        <f>(I7*N5+I7)/60</f>
        <v>1584.1661589600001</v>
      </c>
      <c r="O8" s="118">
        <v>0</v>
      </c>
      <c r="P8" s="2">
        <f>P7/12</f>
        <v>1872.9022620000003</v>
      </c>
      <c r="T8" s="1">
        <f>25973-12973</f>
        <v>13000</v>
      </c>
    </row>
    <row r="9" spans="1:27" ht="25.5" x14ac:dyDescent="0.35">
      <c r="A9" s="8">
        <f>B8/(100%-A8)</f>
        <v>102375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3356.125819199995</v>
      </c>
      <c r="K9" s="38">
        <f>(K7*24)-I7</f>
        <v>6712.2516384000046</v>
      </c>
      <c r="L9" s="38">
        <f>(L7*36)-I7</f>
        <v>10068.3774576</v>
      </c>
      <c r="M9" s="38">
        <f>(M7*48)-I7</f>
        <v>13424.503276800009</v>
      </c>
      <c r="N9" s="38">
        <f>(N7*60)-I7</f>
        <v>16780.629096000004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2924.7471791999997</v>
      </c>
      <c r="M10" s="41">
        <f>(M8*48)-I7</f>
        <v>5849.4943583999993</v>
      </c>
      <c r="N10" s="41">
        <f>(N8*60)-I7</f>
        <v>8774.241537599999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3710.7000000000003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20568.932000000001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103670.658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1797.4110000000001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3333.96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7189.6440000000002</v>
      </c>
      <c r="L14" s="44">
        <f>(H8*L12+H8)/12</f>
        <v>1891.7750775000002</v>
      </c>
      <c r="M14" s="44">
        <f>(H8*M12+H8)/24</f>
        <v>1011.9423929999999</v>
      </c>
      <c r="N14" s="165">
        <f>(H7*N12+H7)/60</f>
        <v>453.84627749999999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2587</v>
      </c>
      <c r="B15" s="37" t="s">
        <v>27</v>
      </c>
      <c r="C15" s="20" t="s">
        <v>19</v>
      </c>
      <c r="D15" s="29">
        <f>IF(C15="YES",O10,IF(C15="NO",0))</f>
        <v>3710.7000000000003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905.89514400000007</v>
      </c>
      <c r="I16" s="33"/>
      <c r="J16" s="44" t="s">
        <v>16</v>
      </c>
      <c r="K16" s="44">
        <f>(K14*3)-H8</f>
        <v>0</v>
      </c>
      <c r="L16" s="44">
        <f>(L14*12)-H8</f>
        <v>1132.3689300000005</v>
      </c>
      <c r="M16" s="44">
        <f>(M14*24)-H8</f>
        <v>2717.6854319999984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2717</v>
      </c>
      <c r="B17" s="37"/>
      <c r="C17" s="20"/>
      <c r="D17" s="29">
        <f>SUM(D10:D16)</f>
        <v>21144.66</v>
      </c>
      <c r="E17" s="48"/>
      <c r="F17" s="48"/>
      <c r="G17" s="54"/>
      <c r="H17" s="33">
        <f>+SUM(H12:H16)+(H7)</f>
        <v>23389.827144000003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2579.85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55.232876712328768</v>
      </c>
      <c r="K19" s="37"/>
      <c r="L19" s="37"/>
      <c r="M19" s="37"/>
      <c r="N19" s="34">
        <f>D7</f>
        <v>85995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100800</v>
      </c>
      <c r="V19" s="157">
        <f>(B7+D10+D11+D12+D13+D16)*1.05</f>
        <v>100800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2579.85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2729.5483445999998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59.092964383561643</v>
      </c>
      <c r="I24" s="145">
        <f>H7+H12+H16</f>
        <v>23074.827144000003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3609.3810291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17984A7-B6ED-42AB-B6E1-7486DE1FEAD6}">
      <formula1>"ALAA HAMMAD,KHALED QASSEM,RAMY RAOUF,SIMON LOBO,MHAREN CLEMENTE GARADO"</formula1>
    </dataValidation>
    <dataValidation type="list" allowBlank="1" showInputMessage="1" showErrorMessage="1" sqref="M34" xr:uid="{A6354046-EB90-4E1A-B03B-DAC5D03FE808}">
      <formula1>"Alaa Hammad,Bachir Ibrahim Mourad,Khaled Qassem,Ramy Raoof,Simon Lobo,Mharen Clemente Garado,Ranjith"</formula1>
    </dataValidation>
    <dataValidation type="list" allowBlank="1" showInputMessage="1" showErrorMessage="1" sqref="B11" xr:uid="{F3EA185A-8B14-4506-BCDA-5061695EFD80}">
      <formula1>"FO Ceramic+ Intr&amp;Extr CeramicGold WdwTnt,FO Mirror Camera Sensor"</formula1>
    </dataValidation>
    <dataValidation type="list" allowBlank="1" showInputMessage="1" showErrorMessage="1" sqref="B12" xr:uid="{22E9B04B-ABE2-4D99-B653-B298DBAA576F}">
      <formula1>"FO Exterior ceramic All Cars SCOTCHGUARD,FO Mirror Camera Sensor,FO PPF Gold Package "</formula1>
    </dataValidation>
    <dataValidation type="list" allowBlank="1" showInputMessage="1" showErrorMessage="1" sqref="K20" xr:uid="{7610405E-C0EB-4360-AEF3-3B185A48AB1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6A6E480-4289-48FF-AA5F-678325819814}">
      <formula1>"RMC-10-40KMS,RMC-10-60KMS,RMC-10-70KMS,RMC-10-100000KMS,RMC-40-70KMS,RMC-40-100000KMS"</formula1>
    </dataValidation>
    <dataValidation type="list" allowBlank="1" showInputMessage="1" showErrorMessage="1" sqref="K24" xr:uid="{FFE33DA7-7FF0-4AED-944A-324BD0D1773A}">
      <formula1>"RMC-10-70K,RMC-10-100000K,RMC-40-70K"</formula1>
    </dataValidation>
    <dataValidation type="list" allowBlank="1" showInputMessage="1" showErrorMessage="1" sqref="D5" xr:uid="{46D6503C-37FD-4179-8218-B6762D0275A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EDE142-EB2B-4CD1-9F6D-2920754A387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9E34E35-93A8-493C-AB82-D214C83C2ACB}">
      <formula1>"YES,NO"</formula1>
    </dataValidation>
    <dataValidation type="list" allowBlank="1" showInputMessage="1" showErrorMessage="1" sqref="K21" xr:uid="{D644CF21-3F96-481F-B194-F1AD6B76A19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2012-CA48-405F-B843-CEEA61965DF2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G03</v>
      </c>
      <c r="D5" s="19" t="s">
        <v>170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12325.614491575001</v>
      </c>
      <c r="S5" s="151"/>
      <c r="U5" s="151">
        <f>L7+L14</f>
        <v>5088.8179093354165</v>
      </c>
      <c r="V5" s="151">
        <f>M7+M14</f>
        <v>3441.2244241375001</v>
      </c>
      <c r="W5" s="151">
        <f>N7+N14</f>
        <v>2419.0289926687501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4020.90234266875</v>
      </c>
      <c r="V6" s="170">
        <f>N7+K14</f>
        <v>9922.8044665750003</v>
      </c>
      <c r="W6" s="170" t="e">
        <f>N7+J14</f>
        <v>#VALUE!</v>
      </c>
    </row>
    <row r="7" spans="1:27" ht="26.25" thickBot="1" x14ac:dyDescent="0.4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168">
        <f>B7+C7</f>
        <v>97545</v>
      </c>
      <c r="E7" s="29">
        <f>D17</f>
        <v>21890.501250000001</v>
      </c>
      <c r="F7" s="29">
        <f>(C7)+(D10+D11+D12+D13+D16)*5/100</f>
        <v>5350</v>
      </c>
      <c r="G7" s="30">
        <f>B7+E7+F7</f>
        <v>120140.50125</v>
      </c>
      <c r="H7" s="29">
        <f>G7*D20</f>
        <v>24028.100250000003</v>
      </c>
      <c r="I7" s="30">
        <f>(G7-H7)</f>
        <v>96112.400999999998</v>
      </c>
      <c r="J7" s="30">
        <f>(((I7*D19)*1)+I7)/12</f>
        <v>8320.9311165749987</v>
      </c>
      <c r="K7" s="30">
        <f>(((I7*D19)*2)+I7)/24</f>
        <v>4316.247741575</v>
      </c>
      <c r="L7" s="30">
        <f>(((I7*D19)*3)+I7)/36</f>
        <v>2981.3532832416663</v>
      </c>
      <c r="M7" s="30">
        <f>(((I7*D19)*4)+I7)/48</f>
        <v>2313.9060540750002</v>
      </c>
      <c r="N7" s="30">
        <f>((((I7*D19)*5)+I7)/60)</f>
        <v>1913.437716575</v>
      </c>
      <c r="O7" s="118"/>
      <c r="P7" s="2">
        <f>H7+H16</f>
        <v>25037.280460500002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92900</v>
      </c>
      <c r="C8" s="32">
        <f>IF(L20="YES",N20,IF(L20="NO",N20))</f>
        <v>92900</v>
      </c>
      <c r="D8" s="29">
        <v>0</v>
      </c>
      <c r="E8" s="33"/>
      <c r="F8" s="188"/>
      <c r="G8" s="189"/>
      <c r="H8" s="110">
        <f>G7*20/100</f>
        <v>24028.10025</v>
      </c>
      <c r="I8" s="34"/>
      <c r="J8" s="34" t="s">
        <v>15</v>
      </c>
      <c r="K8" s="34">
        <f>(I7*K5+I7)/24</f>
        <v>4004.6833750000001</v>
      </c>
      <c r="L8" s="34">
        <f>(I7*L5+I7)/36</f>
        <v>2760.2947609416665</v>
      </c>
      <c r="M8" s="34">
        <f>(I7*M5+I7)/48</f>
        <v>2138.1004539125001</v>
      </c>
      <c r="N8" s="34">
        <f>(I7*N5+I7)/60</f>
        <v>1764.7838696949998</v>
      </c>
      <c r="O8" s="118">
        <v>0</v>
      </c>
      <c r="P8" s="2">
        <f>P7/12</f>
        <v>2086.4400383750003</v>
      </c>
      <c r="T8" s="1">
        <f>25973-12973</f>
        <v>13000</v>
      </c>
    </row>
    <row r="9" spans="1:27" ht="25.5" x14ac:dyDescent="0.35">
      <c r="A9" s="8">
        <f>B8/(100%-A8)</f>
        <v>116125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3738.7723988999933</v>
      </c>
      <c r="K9" s="38">
        <f>(K7*24)-I7</f>
        <v>7477.5447978000011</v>
      </c>
      <c r="L9" s="38">
        <f>(L7*36)-I7</f>
        <v>11216.317196699994</v>
      </c>
      <c r="M9" s="38">
        <f>(M7*48)-I7</f>
        <v>14955.089595600017</v>
      </c>
      <c r="N9" s="38">
        <f>(N7*60)-I7</f>
        <v>18693.861994499995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3258.2103938999935</v>
      </c>
      <c r="M10" s="41">
        <f>(M8*48)-I7</f>
        <v>6516.4207878000016</v>
      </c>
      <c r="N10" s="41">
        <f>(N8*60)-I7</f>
        <v>9774.6311816999951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4074.5250000000001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23028.10025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117594.678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2002.3416875000003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3715.9762500000002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8009.3667500000001</v>
      </c>
      <c r="L14" s="44">
        <f>(H8*L12+H8)/12</f>
        <v>2107.4646260937502</v>
      </c>
      <c r="M14" s="44">
        <f>(H8*M12+H8)/24</f>
        <v>1127.3183700625</v>
      </c>
      <c r="N14" s="165">
        <f>(H7*N12+H7)/60</f>
        <v>505.59127609375003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2917</v>
      </c>
      <c r="B15" s="37" t="s">
        <v>27</v>
      </c>
      <c r="C15" s="20" t="s">
        <v>19</v>
      </c>
      <c r="D15" s="29">
        <f>IF(C15="YES",O10,IF(C15="NO",0))</f>
        <v>4074.5250000000001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1009.1802105</v>
      </c>
      <c r="I16" s="33"/>
      <c r="J16" s="44" t="s">
        <v>16</v>
      </c>
      <c r="K16" s="44">
        <f>(K14*3)-H8</f>
        <v>0</v>
      </c>
      <c r="L16" s="44">
        <f>(L14*12)-H8</f>
        <v>1261.4752631250049</v>
      </c>
      <c r="M16" s="44">
        <f>(M14*24)-H8</f>
        <v>3027.5406315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3047</v>
      </c>
      <c r="B17" s="37"/>
      <c r="C17" s="20"/>
      <c r="D17" s="29">
        <f>SUM(D10:D16)</f>
        <v>21890.501250000001</v>
      </c>
      <c r="E17" s="48"/>
      <c r="F17" s="48"/>
      <c r="G17" s="54"/>
      <c r="H17" s="33">
        <f>+SUM(H12:H16)+(H7)</f>
        <v>25952.280460500002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2926.35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61.561643835616437</v>
      </c>
      <c r="K19" s="37"/>
      <c r="L19" s="37"/>
      <c r="M19" s="37"/>
      <c r="N19" s="34">
        <f>D7</f>
        <v>97545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112350</v>
      </c>
      <c r="V19" s="157">
        <f>(B7+D10+D11+D12+D13+D16)*1.05</f>
        <v>112350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2926.35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3040.7560866374997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65.830411643835632</v>
      </c>
      <c r="I24" s="145">
        <f>H7+H12+H16</f>
        <v>25637.280460500002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4020.90234266875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43FD31A-6771-469B-8452-2268A8AE6D98}">
      <formula1>"ALAA HAMMAD,KHALED QASSEM,RAMY RAOUF,SIMON LOBO,MHAREN CLEMENTE GARADO"</formula1>
    </dataValidation>
    <dataValidation type="list" allowBlank="1" showInputMessage="1" showErrorMessage="1" sqref="M34" xr:uid="{5C3F3858-B52D-40FB-AB90-0F2C3A0110EB}">
      <formula1>"Alaa Hammad,Bachir Ibrahim Mourad,Khaled Qassem,Ramy Raoof,Simon Lobo,Mharen Clemente Garado,Ranjith"</formula1>
    </dataValidation>
    <dataValidation type="list" allowBlank="1" showInputMessage="1" showErrorMessage="1" sqref="B11" xr:uid="{3BDF9AA9-D2EB-4127-B3B3-CFB4379E05DB}">
      <formula1>"FO Ceramic+ Intr&amp;Extr CeramicGold WdwTnt,FO Mirror Camera Sensor"</formula1>
    </dataValidation>
    <dataValidation type="list" allowBlank="1" showInputMessage="1" showErrorMessage="1" sqref="B12" xr:uid="{DB293F92-3F7C-463C-96EC-76B21FEF0D89}">
      <formula1>"FO Exterior ceramic All Cars SCOTCHGUARD,FO Mirror Camera Sensor,FO PPF Gold Package "</formula1>
    </dataValidation>
    <dataValidation type="list" allowBlank="1" showInputMessage="1" showErrorMessage="1" sqref="K20" xr:uid="{5F7EF3D3-3CAE-4B75-BCC9-605B84543C0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07FE19-8F86-43B2-B58F-3A0C4D364CB6}">
      <formula1>"RMC-10-40KMS,RMC-10-60KMS,RMC-10-70KMS,RMC-10-100000KMS,RMC-40-70KMS,RMC-40-100000KMS"</formula1>
    </dataValidation>
    <dataValidation type="list" allowBlank="1" showInputMessage="1" showErrorMessage="1" sqref="K24" xr:uid="{53186629-38F4-4B16-B152-19172010E8E8}">
      <formula1>"RMC-10-70K,RMC-10-100000K,RMC-40-70K"</formula1>
    </dataValidation>
    <dataValidation type="list" allowBlank="1" showInputMessage="1" showErrorMessage="1" sqref="D5" xr:uid="{BE4093AA-410B-41A2-9E16-43F7E3CA47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3F83BC-9135-41A6-A8DE-35D0B627206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246DF9-7D62-4EAF-A8EA-C53ABA0F319C}">
      <formula1>"YES,NO"</formula1>
    </dataValidation>
    <dataValidation type="list" allowBlank="1" showInputMessage="1" showErrorMessage="1" sqref="K21" xr:uid="{58A75C51-05D6-457B-AB3E-FC7AD043D79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0653-FCB0-45E2-8B82-1948903D54F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G06</v>
      </c>
      <c r="D5" s="19" t="s">
        <v>169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14275.161107900001</v>
      </c>
      <c r="S5" s="151"/>
      <c r="U5" s="151">
        <f>L7+L14</f>
        <v>5893.7179606083337</v>
      </c>
      <c r="V5" s="151">
        <f>M7+M14</f>
        <v>3985.52405615</v>
      </c>
      <c r="W5" s="151">
        <f>N7+N14</f>
        <v>2801.6476272750001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4656.8898272750002</v>
      </c>
      <c r="V6" s="170">
        <f>N7+K14</f>
        <v>11492.297807900002</v>
      </c>
      <c r="W6" s="170" t="e">
        <f>N7+J14</f>
        <v>#VALUE!</v>
      </c>
    </row>
    <row r="7" spans="1:27" ht="26.25" thickBot="1" x14ac:dyDescent="0.4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168">
        <f>B7+C7</f>
        <v>115395</v>
      </c>
      <c r="E7" s="29">
        <f>D17</f>
        <v>23043.165000000001</v>
      </c>
      <c r="F7" s="29">
        <f>(C7)+(D10+D11+D12+D13+D16)*5/100</f>
        <v>6200</v>
      </c>
      <c r="G7" s="30">
        <f>B7+E7+F7</f>
        <v>139143.16500000001</v>
      </c>
      <c r="H7" s="29">
        <f>G7*D20</f>
        <v>27828.633000000002</v>
      </c>
      <c r="I7" s="30">
        <f>(G7-H7)</f>
        <v>111314.53200000001</v>
      </c>
      <c r="J7" s="30">
        <f>(((I7*D19)*1)+I7)/12</f>
        <v>9637.0556078999998</v>
      </c>
      <c r="K7" s="30">
        <f>(((I7*D19)*2)+I7)/24</f>
        <v>4998.9501079000001</v>
      </c>
      <c r="L7" s="30">
        <f>(((I7*D19)*3)+I7)/36</f>
        <v>3452.9149412333336</v>
      </c>
      <c r="M7" s="30">
        <f>(((I7*D19)*4)+I7)/48</f>
        <v>2679.8973578999999</v>
      </c>
      <c r="N7" s="30">
        <f>((((I7*D19)*5)+I7)/60)</f>
        <v>2216.0868079000002</v>
      </c>
      <c r="O7" s="118"/>
      <c r="P7" s="2">
        <f>H7+H16</f>
        <v>28997.435586000003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109900</v>
      </c>
      <c r="C8" s="32">
        <f>IF(L20="YES",N20,IF(L20="NO",N20))</f>
        <v>109900</v>
      </c>
      <c r="D8" s="29">
        <v>0</v>
      </c>
      <c r="E8" s="33"/>
      <c r="F8" s="188"/>
      <c r="G8" s="189"/>
      <c r="H8" s="110">
        <f>G7*20/100</f>
        <v>27828.633000000002</v>
      </c>
      <c r="I8" s="34"/>
      <c r="J8" s="34" t="s">
        <v>15</v>
      </c>
      <c r="K8" s="34">
        <f>(I7*K5+I7)/24</f>
        <v>4638.1055000000006</v>
      </c>
      <c r="L8" s="34">
        <f>(I7*L5+I7)/36</f>
        <v>3196.8915176333335</v>
      </c>
      <c r="M8" s="34">
        <f>(I7*M5+I7)/48</f>
        <v>2476.2845264500002</v>
      </c>
      <c r="N8" s="34">
        <f>(I7*N5+I7)/60</f>
        <v>2043.9203317399999</v>
      </c>
      <c r="O8" s="118">
        <v>0</v>
      </c>
      <c r="P8" s="2">
        <f>P7/12</f>
        <v>2416.4529655000001</v>
      </c>
      <c r="T8" s="1">
        <f>25973-12973</f>
        <v>13000</v>
      </c>
    </row>
    <row r="9" spans="1:27" ht="25.5" x14ac:dyDescent="0.35">
      <c r="A9" s="8">
        <f>B8/(100%-A8)</f>
        <v>137375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4330.135294799984</v>
      </c>
      <c r="K9" s="38">
        <f>(K7*24)-I7</f>
        <v>8660.270589599997</v>
      </c>
      <c r="L9" s="38">
        <f>(L7*36)-I7</f>
        <v>12990.40588440001</v>
      </c>
      <c r="M9" s="38">
        <f>(M7*48)-I7</f>
        <v>17320.541179199994</v>
      </c>
      <c r="N9" s="38">
        <f>(N7*60)-I7</f>
        <v>21650.676474000007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3773.5626347999932</v>
      </c>
      <c r="M10" s="41">
        <f>(M8*48)-I7</f>
        <v>7547.125269600001</v>
      </c>
      <c r="N10" s="41">
        <f>(N8*60)-I7</f>
        <v>11320.687904399994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4636.8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26828.633000000002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139113.61799999999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2319.0527500000003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4306.3649999999998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9276.2110000000011</v>
      </c>
      <c r="L14" s="44">
        <f>(H8*L12+H8)/12</f>
        <v>2440.8030193750001</v>
      </c>
      <c r="M14" s="44">
        <f>(H8*M12+H8)/24</f>
        <v>1305.6266982500001</v>
      </c>
      <c r="N14" s="165">
        <f>(H7*N12+H7)/60</f>
        <v>585.56081937500005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3427</v>
      </c>
      <c r="B15" s="37" t="s">
        <v>27</v>
      </c>
      <c r="C15" s="20" t="s">
        <v>19</v>
      </c>
      <c r="D15" s="29">
        <f>IF(C15="YES",O10,IF(C15="NO",0))</f>
        <v>4636.8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1168.8025860000002</v>
      </c>
      <c r="I16" s="33"/>
      <c r="J16" s="44" t="s">
        <v>16</v>
      </c>
      <c r="K16" s="44">
        <f>(K14*3)-H8</f>
        <v>0</v>
      </c>
      <c r="L16" s="44">
        <f>(L14*12)-H8</f>
        <v>1461.0032324999993</v>
      </c>
      <c r="M16" s="44">
        <f>(M14*24)-H8</f>
        <v>3506.4077580000012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3557</v>
      </c>
      <c r="B17" s="37"/>
      <c r="C17" s="20"/>
      <c r="D17" s="29">
        <f>SUM(D10:D16)</f>
        <v>23043.165000000001</v>
      </c>
      <c r="E17" s="48"/>
      <c r="F17" s="48"/>
      <c r="G17" s="54"/>
      <c r="H17" s="33">
        <f>+SUM(H12:H16)+(H7)</f>
        <v>29912.435586000003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3461.85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71.342465753424662</v>
      </c>
      <c r="K19" s="37"/>
      <c r="L19" s="37"/>
      <c r="M19" s="37"/>
      <c r="N19" s="34">
        <f>D7</f>
        <v>115395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130200</v>
      </c>
      <c r="V19" s="157">
        <f>(B7+D10+D11+D12+D13+D16)*1.05</f>
        <v>130200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3461.85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3521.7135061500003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76.242830136986299</v>
      </c>
      <c r="I24" s="145">
        <f>H7+H12+H16</f>
        <v>29597.435586000003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4656.8898272750002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BB41B5F-F11D-4818-9531-EA05B6B2B886}">
      <formula1>"ALAA HAMMAD,KHALED QASSEM,RAMY RAOUF,SIMON LOBO,MHAREN CLEMENTE GARADO"</formula1>
    </dataValidation>
    <dataValidation type="list" allowBlank="1" showInputMessage="1" showErrorMessage="1" sqref="M34" xr:uid="{FB3FF36E-2971-45DC-A3B8-7E5249D0E54C}">
      <formula1>"Alaa Hammad,Bachir Ibrahim Mourad,Khaled Qassem,Ramy Raoof,Simon Lobo,Mharen Clemente Garado,Ranjith"</formula1>
    </dataValidation>
    <dataValidation type="list" allowBlank="1" showInputMessage="1" showErrorMessage="1" sqref="B11" xr:uid="{461C83CA-8F23-4E51-A3E2-3EB8DDD72737}">
      <formula1>"FO Ceramic+ Intr&amp;Extr CeramicGold WdwTnt,FO Mirror Camera Sensor"</formula1>
    </dataValidation>
    <dataValidation type="list" allowBlank="1" showInputMessage="1" showErrorMessage="1" sqref="B12" xr:uid="{D5392EF7-EA7F-4FDC-80AD-92ECB5A8B953}">
      <formula1>"FO Exterior ceramic All Cars SCOTCHGUARD,FO Mirror Camera Sensor,FO PPF Gold Package "</formula1>
    </dataValidation>
    <dataValidation type="list" allowBlank="1" showInputMessage="1" showErrorMessage="1" sqref="K20" xr:uid="{F27CDDFB-7493-48B7-B874-832B884097F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63CBD04-BF3D-4C8C-B155-DD39615AB1AA}">
      <formula1>"RMC-10-40KMS,RMC-10-60KMS,RMC-10-70KMS,RMC-10-100000KMS,RMC-40-70KMS,RMC-40-100000KMS"</formula1>
    </dataValidation>
    <dataValidation type="list" allowBlank="1" showInputMessage="1" showErrorMessage="1" sqref="K24" xr:uid="{DF073B64-98F8-4642-80F0-96F49C762E1E}">
      <formula1>"RMC-10-70K,RMC-10-100000K,RMC-40-70K"</formula1>
    </dataValidation>
    <dataValidation type="list" allowBlank="1" showInputMessage="1" showErrorMessage="1" sqref="D5" xr:uid="{C0C7F704-CCBF-436E-9569-9DF556630D0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AEDCA6A-2F72-4C0B-9324-07B5F87EBFE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857B404-87A1-4E12-8D0F-A830AD1A2D13}">
      <formula1>"YES,NO"</formula1>
    </dataValidation>
    <dataValidation type="list" allowBlank="1" showInputMessage="1" showErrorMessage="1" sqref="K21" xr:uid="{438D3661-0DE9-4747-8C65-559B5AF5338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05C6-E31B-49C5-830A-B5E9D9F46640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P03</v>
      </c>
      <c r="D5" s="19" t="s">
        <v>168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13243.048193375</v>
      </c>
      <c r="S5" s="151"/>
      <c r="U5" s="151">
        <f>L7+L14</f>
        <v>5467.5944040520826</v>
      </c>
      <c r="V5" s="151">
        <f>M7+M14</f>
        <v>3697.3654274375003</v>
      </c>
      <c r="W5" s="151">
        <f>N7+N14</f>
        <v>2599.0848207187501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4320.1905707187498</v>
      </c>
      <c r="V6" s="170">
        <f>N7+K14</f>
        <v>10661.389568375</v>
      </c>
      <c r="W6" s="170" t="e">
        <f>N7+J14</f>
        <v>#VALUE!</v>
      </c>
    </row>
    <row r="7" spans="1:27" ht="26.25" thickBot="1" x14ac:dyDescent="0.4">
      <c r="A7" s="6">
        <f>B8</f>
        <v>100900</v>
      </c>
      <c r="B7" s="29">
        <f>IF(L20="YES",C8*1,IF(L20="NO",B8*1))</f>
        <v>100900</v>
      </c>
      <c r="C7" s="29">
        <f>B7*5/100</f>
        <v>5045</v>
      </c>
      <c r="D7" s="168">
        <f>B7+C7</f>
        <v>105945</v>
      </c>
      <c r="E7" s="29">
        <f>D17</f>
        <v>22432.931250000001</v>
      </c>
      <c r="F7" s="29">
        <f>(C7)+(D10+D11+D12+D13+D16)*5/100</f>
        <v>5750</v>
      </c>
      <c r="G7" s="30">
        <f>B7+E7+F7</f>
        <v>129082.93124999999</v>
      </c>
      <c r="H7" s="29">
        <f>G7*D20</f>
        <v>25816.58625</v>
      </c>
      <c r="I7" s="30">
        <f>(G7-H7)</f>
        <v>103266.345</v>
      </c>
      <c r="J7" s="30">
        <f>(((I7*D19)*1)+I7)/12</f>
        <v>8940.2838183750009</v>
      </c>
      <c r="K7" s="30">
        <f>(((I7*D19)*2)+I7)/24</f>
        <v>4637.5194433750003</v>
      </c>
      <c r="L7" s="30">
        <f>(((I7*D19)*3)+I7)/36</f>
        <v>3203.2646517083331</v>
      </c>
      <c r="M7" s="30">
        <f>(((I7*D19)*4)+I7)/48</f>
        <v>2486.1372558749999</v>
      </c>
      <c r="N7" s="30">
        <f>((((I7*D19)*5)+I7)/60)</f>
        <v>2055.8608183749998</v>
      </c>
      <c r="O7" s="118"/>
      <c r="P7" s="2">
        <f>H7+H16</f>
        <v>26900.882872499998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100900</v>
      </c>
      <c r="C8" s="32">
        <f>IF(L20="YES",N20,IF(L20="NO",N20))</f>
        <v>100900</v>
      </c>
      <c r="D8" s="29">
        <v>0</v>
      </c>
      <c r="E8" s="33"/>
      <c r="F8" s="188"/>
      <c r="G8" s="189"/>
      <c r="H8" s="110">
        <f>G7*20/100</f>
        <v>25816.58625</v>
      </c>
      <c r="I8" s="34"/>
      <c r="J8" s="34" t="s">
        <v>15</v>
      </c>
      <c r="K8" s="34">
        <f>(I7*K5+I7)/24</f>
        <v>4302.7643749999997</v>
      </c>
      <c r="L8" s="34">
        <f>(I7*L5+I7)/36</f>
        <v>2965.7520582083334</v>
      </c>
      <c r="M8" s="34">
        <f>(I7*M5+I7)/48</f>
        <v>2297.2458998124998</v>
      </c>
      <c r="N8" s="34">
        <f>(I7*N5+I7)/60</f>
        <v>1896.142204775</v>
      </c>
      <c r="O8" s="118">
        <v>0</v>
      </c>
      <c r="P8" s="2">
        <f>P7/12</f>
        <v>2241.7402393749999</v>
      </c>
      <c r="T8" s="1">
        <f>25973-12973</f>
        <v>13000</v>
      </c>
    </row>
    <row r="9" spans="1:27" ht="25.5" x14ac:dyDescent="0.35">
      <c r="A9" s="8">
        <f>B8/(100%-A8)</f>
        <v>126125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4017.0608205000171</v>
      </c>
      <c r="K9" s="38">
        <f>(K7*24)-I7</f>
        <v>8034.1216410000052</v>
      </c>
      <c r="L9" s="38">
        <f>(L7*36)-I7</f>
        <v>12051.182461499993</v>
      </c>
      <c r="M9" s="38">
        <f>(M7*48)-I7</f>
        <v>16068.243281999996</v>
      </c>
      <c r="N9" s="38">
        <f>(N7*60)-I7</f>
        <v>20085.304102499984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3500.7290955000062</v>
      </c>
      <c r="M10" s="41">
        <f>(M8*48)-I7</f>
        <v>7001.4581909999833</v>
      </c>
      <c r="N10" s="41">
        <f>(N8*60)-I7</f>
        <v>10502.187286500004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4339.125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24816.58625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127721.238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2151.3821874999999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3993.8062500000001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8605.5287499999995</v>
      </c>
      <c r="L14" s="44">
        <f>(H8*L12+H8)/12</f>
        <v>2264.32975234375</v>
      </c>
      <c r="M14" s="44">
        <f>(H8*M12+H8)/24</f>
        <v>1211.2281715625002</v>
      </c>
      <c r="N14" s="165">
        <f>(H7*N12+H7)/60</f>
        <v>543.22400234375004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3157</v>
      </c>
      <c r="B15" s="37" t="s">
        <v>27</v>
      </c>
      <c r="C15" s="20" t="s">
        <v>19</v>
      </c>
      <c r="D15" s="29">
        <f>IF(C15="YES",O10,IF(C15="NO",0))</f>
        <v>4339.125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1084.2966225</v>
      </c>
      <c r="I16" s="33"/>
      <c r="J16" s="44" t="s">
        <v>16</v>
      </c>
      <c r="K16" s="44">
        <f>(K14*3)-H8</f>
        <v>0</v>
      </c>
      <c r="L16" s="44">
        <f>(L14*12)-H8</f>
        <v>1355.3707781249977</v>
      </c>
      <c r="M16" s="44">
        <f>(M14*24)-H8</f>
        <v>3252.8898675000019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3287</v>
      </c>
      <c r="B17" s="37"/>
      <c r="C17" s="20"/>
      <c r="D17" s="29">
        <f>SUM(D10:D16)</f>
        <v>22432.931250000001</v>
      </c>
      <c r="E17" s="48"/>
      <c r="F17" s="48"/>
      <c r="G17" s="54"/>
      <c r="H17" s="33">
        <f>+SUM(H12:H16)+(H7)</f>
        <v>27815.882872499998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3178.35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66.164383561643831</v>
      </c>
      <c r="K19" s="37"/>
      <c r="L19" s="37"/>
      <c r="M19" s="37"/>
      <c r="N19" s="34">
        <f>D7</f>
        <v>105945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120750</v>
      </c>
      <c r="V19" s="157">
        <f>(B7+D10+D11+D12+D13+D16)*1.05</f>
        <v>120750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3178.35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3267.0889899374997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70.730373287671227</v>
      </c>
      <c r="I24" s="145">
        <f>H7+H12+H16</f>
        <v>27500.882872499998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4320.1905707187498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1C1A2BAE-9C82-440D-A656-585E556C6DEC}">
      <formula1>"ALAA HAMMAD,KHALED QASSEM,RAMY RAOUF,SIMON LOBO,MHAREN CLEMENTE GARADO"</formula1>
    </dataValidation>
    <dataValidation type="list" allowBlank="1" showInputMessage="1" showErrorMessage="1" sqref="M34" xr:uid="{839AE61A-3977-491C-A75B-01383A542E3F}">
      <formula1>"Alaa Hammad,Bachir Ibrahim Mourad,Khaled Qassem,Ramy Raoof,Simon Lobo,Mharen Clemente Garado,Ranjith"</formula1>
    </dataValidation>
    <dataValidation type="list" allowBlank="1" showInputMessage="1" showErrorMessage="1" sqref="B11" xr:uid="{3D2C659D-82E8-49A7-BF96-5AF87F92780A}">
      <formula1>"FO Ceramic+ Intr&amp;Extr CeramicGold WdwTnt,FO Mirror Camera Sensor"</formula1>
    </dataValidation>
    <dataValidation type="list" allowBlank="1" showInputMessage="1" showErrorMessage="1" sqref="B12" xr:uid="{60823E69-B9DD-4D39-BC9A-76AC4A3A98A6}">
      <formula1>"FO Exterior ceramic All Cars SCOTCHGUARD,FO Mirror Camera Sensor,FO PPF Gold Package "</formula1>
    </dataValidation>
    <dataValidation type="list" allowBlank="1" showInputMessage="1" showErrorMessage="1" sqref="K20" xr:uid="{56ADA7EF-6942-4053-B022-F13D728D665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954CEC-EF2D-445F-8B43-C453AAB1755B}">
      <formula1>"RMC-10-40KMS,RMC-10-60KMS,RMC-10-70KMS,RMC-10-100000KMS,RMC-40-70KMS,RMC-40-100000KMS"</formula1>
    </dataValidation>
    <dataValidation type="list" allowBlank="1" showInputMessage="1" showErrorMessage="1" sqref="K24" xr:uid="{22CFB64F-F1FE-41C1-AC5A-9703B14EF41B}">
      <formula1>"RMC-10-70K,RMC-10-100000K,RMC-40-70K"</formula1>
    </dataValidation>
    <dataValidation type="list" allowBlank="1" showInputMessage="1" showErrorMessage="1" sqref="D5" xr:uid="{2E0E6C21-A969-4254-B902-2B170D4101A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D3D082E-B98A-4AC9-BC37-A128F7B4880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15853FA-C41D-47A0-AF54-720069BC0300}">
      <formula1>"YES,NO"</formula1>
    </dataValidation>
    <dataValidation type="list" allowBlank="1" showInputMessage="1" showErrorMessage="1" sqref="K21" xr:uid="{EC777793-73B5-4618-87B7-A62A5B66D05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3C6A-F679-4212-A734-2229D30DD234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P06</v>
      </c>
      <c r="D5" s="19" t="s">
        <v>167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14538.923297167501</v>
      </c>
      <c r="S5" s="151"/>
      <c r="U5" s="151">
        <f>L7+L14</f>
        <v>6002.6162028393746</v>
      </c>
      <c r="V5" s="151">
        <f>M7+M14</f>
        <v>4059.1645945987502</v>
      </c>
      <c r="W5" s="151">
        <f>N7+N14</f>
        <v>2853.4136778393749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4742.9351928393753</v>
      </c>
      <c r="V6" s="170">
        <f>N7+K14</f>
        <v>11704.6410246675</v>
      </c>
      <c r="W6" s="170" t="e">
        <f>N7+J14</f>
        <v>#VALUE!</v>
      </c>
    </row>
    <row r="7" spans="1:27" ht="26.25" thickBot="1" x14ac:dyDescent="0.4">
      <c r="A7" s="6">
        <f>B8</f>
        <v>114900</v>
      </c>
      <c r="B7" s="29">
        <f>IF(L20="YES",C8*1,IF(L20="NO",B8*1))</f>
        <v>114900</v>
      </c>
      <c r="C7" s="29">
        <f>B7*5/100</f>
        <v>5745</v>
      </c>
      <c r="D7" s="168">
        <f>B7+C7</f>
        <v>120645</v>
      </c>
      <c r="E7" s="29">
        <f>D17</f>
        <v>20499.113625000002</v>
      </c>
      <c r="F7" s="29">
        <f>(C7)+(D10+D11+D12+D13+D16)*5/100</f>
        <v>6315</v>
      </c>
      <c r="G7" s="30">
        <f>B7+E7+F7</f>
        <v>141714.113625</v>
      </c>
      <c r="H7" s="29">
        <f>G7*D20</f>
        <v>28342.822725000002</v>
      </c>
      <c r="I7" s="30">
        <f>(G7-H7)</f>
        <v>113371.29089999999</v>
      </c>
      <c r="J7" s="30">
        <f>(((I7*D19)*1)+I7)/12</f>
        <v>9815.1195096674983</v>
      </c>
      <c r="K7" s="30">
        <f>(((I7*D19)*2)+I7)/24</f>
        <v>5091.3157221675001</v>
      </c>
      <c r="L7" s="30">
        <f>(((I7*D19)*3)+I7)/36</f>
        <v>3516.7144596674998</v>
      </c>
      <c r="M7" s="30">
        <f>(((I7*D19)*4)+I7)/48</f>
        <v>2729.4138284175001</v>
      </c>
      <c r="N7" s="30">
        <f>((((I7*D19)*5)+I7)/60)</f>
        <v>2257.0334496675</v>
      </c>
      <c r="O7" s="118"/>
      <c r="P7" s="2">
        <f>H7+H16</f>
        <v>29533.221279450001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114900</v>
      </c>
      <c r="C8" s="32">
        <f>IF(L20="YES",N20,IF(L20="NO",N20))</f>
        <v>114900</v>
      </c>
      <c r="D8" s="29">
        <v>0</v>
      </c>
      <c r="E8" s="33"/>
      <c r="F8" s="188"/>
      <c r="G8" s="189"/>
      <c r="H8" s="110">
        <f>G7*20/100</f>
        <v>28342.822724999998</v>
      </c>
      <c r="I8" s="34"/>
      <c r="J8" s="34" t="s">
        <v>15</v>
      </c>
      <c r="K8" s="34">
        <f>(I7*K5+I7)/24</f>
        <v>4723.8037875</v>
      </c>
      <c r="L8" s="34">
        <f>(I7*L5+I7)/36</f>
        <v>3255.9604905974998</v>
      </c>
      <c r="M8" s="34">
        <f>(I7*M5+I7)/48</f>
        <v>2522.0388421462499</v>
      </c>
      <c r="N8" s="34">
        <f>(I7*N5+I7)/60</f>
        <v>2081.6858530754998</v>
      </c>
      <c r="O8" s="118">
        <v>0</v>
      </c>
      <c r="P8" s="2">
        <f>P7/12</f>
        <v>2461.1017732875002</v>
      </c>
      <c r="T8" s="1">
        <f>25973-12973</f>
        <v>13000</v>
      </c>
    </row>
    <row r="9" spans="1:27" ht="25.5" x14ac:dyDescent="0.35">
      <c r="A9" s="8">
        <f>B8/(100%-A8)</f>
        <v>143625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4410.1432160099794</v>
      </c>
      <c r="K9" s="38">
        <f>(K7*24)-I7</f>
        <v>8820.2864320200169</v>
      </c>
      <c r="L9" s="38">
        <f>(L7*36)-I7</f>
        <v>13230.429648029996</v>
      </c>
      <c r="M9" s="38">
        <f>(M7*48)-I7</f>
        <v>17640.572864040005</v>
      </c>
      <c r="N9" s="38">
        <f>(N7*60)-I7</f>
        <v>22050.716080050013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3843.2867615099967</v>
      </c>
      <c r="M10" s="41">
        <f>(M8*48)-I7</f>
        <v>7686.5735230199934</v>
      </c>
      <c r="N10" s="41">
        <f>(N8*60)-I7</f>
        <v>11529.860284530005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4712.8725000000004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27342.822724999998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17</v>
      </c>
      <c r="D12" s="36">
        <f>IF(C12="YES",2000,IF(C12="NO",0))</f>
        <v>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145442.71799999999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2361.90189375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4386.2411250000005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9447.607575</v>
      </c>
      <c r="L14" s="44">
        <f>(H8*L12+H8)/12</f>
        <v>2485.9017431718748</v>
      </c>
      <c r="M14" s="44">
        <f>(H8*M12+H8)/24</f>
        <v>1329.7507661812499</v>
      </c>
      <c r="N14" s="165">
        <f>(H7*N12+H7)/60</f>
        <v>596.38022817187505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3577</v>
      </c>
      <c r="B15" s="37" t="s">
        <v>27</v>
      </c>
      <c r="C15" s="20" t="s">
        <v>19</v>
      </c>
      <c r="D15" s="29">
        <f>IF(C15="YES",O10,IF(C15="NO",0))</f>
        <v>4712.8725000000004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1190.3985544499999</v>
      </c>
      <c r="I16" s="33"/>
      <c r="J16" s="44" t="s">
        <v>16</v>
      </c>
      <c r="K16" s="44">
        <f>(K14*3)-H8</f>
        <v>0</v>
      </c>
      <c r="L16" s="44">
        <f>(L14*12)-H8</f>
        <v>1487.9981930624999</v>
      </c>
      <c r="M16" s="44">
        <f>(M14*24)-H8</f>
        <v>3571.1956633500013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3707</v>
      </c>
      <c r="B17" s="37"/>
      <c r="C17" s="20"/>
      <c r="D17" s="29">
        <f>SUM(D10:D16)</f>
        <v>20499.113625000002</v>
      </c>
      <c r="E17" s="48"/>
      <c r="F17" s="48"/>
      <c r="G17" s="54"/>
      <c r="H17" s="33">
        <f>+SUM(H12:H16)+(H7)</f>
        <v>30448.221279450001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3619.35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72.665753424657538</v>
      </c>
      <c r="K19" s="37"/>
      <c r="L19" s="37"/>
      <c r="M19" s="37"/>
      <c r="N19" s="34">
        <f>D7</f>
        <v>120645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132615</v>
      </c>
      <c r="V19" s="157">
        <f>(B7+D10+D11+D12+D13+D16)*1.05</f>
        <v>132615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3619.35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3586.7842158487501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77.651569109589047</v>
      </c>
      <c r="I24" s="145">
        <f>H7+H12+H16</f>
        <v>30133.221279450001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4742.9351928393753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145D49C-E730-4B2F-AD6B-80138AB65056}">
      <formula1>"ALAA HAMMAD,KHALED QASSEM,RAMY RAOUF,SIMON LOBO,MHAREN CLEMENTE GARADO"</formula1>
    </dataValidation>
    <dataValidation type="list" allowBlank="1" showInputMessage="1" showErrorMessage="1" sqref="M34" xr:uid="{F32B771A-DAB2-49DD-8727-285BC7B50367}">
      <formula1>"Alaa Hammad,Bachir Ibrahim Mourad,Khaled Qassem,Ramy Raoof,Simon Lobo,Mharen Clemente Garado,Ranjith"</formula1>
    </dataValidation>
    <dataValidation type="list" allowBlank="1" showInputMessage="1" showErrorMessage="1" sqref="B11" xr:uid="{2315974E-C944-4B02-AADD-AB36D6826276}">
      <formula1>"FO Ceramic+ Intr&amp;Extr CeramicGold WdwTnt,FO Mirror Camera Sensor"</formula1>
    </dataValidation>
    <dataValidation type="list" allowBlank="1" showInputMessage="1" showErrorMessage="1" sqref="B12" xr:uid="{E946C6D5-8EF6-4391-A160-8943A7DD40DF}">
      <formula1>"FO Exterior ceramic All Cars SCOTCHGUARD,FO Mirror Camera Sensor,FO PPF Gold Package "</formula1>
    </dataValidation>
    <dataValidation type="list" allowBlank="1" showInputMessage="1" showErrorMessage="1" sqref="K20" xr:uid="{B3DFB994-1F2D-4608-82DB-2A45A2A437E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3C6C637-3694-40A1-9C9C-F367AC8FDCB4}">
      <formula1>"RMC-10-40KMS,RMC-10-60KMS,RMC-10-70KMS,RMC-10-100000KMS,RMC-40-70KMS,RMC-40-100000KMS"</formula1>
    </dataValidation>
    <dataValidation type="list" allowBlank="1" showInputMessage="1" showErrorMessage="1" sqref="K24" xr:uid="{A50A9767-9AFC-4A87-AA6D-8A1C946E60FF}">
      <formula1>"RMC-10-70K,RMC-10-100000K,RMC-40-70K"</formula1>
    </dataValidation>
    <dataValidation type="list" allowBlank="1" showInputMessage="1" showErrorMessage="1" sqref="D5" xr:uid="{AA5BD6E7-3586-4BF0-B99C-10780D81BA0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0EE2AAF-10EB-4A79-BBC7-5786330CD69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61EE9A8-CD92-4A60-8248-0CBFB79ABF40}">
      <formula1>"YES,NO"</formula1>
    </dataValidation>
    <dataValidation type="list" allowBlank="1" showInputMessage="1" showErrorMessage="1" sqref="K21" xr:uid="{2C4C1A2D-DA11-4B94-8068-28DB3C92FFA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B6B9-3467-4711-9C9F-04578EC64FB3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13506.810382642498</v>
      </c>
      <c r="S5" s="151"/>
      <c r="U5" s="151">
        <f>L7+L14</f>
        <v>5576.4926462831245</v>
      </c>
      <c r="V5" s="151">
        <f>M7+M14</f>
        <v>3771.0059658862492</v>
      </c>
      <c r="W5" s="151">
        <f>N7+N14</f>
        <v>2650.8508712831249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4406.2359362831248</v>
      </c>
      <c r="V6" s="170">
        <f>N7+K14</f>
        <v>10873.732785142498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18"/>
      <c r="P7" s="2">
        <f>H7+H16</f>
        <v>27436.668565949996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18">
        <v>0</v>
      </c>
      <c r="P8" s="2">
        <f>P7/12</f>
        <v>2286.3890471624995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25330.775974999997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17</v>
      </c>
      <c r="D12" s="36">
        <f>IF(C12="YES",2000,IF(C12="NO",0))</f>
        <v>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4073.6823749999999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165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4415.1975000000002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123165</v>
      </c>
      <c r="V19" s="157">
        <f>(B7+D10+D11+D12+D13+D16)*1.05</f>
        <v>123165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3332.1596996362496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72.139112260273961</v>
      </c>
      <c r="I24" s="145">
        <f>H7+H12+H16</f>
        <v>28036.668565949996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4406.2359362831248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FAED7551-0332-4426-958A-1883A7EEFAB5}">
      <formula1>"ALAA HAMMAD,KHALED QASSEM,RAMY RAOUF,SIMON LOBO,MHAREN CLEMENTE GARADO"</formula1>
    </dataValidation>
    <dataValidation type="list" allowBlank="1" showInputMessage="1" showErrorMessage="1" sqref="M34" xr:uid="{6FC29A55-5954-4C27-A17F-F67F78E178E6}">
      <formula1>"Alaa Hammad,Bachir Ibrahim Mourad,Khaled Qassem,Ramy Raoof,Simon Lobo,Mharen Clemente Garado,Ranjith"</formula1>
    </dataValidation>
    <dataValidation type="list" allowBlank="1" showInputMessage="1" showErrorMessage="1" sqref="B11" xr:uid="{0F8BC865-91F9-4D35-B90C-F45ADB988846}">
      <formula1>"FO Ceramic+ Intr&amp;Extr CeramicGold WdwTnt,FO Mirror Camera Sensor"</formula1>
    </dataValidation>
    <dataValidation type="list" allowBlank="1" showInputMessage="1" showErrorMessage="1" sqref="B12" xr:uid="{8D7ACE5B-7093-4C65-A90B-7EC47DA66A65}">
      <formula1>"FO Exterior ceramic All Cars SCOTCHGUARD,FO Mirror Camera Sensor,FO PPF Gold Package "</formula1>
    </dataValidation>
    <dataValidation type="list" allowBlank="1" showInputMessage="1" showErrorMessage="1" sqref="K20" xr:uid="{6A10B924-0DCA-4BEC-A508-E7B7FD86480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2F1FA0-204C-4EDC-A00D-244CD81061D5}">
      <formula1>"RMC-10-40KMS,RMC-10-60KMS,RMC-10-70KMS,RMC-10-100000KMS,RMC-40-70KMS,RMC-40-100000KMS"</formula1>
    </dataValidation>
    <dataValidation type="list" allowBlank="1" showInputMessage="1" showErrorMessage="1" sqref="K24" xr:uid="{E024163A-938E-4C7E-AF40-1E55D5309CF3}">
      <formula1>"RMC-10-70K,RMC-10-100000K,RMC-40-70K"</formula1>
    </dataValidation>
    <dataValidation type="list" allowBlank="1" showInputMessage="1" showErrorMessage="1" sqref="D5" xr:uid="{66708E5C-70BE-4A34-BE1F-F0DCE84C6F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17C4A6F-0641-465D-B3F8-8D4AC44EC88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DE066D09-9263-4530-BC78-FCFDA878EC85}">
      <formula1>"YES,NO"</formula1>
    </dataValidation>
    <dataValidation type="list" allowBlank="1" showInputMessage="1" showErrorMessage="1" sqref="K21" xr:uid="{501FFF9F-AD5D-4526-A242-8B324717628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44C7-30EC-44D1-AF5F-99E4539DF53A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13506.810382642498</v>
      </c>
      <c r="S5" s="151"/>
      <c r="U5" s="151">
        <f>L7+L14</f>
        <v>5576.4926462831245</v>
      </c>
      <c r="V5" s="151">
        <f>M7+M14</f>
        <v>3771.0059658862492</v>
      </c>
      <c r="W5" s="151">
        <f>N7+N14</f>
        <v>2650.8508712831249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4406.2359362831248</v>
      </c>
      <c r="V6" s="170">
        <f>N7+K14</f>
        <v>10873.732785142498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18"/>
      <c r="P7" s="2">
        <f>H7+H16</f>
        <v>27436.668565949996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18">
        <v>0</v>
      </c>
      <c r="P8" s="2">
        <f>P7/12</f>
        <v>2286.3890471624995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25330.775974999997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17</v>
      </c>
      <c r="D12" s="36">
        <f>IF(C12="YES",2000,IF(C12="NO",0))</f>
        <v>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4073.6823749999999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165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4415.1975000000002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123165</v>
      </c>
      <c r="V19" s="157">
        <f>(B7+D10+D11+D12+D13+D16)*1.05</f>
        <v>123165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3332.1596996362496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72.139112260273961</v>
      </c>
      <c r="I24" s="145">
        <f>H7+H12+H16</f>
        <v>28036.668565949996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4406.2359362831248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</mergeCells>
  <dataValidations count="11">
    <dataValidation type="list" allowBlank="1" showInputMessage="1" showErrorMessage="1" sqref="H34" xr:uid="{CA99B23E-693B-4F32-BAF2-271FB2967CD9}">
      <formula1>"ALAA HAMMAD,KHALED QASSEM,RAMY RAOUF,SIMON LOBO,MHAREN CLEMENTE GARADO"</formula1>
    </dataValidation>
    <dataValidation type="list" allowBlank="1" showInputMessage="1" showErrorMessage="1" sqref="M34" xr:uid="{52FE0CE8-8B86-461E-B72F-37A2043CD6E2}">
      <formula1>"Alaa Hammad,Bachir Ibrahim Mourad,Khaled Qassem,Ramy Raoof,Simon Lobo,Mharen Clemente Garado,Ranjith"</formula1>
    </dataValidation>
    <dataValidation type="list" allowBlank="1" showInputMessage="1" showErrorMessage="1" sqref="B11" xr:uid="{261BC0C4-B6AA-49CF-8476-C528D594B5D5}">
      <formula1>"FO Ceramic+ Intr&amp;Extr CeramicGold WdwTnt,FO Mirror Camera Sensor"</formula1>
    </dataValidation>
    <dataValidation type="list" allowBlank="1" showInputMessage="1" showErrorMessage="1" sqref="B12" xr:uid="{40FF73A5-8B61-44D0-8393-6FD70A1E9156}">
      <formula1>"FO Exterior ceramic All Cars SCOTCHGUARD,FO Mirror Camera Sensor,FO PPF Gold Package "</formula1>
    </dataValidation>
    <dataValidation type="list" allowBlank="1" showInputMessage="1" showErrorMessage="1" sqref="K20" xr:uid="{F318D10C-3722-48CD-AA56-80D28C42BB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5687A89-0879-47A5-8EFB-B48D47453AC0}">
      <formula1>"RMC-10-40KMS,RMC-10-60KMS,RMC-10-70KMS,RMC-10-100000KMS,RMC-40-70KMS,RMC-40-100000KMS"</formula1>
    </dataValidation>
    <dataValidation type="list" allowBlank="1" showInputMessage="1" showErrorMessage="1" sqref="K24" xr:uid="{93815578-8DF5-48A6-97CE-18D7B2D41C26}">
      <formula1>"RMC-10-70K,RMC-10-100000K,RMC-40-70K"</formula1>
    </dataValidation>
    <dataValidation type="list" allowBlank="1" showInputMessage="1" showErrorMessage="1" sqref="D5" xr:uid="{733651BA-D571-4440-A463-05B1C2F35C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5B8E810-D41E-477F-A4F0-EE65E3001E4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0FDEC65-7F21-48E3-9F0B-B4136AD09531}">
      <formula1>"YES,NO"</formula1>
    </dataValidation>
    <dataValidation type="list" allowBlank="1" showInputMessage="1" showErrorMessage="1" sqref="K21" xr:uid="{8EC0F593-0C81-4081-83B7-55004F05F80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EFBA-FC12-4853-BA48-C6E1FC0A7BCF}">
  <sheetPr>
    <pageSetUpPr fitToPage="1"/>
  </sheetPr>
  <dimension ref="A1:AA54"/>
  <sheetViews>
    <sheetView topLeftCell="B1" zoomScaleNormal="100" workbookViewId="0">
      <selection activeCell="C10" sqref="C10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G12</v>
      </c>
      <c r="D5" s="19" t="s">
        <v>165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12899.010555199999</v>
      </c>
      <c r="S5" s="151"/>
      <c r="U5" s="151">
        <f>L7+L14</f>
        <v>5325.5532185333341</v>
      </c>
      <c r="V5" s="151">
        <f>M7+M14</f>
        <v>3601.3125511999997</v>
      </c>
      <c r="W5" s="151">
        <f>N7+N14</f>
        <v>2531.5638852000002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4207.9574852000005</v>
      </c>
      <c r="V6" s="170">
        <f>N7+K14</f>
        <v>10384.420155199999</v>
      </c>
      <c r="W6" s="170" t="e">
        <f>N7+J14</f>
        <v>#VALUE!</v>
      </c>
    </row>
    <row r="7" spans="1:27" ht="26.25" thickBot="1" x14ac:dyDescent="0.4">
      <c r="A7" s="6">
        <f>B8</f>
        <v>97900</v>
      </c>
      <c r="B7" s="29">
        <f>IF(L20="YES",C8*1,IF(L20="NO",B8*1))</f>
        <v>97900</v>
      </c>
      <c r="C7" s="29">
        <f>B7*5/100</f>
        <v>4895</v>
      </c>
      <c r="D7" s="168">
        <f>B7+C7</f>
        <v>102795</v>
      </c>
      <c r="E7" s="29">
        <f>D17</f>
        <v>22229.52</v>
      </c>
      <c r="F7" s="29">
        <f>(C7)+(D10+D11+D12+D13+D16)*5/100</f>
        <v>5600</v>
      </c>
      <c r="G7" s="30">
        <f>B7+E7+F7</f>
        <v>125729.52</v>
      </c>
      <c r="H7" s="29">
        <f>G7*D20</f>
        <v>25145.904000000002</v>
      </c>
      <c r="I7" s="30">
        <f>(G7-H7)</f>
        <v>100583.61600000001</v>
      </c>
      <c r="J7" s="30">
        <f>(((I7*D19)*1)+I7)/12</f>
        <v>8708.0265552000001</v>
      </c>
      <c r="K7" s="30">
        <f>(((I7*D19)*2)+I7)/24</f>
        <v>4517.0425552000006</v>
      </c>
      <c r="L7" s="30">
        <f>(((I7*D19)*3)+I7)/36</f>
        <v>3120.0478885333337</v>
      </c>
      <c r="M7" s="30">
        <f>(((I7*D19)*4)+I7)/48</f>
        <v>2421.5505552</v>
      </c>
      <c r="N7" s="30">
        <f>((((I7*D19)*5)+I7)/60)</f>
        <v>2002.4521552000001</v>
      </c>
      <c r="O7" s="118"/>
      <c r="P7" s="2">
        <f>H7+H16</f>
        <v>26202.031968000003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97900</v>
      </c>
      <c r="C8" s="32">
        <f>IF(L20="YES",N20,IF(L20="NO",N20))</f>
        <v>97900</v>
      </c>
      <c r="D8" s="29">
        <v>0</v>
      </c>
      <c r="E8" s="33"/>
      <c r="F8" s="188"/>
      <c r="G8" s="189"/>
      <c r="H8" s="110">
        <f>G7*20/100</f>
        <v>25145.903999999999</v>
      </c>
      <c r="I8" s="34"/>
      <c r="J8" s="34" t="s">
        <v>15</v>
      </c>
      <c r="K8" s="34">
        <f>(I7*K5+I7)/24</f>
        <v>4190.9840000000004</v>
      </c>
      <c r="L8" s="34">
        <f>(I7*L5+I7)/36</f>
        <v>2888.7055717333333</v>
      </c>
      <c r="M8" s="34">
        <f>(I7*M5+I7)/48</f>
        <v>2237.5663576000002</v>
      </c>
      <c r="N8" s="34">
        <f>(I7*N5+I7)/60</f>
        <v>1846.8828291200002</v>
      </c>
      <c r="O8" s="118">
        <v>0</v>
      </c>
      <c r="P8" s="2">
        <f>P7/12</f>
        <v>2183.5026640000001</v>
      </c>
      <c r="T8" s="1">
        <f>25973-12973</f>
        <v>13000</v>
      </c>
    </row>
    <row r="9" spans="1:27" ht="25.5" x14ac:dyDescent="0.35">
      <c r="A9" s="8">
        <f>B8/(100%-A8)</f>
        <v>122375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3912.7026623999991</v>
      </c>
      <c r="K9" s="38">
        <f>(K7*24)-I7</f>
        <v>7825.4053247999982</v>
      </c>
      <c r="L9" s="38">
        <f>(L7*36)-I7</f>
        <v>11738.107987199997</v>
      </c>
      <c r="M9" s="38">
        <f>(M7*48)-I7</f>
        <v>15650.810649599996</v>
      </c>
      <c r="N9" s="38">
        <f>(N7*60)-I7</f>
        <v>19563.513311999995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3409.784582399996</v>
      </c>
      <c r="M10" s="41">
        <f>(M8*48)-I7</f>
        <v>6819.569164799992</v>
      </c>
      <c r="N10" s="41">
        <f>(N8*60)-I7</f>
        <v>10229.353747200003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4239.9000000000005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24145.903999999999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123923.77799999999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2095.4920000000002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3889.62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8381.9679999999989</v>
      </c>
      <c r="L14" s="44">
        <f>(H8*L12+H8)/12</f>
        <v>2205.50533</v>
      </c>
      <c r="M14" s="44">
        <f>(H8*M12+H8)/24</f>
        <v>1179.761996</v>
      </c>
      <c r="N14" s="165">
        <f>(H7*N12+H7)/60</f>
        <v>529.11173000000008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3067</v>
      </c>
      <c r="B15" s="37" t="s">
        <v>27</v>
      </c>
      <c r="C15" s="20" t="s">
        <v>19</v>
      </c>
      <c r="D15" s="29">
        <f>IF(C15="YES",O10,IF(C15="NO",0))</f>
        <v>4239.9000000000005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1056.1279680000002</v>
      </c>
      <c r="I16" s="33"/>
      <c r="J16" s="44" t="s">
        <v>16</v>
      </c>
      <c r="K16" s="44">
        <f>(K14*3)-H8</f>
        <v>0</v>
      </c>
      <c r="L16" s="44">
        <f>(L14*12)-H8</f>
        <v>1320.1599600000009</v>
      </c>
      <c r="M16" s="44">
        <f>(M14*24)-H8</f>
        <v>3168.3839039999984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3197</v>
      </c>
      <c r="B17" s="37"/>
      <c r="C17" s="20"/>
      <c r="D17" s="29">
        <f>SUM(D10:D16)</f>
        <v>22229.52</v>
      </c>
      <c r="E17" s="48"/>
      <c r="F17" s="48"/>
      <c r="G17" s="54"/>
      <c r="H17" s="33">
        <f>+SUM(H12:H16)+(H7)</f>
        <v>27117.031968000003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3083.85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64.438356164383563</v>
      </c>
      <c r="K19" s="37"/>
      <c r="L19" s="37"/>
      <c r="M19" s="37"/>
      <c r="N19" s="34">
        <f>D7</f>
        <v>102795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117600</v>
      </c>
      <c r="V19" s="157">
        <f>(B7+D10+D11+D12+D13+D16)*1.05</f>
        <v>117600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3083.85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3182.2141511999998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68.892887671232884</v>
      </c>
      <c r="I24" s="145">
        <f>H7+H12+H16</f>
        <v>26802.031968000003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4207.9574852000005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5D9A54C1-A13F-47EF-98A4-246A3A6E1503}">
      <formula1>"ALAA HAMMAD,KHALED QASSEM,RAMY RAOUF,SIMON LOBO,MHAREN CLEMENTE GARADO"</formula1>
    </dataValidation>
    <dataValidation type="list" allowBlank="1" showInputMessage="1" showErrorMessage="1" sqref="M34" xr:uid="{EC8A81D8-BDEF-4AB7-9947-8868CE941BD0}">
      <formula1>"Alaa Hammad,Bachir Ibrahim Mourad,Khaled Qassem,Ramy Raoof,Simon Lobo,Mharen Clemente Garado,Ranjith"</formula1>
    </dataValidation>
    <dataValidation type="list" allowBlank="1" showInputMessage="1" showErrorMessage="1" sqref="B11" xr:uid="{206063F2-17BA-49A1-9686-25FB81DA315F}">
      <formula1>"FO Ceramic+ Intr&amp;Extr CeramicGold WdwTnt,FO Mirror Camera Sensor"</formula1>
    </dataValidation>
    <dataValidation type="list" allowBlank="1" showInputMessage="1" showErrorMessage="1" sqref="B12" xr:uid="{CF726D63-6F2A-4196-AE10-C4F0F2BA8A18}">
      <formula1>"FO Exterior ceramic All Cars SCOTCHGUARD,FO Mirror Camera Sensor,FO PPF Gold Package "</formula1>
    </dataValidation>
    <dataValidation type="list" allowBlank="1" showInputMessage="1" showErrorMessage="1" sqref="K20" xr:uid="{16BC49BC-BFA6-4B7D-94AE-5A33D41FD4E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E6E4F1D-EDE7-4052-AC4E-6E1301A90171}">
      <formula1>"RMC-10-40KMS,RMC-10-60KMS,RMC-10-70KMS,RMC-10-100000KMS,RMC-40-70KMS,RMC-40-100000KMS"</formula1>
    </dataValidation>
    <dataValidation type="list" allowBlank="1" showInputMessage="1" showErrorMessage="1" sqref="K24" xr:uid="{7E6724A3-87F9-4278-AE59-230764247955}">
      <formula1>"RMC-10-70K,RMC-10-100000K,RMC-40-70K"</formula1>
    </dataValidation>
    <dataValidation type="list" allowBlank="1" showInputMessage="1" showErrorMessage="1" sqref="D5" xr:uid="{E0B6AEBA-93DA-472E-A847-9D1DF2DE7B2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402D520-FCB4-4950-9EB3-1A80E6B3F1C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8BF812F-0D48-4EB7-8BF7-28E39DE051A6}">
      <formula1>"YES,NO"</formula1>
    </dataValidation>
    <dataValidation type="list" allowBlank="1" showInputMessage="1" showErrorMessage="1" sqref="K21" xr:uid="{E9ADEECE-687C-4374-9807-EEAA7B7A5EE7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748A-B602-4440-899B-2A311CFE3A9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P05</v>
      </c>
      <c r="D5" s="19" t="s">
        <v>164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13816.444256999999</v>
      </c>
      <c r="S5" s="151"/>
      <c r="U5" s="151">
        <f>L7+L14</f>
        <v>5704.3297132500011</v>
      </c>
      <c r="V5" s="151">
        <f>M7+M14</f>
        <v>3857.4535544999999</v>
      </c>
      <c r="W5" s="151">
        <f>N7+N14</f>
        <v>2711.6197132500001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4507.2457132500003</v>
      </c>
      <c r="V6" s="170">
        <f>N7+K14</f>
        <v>11123.005256999999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22771.95</v>
      </c>
      <c r="F7" s="29">
        <f>(C7)+(D10+D11+D12+D13+D16)*5/100</f>
        <v>6000</v>
      </c>
      <c r="G7" s="30">
        <f>B7+E7+F7</f>
        <v>134671.95000000001</v>
      </c>
      <c r="H7" s="29">
        <f>G7*D20</f>
        <v>26934.390000000003</v>
      </c>
      <c r="I7" s="30">
        <f>(G7-H7)</f>
        <v>107737.56000000001</v>
      </c>
      <c r="J7" s="30">
        <f>(((I7*D19)*1)+I7)/12</f>
        <v>9327.3792570000005</v>
      </c>
      <c r="K7" s="30">
        <f>(((I7*D19)*2)+I7)/24</f>
        <v>4838.3142570000009</v>
      </c>
      <c r="L7" s="30">
        <f>(((I7*D19)*3)+I7)/36</f>
        <v>3341.9592570000004</v>
      </c>
      <c r="M7" s="30">
        <f>(((I7*D19)*4)+I7)/48</f>
        <v>2593.7817570000002</v>
      </c>
      <c r="N7" s="30">
        <f>((((I7*D19)*5)+I7)/60)</f>
        <v>2144.8752570000001</v>
      </c>
      <c r="O7" s="118"/>
      <c r="P7" s="2">
        <f>H7+H16</f>
        <v>28065.634380000003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26934.39</v>
      </c>
      <c r="I8" s="34"/>
      <c r="J8" s="34" t="s">
        <v>15</v>
      </c>
      <c r="K8" s="34">
        <f>(I7*K5+I7)/24</f>
        <v>4489.0650000000005</v>
      </c>
      <c r="L8" s="34">
        <f>(I7*L5+I7)/36</f>
        <v>3094.1628690000002</v>
      </c>
      <c r="M8" s="34">
        <f>(I7*M5+I7)/48</f>
        <v>2396.7118035000003</v>
      </c>
      <c r="N8" s="34">
        <f>(I7*N5+I7)/60</f>
        <v>1978.2411642000002</v>
      </c>
      <c r="O8" s="118">
        <v>0</v>
      </c>
      <c r="P8" s="2">
        <f>P7/12</f>
        <v>2338.8028650000001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4190.9910839999939</v>
      </c>
      <c r="K9" s="38">
        <f>(K7*24)-I7</f>
        <v>8381.9821680000023</v>
      </c>
      <c r="L9" s="38">
        <f>(L7*36)-I7</f>
        <v>12572.973252000011</v>
      </c>
      <c r="M9" s="38">
        <f>(M7*48)-I7</f>
        <v>16763.96433599999</v>
      </c>
      <c r="N9" s="38">
        <f>(N7*60)-I7</f>
        <v>20954.955419999998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3652.3032839999942</v>
      </c>
      <c r="M10" s="41">
        <f>(M8*48)-I7</f>
        <v>7304.6065680000029</v>
      </c>
      <c r="N10" s="41">
        <f>(N8*60)-I7</f>
        <v>10956.909851999997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4504.5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25934.39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2244.5325000000003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4167.45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8978.1299999999992</v>
      </c>
      <c r="L14" s="44">
        <f>(H8*L12+H8)/12</f>
        <v>2362.3704562500002</v>
      </c>
      <c r="M14" s="44">
        <f>(H8*M12+H8)/24</f>
        <v>1263.6717974999999</v>
      </c>
      <c r="N14" s="165">
        <f>(H7*N12+H7)/60</f>
        <v>566.7444562500001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4504.5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1131.2443800000001</v>
      </c>
      <c r="I16" s="33"/>
      <c r="J16" s="44" t="s">
        <v>16</v>
      </c>
      <c r="K16" s="44">
        <f>(K14*3)-H8</f>
        <v>0</v>
      </c>
      <c r="L16" s="44">
        <f>(L14*12)-H8</f>
        <v>1414.055475000001</v>
      </c>
      <c r="M16" s="44">
        <f>(M14*24)-H8</f>
        <v>3393.7331399999966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22771.95</v>
      </c>
      <c r="E17" s="48"/>
      <c r="F17" s="48"/>
      <c r="G17" s="54"/>
      <c r="H17" s="33">
        <f>+SUM(H12:H16)+(H7)</f>
        <v>28980.634380000003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69.041095890410958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126000</v>
      </c>
      <c r="V19" s="157">
        <f>(B7+D10+D11+D12+D13+D16)*1.05</f>
        <v>126000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3408.5470544999998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73.792849315068509</v>
      </c>
      <c r="I24" s="145">
        <f>H7+H12+H16</f>
        <v>28665.634380000003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4507.2457132500003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A6AE3C3-9EDF-48C6-AF7E-89B5AC8F6248}">
      <formula1>"ALAA HAMMAD,KHALED QASSEM,RAMY RAOUF,SIMON LOBO,MHAREN CLEMENTE GARADO"</formula1>
    </dataValidation>
    <dataValidation type="list" allowBlank="1" showInputMessage="1" showErrorMessage="1" sqref="M34" xr:uid="{4C7FFD9B-03B6-49E1-AAC9-47A6517B330A}">
      <formula1>"Alaa Hammad,Bachir Ibrahim Mourad,Khaled Qassem,Ramy Raoof,Simon Lobo,Mharen Clemente Garado,Ranjith"</formula1>
    </dataValidation>
    <dataValidation type="list" allowBlank="1" showInputMessage="1" showErrorMessage="1" sqref="B11" xr:uid="{545FAAF2-919C-4454-B939-F934D7C54676}">
      <formula1>"FO Ceramic+ Intr&amp;Extr CeramicGold WdwTnt,FO Mirror Camera Sensor"</formula1>
    </dataValidation>
    <dataValidation type="list" allowBlank="1" showInputMessage="1" showErrorMessage="1" sqref="B12" xr:uid="{EC0B4809-4FE0-4AFE-AF3F-5B99B26780E0}">
      <formula1>"FO Exterior ceramic All Cars SCOTCHGUARD,FO Mirror Camera Sensor,FO PPF Gold Package "</formula1>
    </dataValidation>
    <dataValidation type="list" allowBlank="1" showInputMessage="1" showErrorMessage="1" sqref="K20" xr:uid="{4D0941CE-C203-465A-B712-7FED104728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ED1AECD-9507-42D1-8F3C-6DEF456025B4}">
      <formula1>"RMC-10-40KMS,RMC-10-60KMS,RMC-10-70KMS,RMC-10-100000KMS,RMC-40-70KMS,RMC-40-100000KMS"</formula1>
    </dataValidation>
    <dataValidation type="list" allowBlank="1" showInputMessage="1" showErrorMessage="1" sqref="K24" xr:uid="{FAF691B7-9865-4DB7-ACCE-E8EA50E910F3}">
      <formula1>"RMC-10-70K,RMC-10-100000K,RMC-40-70K"</formula1>
    </dataValidation>
    <dataValidation type="list" allowBlank="1" showInputMessage="1" showErrorMessage="1" sqref="D5" xr:uid="{7BEB89EC-5F38-411A-976C-C1ED11AF7D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4FAC19D-DA24-4389-AFB8-A9D89D863F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82A4005-2B30-43B4-AEC7-C39BF88DFBE1}">
      <formula1>"YES,NO"</formula1>
    </dataValidation>
    <dataValidation type="list" allowBlank="1" showInputMessage="1" showErrorMessage="1" sqref="K21" xr:uid="{C11D8296-B2E8-4C18-A2CD-B7330C4F7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A1B7-55F9-4420-89D8-F76F9B9A301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G05</v>
      </c>
      <c r="D5" s="19" t="s">
        <v>163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13701.765044274998</v>
      </c>
      <c r="S5" s="151"/>
      <c r="U5" s="151">
        <f>L7+L14</f>
        <v>5656.9826514104161</v>
      </c>
      <c r="V5" s="151">
        <f>M7+M14</f>
        <v>3825.4359290875</v>
      </c>
      <c r="W5" s="151">
        <f>N7+N14</f>
        <v>2689.1127347437505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4469.8346847437497</v>
      </c>
      <c r="V6" s="170">
        <f>N7+K14</f>
        <v>11030.682119274999</v>
      </c>
      <c r="W6" s="170" t="e">
        <f>N7+J14</f>
        <v>#VALUE!</v>
      </c>
    </row>
    <row r="7" spans="1:27" ht="26.25" thickBot="1" x14ac:dyDescent="0.4">
      <c r="A7" s="6">
        <f>B8</f>
        <v>104900</v>
      </c>
      <c r="B7" s="29">
        <f>IF(L20="YES",C8*1,IF(L20="NO",B8*1))</f>
        <v>104900</v>
      </c>
      <c r="C7" s="29">
        <f>B7*5/100</f>
        <v>5245</v>
      </c>
      <c r="D7" s="168">
        <f>B7+C7</f>
        <v>110145</v>
      </c>
      <c r="E7" s="29">
        <f>D17</f>
        <v>22704.146249999998</v>
      </c>
      <c r="F7" s="29">
        <f>(C7)+(D10+D11+D12+D13+D16)*5/100</f>
        <v>5950</v>
      </c>
      <c r="G7" s="30">
        <f>B7+E7+F7</f>
        <v>133554.14624999999</v>
      </c>
      <c r="H7" s="29">
        <f>G7*D20</f>
        <v>26710.829249999999</v>
      </c>
      <c r="I7" s="30">
        <f>(G7-H7)</f>
        <v>106843.317</v>
      </c>
      <c r="J7" s="30">
        <f>(((I7*D19)*1)+I7)/12</f>
        <v>9249.9601692750002</v>
      </c>
      <c r="K7" s="30">
        <f>(((I7*D19)*2)+I7)/24</f>
        <v>4798.1552942749995</v>
      </c>
      <c r="L7" s="30">
        <f>(((I7*D19)*3)+I7)/36</f>
        <v>3314.2203359416662</v>
      </c>
      <c r="M7" s="30">
        <f>(((I7*D19)*4)+I7)/48</f>
        <v>2572.2528567750001</v>
      </c>
      <c r="N7" s="30">
        <f>((((I7*D19)*5)+I7)/60)</f>
        <v>2127.0723692750003</v>
      </c>
      <c r="O7" s="118"/>
      <c r="P7" s="2">
        <f>H7+H16</f>
        <v>27832.684078499999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104900</v>
      </c>
      <c r="C8" s="32">
        <f>IF(L20="YES",N20,IF(L20="NO",N20))</f>
        <v>104900</v>
      </c>
      <c r="D8" s="29">
        <v>0</v>
      </c>
      <c r="E8" s="33"/>
      <c r="F8" s="188"/>
      <c r="G8" s="189"/>
      <c r="H8" s="110">
        <f>G7*20/100</f>
        <v>26710.829249999999</v>
      </c>
      <c r="I8" s="34"/>
      <c r="J8" s="34" t="s">
        <v>15</v>
      </c>
      <c r="K8" s="34">
        <f>(I7*K5+I7)/24</f>
        <v>4451.8048749999998</v>
      </c>
      <c r="L8" s="34">
        <f>(I7*L5+I7)/36</f>
        <v>3068.4807068416667</v>
      </c>
      <c r="M8" s="34">
        <f>(I7*M5+I7)/48</f>
        <v>2376.8186227624997</v>
      </c>
      <c r="N8" s="34">
        <f>(I7*N5+I7)/60</f>
        <v>1961.821372315</v>
      </c>
      <c r="O8" s="118">
        <v>0</v>
      </c>
      <c r="P8" s="2">
        <f>P7/12</f>
        <v>2319.3903398749999</v>
      </c>
      <c r="T8" s="1">
        <f>25973-12973</f>
        <v>13000</v>
      </c>
    </row>
    <row r="9" spans="1:27" ht="25.5" x14ac:dyDescent="0.35">
      <c r="A9" s="8">
        <f>B8/(100%-A8)</f>
        <v>131125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4156.2050313000072</v>
      </c>
      <c r="K9" s="38">
        <f>(K7*24)-I7</f>
        <v>8312.4100625999999</v>
      </c>
      <c r="L9" s="38">
        <f>(L7*36)-I7</f>
        <v>12468.615093899993</v>
      </c>
      <c r="M9" s="38">
        <f>(M7*48)-I7</f>
        <v>16624.820125200014</v>
      </c>
      <c r="N9" s="38">
        <f>(N7*60)-I7</f>
        <v>20781.025156500022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3621.9884463000053</v>
      </c>
      <c r="M10" s="41">
        <f>(M8*48)-I7</f>
        <v>7243.9768925999961</v>
      </c>
      <c r="N10" s="41">
        <f>(N8*60)-I7</f>
        <v>10865.965338900001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4471.4250000000002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25710.829249999999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132784.51799999998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2225.9024374999999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4132.7212499999996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8903.6097499999996</v>
      </c>
      <c r="L14" s="44">
        <f>(H8*L12+H8)/12</f>
        <v>2342.7623154687499</v>
      </c>
      <c r="M14" s="44">
        <f>(H8*M12+H8)/24</f>
        <v>1253.1830723124999</v>
      </c>
      <c r="N14" s="165">
        <f>(H7*N12+H7)/60</f>
        <v>562.04036546875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3277</v>
      </c>
      <c r="B15" s="37" t="s">
        <v>27</v>
      </c>
      <c r="C15" s="20" t="s">
        <v>19</v>
      </c>
      <c r="D15" s="29">
        <f>IF(C15="YES",O10,IF(C15="NO",0))</f>
        <v>4471.4250000000002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1121.8548284999999</v>
      </c>
      <c r="I16" s="33"/>
      <c r="J16" s="44" t="s">
        <v>16</v>
      </c>
      <c r="K16" s="44">
        <f>(K14*3)-H8</f>
        <v>0</v>
      </c>
      <c r="L16" s="44">
        <f>(L14*12)-H8</f>
        <v>1402.3185356249996</v>
      </c>
      <c r="M16" s="44">
        <f>(M14*24)-H8</f>
        <v>3365.5644854999991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3407</v>
      </c>
      <c r="B17" s="37"/>
      <c r="C17" s="20"/>
      <c r="D17" s="29">
        <f>SUM(D10:D16)</f>
        <v>22704.146249999998</v>
      </c>
      <c r="E17" s="48"/>
      <c r="F17" s="48"/>
      <c r="G17" s="54"/>
      <c r="H17" s="33">
        <f>+SUM(H12:H16)+(H7)</f>
        <v>28747.684078499999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3304.35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68.465753424657535</v>
      </c>
      <c r="K19" s="37"/>
      <c r="L19" s="37"/>
      <c r="M19" s="37"/>
      <c r="N19" s="34">
        <f>D7</f>
        <v>110145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124950</v>
      </c>
      <c r="V19" s="157">
        <f>(B7+D10+D11+D12+D13+D16)*1.05</f>
        <v>124950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3304.35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3380.2554415875002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73.180354109589032</v>
      </c>
      <c r="I24" s="145">
        <f>H7+H12+H16</f>
        <v>28432.684078499999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4469.8346847437497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9076D2A4-4AA9-4813-9984-CB3AFCEC9F9D}">
      <formula1>"ALAA HAMMAD,KHALED QASSEM,RAMY RAOUF,SIMON LOBO,MHAREN CLEMENTE GARADO"</formula1>
    </dataValidation>
    <dataValidation type="list" allowBlank="1" showInputMessage="1" showErrorMessage="1" sqref="M34" xr:uid="{F2940753-F3A3-4BC5-AC2B-C9844A218C5C}">
      <formula1>"Alaa Hammad,Bachir Ibrahim Mourad,Khaled Qassem,Ramy Raoof,Simon Lobo,Mharen Clemente Garado,Ranjith"</formula1>
    </dataValidation>
    <dataValidation type="list" allowBlank="1" showInputMessage="1" showErrorMessage="1" sqref="B11" xr:uid="{7E375EC1-3683-42FB-98AB-31CF7F2E4F58}">
      <formula1>"FO Ceramic+ Intr&amp;Extr CeramicGold WdwTnt,FO Mirror Camera Sensor"</formula1>
    </dataValidation>
    <dataValidation type="list" allowBlank="1" showInputMessage="1" showErrorMessage="1" sqref="B12" xr:uid="{D9BB9AFF-6427-4D73-9B1A-A248A7E04374}">
      <formula1>"FO Exterior ceramic All Cars SCOTCHGUARD,FO Mirror Camera Sensor,FO PPF Gold Package "</formula1>
    </dataValidation>
    <dataValidation type="list" allowBlank="1" showInputMessage="1" showErrorMessage="1" sqref="K20" xr:uid="{669049D5-07F4-4054-98B6-65B714D6AC8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C5171A5-473A-4CA6-81BB-D082690BC4CF}">
      <formula1>"RMC-10-40KMS,RMC-10-60KMS,RMC-10-70KMS,RMC-10-100000KMS,RMC-40-70KMS,RMC-40-100000KMS"</formula1>
    </dataValidation>
    <dataValidation type="list" allowBlank="1" showInputMessage="1" showErrorMessage="1" sqref="K24" xr:uid="{28121404-6226-47EE-8FC2-B5A31EE5BE5F}">
      <formula1>"RMC-10-70K,RMC-10-100000K,RMC-40-70K"</formula1>
    </dataValidation>
    <dataValidation type="list" allowBlank="1" showInputMessage="1" showErrorMessage="1" sqref="D5" xr:uid="{E112C4D5-65EC-4AB6-8A5A-162C582FD47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C04E880-252E-409F-8FE9-13D3FBF81B2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F38508-9C75-43C9-8321-561C02671E96}">
      <formula1>"YES,NO"</formula1>
    </dataValidation>
    <dataValidation type="list" allowBlank="1" showInputMessage="1" showErrorMessage="1" sqref="K21" xr:uid="{D85800E3-1155-4104-867E-0286A04206E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2CCF-BE43-4998-9696-E5749DC0234C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G08</v>
      </c>
      <c r="D5" s="19" t="s">
        <v>162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16110.028511500001</v>
      </c>
      <c r="S5" s="151"/>
      <c r="U5" s="151">
        <f>L7+L14</f>
        <v>6651.2709500416659</v>
      </c>
      <c r="V5" s="151">
        <f>M7+M14</f>
        <v>4497.8060627499999</v>
      </c>
      <c r="W5" s="151">
        <f>N7+N14</f>
        <v>3161.7592833749995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5255.4662833749999</v>
      </c>
      <c r="V6" s="170">
        <f>N7+K14</f>
        <v>12969.468011499999</v>
      </c>
      <c r="W6" s="170" t="e">
        <f>N7+J14</f>
        <v>#VALUE!</v>
      </c>
    </row>
    <row r="7" spans="1:27" ht="26.25" thickBot="1" x14ac:dyDescent="0.4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168">
        <f>B7+C7</f>
        <v>132195</v>
      </c>
      <c r="E7" s="29">
        <f>D17</f>
        <v>24128.025000000001</v>
      </c>
      <c r="F7" s="29">
        <f>(C7)+(D10+D11+D12+D13+D16)*5/100</f>
        <v>7000</v>
      </c>
      <c r="G7" s="30">
        <f>B7+E7+F7</f>
        <v>157028.02499999999</v>
      </c>
      <c r="H7" s="29">
        <f>G7*D20</f>
        <v>31405.605</v>
      </c>
      <c r="I7" s="30">
        <f>(G7-H7)</f>
        <v>125622.42</v>
      </c>
      <c r="J7" s="30">
        <f>(((I7*D19)*1)+I7)/12</f>
        <v>10875.761011500001</v>
      </c>
      <c r="K7" s="30">
        <f>(((I7*D19)*2)+I7)/24</f>
        <v>5641.4935114999998</v>
      </c>
      <c r="L7" s="30">
        <f>(((I7*D19)*3)+I7)/36</f>
        <v>3896.7376781666662</v>
      </c>
      <c r="M7" s="30">
        <f>(((I7*D19)*4)+I7)/48</f>
        <v>3024.3597614999999</v>
      </c>
      <c r="N7" s="30">
        <f>((((I7*D19)*5)+I7)/60)</f>
        <v>2500.9330114999998</v>
      </c>
      <c r="O7" s="118"/>
      <c r="P7" s="2">
        <f>H7+H16</f>
        <v>32724.64041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125900</v>
      </c>
      <c r="C8" s="32">
        <f>IF(L20="YES",N20,IF(L20="NO",N20))</f>
        <v>125900</v>
      </c>
      <c r="D8" s="29">
        <v>0</v>
      </c>
      <c r="E8" s="33"/>
      <c r="F8" s="188"/>
      <c r="G8" s="189"/>
      <c r="H8" s="110">
        <f>G7*20/100</f>
        <v>31405.605</v>
      </c>
      <c r="I8" s="34"/>
      <c r="J8" s="34" t="s">
        <v>15</v>
      </c>
      <c r="K8" s="34">
        <f>(I7*K5+I7)/24</f>
        <v>5234.2674999999999</v>
      </c>
      <c r="L8" s="34">
        <f>(I7*L5+I7)/36</f>
        <v>3607.8061121666669</v>
      </c>
      <c r="M8" s="34">
        <f>(I7*M5+I7)/48</f>
        <v>2794.57541825</v>
      </c>
      <c r="N8" s="34">
        <f>(I7*N5+I7)/60</f>
        <v>2306.6370019000001</v>
      </c>
      <c r="O8" s="118">
        <v>0</v>
      </c>
      <c r="P8" s="2">
        <f>P7/12</f>
        <v>2727.0533675000001</v>
      </c>
      <c r="T8" s="1">
        <f>25973-12973</f>
        <v>13000</v>
      </c>
    </row>
    <row r="9" spans="1:27" ht="25.5" x14ac:dyDescent="0.35">
      <c r="A9" s="8">
        <f>B8/(100%-A8)</f>
        <v>157375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4886.7121380000171</v>
      </c>
      <c r="K9" s="38">
        <f>(K7*24)-I7</f>
        <v>9773.4242759999906</v>
      </c>
      <c r="L9" s="38">
        <f>(L7*36)-I7</f>
        <v>14660.136413999993</v>
      </c>
      <c r="M9" s="38">
        <f>(M7*48)-I7</f>
        <v>19546.848551999996</v>
      </c>
      <c r="N9" s="38">
        <f>(N7*60)-I7</f>
        <v>24433.560689999998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4258.6000380000187</v>
      </c>
      <c r="M10" s="41">
        <f>(M8*48)-I7</f>
        <v>8517.2000759999937</v>
      </c>
      <c r="N10" s="41">
        <f>(N8*60)-I7</f>
        <v>12775.800113999998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5166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30405.605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159366.73799999998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2617.13375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4862.0249999999996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10468.535</v>
      </c>
      <c r="L14" s="44">
        <f>(H8*L12+H8)/12</f>
        <v>2754.5332718750001</v>
      </c>
      <c r="M14" s="44">
        <f>(H8*M12+H8)/24</f>
        <v>1473.44630125</v>
      </c>
      <c r="N14" s="165">
        <f>(H7*N12+H7)/60</f>
        <v>660.82627187499997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3907</v>
      </c>
      <c r="B15" s="37" t="s">
        <v>27</v>
      </c>
      <c r="C15" s="20" t="s">
        <v>19</v>
      </c>
      <c r="D15" s="29">
        <f>IF(C15="YES",O10,IF(C15="NO",0))</f>
        <v>5166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1319.03541</v>
      </c>
      <c r="I16" s="33"/>
      <c r="J16" s="44" t="s">
        <v>16</v>
      </c>
      <c r="K16" s="44">
        <f>(K14*3)-H8</f>
        <v>0</v>
      </c>
      <c r="L16" s="44">
        <f>(L14*12)-H8</f>
        <v>1648.7942625000032</v>
      </c>
      <c r="M16" s="44">
        <f>(M14*24)-H8</f>
        <v>3957.1062300000012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4037</v>
      </c>
      <c r="B17" s="37"/>
      <c r="C17" s="20"/>
      <c r="D17" s="29">
        <f>SUM(D10:D16)</f>
        <v>24128.025000000001</v>
      </c>
      <c r="E17" s="48"/>
      <c r="F17" s="48"/>
      <c r="G17" s="54"/>
      <c r="H17" s="33">
        <f>+SUM(H12:H16)+(H7)</f>
        <v>33639.64041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3965.85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80.547945205479451</v>
      </c>
      <c r="K19" s="37"/>
      <c r="L19" s="37"/>
      <c r="M19" s="37"/>
      <c r="N19" s="34">
        <f>D7</f>
        <v>132195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147000</v>
      </c>
      <c r="V19" s="157">
        <f>(B7+D10+D11+D12+D13+D16)*1.05</f>
        <v>147000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3965.85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3974.3793127499998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86.042753424657533</v>
      </c>
      <c r="I24" s="145">
        <f>H7+H12+H16</f>
        <v>33324.64041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5255.4662833749999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7155509-0944-47AF-9E7C-56413FA7455E}">
      <formula1>"ALAA HAMMAD,KHALED QASSEM,RAMY RAOUF,SIMON LOBO,MHAREN CLEMENTE GARADO"</formula1>
    </dataValidation>
    <dataValidation type="list" allowBlank="1" showInputMessage="1" showErrorMessage="1" sqref="M34" xr:uid="{A5ED1FAA-36FB-47EC-8146-47D2BF61FDEF}">
      <formula1>"Alaa Hammad,Bachir Ibrahim Mourad,Khaled Qassem,Ramy Raoof,Simon Lobo,Mharen Clemente Garado,Ranjith"</formula1>
    </dataValidation>
    <dataValidation type="list" allowBlank="1" showInputMessage="1" showErrorMessage="1" sqref="B11" xr:uid="{8FE55D5D-DFDE-4545-9F6D-FE35C68EA276}">
      <formula1>"FO Ceramic+ Intr&amp;Extr CeramicGold WdwTnt,FO Mirror Camera Sensor"</formula1>
    </dataValidation>
    <dataValidation type="list" allowBlank="1" showInputMessage="1" showErrorMessage="1" sqref="B12" xr:uid="{3EC8A6C2-A989-4F91-B1BB-46570B2B5240}">
      <formula1>"FO Exterior ceramic All Cars SCOTCHGUARD,FO Mirror Camera Sensor,FO PPF Gold Package "</formula1>
    </dataValidation>
    <dataValidation type="list" allowBlank="1" showInputMessage="1" showErrorMessage="1" sqref="K20" xr:uid="{90E1FE0E-AC77-47EA-A790-82CBA80C37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A8FC98BB-DAAB-4390-961C-6B0867C31E00}">
      <formula1>"RMC-10-40KMS,RMC-10-60KMS,RMC-10-70KMS,RMC-10-100000KMS,RMC-40-70KMS,RMC-40-100000KMS"</formula1>
    </dataValidation>
    <dataValidation type="list" allowBlank="1" showInputMessage="1" showErrorMessage="1" sqref="K24" xr:uid="{2064CD21-EA03-4FC0-B8C2-6D3430835625}">
      <formula1>"RMC-10-70K,RMC-10-100000K,RMC-40-70K"</formula1>
    </dataValidation>
    <dataValidation type="list" allowBlank="1" showInputMessage="1" showErrorMessage="1" sqref="D5" xr:uid="{14634930-DC2E-45D0-85E8-C983F893DBE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11A5AAF-F938-4C4C-8160-6BE4A6C7C28D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10CFBFF-273F-4DAE-91F3-AA13FF3C5540}">
      <formula1>"YES,NO"</formula1>
    </dataValidation>
    <dataValidation type="list" allowBlank="1" showInputMessage="1" showErrorMessage="1" sqref="K21" xr:uid="{AEB60F67-3EB9-4D2B-934B-F1848678C0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EEB8-E3FC-43A6-ADB3-D0A83B3F807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G09</v>
      </c>
      <c r="D5" s="19" t="s">
        <v>161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16568.745362400001</v>
      </c>
      <c r="S5" s="151"/>
      <c r="U5" s="151">
        <f>L7+L14</f>
        <v>6840.6591973999984</v>
      </c>
      <c r="V5" s="151">
        <f>M7+M14</f>
        <v>4625.8765643999996</v>
      </c>
      <c r="W5" s="151">
        <f>N7+N14</f>
        <v>3251.7871974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5405.1103973999998</v>
      </c>
      <c r="V6" s="170">
        <f>N7+K14</f>
        <v>13338.760562399999</v>
      </c>
      <c r="W6" s="170" t="e">
        <f>N7+J14</f>
        <v>#VALUE!</v>
      </c>
    </row>
    <row r="7" spans="1:27" ht="26.25" thickBot="1" x14ac:dyDescent="0.4">
      <c r="A7" s="6">
        <f>B8</f>
        <v>129900</v>
      </c>
      <c r="B7" s="29">
        <f>IF(L20="YES",C8*1,IF(L20="NO",B8*1))</f>
        <v>129900</v>
      </c>
      <c r="C7" s="29">
        <f>B7*5/100</f>
        <v>6495</v>
      </c>
      <c r="D7" s="168">
        <f>B7+C7</f>
        <v>136395</v>
      </c>
      <c r="E7" s="29">
        <f>D17</f>
        <v>24399.239999999998</v>
      </c>
      <c r="F7" s="29">
        <f>(C7)+(D10+D11+D12+D13+D16)*5/100</f>
        <v>7200</v>
      </c>
      <c r="G7" s="30">
        <f>B7+E7+F7</f>
        <v>161499.24</v>
      </c>
      <c r="H7" s="29">
        <f>G7*D20</f>
        <v>32299.847999999998</v>
      </c>
      <c r="I7" s="30">
        <f>(G7-H7)</f>
        <v>129199.39199999999</v>
      </c>
      <c r="J7" s="30">
        <f>(((I7*D19)*1)+I7)/12</f>
        <v>11185.4373624</v>
      </c>
      <c r="K7" s="30">
        <f>(((I7*D19)*2)+I7)/24</f>
        <v>5802.1293624</v>
      </c>
      <c r="L7" s="30">
        <f>(((I7*D19)*3)+I7)/36</f>
        <v>4007.6933623999994</v>
      </c>
      <c r="M7" s="30">
        <f>(((I7*D19)*4)+I7)/48</f>
        <v>3110.4753624</v>
      </c>
      <c r="N7" s="30">
        <f>((((I7*D19)*5)+I7)/60)</f>
        <v>2572.1445623999998</v>
      </c>
      <c r="O7" s="118"/>
      <c r="P7" s="2">
        <f>H7+H16</f>
        <v>33656.441615999996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129900</v>
      </c>
      <c r="C8" s="32">
        <f>IF(L20="YES",N20,IF(L20="NO",N20))</f>
        <v>129900</v>
      </c>
      <c r="D8" s="29">
        <v>0</v>
      </c>
      <c r="E8" s="33"/>
      <c r="F8" s="188"/>
      <c r="G8" s="189"/>
      <c r="H8" s="110">
        <f>G7*20/100</f>
        <v>32299.847999999998</v>
      </c>
      <c r="I8" s="34"/>
      <c r="J8" s="34" t="s">
        <v>15</v>
      </c>
      <c r="K8" s="34">
        <f>(I7*K5+I7)/24</f>
        <v>5383.308</v>
      </c>
      <c r="L8" s="34">
        <f>(I7*L5+I7)/36</f>
        <v>3710.5347607999993</v>
      </c>
      <c r="M8" s="34">
        <f>(I7*M5+I7)/48</f>
        <v>2874.1481411999998</v>
      </c>
      <c r="N8" s="34">
        <f>(I7*N5+I7)/60</f>
        <v>2372.3161694399996</v>
      </c>
      <c r="O8" s="118">
        <v>0</v>
      </c>
      <c r="P8" s="2">
        <f>P7/12</f>
        <v>2804.7034679999997</v>
      </c>
      <c r="T8" s="1">
        <f>25973-12973</f>
        <v>13000</v>
      </c>
    </row>
    <row r="9" spans="1:27" ht="25.5" x14ac:dyDescent="0.35">
      <c r="A9" s="8">
        <f>B8/(100%-A8)</f>
        <v>162375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5025.8563488000073</v>
      </c>
      <c r="K9" s="38">
        <f>(K7*24)-I7</f>
        <v>10051.712697600015</v>
      </c>
      <c r="L9" s="38">
        <f>(L7*36)-I7</f>
        <v>15077.569046399993</v>
      </c>
      <c r="M9" s="38">
        <f>(M7*48)-I7</f>
        <v>20103.4253952</v>
      </c>
      <c r="N9" s="38">
        <f>(N7*60)-I7</f>
        <v>25129.281744000007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4379.8593887999887</v>
      </c>
      <c r="M10" s="41">
        <f>(M8*48)-I7</f>
        <v>8759.7187776000064</v>
      </c>
      <c r="N10" s="41">
        <f>(N8*60)-I7</f>
        <v>13139.578166399995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5298.3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31299.847999999998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164430.01799999998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2691.654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5000.9399999999996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10766.616</v>
      </c>
      <c r="L14" s="44">
        <f>(H8*L12+H8)/12</f>
        <v>2832.9658349999995</v>
      </c>
      <c r="M14" s="44">
        <f>(H8*M12+H8)/24</f>
        <v>1515.401202</v>
      </c>
      <c r="N14" s="165">
        <f>(H7*N12+H7)/60</f>
        <v>679.64263499999993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4027</v>
      </c>
      <c r="B15" s="37" t="s">
        <v>27</v>
      </c>
      <c r="C15" s="20" t="s">
        <v>19</v>
      </c>
      <c r="D15" s="29">
        <f>IF(C15="YES",O10,IF(C15="NO",0))</f>
        <v>5298.3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1356.5936160000001</v>
      </c>
      <c r="I16" s="33"/>
      <c r="J16" s="44" t="s">
        <v>16</v>
      </c>
      <c r="K16" s="44">
        <f>(K14*3)-H8</f>
        <v>0</v>
      </c>
      <c r="L16" s="44">
        <f>(L14*12)-H8</f>
        <v>1695.7420199999979</v>
      </c>
      <c r="M16" s="44">
        <f>(M14*24)-H8</f>
        <v>4069.7808480000022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4157</v>
      </c>
      <c r="B17" s="37"/>
      <c r="C17" s="20"/>
      <c r="D17" s="29">
        <f>SUM(D10:D16)</f>
        <v>24399.239999999998</v>
      </c>
      <c r="E17" s="48"/>
      <c r="F17" s="48"/>
      <c r="G17" s="54"/>
      <c r="H17" s="33">
        <f>+SUM(H12:H16)+(H7)</f>
        <v>34571.441615999996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4091.85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82.849315068493155</v>
      </c>
      <c r="K19" s="37"/>
      <c r="L19" s="37"/>
      <c r="M19" s="37"/>
      <c r="N19" s="34">
        <f>D7</f>
        <v>136395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151200</v>
      </c>
      <c r="V19" s="157">
        <f>(B7+D10+D11+D12+D13+D16)*1.05</f>
        <v>151200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4091.85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4087.5457643999998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88.492734246575338</v>
      </c>
      <c r="I24" s="145">
        <f>H7+H12+H16</f>
        <v>34256.441615999996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5405.1103973999998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F51621B-5C2B-4C6D-8B5B-8B6FC1991209}">
      <formula1>"ALAA HAMMAD,KHALED QASSEM,RAMY RAOUF,SIMON LOBO,MHAREN CLEMENTE GARADO"</formula1>
    </dataValidation>
    <dataValidation type="list" allowBlank="1" showInputMessage="1" showErrorMessage="1" sqref="M34" xr:uid="{E33E273C-B5EA-4F01-9032-B7A2B3C228C1}">
      <formula1>"Alaa Hammad,Bachir Ibrahim Mourad,Khaled Qassem,Ramy Raoof,Simon Lobo,Mharen Clemente Garado,Ranjith"</formula1>
    </dataValidation>
    <dataValidation type="list" allowBlank="1" showInputMessage="1" showErrorMessage="1" sqref="B11" xr:uid="{EDE5FC06-B61D-46F7-8F0E-287EA7F4CD0B}">
      <formula1>"FO Ceramic+ Intr&amp;Extr CeramicGold WdwTnt,FO Mirror Camera Sensor"</formula1>
    </dataValidation>
    <dataValidation type="list" allowBlank="1" showInputMessage="1" showErrorMessage="1" sqref="B12" xr:uid="{AB2D5068-37A1-44D2-8D75-04AB01D2B6DD}">
      <formula1>"FO Exterior ceramic All Cars SCOTCHGUARD,FO Mirror Camera Sensor,FO PPF Gold Package "</formula1>
    </dataValidation>
    <dataValidation type="list" allowBlank="1" showInputMessage="1" showErrorMessage="1" sqref="K20" xr:uid="{36EEBA6C-294D-424C-9D66-A431B47B374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D53D7A-7B13-4FF0-BF1F-85C3C9C12E21}">
      <formula1>"RMC-10-40KMS,RMC-10-60KMS,RMC-10-70KMS,RMC-10-100000KMS,RMC-40-70KMS,RMC-40-100000KMS"</formula1>
    </dataValidation>
    <dataValidation type="list" allowBlank="1" showInputMessage="1" showErrorMessage="1" sqref="K24" xr:uid="{5BD1A757-7EFF-4DB1-A483-639DA4ABD964}">
      <formula1>"RMC-10-70K,RMC-10-100000K,RMC-40-70K"</formula1>
    </dataValidation>
    <dataValidation type="list" allowBlank="1" showInputMessage="1" showErrorMessage="1" sqref="D5" xr:uid="{B59026F8-F7B4-40C6-9F75-055BBB5E901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A6C9B5-5447-4A17-A684-B9077A2C672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A0D8EA9-F85A-4FE7-A3F1-D73CEB6CDB4C}">
      <formula1>"YES,NO"</formula1>
    </dataValidation>
    <dataValidation type="list" allowBlank="1" showInputMessage="1" showErrorMessage="1" sqref="K21" xr:uid="{8EB102C4-C8AF-457E-A3E2-6A48893DDDA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2526-435A-4C29-92C0-766A44C76315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P09</v>
      </c>
      <c r="D5" s="19" t="s">
        <v>160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17142.141426025002</v>
      </c>
      <c r="S5" s="151"/>
      <c r="U5" s="151">
        <f>L7+L14</f>
        <v>7077.3945065979169</v>
      </c>
      <c r="V5" s="151">
        <f>M7+M14</f>
        <v>4785.9646914625</v>
      </c>
      <c r="W5" s="151">
        <f>N7+N14</f>
        <v>3364.322089931251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5592.1655399312513</v>
      </c>
      <c r="V6" s="170">
        <f>N7+K14</f>
        <v>13800.376251025002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24738.258750000001</v>
      </c>
      <c r="F7" s="29">
        <f>(C7)+(D10+D11+D12+D13+D16)*5/100</f>
        <v>7450</v>
      </c>
      <c r="G7" s="30">
        <f>B7+E7+F7</f>
        <v>167088.25875000001</v>
      </c>
      <c r="H7" s="29">
        <f>G7*D20</f>
        <v>33417.651750000005</v>
      </c>
      <c r="I7" s="30">
        <f>(G7-H7)</f>
        <v>133670.60700000002</v>
      </c>
      <c r="J7" s="30">
        <f>(((I7*D19)*1)+I7)/12</f>
        <v>11572.532801025001</v>
      </c>
      <c r="K7" s="30">
        <f>(((I7*D19)*2)+I7)/24</f>
        <v>6002.9241760250006</v>
      </c>
      <c r="L7" s="30">
        <f>(((I7*D19)*3)+I7)/36</f>
        <v>4146.3879676916667</v>
      </c>
      <c r="M7" s="30">
        <f>(((I7*D19)*4)+I7)/48</f>
        <v>3218.1198635250003</v>
      </c>
      <c r="N7" s="30">
        <f>((((I7*D19)*5)+I7)/60)</f>
        <v>2661.1590010250006</v>
      </c>
      <c r="O7" s="118"/>
      <c r="P7" s="2">
        <f>H7+H16</f>
        <v>34821.193123500008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33417.651750000005</v>
      </c>
      <c r="I8" s="34"/>
      <c r="J8" s="34" t="s">
        <v>15</v>
      </c>
      <c r="K8" s="34">
        <f>(I7*K5+I7)/24</f>
        <v>5569.6086250000008</v>
      </c>
      <c r="L8" s="34">
        <f>(I7*L5+I7)/36</f>
        <v>3838.945571591667</v>
      </c>
      <c r="M8" s="34">
        <f>(I7*M5+I7)/48</f>
        <v>2973.6140448875008</v>
      </c>
      <c r="N8" s="34">
        <f>(I7*N5+I7)/60</f>
        <v>2454.4151288650005</v>
      </c>
      <c r="O8" s="118">
        <v>0</v>
      </c>
      <c r="P8" s="2">
        <f>P7/12</f>
        <v>2901.7660936250008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5199.7866122999985</v>
      </c>
      <c r="K9" s="38">
        <f>(K7*24)-I7</f>
        <v>10399.573224599997</v>
      </c>
      <c r="L9" s="38">
        <f>(L7*36)-I7</f>
        <v>15599.359836899996</v>
      </c>
      <c r="M9" s="38">
        <f>(M7*48)-I7</f>
        <v>20799.146449199994</v>
      </c>
      <c r="N9" s="38">
        <f>(N7*60)-I7</f>
        <v>25998.933061500022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4531.4335772999912</v>
      </c>
      <c r="M10" s="41">
        <f>(M8*48)-I7</f>
        <v>9062.8671546000114</v>
      </c>
      <c r="N10" s="41">
        <f>(N8*60)-I7</f>
        <v>13594.300731900003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5463.6750000000002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32417.651750000005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2784.8043125000004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5174.5837499999998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11139.217250000002</v>
      </c>
      <c r="L14" s="44">
        <f>(H8*L12+H8)/12</f>
        <v>2931.0065389062506</v>
      </c>
      <c r="M14" s="44">
        <f>(H8*M12+H8)/24</f>
        <v>1567.8448279375</v>
      </c>
      <c r="N14" s="165">
        <f>(H7*N12+H7)/60</f>
        <v>703.1630889062501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5463.6750000000002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1403.5413735000002</v>
      </c>
      <c r="I16" s="33"/>
      <c r="J16" s="44" t="s">
        <v>16</v>
      </c>
      <c r="K16" s="44">
        <f>(K14*3)-H8</f>
        <v>0</v>
      </c>
      <c r="L16" s="44">
        <f>(L14*12)-H8</f>
        <v>1754.4267168750011</v>
      </c>
      <c r="M16" s="44">
        <f>(M14*24)-H8</f>
        <v>4210.6241204999969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24738.258750000001</v>
      </c>
      <c r="E17" s="48"/>
      <c r="F17" s="48"/>
      <c r="G17" s="54"/>
      <c r="H17" s="33">
        <f>+SUM(H12:H16)+(H7)</f>
        <v>35736.193123500008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85.726027397260268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156450</v>
      </c>
      <c r="V19" s="157">
        <f>(B7+D10+D11+D12+D13+D16)*1.05</f>
        <v>156450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4229.0038289625008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91.555210273972619</v>
      </c>
      <c r="I24" s="145">
        <f>H7+H12+H16</f>
        <v>35421.193123500008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5592.1655399312513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7CBBA65-69AD-42A9-8C89-CF7635A62E93}">
      <formula1>"ALAA HAMMAD,KHALED QASSEM,RAMY RAOUF,SIMON LOBO,MHAREN CLEMENTE GARADO"</formula1>
    </dataValidation>
    <dataValidation type="list" allowBlank="1" showInputMessage="1" showErrorMessage="1" sqref="M34" xr:uid="{138286CA-F7A6-4D9F-9157-713AFC40064F}">
      <formula1>"Alaa Hammad,Bachir Ibrahim Mourad,Khaled Qassem,Ramy Raoof,Simon Lobo,Mharen Clemente Garado,Ranjith"</formula1>
    </dataValidation>
    <dataValidation type="list" allowBlank="1" showInputMessage="1" showErrorMessage="1" sqref="B11" xr:uid="{19E7E8DA-2BAE-4D61-830D-32197A7AE7AD}">
      <formula1>"FO Ceramic+ Intr&amp;Extr CeramicGold WdwTnt,FO Mirror Camera Sensor"</formula1>
    </dataValidation>
    <dataValidation type="list" allowBlank="1" showInputMessage="1" showErrorMessage="1" sqref="B12" xr:uid="{EB24DAE2-61EF-4ACA-8878-63E9E68BD818}">
      <formula1>"FO Exterior ceramic All Cars SCOTCHGUARD,FO Mirror Camera Sensor,FO PPF Gold Package "</formula1>
    </dataValidation>
    <dataValidation type="list" allowBlank="1" showInputMessage="1" showErrorMessage="1" sqref="K20" xr:uid="{84102C81-DA75-4D27-B4A6-A9D25081D8E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F9822D1-0971-464C-87F9-B76399CB3F8F}">
      <formula1>"RMC-10-40KMS,RMC-10-60KMS,RMC-10-70KMS,RMC-10-100000KMS,RMC-40-70KMS,RMC-40-100000KMS"</formula1>
    </dataValidation>
    <dataValidation type="list" allowBlank="1" showInputMessage="1" showErrorMessage="1" sqref="K24" xr:uid="{6D7B7922-E89D-422C-A453-75906EE0EF36}">
      <formula1>"RMC-10-70K,RMC-10-100000K,RMC-40-70K"</formula1>
    </dataValidation>
    <dataValidation type="list" allowBlank="1" showInputMessage="1" showErrorMessage="1" sqref="D5" xr:uid="{D52ABE84-5376-4A24-A5A6-1AA4178D755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2E3E2F5-D316-4C56-A6F5-ABB0C028D1A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451262E-7060-4F7A-A7EC-583F2966155A}">
      <formula1>"YES,NO"</formula1>
    </dataValidation>
    <dataValidation type="list" allowBlank="1" showInputMessage="1" showErrorMessage="1" sqref="K21" xr:uid="{E07555C2-3FDF-4C10-9159-F55CDD512E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DDF4-4650-4BE7-A9DD-B3A079B98A07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H57</v>
      </c>
      <c r="D5" s="19" t="s">
        <v>159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13690.994360120001</v>
      </c>
      <c r="S5" s="151"/>
      <c r="U5" s="151">
        <f>L7+L14</f>
        <v>5652.5358102033342</v>
      </c>
      <c r="V5" s="151">
        <f>M7+M14</f>
        <v>3822.4288302200002</v>
      </c>
      <c r="W5" s="151">
        <f>N7+N14</f>
        <v>2686.9988768700005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4466.3210368700002</v>
      </c>
      <c r="V6" s="170">
        <f>N7+K14</f>
        <v>11022.011120120002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21589.162</v>
      </c>
      <c r="F7" s="29">
        <f>(C7)+(D10+D11+D12+D13+D16)*5/100</f>
        <v>5960</v>
      </c>
      <c r="G7" s="30">
        <f>B7+E7+F7</f>
        <v>133449.16200000001</v>
      </c>
      <c r="H7" s="29">
        <f>G7*D20</f>
        <v>26689.832400000003</v>
      </c>
      <c r="I7" s="30">
        <f>(G7-H7)</f>
        <v>106759.32960000001</v>
      </c>
      <c r="J7" s="30">
        <f>(((I7*D19)*1)+I7)/12</f>
        <v>9242.68896012</v>
      </c>
      <c r="K7" s="30">
        <f>(((I7*D19)*2)+I7)/24</f>
        <v>4794.3835601200008</v>
      </c>
      <c r="L7" s="30">
        <f>(((I7*D19)*3)+I7)/36</f>
        <v>3311.6150934533339</v>
      </c>
      <c r="M7" s="30">
        <f>(((I7*D19)*4)+I7)/48</f>
        <v>2570.2308601200002</v>
      </c>
      <c r="N7" s="30">
        <f>((((I7*D19)*5)+I7)/60)</f>
        <v>2125.4003201200003</v>
      </c>
      <c r="O7" s="118"/>
      <c r="P7" s="2">
        <f>H7+H16</f>
        <v>27810.805360800005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26689.832400000003</v>
      </c>
      <c r="I8" s="34"/>
      <c r="J8" s="34" t="s">
        <v>15</v>
      </c>
      <c r="K8" s="34">
        <f>(I7*K5+I7)/24</f>
        <v>4448.3054000000002</v>
      </c>
      <c r="L8" s="34">
        <f>(I7*L5+I7)/36</f>
        <v>3066.068635373334</v>
      </c>
      <c r="M8" s="34">
        <f>(I7*M5+I7)/48</f>
        <v>2374.9502530600003</v>
      </c>
      <c r="N8" s="34">
        <f>(I7*N5+I7)/60</f>
        <v>1960.2792236720004</v>
      </c>
      <c r="O8" s="118">
        <v>0</v>
      </c>
      <c r="P8" s="2">
        <f>P7/12</f>
        <v>2317.5671134000004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4152.9379214399814</v>
      </c>
      <c r="K9" s="38">
        <f>(K7*24)-I7</f>
        <v>8305.8758428800065</v>
      </c>
      <c r="L9" s="38">
        <f>(L7*36)-I7</f>
        <v>12458.813764320003</v>
      </c>
      <c r="M9" s="38">
        <f>(M7*48)-I7</f>
        <v>16611.751685759999</v>
      </c>
      <c r="N9" s="38">
        <f>(N7*60)-I7</f>
        <v>20764.689607200009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3619.1412734400074</v>
      </c>
      <c r="M10" s="41">
        <f>(M8*48)-I7</f>
        <v>7238.2825468800002</v>
      </c>
      <c r="N10" s="41">
        <f>(N8*60)-I7</f>
        <v>10857.423820320008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4149.4949999999999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25689.832400000003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2224.1527000000001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4139.6670000000004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8896.6108000000004</v>
      </c>
      <c r="L14" s="44">
        <f>(H8*L12+H8)/12</f>
        <v>2340.9207167500003</v>
      </c>
      <c r="M14" s="44">
        <f>(H8*M12+H8)/24</f>
        <v>1252.1979701000002</v>
      </c>
      <c r="N14" s="165">
        <f>(H7*N12+H7)/60</f>
        <v>561.59855675000006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4149.4949999999999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1120.9729608000002</v>
      </c>
      <c r="I16" s="33"/>
      <c r="J16" s="44" t="s">
        <v>16</v>
      </c>
      <c r="K16" s="44">
        <f>(K14*3)-H8</f>
        <v>0</v>
      </c>
      <c r="L16" s="44">
        <f>(L14*12)-H8</f>
        <v>1401.2162009999993</v>
      </c>
      <c r="M16" s="44">
        <f>(M14*24)-H8</f>
        <v>3362.9188824000048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21589.162</v>
      </c>
      <c r="E17" s="48"/>
      <c r="F17" s="48"/>
      <c r="G17" s="54"/>
      <c r="H17" s="33">
        <f>+SUM(H12:H16)+(H7)</f>
        <v>28725.805360800005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68.580821917808223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125160</v>
      </c>
      <c r="V19" s="157">
        <f>(B7+D10+D11+D12+D13+D16)*1.05</f>
        <v>125160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3377.5982902200003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73.122828493150692</v>
      </c>
      <c r="I24" s="145">
        <f>H7+H12+H16</f>
        <v>28410.805360800005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4466.3210368700002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65C303C-B054-42B9-A408-78CD8B1C2BFC}">
      <formula1>"ALAA HAMMAD,KHALED QASSEM,RAMY RAOUF,SIMON LOBO,MHAREN CLEMENTE GARADO"</formula1>
    </dataValidation>
    <dataValidation type="list" allowBlank="1" showInputMessage="1" showErrorMessage="1" sqref="M34" xr:uid="{F367F94F-6289-4669-929F-7AB91D05F4F0}">
      <formula1>"Alaa Hammad,Bachir Ibrahim Mourad,Khaled Qassem,Ramy Raoof,Simon Lobo,Mharen Clemente Garado,Ranjith"</formula1>
    </dataValidation>
    <dataValidation type="list" allowBlank="1" showInputMessage="1" showErrorMessage="1" sqref="B11" xr:uid="{96D61CB5-F9E0-4A78-B7F1-54B84A9F1299}">
      <formula1>"FO Ceramic+ Intr&amp;Extr CeramicGold WdwTnt,FO Mirror Camera Sensor"</formula1>
    </dataValidation>
    <dataValidation type="list" allowBlank="1" showInputMessage="1" showErrorMessage="1" sqref="B12" xr:uid="{9E67D8EA-39B8-444D-867B-9DEC6035434E}">
      <formula1>"FO Exterior ceramic All Cars SCOTCHGUARD,FO Mirror Camera Sensor,FO PPF Gold Package "</formula1>
    </dataValidation>
    <dataValidation type="list" allowBlank="1" showInputMessage="1" showErrorMessage="1" sqref="K20" xr:uid="{B0869AA7-5D74-4D0D-8DEE-3FBB999558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D0EA97C6-9AB5-4D4E-88BA-668885E8DE3A}">
      <formula1>"RMC-10-40KMS,RMC-10-60KMS,RMC-10-70KMS,RMC-10-100000KMS,RMC-40-70KMS,RMC-40-100000KMS"</formula1>
    </dataValidation>
    <dataValidation type="list" allowBlank="1" showInputMessage="1" showErrorMessage="1" sqref="K24" xr:uid="{1036CE5F-79C9-48B8-A7F6-996EB5EF3525}">
      <formula1>"RMC-10-70K,RMC-10-100000K,RMC-40-70K"</formula1>
    </dataValidation>
    <dataValidation type="list" allowBlank="1" showInputMessage="1" showErrorMessage="1" sqref="D5" xr:uid="{FB6C8F84-0B12-4624-BD0F-B3DE60C4505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2016C0-129C-437E-BB38-690F881A11F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096AA6-DF5A-4A1E-A0EA-5D3D646776D6}">
      <formula1>"YES,NO"</formula1>
    </dataValidation>
    <dataValidation type="list" allowBlank="1" showInputMessage="1" showErrorMessage="1" sqref="K21" xr:uid="{FD71CCC2-FFCF-4DAD-B243-07B9F24D6AF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AF28-456E-468A-B680-A423E5B1BAE3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P08</v>
      </c>
      <c r="D5" s="19" t="s">
        <v>158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16912.783000574997</v>
      </c>
      <c r="S5" s="151"/>
      <c r="U5" s="151">
        <f>L7+L14</f>
        <v>6982.7003829187488</v>
      </c>
      <c r="V5" s="151">
        <f>M7+M14</f>
        <v>4721.9294406374993</v>
      </c>
      <c r="W5" s="151">
        <f>N7+N14</f>
        <v>3319.3081329187498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5517.3434829187499</v>
      </c>
      <c r="V6" s="170">
        <f>N7+K14</f>
        <v>13615.729975574999</v>
      </c>
      <c r="W6" s="170" t="e">
        <f>N7+J14</f>
        <v>#VALUE!</v>
      </c>
    </row>
    <row r="7" spans="1:27" ht="26.25" thickBot="1" x14ac:dyDescent="0.4">
      <c r="A7" s="6">
        <f>B8</f>
        <v>132900</v>
      </c>
      <c r="B7" s="29">
        <f>IF(L20="YES",C8*1,IF(L20="NO",B8*1))</f>
        <v>132900</v>
      </c>
      <c r="C7" s="29">
        <f>B7*5/100</f>
        <v>6645</v>
      </c>
      <c r="D7" s="168">
        <f>B7+C7</f>
        <v>139545</v>
      </c>
      <c r="E7" s="29">
        <f>D17</f>
        <v>24602.651250000003</v>
      </c>
      <c r="F7" s="29">
        <f>(C7)+(D10+D11+D12+D13+D16)*5/100</f>
        <v>7350</v>
      </c>
      <c r="G7" s="30">
        <f>B7+E7+F7</f>
        <v>164852.65125</v>
      </c>
      <c r="H7" s="29">
        <f>G7*D20</f>
        <v>32970.530250000003</v>
      </c>
      <c r="I7" s="30">
        <f>(G7-H7)</f>
        <v>131882.12099999998</v>
      </c>
      <c r="J7" s="30">
        <f>(((I7*D19)*1)+I7)/12</f>
        <v>11417.694625574999</v>
      </c>
      <c r="K7" s="30">
        <f>(((I7*D19)*2)+I7)/24</f>
        <v>5922.6062505749987</v>
      </c>
      <c r="L7" s="30">
        <f>(((I7*D19)*3)+I7)/36</f>
        <v>4090.9101255749993</v>
      </c>
      <c r="M7" s="30">
        <f>(((I7*D19)*4)+I7)/48</f>
        <v>3175.0620630749995</v>
      </c>
      <c r="N7" s="30">
        <f>((((I7*D19)*5)+I7)/60)</f>
        <v>2625.5532255749999</v>
      </c>
      <c r="O7" s="118"/>
      <c r="P7" s="2">
        <f>H7+H16</f>
        <v>34355.292520500007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132900</v>
      </c>
      <c r="C8" s="32">
        <f>IF(L20="YES",N20,IF(L20="NO",N20))</f>
        <v>132900</v>
      </c>
      <c r="D8" s="29">
        <v>0</v>
      </c>
      <c r="E8" s="33"/>
      <c r="F8" s="188"/>
      <c r="G8" s="189"/>
      <c r="H8" s="110">
        <f>G7*20/100</f>
        <v>32970.530249999996</v>
      </c>
      <c r="I8" s="34"/>
      <c r="J8" s="34" t="s">
        <v>15</v>
      </c>
      <c r="K8" s="34">
        <f>(I7*K5+I7)/24</f>
        <v>5495.0883749999994</v>
      </c>
      <c r="L8" s="34">
        <f>(I7*L5+I7)/36</f>
        <v>3787.5812472749999</v>
      </c>
      <c r="M8" s="34">
        <f>(I7*M5+I7)/48</f>
        <v>2933.8276834124995</v>
      </c>
      <c r="N8" s="34">
        <f>(I7*N5+I7)/60</f>
        <v>2421.5755450950001</v>
      </c>
      <c r="O8" s="118">
        <v>0</v>
      </c>
      <c r="P8" s="2">
        <f>P7/12</f>
        <v>2862.9410433750004</v>
      </c>
      <c r="T8" s="1">
        <f>25973-12973</f>
        <v>13000</v>
      </c>
    </row>
    <row r="9" spans="1:27" ht="25.5" x14ac:dyDescent="0.35">
      <c r="A9" s="8">
        <f>B8/(100%-A8)</f>
        <v>166125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5130.2145068999962</v>
      </c>
      <c r="K9" s="38">
        <f>(K7*24)-I7</f>
        <v>10260.429013799992</v>
      </c>
      <c r="L9" s="38">
        <f>(L7*36)-I7</f>
        <v>15390.643520699989</v>
      </c>
      <c r="M9" s="38">
        <f>(M7*48)-I7</f>
        <v>20520.858027599985</v>
      </c>
      <c r="N9" s="38">
        <f>(N7*60)-I7</f>
        <v>25651.07253450001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4470.8039019000134</v>
      </c>
      <c r="M10" s="41">
        <f>(M8*48)-I7</f>
        <v>8941.6078037999978</v>
      </c>
      <c r="N10" s="41">
        <f>(N8*60)-I7</f>
        <v>13412.411705700011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5397.5250000000005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31970.530249999996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168227.478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2747.5441875000001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5105.1262500000003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10990.176749999999</v>
      </c>
      <c r="L14" s="44">
        <f>(H8*L12+H8)/12</f>
        <v>2891.7902573437495</v>
      </c>
      <c r="M14" s="44">
        <f>(H8*M12+H8)/24</f>
        <v>1546.8673775625</v>
      </c>
      <c r="N14" s="165">
        <f>(H7*N12+H7)/60</f>
        <v>693.75490734375001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4117</v>
      </c>
      <c r="B15" s="37" t="s">
        <v>27</v>
      </c>
      <c r="C15" s="20" t="s">
        <v>19</v>
      </c>
      <c r="D15" s="29">
        <f>IF(C15="YES",O10,IF(C15="NO",0))</f>
        <v>5397.5250000000005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1384.7622704999999</v>
      </c>
      <c r="I16" s="33"/>
      <c r="J16" s="44" t="s">
        <v>16</v>
      </c>
      <c r="K16" s="44">
        <f>(K14*3)-H8</f>
        <v>0</v>
      </c>
      <c r="L16" s="44">
        <f>(L14*12)-H8</f>
        <v>1730.9528381249984</v>
      </c>
      <c r="M16" s="44">
        <f>(M14*24)-H8</f>
        <v>4154.2868115000019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4247</v>
      </c>
      <c r="B17" s="37"/>
      <c r="C17" s="20"/>
      <c r="D17" s="29">
        <f>SUM(D10:D16)</f>
        <v>24602.651250000003</v>
      </c>
      <c r="E17" s="48"/>
      <c r="F17" s="48"/>
      <c r="G17" s="54"/>
      <c r="H17" s="33">
        <f>+SUM(H12:H16)+(H7)</f>
        <v>35270.292520500007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4186.3500000000004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84.575342465753423</v>
      </c>
      <c r="K19" s="37"/>
      <c r="L19" s="37"/>
      <c r="M19" s="37"/>
      <c r="N19" s="34">
        <f>D7</f>
        <v>139545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154350</v>
      </c>
      <c r="V19" s="157">
        <f>(B7+D10+D11+D12+D13+D16)*1.05</f>
        <v>154350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4186.3500000000004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4172.4206031374997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90.33021986301371</v>
      </c>
      <c r="I24" s="145">
        <f>H7+H12+H16</f>
        <v>34955.292520500007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5517.3434829187499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D0643F8-0A73-416D-8153-9CA7074BAA5D}">
      <formula1>"ALAA HAMMAD,KHALED QASSEM,RAMY RAOUF,SIMON LOBO,MHAREN CLEMENTE GARADO"</formula1>
    </dataValidation>
    <dataValidation type="list" allowBlank="1" showInputMessage="1" showErrorMessage="1" sqref="M34" xr:uid="{EE201FA7-7E05-463D-997F-D185C6D680DE}">
      <formula1>"Alaa Hammad,Bachir Ibrahim Mourad,Khaled Qassem,Ramy Raoof,Simon Lobo,Mharen Clemente Garado,Ranjith"</formula1>
    </dataValidation>
    <dataValidation type="list" allowBlank="1" showInputMessage="1" showErrorMessage="1" sqref="B11" xr:uid="{EF37FE5A-6455-4BFB-9C3B-EC699F7BAF26}">
      <formula1>"FO Ceramic+ Intr&amp;Extr CeramicGold WdwTnt,FO Mirror Camera Sensor"</formula1>
    </dataValidation>
    <dataValidation type="list" allowBlank="1" showInputMessage="1" showErrorMessage="1" sqref="B12" xr:uid="{5279AA8E-E5D2-4644-8C25-12CD2B324354}">
      <formula1>"FO Exterior ceramic All Cars SCOTCHGUARD,FO Mirror Camera Sensor,FO PPF Gold Package "</formula1>
    </dataValidation>
    <dataValidation type="list" allowBlank="1" showInputMessage="1" showErrorMessage="1" sqref="K20" xr:uid="{E4D4AAB1-3A19-4E8F-9CDF-8727DC3F4D9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DF0D285-B389-4645-B44B-B577BBE3A422}">
      <formula1>"RMC-10-40KMS,RMC-10-60KMS,RMC-10-70KMS,RMC-10-100000KMS,RMC-40-70KMS,RMC-40-100000KMS"</formula1>
    </dataValidation>
    <dataValidation type="list" allowBlank="1" showInputMessage="1" showErrorMessage="1" sqref="K24" xr:uid="{E0041790-86DF-442F-A25D-BA2F26FF8435}">
      <formula1>"RMC-10-70K,RMC-10-100000K,RMC-40-70K"</formula1>
    </dataValidation>
    <dataValidation type="list" allowBlank="1" showInputMessage="1" showErrorMessage="1" sqref="D5" xr:uid="{B23D5B5A-2C60-4D10-BC83-3996921C211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6F15189-CEC3-4ACE-9490-6DE252AF0A3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E578FDA-2F35-4B36-8454-B9D55B40372D}">
      <formula1>"YES,NO"</formula1>
    </dataValidation>
    <dataValidation type="list" allowBlank="1" showInputMessage="1" showErrorMessage="1" sqref="K21" xr:uid="{6CBF506E-4F44-4710-A488-F08C00658F8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2200-7722-488B-B9B7-F08C0F95332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G64</v>
      </c>
      <c r="D5" s="19" t="s">
        <v>157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14949.355198469999</v>
      </c>
      <c r="S5" s="151"/>
      <c r="U5" s="151">
        <f>L7+L14</f>
        <v>6172.0692724075006</v>
      </c>
      <c r="V5" s="151">
        <f>M7+M14</f>
        <v>4173.7542796950002</v>
      </c>
      <c r="W5" s="151">
        <f>N7+N14</f>
        <v>2933.9651724075002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4876.8276324075005</v>
      </c>
      <c r="V6" s="170">
        <f>N7+K14</f>
        <v>12035.06150847</v>
      </c>
      <c r="W6" s="170" t="e">
        <f>N7+J14</f>
        <v>#VALUE!</v>
      </c>
    </row>
    <row r="7" spans="1:27" ht="26.25" thickBot="1" x14ac:dyDescent="0.4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168">
        <f>B7+C7</f>
        <v>122745</v>
      </c>
      <c r="E7" s="29">
        <f>D17</f>
        <v>22304.684499999999</v>
      </c>
      <c r="F7" s="29">
        <f>(C7)+(D10+D11+D12+D13+D16)*5/100</f>
        <v>6510</v>
      </c>
      <c r="G7" s="30">
        <f>B7+E7+F7</f>
        <v>145714.6845</v>
      </c>
      <c r="H7" s="29">
        <f>G7*D20</f>
        <v>29142.936900000001</v>
      </c>
      <c r="I7" s="30">
        <f>(G7-H7)</f>
        <v>116571.7476</v>
      </c>
      <c r="J7" s="30">
        <f>(((I7*D19)*1)+I7)/12</f>
        <v>10092.19904847</v>
      </c>
      <c r="K7" s="30">
        <f>(((I7*D19)*2)+I7)/24</f>
        <v>5235.0428984700002</v>
      </c>
      <c r="L7" s="30">
        <f>(((I7*D19)*3)+I7)/36</f>
        <v>3615.9908484700004</v>
      </c>
      <c r="M7" s="30">
        <f>(((I7*D19)*4)+I7)/48</f>
        <v>2806.4648234699998</v>
      </c>
      <c r="N7" s="30">
        <f>((((I7*D19)*5)+I7)/60)</f>
        <v>2320.7492084700002</v>
      </c>
      <c r="O7" s="118"/>
      <c r="P7" s="2">
        <f>H7+H16</f>
        <v>30366.940249800002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116900</v>
      </c>
      <c r="C8" s="32">
        <f>IF(L20="YES",N20,IF(L20="NO",N20))</f>
        <v>116900</v>
      </c>
      <c r="D8" s="29">
        <v>0</v>
      </c>
      <c r="E8" s="33"/>
      <c r="F8" s="188"/>
      <c r="G8" s="189"/>
      <c r="H8" s="110">
        <f>G7*20/100</f>
        <v>29142.936900000001</v>
      </c>
      <c r="I8" s="34"/>
      <c r="J8" s="34" t="s">
        <v>15</v>
      </c>
      <c r="K8" s="34">
        <f>(I7*K5+I7)/24</f>
        <v>4857.1561499999998</v>
      </c>
      <c r="L8" s="34">
        <f>(I7*L5+I7)/36</f>
        <v>3347.8758289900002</v>
      </c>
      <c r="M8" s="34">
        <f>(I7*M5+I7)/48</f>
        <v>2593.2356684850001</v>
      </c>
      <c r="N8" s="34">
        <f>(I7*N5+I7)/60</f>
        <v>2140.4515721820003</v>
      </c>
      <c r="O8" s="118">
        <v>0</v>
      </c>
      <c r="P8" s="2">
        <f>P7/12</f>
        <v>2530.57835415</v>
      </c>
      <c r="T8" s="1">
        <f>25973-12973</f>
        <v>13000</v>
      </c>
    </row>
    <row r="9" spans="1:27" ht="25.5" x14ac:dyDescent="0.35">
      <c r="A9" s="8">
        <f>B8/(100%-A8)</f>
        <v>146125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4534.6409816399973</v>
      </c>
      <c r="K9" s="38">
        <f>(K7*24)-I7</f>
        <v>9069.2819632799947</v>
      </c>
      <c r="L9" s="38">
        <f>(L7*36)-I7</f>
        <v>13603.922944920007</v>
      </c>
      <c r="M9" s="38">
        <f>(M7*48)-I7</f>
        <v>18138.563926559989</v>
      </c>
      <c r="N9" s="38">
        <f>(N7*60)-I7</f>
        <v>22673.204908200016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3951.782243640002</v>
      </c>
      <c r="M10" s="41">
        <f>(M8*48)-I7</f>
        <v>7903.564487280004</v>
      </c>
      <c r="N10" s="41">
        <f>(N8*60)-I7</f>
        <v>11855.34673092002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4483.0012500000003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28142.936900000001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18" t="b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 t="b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147974.35800000001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2428.5780749999999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4521.68325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9714.3122999999996</v>
      </c>
      <c r="L14" s="44">
        <f>(H8*L12+H8)/12</f>
        <v>2556.0784239375002</v>
      </c>
      <c r="M14" s="44">
        <f>(H8*M12+H8)/24</f>
        <v>1367.2894562250001</v>
      </c>
      <c r="N14" s="165">
        <f>(H7*N12+H7)/60</f>
        <v>613.21596393750008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3637</v>
      </c>
      <c r="B15" s="37" t="s">
        <v>27</v>
      </c>
      <c r="C15" s="20" t="s">
        <v>19</v>
      </c>
      <c r="D15" s="29">
        <f>IF(C15="YES",O10,IF(C15="NO",0))</f>
        <v>4483.0012500000003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1224.0033498</v>
      </c>
      <c r="I16" s="33"/>
      <c r="J16" s="44" t="s">
        <v>16</v>
      </c>
      <c r="K16" s="44">
        <f>(K14*3)-H8</f>
        <v>0</v>
      </c>
      <c r="L16" s="44">
        <f>(L14*12)-H8</f>
        <v>1530.0041872500005</v>
      </c>
      <c r="M16" s="44">
        <f>(M14*24)-H8</f>
        <v>3672.0100493999998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3767</v>
      </c>
      <c r="B17" s="37"/>
      <c r="C17" s="20"/>
      <c r="D17" s="29">
        <f>SUM(D10:D16)</f>
        <v>22304.684499999999</v>
      </c>
      <c r="E17" s="48"/>
      <c r="F17" s="48"/>
      <c r="G17" s="54"/>
      <c r="H17" s="33">
        <f>+SUM(H12:H16)+(H7)</f>
        <v>31281.940249800002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3682.35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74.909589041095884</v>
      </c>
      <c r="K19" s="37"/>
      <c r="L19" s="37"/>
      <c r="M19" s="37"/>
      <c r="N19" s="34">
        <f>D7</f>
        <v>122745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136710</v>
      </c>
      <c r="V19" s="157">
        <f>(B7+D10+D11+D12+D13+D16)*1.05</f>
        <v>136710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3682.35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3688.0386646950001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79.843662739726028</v>
      </c>
      <c r="I24" s="145">
        <f>H7+H12+H16</f>
        <v>30966.940249800002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4876.8276324075005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3C2C078-D1BF-42A1-B694-DDBE41EC2196}">
      <formula1>"ALAA HAMMAD,KHALED QASSEM,RAMY RAOUF,SIMON LOBO,MHAREN CLEMENTE GARADO"</formula1>
    </dataValidation>
    <dataValidation type="list" allowBlank="1" showInputMessage="1" showErrorMessage="1" sqref="M34" xr:uid="{BC9B9C4A-E0E0-4F21-AD53-564C3DA5A9D2}">
      <formula1>"Alaa Hammad,Bachir Ibrahim Mourad,Khaled Qassem,Ramy Raoof,Simon Lobo,Mharen Clemente Garado,Ranjith"</formula1>
    </dataValidation>
    <dataValidation type="list" allowBlank="1" showInputMessage="1" showErrorMessage="1" sqref="B11" xr:uid="{9882BB39-6212-4CED-8C55-E8B2E3CF4B67}">
      <formula1>"FO Ceramic+ Intr&amp;Extr CeramicGold WdwTnt,FO Mirror Camera Sensor"</formula1>
    </dataValidation>
    <dataValidation type="list" allowBlank="1" showInputMessage="1" showErrorMessage="1" sqref="B12" xr:uid="{54ED551C-56E4-404A-992D-E8263902E153}">
      <formula1>"FO Exterior ceramic All Cars SCOTCHGUARD,FO Mirror Camera Sensor,FO PPF Gold Package "</formula1>
    </dataValidation>
    <dataValidation type="list" allowBlank="1" showInputMessage="1" showErrorMessage="1" sqref="K20" xr:uid="{7638237C-EF18-4338-A39F-5F337160BF5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976A9E9-77BB-4B00-873C-2F1324D543F0}">
      <formula1>"RMC-10-40KMS,RMC-10-60KMS,RMC-10-70KMS,RMC-10-100000KMS,RMC-40-70KMS,RMC-40-100000KMS"</formula1>
    </dataValidation>
    <dataValidation type="list" allowBlank="1" showInputMessage="1" showErrorMessage="1" sqref="K24" xr:uid="{774837DD-F29E-4D61-BAE1-D3586CF1CA87}">
      <formula1>"RMC-10-70K,RMC-10-100000K,RMC-40-70K"</formula1>
    </dataValidation>
    <dataValidation type="list" allowBlank="1" showInputMessage="1" showErrorMessage="1" sqref="D5" xr:uid="{6874BBDA-7EDC-45E8-9F93-7AA4935A453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DB389308-5595-47F5-A138-239F520A46D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8515FF9-311E-491F-BA52-B4A86064FF10}">
      <formula1>"YES,NO"</formula1>
    </dataValidation>
    <dataValidation type="list" allowBlank="1" showInputMessage="1" showErrorMessage="1" sqref="K21" xr:uid="{C5FEC4F5-3A4F-4AC2-9844-B0A10968EE4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24EA-D419-4547-946B-E3535910DEC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P57</v>
      </c>
      <c r="D5" s="19" t="s">
        <v>156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14606.165878920001</v>
      </c>
      <c r="S5" s="151"/>
      <c r="U5" s="151">
        <f>L7+L14</f>
        <v>6030.3783281700007</v>
      </c>
      <c r="V5" s="151">
        <f>M7+M14</f>
        <v>4077.9382480200002</v>
      </c>
      <c r="W5" s="151">
        <f>N7+N14</f>
        <v>2866.6107281700006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4764.8712881700012</v>
      </c>
      <c r="V6" s="170">
        <f>N7+K14</f>
        <v>11758.775038920001</v>
      </c>
      <c r="W6" s="170" t="e">
        <f>N7+J14</f>
        <v>#VALUE!</v>
      </c>
    </row>
    <row r="7" spans="1:27" ht="26.25" thickBot="1" x14ac:dyDescent="0.4">
      <c r="A7" s="6">
        <f>B8</f>
        <v>113900</v>
      </c>
      <c r="B7" s="29">
        <f>IF(L20="YES",C8*1,IF(L20="NO",B8*1))</f>
        <v>113900</v>
      </c>
      <c r="C7" s="29">
        <f>B7*5/100</f>
        <v>5695</v>
      </c>
      <c r="D7" s="168">
        <f>B7+C7</f>
        <v>119595</v>
      </c>
      <c r="E7" s="29">
        <f>D17</f>
        <v>22109.542000000001</v>
      </c>
      <c r="F7" s="29">
        <f>(C7)+(D10+D11+D12+D13+D16)*5/100</f>
        <v>6360</v>
      </c>
      <c r="G7" s="30">
        <f>B7+E7+F7</f>
        <v>142369.54200000002</v>
      </c>
      <c r="H7" s="29">
        <f>G7*D20</f>
        <v>28473.908400000004</v>
      </c>
      <c r="I7" s="30">
        <f>(G7-H7)</f>
        <v>113895.63360000002</v>
      </c>
      <c r="J7" s="30">
        <f>(((I7*D19)*1)+I7)/12</f>
        <v>9860.5144789200003</v>
      </c>
      <c r="K7" s="30">
        <f>(((I7*D19)*2)+I7)/24</f>
        <v>5114.8630789200006</v>
      </c>
      <c r="L7" s="30">
        <f>(((I7*D19)*3)+I7)/36</f>
        <v>3532.9792789200005</v>
      </c>
      <c r="M7" s="30">
        <f>(((I7*D19)*4)+I7)/48</f>
        <v>2742.0373789200003</v>
      </c>
      <c r="N7" s="30">
        <f>((((I7*D19)*5)+I7)/60)</f>
        <v>2267.4722389200006</v>
      </c>
      <c r="O7" s="118"/>
      <c r="P7" s="2">
        <f>H7+H16</f>
        <v>29669.812552800006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113900</v>
      </c>
      <c r="C8" s="32">
        <f>IF(L20="YES",N20,IF(L20="NO",N20))</f>
        <v>113900</v>
      </c>
      <c r="D8" s="29">
        <v>0</v>
      </c>
      <c r="E8" s="33"/>
      <c r="F8" s="188"/>
      <c r="G8" s="189"/>
      <c r="H8" s="110">
        <f>G7*20/100</f>
        <v>28473.908400000004</v>
      </c>
      <c r="I8" s="34"/>
      <c r="J8" s="34" t="s">
        <v>15</v>
      </c>
      <c r="K8" s="34">
        <f>(I7*K5+I7)/24</f>
        <v>4745.6514000000006</v>
      </c>
      <c r="L8" s="34">
        <f>(I7*L5+I7)/36</f>
        <v>3271.0193216400003</v>
      </c>
      <c r="M8" s="34">
        <f>(I7*M5+I7)/48</f>
        <v>2533.7032824600005</v>
      </c>
      <c r="N8" s="34">
        <f>(I7*N5+I7)/60</f>
        <v>2091.3136589520004</v>
      </c>
      <c r="O8" s="118">
        <v>0</v>
      </c>
      <c r="P8" s="2">
        <f>P7/12</f>
        <v>2472.4843794000003</v>
      </c>
      <c r="T8" s="1">
        <f>25973-12973</f>
        <v>13000</v>
      </c>
    </row>
    <row r="9" spans="1:27" ht="25.5" x14ac:dyDescent="0.35">
      <c r="A9" s="8">
        <f>B8/(100%-A8)</f>
        <v>142375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4430.5401470399956</v>
      </c>
      <c r="K9" s="38">
        <f>(K7*24)-I7</f>
        <v>8861.0802940800058</v>
      </c>
      <c r="L9" s="38">
        <f>(L7*36)-I7</f>
        <v>13291.620441120001</v>
      </c>
      <c r="M9" s="38">
        <f>(M7*48)-I7</f>
        <v>17722.160588159997</v>
      </c>
      <c r="N9" s="38">
        <f>(N7*60)-I7</f>
        <v>22152.700735200007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3861.0619790399942</v>
      </c>
      <c r="M10" s="41">
        <f>(M8*48)-I7</f>
        <v>7722.1239580800029</v>
      </c>
      <c r="N10" s="41">
        <f>(N8*60)-I7</f>
        <v>11583.185937120012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4392.0450000000001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27473.908400000004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18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144176.89799999999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2372.8257000000003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4417.4970000000003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9491.3028000000013</v>
      </c>
      <c r="L14" s="44">
        <f>(H8*L12+H8)/12</f>
        <v>2497.3990492500002</v>
      </c>
      <c r="M14" s="44">
        <f>(H8*M12+H8)/24</f>
        <v>1335.9008691000001</v>
      </c>
      <c r="N14" s="165">
        <f>(H7*N12+H7)/60</f>
        <v>599.13848925000013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3547</v>
      </c>
      <c r="B15" s="37" t="s">
        <v>27</v>
      </c>
      <c r="C15" s="20" t="s">
        <v>19</v>
      </c>
      <c r="D15" s="29">
        <f>IF(C15="YES",O10,IF(C15="NO",0))</f>
        <v>4392.0450000000001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1195.9041528000002</v>
      </c>
      <c r="I16" s="33"/>
      <c r="J16" s="44" t="s">
        <v>16</v>
      </c>
      <c r="K16" s="44">
        <f>(K14*3)-H8</f>
        <v>0</v>
      </c>
      <c r="L16" s="44">
        <f>(L14*12)-H8</f>
        <v>1494.8801910000002</v>
      </c>
      <c r="M16" s="44">
        <f>(M14*24)-H8</f>
        <v>3587.7124584000012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3677</v>
      </c>
      <c r="B17" s="37"/>
      <c r="C17" s="20"/>
      <c r="D17" s="29">
        <f>SUM(D10:D16)</f>
        <v>22109.542000000001</v>
      </c>
      <c r="E17" s="48"/>
      <c r="F17" s="48"/>
      <c r="G17" s="54"/>
      <c r="H17" s="33">
        <f>+SUM(H12:H16)+(H7)</f>
        <v>30584.812552800006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3587.85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73.183561643835617</v>
      </c>
      <c r="K19" s="37"/>
      <c r="L19" s="37"/>
      <c r="M19" s="37"/>
      <c r="N19" s="34">
        <f>D7</f>
        <v>119595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133560</v>
      </c>
      <c r="V19" s="157">
        <f>(B7+D10+D11+D12+D13+D16)*1.05</f>
        <v>133560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3587.85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3603.3731080200005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78.010707945205496</v>
      </c>
      <c r="I24" s="145">
        <f>H7+H12+H16</f>
        <v>30269.812552800006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4764.8712881700012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5664F16-3219-4FB6-9D41-30E7C147486F}">
      <formula1>"ALAA HAMMAD,KHALED QASSEM,RAMY RAOUF,SIMON LOBO,MHAREN CLEMENTE GARADO"</formula1>
    </dataValidation>
    <dataValidation type="list" allowBlank="1" showInputMessage="1" showErrorMessage="1" sqref="M34" xr:uid="{64AAC893-DF46-48C3-9DE2-1BEE208BAD6B}">
      <formula1>"Alaa Hammad,Bachir Ibrahim Mourad,Khaled Qassem,Ramy Raoof,Simon Lobo,Mharen Clemente Garado,Ranjith"</formula1>
    </dataValidation>
    <dataValidation type="list" allowBlank="1" showInputMessage="1" showErrorMessage="1" sqref="B11" xr:uid="{3FBB04F3-C92F-4810-95AA-F8FD117973F6}">
      <formula1>"FO Ceramic+ Intr&amp;Extr CeramicGold WdwTnt,FO Mirror Camera Sensor"</formula1>
    </dataValidation>
    <dataValidation type="list" allowBlank="1" showInputMessage="1" showErrorMessage="1" sqref="B12" xr:uid="{1D4261F7-3916-4C77-B668-AF9FAC146D97}">
      <formula1>"FO Exterior ceramic All Cars SCOTCHGUARD,FO Mirror Camera Sensor,FO PPF Gold Package "</formula1>
    </dataValidation>
    <dataValidation type="list" allowBlank="1" showInputMessage="1" showErrorMessage="1" sqref="K20" xr:uid="{5D158F2C-C001-419B-A3FD-5AEAB23A410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DB3698B-77F7-458B-B0BA-860B6E7FD2A0}">
      <formula1>"RMC-10-40KMS,RMC-10-60KMS,RMC-10-70KMS,RMC-10-100000KMS,RMC-40-70KMS,RMC-40-100000KMS"</formula1>
    </dataValidation>
    <dataValidation type="list" allowBlank="1" showInputMessage="1" showErrorMessage="1" sqref="K24" xr:uid="{29E3EAFF-5B55-40AD-B884-A8CBA85F5E8C}">
      <formula1>"RMC-10-70K,RMC-10-100000K,RMC-40-70K"</formula1>
    </dataValidation>
    <dataValidation type="list" allowBlank="1" showInputMessage="1" showErrorMessage="1" sqref="D5" xr:uid="{8E04A8F2-229D-49BF-A431-863DE7DDED9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FD51773-15D6-4AB0-A5D9-DCD66A7976B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F44DE1B-9F6D-4C0B-A72D-4E9065899B2F}">
      <formula1>"YES,NO"</formula1>
    </dataValidation>
    <dataValidation type="list" allowBlank="1" showInputMessage="1" showErrorMessage="1" sqref="K21" xr:uid="{A6FEB30D-BAE8-4F8B-A8D0-F705B1BD56E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FE3D-02CD-478F-B1C4-B3C95687420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 P</v>
      </c>
      <c r="D5" s="19" t="s">
        <v>155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17008.491115770001</v>
      </c>
      <c r="S5" s="151"/>
      <c r="U5" s="151">
        <f>L7+L14</f>
        <v>7022.2149378325012</v>
      </c>
      <c r="V5" s="151">
        <f>M7+M14</f>
        <v>4748.650469745</v>
      </c>
      <c r="W5" s="151">
        <f>N7+N14</f>
        <v>3338.0918378325005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5548.5656978325005</v>
      </c>
      <c r="V6" s="170">
        <f>N7+K14</f>
        <v>13692.78032577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23475.539499999999</v>
      </c>
      <c r="F7" s="29">
        <f>(C7)+(D10+D11+D12+D13+D16)*5/100</f>
        <v>7410</v>
      </c>
      <c r="G7" s="30">
        <f>B7+E7+F7</f>
        <v>165785.53950000001</v>
      </c>
      <c r="H7" s="29">
        <f>G7*D20</f>
        <v>33157.107900000003</v>
      </c>
      <c r="I7" s="30">
        <f>(G7-H7)</f>
        <v>132628.43160000001</v>
      </c>
      <c r="J7" s="30">
        <f>(((I7*D19)*1)+I7)/12</f>
        <v>11482.306465770002</v>
      </c>
      <c r="K7" s="30">
        <f>(((I7*D19)*2)+I7)/24</f>
        <v>5956.1218157700014</v>
      </c>
      <c r="L7" s="30">
        <f>(((I7*D19)*3)+I7)/36</f>
        <v>4114.0602657700001</v>
      </c>
      <c r="M7" s="30">
        <f>(((I7*D19)*4)+I7)/48</f>
        <v>3193.0294907700004</v>
      </c>
      <c r="N7" s="30">
        <f>((((I7*D19)*5)+I7)/60)</f>
        <v>2640.4110257700004</v>
      </c>
      <c r="O7" s="118"/>
      <c r="P7" s="2">
        <f>H7+H16</f>
        <v>34549.706431800005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33157.107900000003</v>
      </c>
      <c r="I8" s="34"/>
      <c r="J8" s="34" t="s">
        <v>15</v>
      </c>
      <c r="K8" s="34">
        <f>(I7*K5+I7)/24</f>
        <v>5526.1846500000001</v>
      </c>
      <c r="L8" s="34">
        <f>(I7*L5+I7)/36</f>
        <v>3809.0148730900005</v>
      </c>
      <c r="M8" s="34">
        <f>(I7*M5+I7)/48</f>
        <v>2950.4299846350004</v>
      </c>
      <c r="N8" s="34">
        <f>(I7*N5+I7)/60</f>
        <v>2435.2790515619999</v>
      </c>
      <c r="O8" s="118">
        <v>0</v>
      </c>
      <c r="P8" s="2">
        <f>P7/12</f>
        <v>2879.1422026500004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5159.2459892400075</v>
      </c>
      <c r="K9" s="38">
        <f>(K7*24)-I7</f>
        <v>10318.491978480015</v>
      </c>
      <c r="L9" s="38">
        <f>(L7*36)-I7</f>
        <v>15477.737967719993</v>
      </c>
      <c r="M9" s="38">
        <f>(M7*48)-I7</f>
        <v>20636.983956960001</v>
      </c>
      <c r="N9" s="38">
        <f>(N7*60)-I7</f>
        <v>25796.229946200008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4496.1038312400051</v>
      </c>
      <c r="M10" s="41">
        <f>(M8*48)-I7</f>
        <v>8992.2076624800102</v>
      </c>
      <c r="N10" s="41">
        <f>(N8*60)-I7</f>
        <v>13488.311493719986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5028.7387499999995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32157.107900000003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2763.0923250000001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5146.8007500000003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11052.3693</v>
      </c>
      <c r="L14" s="44">
        <f>(H8*L12+H8)/12</f>
        <v>2908.1546720625006</v>
      </c>
      <c r="M14" s="44">
        <f>(H8*M12+H8)/24</f>
        <v>1555.6209789750001</v>
      </c>
      <c r="N14" s="165">
        <f>(H7*N12+H7)/60</f>
        <v>697.68081206249997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5028.7387499999995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1392.5985318000003</v>
      </c>
      <c r="I16" s="33"/>
      <c r="J16" s="44" t="s">
        <v>16</v>
      </c>
      <c r="K16" s="44">
        <f>(K14*3)-H8</f>
        <v>0</v>
      </c>
      <c r="L16" s="44">
        <f>(L14*12)-H8</f>
        <v>1740.7481647500026</v>
      </c>
      <c r="M16" s="44">
        <f>(M14*24)-H8</f>
        <v>4177.795595399999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23475.539499999999</v>
      </c>
      <c r="E17" s="48"/>
      <c r="F17" s="48"/>
      <c r="G17" s="54"/>
      <c r="H17" s="33">
        <f>+SUM(H12:H16)+(H7)</f>
        <v>35464.706431800005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85.265753424657532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155610</v>
      </c>
      <c r="V19" s="157">
        <f>(B7+D10+D11+D12+D13+D16)*1.05</f>
        <v>155610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4196.0320047450004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90.84139150684932</v>
      </c>
      <c r="I24" s="145">
        <f>H7+H12+H16</f>
        <v>35149.706431800005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5548.5656978325005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11C5A689-71F5-438F-A114-D6AA6B9CF995}">
      <formula1>"ALAA HAMMAD,KHALED QASSEM,RAMY RAOUF,SIMON LOBO,MHAREN CLEMENTE GARADO"</formula1>
    </dataValidation>
    <dataValidation type="list" allowBlank="1" showInputMessage="1" showErrorMessage="1" sqref="M34" xr:uid="{A560EE43-E6A5-4B95-B0B2-747A9E554520}">
      <formula1>"Alaa Hammad,Bachir Ibrahim Mourad,Khaled Qassem,Ramy Raoof,Simon Lobo,Mharen Clemente Garado,Ranjith"</formula1>
    </dataValidation>
    <dataValidation type="list" allowBlank="1" showInputMessage="1" showErrorMessage="1" sqref="B11" xr:uid="{8C875CDB-DCF7-4747-88D3-0E35974DDD38}">
      <formula1>"FO Ceramic+ Intr&amp;Extr CeramicGold WdwTnt,FO Mirror Camera Sensor"</formula1>
    </dataValidation>
    <dataValidation type="list" allowBlank="1" showInputMessage="1" showErrorMessage="1" sqref="B12" xr:uid="{0DF7C320-97D2-4AA7-992A-6744B8AAA1AB}">
      <formula1>"FO Exterior ceramic All Cars SCOTCHGUARD,FO Mirror Camera Sensor,FO PPF Gold Package "</formula1>
    </dataValidation>
    <dataValidation type="list" allowBlank="1" showInputMessage="1" showErrorMessage="1" sqref="K20" xr:uid="{C3C49BD8-B1C8-4E11-9CE8-81E5CA237E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5DF8DE3-3470-4E0C-905B-B8F737951E87}">
      <formula1>"RMC-10-40KMS,RMC-10-60KMS,RMC-10-70KMS,RMC-10-100000KMS,RMC-40-70KMS,RMC-40-100000KMS"</formula1>
    </dataValidation>
    <dataValidation type="list" allowBlank="1" showInputMessage="1" showErrorMessage="1" sqref="K24" xr:uid="{AEFFE701-01A8-48EA-BFB1-07AE61B79F28}">
      <formula1>"RMC-10-70K,RMC-10-100000K,RMC-40-70K"</formula1>
    </dataValidation>
    <dataValidation type="list" allowBlank="1" showInputMessage="1" showErrorMessage="1" sqref="D5" xr:uid="{CE1F3552-842F-43B8-887C-AA62E2FD9E3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6D77A6B-E3E3-46F4-863C-FC7C9E75FE5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4E6012F-784E-4D57-BB72-C6B928620940}">
      <formula1>"YES,NO"</formula1>
    </dataValidation>
    <dataValidation type="list" allowBlank="1" showInputMessage="1" showErrorMessage="1" sqref="K21" xr:uid="{4DDB552D-6BC5-4A33-9F3F-6AD9D8745C9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28DA-2803-4B3D-89E9-7CD6658A6EA2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G61</v>
      </c>
      <c r="D5" s="19" t="s">
        <v>154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17008.491115770001</v>
      </c>
      <c r="S5" s="151"/>
      <c r="U5" s="151">
        <f>L7+L14</f>
        <v>7022.2149378325012</v>
      </c>
      <c r="V5" s="151">
        <f>M7+M14</f>
        <v>4748.650469745</v>
      </c>
      <c r="W5" s="151">
        <f>N7+N14</f>
        <v>3338.0918378325005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5548.5656978325005</v>
      </c>
      <c r="V6" s="170">
        <f>N7+K14</f>
        <v>13692.78032577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23475.539499999999</v>
      </c>
      <c r="F7" s="29">
        <f>(C7)+(D10+D11+D12+D13+D16)*5/100</f>
        <v>7410</v>
      </c>
      <c r="G7" s="30">
        <f>B7+E7+F7</f>
        <v>165785.53950000001</v>
      </c>
      <c r="H7" s="29">
        <f>G7*D20</f>
        <v>33157.107900000003</v>
      </c>
      <c r="I7" s="30">
        <f>(G7-H7)</f>
        <v>132628.43160000001</v>
      </c>
      <c r="J7" s="30">
        <f>(((I7*D19)*1)+I7)/12</f>
        <v>11482.306465770002</v>
      </c>
      <c r="K7" s="30">
        <f>(((I7*D19)*2)+I7)/24</f>
        <v>5956.1218157700014</v>
      </c>
      <c r="L7" s="30">
        <f>(((I7*D19)*3)+I7)/36</f>
        <v>4114.0602657700001</v>
      </c>
      <c r="M7" s="30">
        <f>(((I7*D19)*4)+I7)/48</f>
        <v>3193.0294907700004</v>
      </c>
      <c r="N7" s="30">
        <f>((((I7*D19)*5)+I7)/60)</f>
        <v>2640.4110257700004</v>
      </c>
      <c r="O7" s="118"/>
      <c r="P7" s="2">
        <f>H7+H16</f>
        <v>34549.706431800005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33157.107900000003</v>
      </c>
      <c r="I8" s="34"/>
      <c r="J8" s="34" t="s">
        <v>15</v>
      </c>
      <c r="K8" s="34">
        <f>(I7*K5+I7)/24</f>
        <v>5526.1846500000001</v>
      </c>
      <c r="L8" s="34">
        <f>(I7*L5+I7)/36</f>
        <v>3809.0148730900005</v>
      </c>
      <c r="M8" s="34">
        <f>(I7*M5+I7)/48</f>
        <v>2950.4299846350004</v>
      </c>
      <c r="N8" s="34">
        <f>(I7*N5+I7)/60</f>
        <v>2435.2790515619999</v>
      </c>
      <c r="O8" s="118">
        <v>0</v>
      </c>
      <c r="P8" s="2">
        <f>P7/12</f>
        <v>2879.1422026500004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5159.2459892400075</v>
      </c>
      <c r="K9" s="38">
        <f>(K7*24)-I7</f>
        <v>10318.491978480015</v>
      </c>
      <c r="L9" s="38">
        <f>(L7*36)-I7</f>
        <v>15477.737967719993</v>
      </c>
      <c r="M9" s="38">
        <f>(M7*48)-I7</f>
        <v>20636.983956960001</v>
      </c>
      <c r="N9" s="38">
        <f>(N7*60)-I7</f>
        <v>25796.229946200008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4496.1038312400051</v>
      </c>
      <c r="M10" s="41">
        <f>(M8*48)-I7</f>
        <v>8992.2076624800102</v>
      </c>
      <c r="N10" s="41">
        <f>(N8*60)-I7</f>
        <v>13488.311493719986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5028.7387499999995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32157.107900000003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2763.0923250000001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5146.8007500000003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11052.3693</v>
      </c>
      <c r="L14" s="44">
        <f>(H8*L12+H8)/12</f>
        <v>2908.1546720625006</v>
      </c>
      <c r="M14" s="44">
        <f>(H8*M12+H8)/24</f>
        <v>1555.6209789750001</v>
      </c>
      <c r="N14" s="165">
        <f>(H7*N12+H7)/60</f>
        <v>697.68081206249997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5028.7387499999995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1392.5985318000003</v>
      </c>
      <c r="I16" s="33"/>
      <c r="J16" s="44" t="s">
        <v>16</v>
      </c>
      <c r="K16" s="44">
        <f>(K14*3)-H8</f>
        <v>0</v>
      </c>
      <c r="L16" s="44">
        <f>(L14*12)-H8</f>
        <v>1740.7481647500026</v>
      </c>
      <c r="M16" s="44">
        <f>(M14*24)-H8</f>
        <v>4177.795595399999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23475.539499999999</v>
      </c>
      <c r="E17" s="48"/>
      <c r="F17" s="48"/>
      <c r="G17" s="54"/>
      <c r="H17" s="33">
        <f>+SUM(H12:H16)+(H7)</f>
        <v>35464.706431800005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85.265753424657532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155610</v>
      </c>
      <c r="V19" s="157">
        <f>(B7+D10+D11+D12+D13+D16)*1.05</f>
        <v>155610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4196.0320047450004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90.84139150684932</v>
      </c>
      <c r="I24" s="145">
        <f>H7+H12+H16</f>
        <v>35149.706431800005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5548.5656978325005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B21D2F0-DF7D-4D0D-8366-925BF3F114E6}">
      <formula1>"ALAA HAMMAD,KHALED QASSEM,RAMY RAOUF,SIMON LOBO,MHAREN CLEMENTE GARADO"</formula1>
    </dataValidation>
    <dataValidation type="list" allowBlank="1" showInputMessage="1" showErrorMessage="1" sqref="M34" xr:uid="{1A8D8B57-C595-4164-A913-EF9C2B2E65B2}">
      <formula1>"Alaa Hammad,Bachir Ibrahim Mourad,Khaled Qassem,Ramy Raoof,Simon Lobo,Mharen Clemente Garado,Ranjith"</formula1>
    </dataValidation>
    <dataValidation type="list" allowBlank="1" showInputMessage="1" showErrorMessage="1" sqref="B11" xr:uid="{A9FA8E10-C024-44BB-AE61-242694FFF683}">
      <formula1>"FO Ceramic+ Intr&amp;Extr CeramicGold WdwTnt,FO Mirror Camera Sensor"</formula1>
    </dataValidation>
    <dataValidation type="list" allowBlank="1" showInputMessage="1" showErrorMessage="1" sqref="B12" xr:uid="{8AAB050D-168C-40F3-87F9-F09192D294D5}">
      <formula1>"FO Exterior ceramic All Cars SCOTCHGUARD,FO Mirror Camera Sensor,FO PPF Gold Package "</formula1>
    </dataValidation>
    <dataValidation type="list" allowBlank="1" showInputMessage="1" showErrorMessage="1" sqref="K20" xr:uid="{C3070A78-2EDC-4504-8E54-6882A1E9B9D0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7A1E05B-A5CD-4011-8C56-A147662C5576}">
      <formula1>"RMC-10-40KMS,RMC-10-60KMS,RMC-10-70KMS,RMC-10-100000KMS,RMC-40-70KMS,RMC-40-100000KMS"</formula1>
    </dataValidation>
    <dataValidation type="list" allowBlank="1" showInputMessage="1" showErrorMessage="1" sqref="K24" xr:uid="{42123AE7-7D38-49BE-8076-4D98D27940E5}">
      <formula1>"RMC-10-70K,RMC-10-100000K,RMC-40-70K"</formula1>
    </dataValidation>
    <dataValidation type="list" allowBlank="1" showInputMessage="1" showErrorMessage="1" sqref="D5" xr:uid="{12151E2C-8D80-4C35-A238-525006D3521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774055A-BBBA-4915-8D32-F0A3F2B842B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3F04D42-5D91-4DE2-9B58-D4F276531EF6}">
      <formula1>"YES,NO"</formula1>
    </dataValidation>
    <dataValidation type="list" allowBlank="1" showInputMessage="1" showErrorMessage="1" sqref="K21" xr:uid="{689E2832-A491-4201-A366-9C337380605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9DB3-9487-4589-8B26-D58037841BB9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P61</v>
      </c>
      <c r="D5" s="19" t="s">
        <v>153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17466.076875170002</v>
      </c>
      <c r="S5" s="151"/>
      <c r="U5" s="151">
        <f>L7+L14</f>
        <v>7211.1361968158344</v>
      </c>
      <c r="V5" s="151">
        <f>M7+M14</f>
        <v>4876.4051786450009</v>
      </c>
      <c r="W5" s="151">
        <f>N7+N14</f>
        <v>3427.8977634825001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5697.8408234825001</v>
      </c>
      <c r="V6" s="170">
        <f>N7+K14</f>
        <v>14061.162285170001</v>
      </c>
      <c r="W6" s="170" t="e">
        <f>N7+J14</f>
        <v>#VALUE!</v>
      </c>
    </row>
    <row r="7" spans="1:27" ht="26.25" thickBot="1" x14ac:dyDescent="0.4">
      <c r="A7" s="6">
        <f>B8</f>
        <v>138900</v>
      </c>
      <c r="B7" s="29">
        <f>IF(L20="YES",C8*1,IF(L20="NO",B8*1))</f>
        <v>138900</v>
      </c>
      <c r="C7" s="29">
        <f>B7*5/100</f>
        <v>6945</v>
      </c>
      <c r="D7" s="168">
        <f>B7+C7</f>
        <v>145845</v>
      </c>
      <c r="E7" s="29">
        <f>D17</f>
        <v>23735.729500000001</v>
      </c>
      <c r="F7" s="29">
        <f>(C7)+(D10+D11+D12+D13+D16)*5/100</f>
        <v>7610</v>
      </c>
      <c r="G7" s="30">
        <f>B7+E7+F7</f>
        <v>170245.72950000002</v>
      </c>
      <c r="H7" s="29">
        <f>G7*D20</f>
        <v>34049.145900000003</v>
      </c>
      <c r="I7" s="30">
        <f>(G7-H7)</f>
        <v>136196.58360000001</v>
      </c>
      <c r="J7" s="30">
        <f>(((I7*D19)*1)+I7)/12</f>
        <v>11791.219225170002</v>
      </c>
      <c r="K7" s="30">
        <f>(((I7*D19)*2)+I7)/24</f>
        <v>6116.3615751700008</v>
      </c>
      <c r="L7" s="30">
        <f>(((I7*D19)*3)+I7)/36</f>
        <v>4224.7423585033339</v>
      </c>
      <c r="M7" s="30">
        <f>(((I7*D19)*4)+I7)/48</f>
        <v>3278.9327501700004</v>
      </c>
      <c r="N7" s="30">
        <f>((((I7*D19)*5)+I7)/60)</f>
        <v>2711.4469851700001</v>
      </c>
      <c r="O7" s="118"/>
      <c r="P7" s="2">
        <f>H7+H16</f>
        <v>35479.2100278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138900</v>
      </c>
      <c r="C8" s="32">
        <f>IF(L20="YES",N20,IF(L20="NO",N20))</f>
        <v>138900</v>
      </c>
      <c r="D8" s="29">
        <v>0</v>
      </c>
      <c r="E8" s="33"/>
      <c r="F8" s="188"/>
      <c r="G8" s="189"/>
      <c r="H8" s="110">
        <f>G7*20/100</f>
        <v>34049.145900000003</v>
      </c>
      <c r="I8" s="34"/>
      <c r="J8" s="34" t="s">
        <v>15</v>
      </c>
      <c r="K8" s="34">
        <f>(I7*K5+I7)/24</f>
        <v>5674.8576500000008</v>
      </c>
      <c r="L8" s="34">
        <f>(I7*L5+I7)/36</f>
        <v>3911.4902162233338</v>
      </c>
      <c r="M8" s="34">
        <f>(I7*M5+I7)/48</f>
        <v>3029.8064993350004</v>
      </c>
      <c r="N8" s="34">
        <f>(I7*N5+I7)/60</f>
        <v>2500.7962692020001</v>
      </c>
      <c r="O8" s="118">
        <v>0</v>
      </c>
      <c r="P8" s="2">
        <f>P7/12</f>
        <v>2956.6008356500001</v>
      </c>
      <c r="T8" s="1">
        <f>25973-12973</f>
        <v>13000</v>
      </c>
    </row>
    <row r="9" spans="1:27" ht="25.5" x14ac:dyDescent="0.35">
      <c r="A9" s="8">
        <f>B8/(100%-A8)</f>
        <v>173625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5298.04710204</v>
      </c>
      <c r="K9" s="38">
        <f>(K7*24)-I7</f>
        <v>10596.09420408</v>
      </c>
      <c r="L9" s="38">
        <f>(L7*36)-I7</f>
        <v>15894.14130612</v>
      </c>
      <c r="M9" s="38">
        <f>(M7*48)-I7</f>
        <v>21192.18840816</v>
      </c>
      <c r="N9" s="38">
        <f>(N7*60)-I7</f>
        <v>26490.2355102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4617.0641840400058</v>
      </c>
      <c r="M10" s="41">
        <f>(M8*48)-I7</f>
        <v>9234.1283680800116</v>
      </c>
      <c r="N10" s="41">
        <f>(N8*60)-I7</f>
        <v>13851.192552119988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5150.0137500000001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33049.145900000003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175822.39799999999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2837.4288250000004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5285.7157500000003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11349.715300000002</v>
      </c>
      <c r="L14" s="44">
        <f>(H8*L12+H8)/12</f>
        <v>2986.3938383125005</v>
      </c>
      <c r="M14" s="44">
        <f>(H8*M12+H8)/24</f>
        <v>1597.4724284750002</v>
      </c>
      <c r="N14" s="165">
        <f>(H7*N12+H7)/60</f>
        <v>716.45077831250012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4297</v>
      </c>
      <c r="B15" s="37" t="s">
        <v>27</v>
      </c>
      <c r="C15" s="20" t="s">
        <v>19</v>
      </c>
      <c r="D15" s="29">
        <f>IF(C15="YES",O10,IF(C15="NO",0))</f>
        <v>5150.0137500000001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1430.0641278000003</v>
      </c>
      <c r="I16" s="33"/>
      <c r="J16" s="44" t="s">
        <v>16</v>
      </c>
      <c r="K16" s="44">
        <f>(K14*3)-H8</f>
        <v>0</v>
      </c>
      <c r="L16" s="44">
        <f>(L14*12)-H8</f>
        <v>1787.5801597500031</v>
      </c>
      <c r="M16" s="44">
        <f>(M14*24)-H8</f>
        <v>4290.1923834000045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4427</v>
      </c>
      <c r="B17" s="37"/>
      <c r="C17" s="20"/>
      <c r="D17" s="29">
        <f>SUM(D10:D16)</f>
        <v>23735.729500000001</v>
      </c>
      <c r="E17" s="48"/>
      <c r="F17" s="48"/>
      <c r="G17" s="54"/>
      <c r="H17" s="33">
        <f>+SUM(H12:H16)+(H7)</f>
        <v>36394.2100278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4375.3500000000004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87.567123287671237</v>
      </c>
      <c r="K19" s="37"/>
      <c r="L19" s="37"/>
      <c r="M19" s="37"/>
      <c r="N19" s="34">
        <f>D7</f>
        <v>145845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159810</v>
      </c>
      <c r="V19" s="157">
        <f>(B7+D10+D11+D12+D13+D16)*1.05</f>
        <v>159810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138900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4375.3500000000004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4308.9194136450005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93.285331232876715</v>
      </c>
      <c r="I24" s="145">
        <f>H7+H12+H16</f>
        <v>36079.2100278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5697.8408234825001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BB7457A-F200-4334-BAFF-A674AFDC800C}">
      <formula1>"ALAA HAMMAD,KHALED QASSEM,RAMY RAOUF,SIMON LOBO,MHAREN CLEMENTE GARADO"</formula1>
    </dataValidation>
    <dataValidation type="list" allowBlank="1" showInputMessage="1" showErrorMessage="1" sqref="M34" xr:uid="{5E91EA02-0E10-4684-9439-790B3413AFFE}">
      <formula1>"Alaa Hammad,Bachir Ibrahim Mourad,Khaled Qassem,Ramy Raoof,Simon Lobo,Mharen Clemente Garado,Ranjith"</formula1>
    </dataValidation>
    <dataValidation type="list" allowBlank="1" showInputMessage="1" showErrorMessage="1" sqref="B11" xr:uid="{F3689390-F395-4012-977C-9426B90AB9BE}">
      <formula1>"FO Ceramic+ Intr&amp;Extr CeramicGold WdwTnt,FO Mirror Camera Sensor"</formula1>
    </dataValidation>
    <dataValidation type="list" allowBlank="1" showInputMessage="1" showErrorMessage="1" sqref="B12" xr:uid="{E7FDDE11-6CA7-4FCE-8DFC-8C8B90F88D60}">
      <formula1>"FO Exterior ceramic All Cars SCOTCHGUARD,FO Mirror Camera Sensor,FO PPF Gold Package "</formula1>
    </dataValidation>
    <dataValidation type="list" allowBlank="1" showInputMessage="1" showErrorMessage="1" sqref="K20" xr:uid="{8821AAA5-214C-4345-B390-3101793CC1D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37396AB-3992-4F53-948B-138A5FF59DA3}">
      <formula1>"RMC-10-40KMS,RMC-10-60KMS,RMC-10-70KMS,RMC-10-100000KMS,RMC-40-70KMS,RMC-40-100000KMS"</formula1>
    </dataValidation>
    <dataValidation type="list" allowBlank="1" showInputMessage="1" showErrorMessage="1" sqref="K24" xr:uid="{075858BF-8F45-4EF8-B88A-9AE8D146802F}">
      <formula1>"RMC-10-70K,RMC-10-100000K,RMC-40-70K"</formula1>
    </dataValidation>
    <dataValidation type="list" allowBlank="1" showInputMessage="1" showErrorMessage="1" sqref="D5" xr:uid="{1918565A-DB36-4424-AE7F-DF27F7E5988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8E7555C-E191-4233-A92F-51FFC229122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0C5240-CB0F-4839-840C-CF9B52DD2347}">
      <formula1>"YES,NO"</formula1>
    </dataValidation>
    <dataValidation type="list" allowBlank="1" showInputMessage="1" showErrorMessage="1" sqref="K21" xr:uid="{6C0D2DFA-6233-4503-B7A6-4A929781087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86E5-5121-4063-BD9F-084188188F1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</v>
      </c>
      <c r="D5" s="19" t="s">
        <v>152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16207.716036819998</v>
      </c>
      <c r="S5" s="151"/>
      <c r="U5" s="151">
        <f>L7+L14</f>
        <v>6691.6027346116671</v>
      </c>
      <c r="V5" s="151">
        <f>M7+M14</f>
        <v>4525.0797291700001</v>
      </c>
      <c r="W5" s="151">
        <f>N7+N14</f>
        <v>3180.9314679449999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5287.3342279450007</v>
      </c>
      <c r="V6" s="170">
        <f>N7+K14</f>
        <v>13048.111896819999</v>
      </c>
      <c r="W6" s="170" t="e">
        <f>N7+J14</f>
        <v>#VALUE!</v>
      </c>
    </row>
    <row r="7" spans="1:27" ht="26.25" thickBot="1" x14ac:dyDescent="0.4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168">
        <f>B7+C7</f>
        <v>134295</v>
      </c>
      <c r="E7" s="29">
        <f>D17</f>
        <v>23020.206999999999</v>
      </c>
      <c r="F7" s="29">
        <f>(C7)+(D10+D11+D12+D13+D16)*5/100</f>
        <v>7060</v>
      </c>
      <c r="G7" s="30">
        <f>B7+E7+F7</f>
        <v>157980.20699999999</v>
      </c>
      <c r="H7" s="29">
        <f>G7*D20</f>
        <v>31596.041400000002</v>
      </c>
      <c r="I7" s="30">
        <f>(G7-H7)</f>
        <v>126384.16559999999</v>
      </c>
      <c r="J7" s="30">
        <f>(((I7*D19)*1)+I7)/12</f>
        <v>10941.70913682</v>
      </c>
      <c r="K7" s="30">
        <f>(((I7*D19)*2)+I7)/24</f>
        <v>5675.7022368200005</v>
      </c>
      <c r="L7" s="30">
        <f>(((I7*D19)*3)+I7)/36</f>
        <v>3920.3666034866669</v>
      </c>
      <c r="M7" s="30">
        <f>(((I7*D19)*4)+I7)/48</f>
        <v>3042.6987868199999</v>
      </c>
      <c r="N7" s="30">
        <f>((((I7*D19)*5)+I7)/60)</f>
        <v>2516.0980968200001</v>
      </c>
      <c r="O7" s="118"/>
      <c r="P7" s="2">
        <f>H7+H16</f>
        <v>32923.075138799999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127900</v>
      </c>
      <c r="C8" s="32">
        <f>IF(L20="YES",N20,IF(L20="NO",N20))</f>
        <v>127900</v>
      </c>
      <c r="D8" s="29">
        <v>0</v>
      </c>
      <c r="E8" s="33"/>
      <c r="F8" s="188"/>
      <c r="G8" s="189"/>
      <c r="H8" s="110">
        <f>G7*20/100</f>
        <v>31596.041399999998</v>
      </c>
      <c r="I8" s="34"/>
      <c r="J8" s="34" t="s">
        <v>15</v>
      </c>
      <c r="K8" s="34">
        <f>(I7*K5+I7)/24</f>
        <v>5266.0068999999994</v>
      </c>
      <c r="L8" s="34">
        <f>(I7*L5+I7)/36</f>
        <v>3629.6830226066663</v>
      </c>
      <c r="M8" s="34">
        <f>(I7*M5+I7)/48</f>
        <v>2811.52108391</v>
      </c>
      <c r="N8" s="34">
        <f>(I7*N5+I7)/60</f>
        <v>2320.623920692</v>
      </c>
      <c r="O8" s="118">
        <v>0</v>
      </c>
      <c r="P8" s="2">
        <f>P7/12</f>
        <v>2743.5895949000001</v>
      </c>
      <c r="T8" s="1">
        <f>25973-12973</f>
        <v>13000</v>
      </c>
    </row>
    <row r="9" spans="1:27" ht="25.5" x14ac:dyDescent="0.35">
      <c r="A9" s="8">
        <f>B8/(100%-A8)</f>
        <v>159875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4916.3440418400132</v>
      </c>
      <c r="K9" s="38">
        <f>(K7*24)-I7</f>
        <v>9832.6880836800119</v>
      </c>
      <c r="L9" s="38">
        <f>(L7*36)-I7</f>
        <v>14749.032125520011</v>
      </c>
      <c r="M9" s="38">
        <f>(M7*48)-I7</f>
        <v>19665.376167360009</v>
      </c>
      <c r="N9" s="38">
        <f>(N7*60)-I7</f>
        <v>24581.720209200008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4284.4232138399966</v>
      </c>
      <c r="M10" s="41">
        <f>(M8*48)-I7</f>
        <v>8568.8464276800078</v>
      </c>
      <c r="N10" s="41">
        <f>(N8*60)-I7</f>
        <v>12853.269641520004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4816.5074999999997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30596.041399999998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161898.378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2633.0034500000002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4903.6994999999997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10532.013799999999</v>
      </c>
      <c r="L14" s="44">
        <f>(H8*L12+H8)/12</f>
        <v>2771.2361311250002</v>
      </c>
      <c r="M14" s="44">
        <f>(H8*M12+H8)/24</f>
        <v>1482.3809423499999</v>
      </c>
      <c r="N14" s="165">
        <f>(H7*N12+H7)/60</f>
        <v>664.83337112499999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3967</v>
      </c>
      <c r="B15" s="37" t="s">
        <v>27</v>
      </c>
      <c r="C15" s="20" t="s">
        <v>19</v>
      </c>
      <c r="D15" s="29">
        <f>IF(C15="YES",O10,IF(C15="NO",0))</f>
        <v>4816.5074999999997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1327.0337388</v>
      </c>
      <c r="I16" s="33"/>
      <c r="J16" s="44" t="s">
        <v>16</v>
      </c>
      <c r="K16" s="44">
        <f>(K14*3)-H8</f>
        <v>0</v>
      </c>
      <c r="L16" s="44">
        <f>(L14*12)-H8</f>
        <v>1658.7921735000018</v>
      </c>
      <c r="M16" s="44">
        <f>(M14*24)-H8</f>
        <v>3981.1012164000022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4097</v>
      </c>
      <c r="B17" s="37"/>
      <c r="C17" s="20"/>
      <c r="D17" s="29">
        <f>SUM(D10:D16)</f>
        <v>23020.206999999999</v>
      </c>
      <c r="E17" s="48"/>
      <c r="F17" s="48"/>
      <c r="G17" s="54"/>
      <c r="H17" s="33">
        <f>+SUM(H12:H16)+(H7)</f>
        <v>33838.075138799999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4028.85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81.238356164383561</v>
      </c>
      <c r="K19" s="37"/>
      <c r="L19" s="37"/>
      <c r="M19" s="37"/>
      <c r="N19" s="34">
        <f>D7</f>
        <v>134295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148260</v>
      </c>
      <c r="V19" s="157">
        <f>(B7+D10+D11+D12+D13+D16)*1.05</f>
        <v>148260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4028.85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3998.4790391699999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86.564496986301378</v>
      </c>
      <c r="I24" s="145">
        <f>H7+H12+H16</f>
        <v>33523.075138799999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5287.3342279450007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B06B33F-1E44-48F8-9430-7C3FAC0C0478}">
      <formula1>"ALAA HAMMAD,KHALED QASSEM,RAMY RAOUF,SIMON LOBO,MHAREN CLEMENTE GARADO"</formula1>
    </dataValidation>
    <dataValidation type="list" allowBlank="1" showInputMessage="1" showErrorMessage="1" sqref="M34" xr:uid="{7724D2F4-75E6-43DB-B207-1663077286F5}">
      <formula1>"Alaa Hammad,Bachir Ibrahim Mourad,Khaled Qassem,Ramy Raoof,Simon Lobo,Mharen Clemente Garado,Ranjith"</formula1>
    </dataValidation>
    <dataValidation type="list" allowBlank="1" showInputMessage="1" showErrorMessage="1" sqref="B11" xr:uid="{024A05A3-FA0E-4245-BE34-96AF46F9DA49}">
      <formula1>"FO Ceramic+ Intr&amp;Extr CeramicGold WdwTnt,FO Mirror Camera Sensor"</formula1>
    </dataValidation>
    <dataValidation type="list" allowBlank="1" showInputMessage="1" showErrorMessage="1" sqref="B12" xr:uid="{625941A5-284F-4ADD-B0BF-34D572FBAA22}">
      <formula1>"FO Exterior ceramic All Cars SCOTCHGUARD,FO Mirror Camera Sensor,FO PPF Gold Package "</formula1>
    </dataValidation>
    <dataValidation type="list" allowBlank="1" showInputMessage="1" showErrorMessage="1" sqref="K20" xr:uid="{A656C624-863F-4A35-AE6B-96464073DB9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80038FA-0911-4F70-81DA-327E0A6496B8}">
      <formula1>"RMC-10-40KMS,RMC-10-60KMS,RMC-10-70KMS,RMC-10-100000KMS,RMC-40-70KMS,RMC-40-100000KMS"</formula1>
    </dataValidation>
    <dataValidation type="list" allowBlank="1" showInputMessage="1" showErrorMessage="1" sqref="K24" xr:uid="{E287FDA9-A48E-4F96-850C-50248AD89F14}">
      <formula1>"RMC-10-70K,RMC-10-100000K,RMC-40-70K"</formula1>
    </dataValidation>
    <dataValidation type="list" allowBlank="1" showInputMessage="1" showErrorMessage="1" sqref="D5" xr:uid="{2D936E5B-D202-4EB6-9655-0AB7D13ECE7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6D0EEE1-4196-4FFF-8E78-EB363877D78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1555B66-6643-4C56-925B-26C48F51B497}">
      <formula1>"YES,NO"</formula1>
    </dataValidation>
    <dataValidation type="list" allowBlank="1" showInputMessage="1" showErrorMessage="1" sqref="K21" xr:uid="{16A631ED-A4A9-4973-B226-9E695612D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6B58-B8E1-412C-B1DD-D0A7C968C69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H17</v>
      </c>
      <c r="D5" s="19" t="s">
        <v>151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7126.957283590833</v>
      </c>
      <c r="S5" s="151"/>
      <c r="U5" s="151">
        <f>L7+L14</f>
        <v>2942.4730011307638</v>
      </c>
      <c r="V5" s="151">
        <f>M7+M14</f>
        <v>1989.7960860970832</v>
      </c>
      <c r="W5" s="151">
        <f>N7+N14</f>
        <v>1398.7388872418751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2324.9793555752085</v>
      </c>
      <c r="V6" s="170">
        <f>N7+K14</f>
        <v>5737.5965810908328</v>
      </c>
      <c r="W6" s="170" t="e">
        <f>N7+J14</f>
        <v>#VALUE!</v>
      </c>
    </row>
    <row r="7" spans="1:27" ht="26.25" thickBot="1" x14ac:dyDescent="0.4">
      <c r="A7" s="6">
        <f>B8</f>
        <v>47900</v>
      </c>
      <c r="B7" s="29">
        <f>IF(L20="YES",C8*1,IF(L20="NO",B8*1))</f>
        <v>47900</v>
      </c>
      <c r="C7" s="29">
        <f>B7*5/100</f>
        <v>2395</v>
      </c>
      <c r="D7" s="168">
        <f>B7+C7</f>
        <v>50295</v>
      </c>
      <c r="E7" s="29">
        <f>D17</f>
        <v>18533.035125000002</v>
      </c>
      <c r="F7" s="29">
        <f>(C7)+(D10+D11+D12+D13+D16)*5/100</f>
        <v>3035</v>
      </c>
      <c r="G7" s="30">
        <f>B7+E7+F7</f>
        <v>69468.035124999995</v>
      </c>
      <c r="H7" s="29">
        <f>G7*D20</f>
        <v>13893.607024999999</v>
      </c>
      <c r="I7" s="30">
        <f>(G7-H7)</f>
        <v>55574.428099999997</v>
      </c>
      <c r="J7" s="30">
        <f>(((I7*D19)*1)+I7)/12</f>
        <v>4811.3561127575003</v>
      </c>
      <c r="K7" s="30">
        <f>(((I7*D19)*2)+I7)/24</f>
        <v>2495.7549419241664</v>
      </c>
      <c r="L7" s="30">
        <f>(((I7*D19)*3)+I7)/36</f>
        <v>1723.8878849797222</v>
      </c>
      <c r="M7" s="30">
        <f>(((I7*D19)*4)+I7)/48</f>
        <v>1337.9543565074998</v>
      </c>
      <c r="N7" s="30">
        <f>((((I7*D19)*5)+I7)/60)</f>
        <v>1106.3942394241667</v>
      </c>
      <c r="O7" s="118"/>
      <c r="P7" s="2">
        <f>H7+H16</f>
        <v>14477.138520049999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47900</v>
      </c>
      <c r="C8" s="32">
        <f>IF(L20="YES",N20,IF(L20="NO",N20))</f>
        <v>47900</v>
      </c>
      <c r="D8" s="29">
        <v>0</v>
      </c>
      <c r="E8" s="33"/>
      <c r="F8" s="188"/>
      <c r="G8" s="189"/>
      <c r="H8" s="110">
        <f>G7*20/100</f>
        <v>13893.607024999999</v>
      </c>
      <c r="I8" s="34"/>
      <c r="J8" s="34" t="s">
        <v>15</v>
      </c>
      <c r="K8" s="34">
        <f>(I7*K5+I7)/24</f>
        <v>2315.6011708333331</v>
      </c>
      <c r="L8" s="34">
        <f>(I7*L5+I7)/36</f>
        <v>1596.0667003497222</v>
      </c>
      <c r="M8" s="34">
        <f>(I7*M5+I7)/48</f>
        <v>1236.2994651079166</v>
      </c>
      <c r="N8" s="34">
        <f>(I7*N5+I7)/60</f>
        <v>1020.4391239628333</v>
      </c>
      <c r="O8" s="118">
        <v>0</v>
      </c>
      <c r="P8" s="2">
        <f>P7/12</f>
        <v>1206.4282100041667</v>
      </c>
      <c r="T8" s="1">
        <f>25973-12973</f>
        <v>13000</v>
      </c>
    </row>
    <row r="9" spans="1:27" ht="25.5" x14ac:dyDescent="0.35">
      <c r="A9" s="8">
        <f>B8/(100%-A8)</f>
        <v>59875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2161.8452530900031</v>
      </c>
      <c r="K9" s="38">
        <f>(K7*24)-I7</f>
        <v>4323.6905061799989</v>
      </c>
      <c r="L9" s="38">
        <f>(L7*36)-I7</f>
        <v>6485.535759270002</v>
      </c>
      <c r="M9" s="38">
        <f>(M7*48)-I7</f>
        <v>8647.3810123599906</v>
      </c>
      <c r="N9" s="38">
        <f>(N7*60)-I7</f>
        <v>10809.226265450001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1883.9731125899998</v>
      </c>
      <c r="M10" s="41">
        <f>(M8*48)-I7</f>
        <v>3767.9462251799996</v>
      </c>
      <c r="N10" s="41">
        <f>(N8*60)-I7</f>
        <v>5651.9193377699994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12893.607024999999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60632.777999999998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1157.8005854166665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2108.0351250000003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4631.2023416666661</v>
      </c>
      <c r="L14" s="44">
        <f>(H8*L12+H8)/12</f>
        <v>1218.5851161510416</v>
      </c>
      <c r="M14" s="44">
        <f>(H8*M12+H8)/24</f>
        <v>651.84172958958334</v>
      </c>
      <c r="N14" s="165">
        <f>(H7*N12+H7)/60</f>
        <v>292.34464781770833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1567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583.53149504999999</v>
      </c>
      <c r="I16" s="33"/>
      <c r="J16" s="44" t="s">
        <v>16</v>
      </c>
      <c r="K16" s="44">
        <f>(K14*3)-H8</f>
        <v>0</v>
      </c>
      <c r="L16" s="44">
        <f>(L14*12)-H8</f>
        <v>729.41436881249865</v>
      </c>
      <c r="M16" s="44">
        <f>(M14*24)-H8</f>
        <v>1750.5944851500008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1697</v>
      </c>
      <c r="B17" s="37"/>
      <c r="C17" s="20"/>
      <c r="D17" s="29">
        <f>SUM(D10:D16)</f>
        <v>18533.035125000002</v>
      </c>
      <c r="E17" s="48"/>
      <c r="F17" s="48"/>
      <c r="G17" s="54"/>
      <c r="H17" s="33">
        <f>+SUM(H12:H16)+(H7)</f>
        <v>15392.138520049999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1508.85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34.923287671232877</v>
      </c>
      <c r="K19" s="37"/>
      <c r="L19" s="37"/>
      <c r="M19" s="37"/>
      <c r="N19" s="34">
        <f>D7</f>
        <v>50295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63735</v>
      </c>
      <c r="V19" s="157">
        <f>(B7+D10+D11+D12+D13+D16)*1.05</f>
        <v>63735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1508.85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1758.23596901375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38.06467678082192</v>
      </c>
      <c r="I24" s="145">
        <f>H7+H12+H16</f>
        <v>15077.138520049999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2324.9793555752085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B334F3F-6327-4876-BA57-98DF517FFFD0}">
      <formula1>"ALAA HAMMAD,KHALED QASSEM,RAMY RAOUF,SIMON LOBO,MHAREN CLEMENTE GARADO"</formula1>
    </dataValidation>
    <dataValidation type="list" allowBlank="1" showInputMessage="1" showErrorMessage="1" sqref="M34" xr:uid="{1C248100-2359-4820-BBD8-7D3D431641FB}">
      <formula1>"Alaa Hammad,Bachir Ibrahim Mourad,Khaled Qassem,Ramy Raoof,Simon Lobo,Mharen Clemente Garado,Ranjith"</formula1>
    </dataValidation>
    <dataValidation type="list" allowBlank="1" showInputMessage="1" showErrorMessage="1" sqref="B11" xr:uid="{8505F521-8110-47BD-8993-AAB9EC7A86DF}">
      <formula1>"FO Ceramic+ Intr&amp;Extr CeramicGold WdwTnt,FO Mirror Camera Sensor"</formula1>
    </dataValidation>
    <dataValidation type="list" allowBlank="1" showInputMessage="1" showErrorMessage="1" sqref="B12" xr:uid="{2F8EA14B-A392-4C63-9E4A-8EC60346CF89}">
      <formula1>"FO Exterior ceramic All Cars SCOTCHGUARD,FO Mirror Camera Sensor,FO PPF Gold Package "</formula1>
    </dataValidation>
    <dataValidation type="list" allowBlank="1" showInputMessage="1" showErrorMessage="1" sqref="K20" xr:uid="{50569A4F-C619-4649-82B9-94D8FED5BCD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3F8C740-E4A0-42A6-85BC-3437F72F084F}">
      <formula1>"RMC-10-40KMS,RMC-10-60KMS,RMC-10-70KMS,RMC-10-100000KMS,RMC-40-70KMS,RMC-40-100000KMS"</formula1>
    </dataValidation>
    <dataValidation type="list" allowBlank="1" showInputMessage="1" showErrorMessage="1" sqref="K24" xr:uid="{730B46E5-9168-41EE-BEA9-7C69C49A8774}">
      <formula1>"RMC-10-70K,RMC-10-100000K,RMC-40-70K"</formula1>
    </dataValidation>
    <dataValidation type="list" allowBlank="1" showInputMessage="1" showErrorMessage="1" sqref="D5" xr:uid="{913A8C05-8E99-4B44-B44A-2BDD8A16C84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5C30A25-4F2F-4DBF-8E9A-E735381605F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7A1CFB2-5170-4B38-BFF8-8464A23AFA23}">
      <formula1>"YES,NO"</formula1>
    </dataValidation>
    <dataValidation type="list" allowBlank="1" showInputMessage="1" showErrorMessage="1" sqref="K21" xr:uid="{7189478B-7A3D-4108-8CF6-86B2ED85605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76FE-164F-4195-9AEA-1FEFC71C8C9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</v>
      </c>
      <c r="D5" s="19" t="s">
        <v>150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11273.4627522275</v>
      </c>
      <c r="S5" s="151"/>
      <c r="U5" s="151">
        <f>L7+L14</f>
        <v>4654.4210183577088</v>
      </c>
      <c r="V5" s="151">
        <f>M7+M14</f>
        <v>3147.4710972087501</v>
      </c>
      <c r="W5" s="151">
        <f>N7+N14</f>
        <v>2212.5333600243753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3677.6659550243753</v>
      </c>
      <c r="V6" s="170">
        <f>N7+K14</f>
        <v>9075.7638597274999</v>
      </c>
      <c r="W6" s="170" t="e">
        <f>N7+J14</f>
        <v>#VALUE!</v>
      </c>
    </row>
    <row r="7" spans="1:27" ht="26.25" thickBot="1" x14ac:dyDescent="0.4">
      <c r="A7" s="6">
        <f>B8</f>
        <v>83900</v>
      </c>
      <c r="B7" s="29">
        <f>IF(L20="YES",C8*1,IF(L20="NO",B8*1))</f>
        <v>83900</v>
      </c>
      <c r="C7" s="29">
        <f>B7*5/100</f>
        <v>4195</v>
      </c>
      <c r="D7" s="168">
        <f>B7+C7</f>
        <v>88095</v>
      </c>
      <c r="E7" s="29">
        <f>D17</f>
        <v>21089.944625</v>
      </c>
      <c r="F7" s="29">
        <f>(C7)+(D10+D11+D12+D13+D16)*5/100</f>
        <v>4895</v>
      </c>
      <c r="G7" s="30">
        <f>B7+E7+F7</f>
        <v>109884.944625</v>
      </c>
      <c r="H7" s="29">
        <f>G7*D20</f>
        <v>21976.988925000001</v>
      </c>
      <c r="I7" s="30">
        <f>(G7-H7)</f>
        <v>87907.955700000006</v>
      </c>
      <c r="J7" s="30">
        <f>(((I7*D19)*1)+I7)/12</f>
        <v>7610.6312647275008</v>
      </c>
      <c r="K7" s="30">
        <f>(((I7*D19)*2)+I7)/24</f>
        <v>3947.7997772275007</v>
      </c>
      <c r="L7" s="30">
        <f>(((I7*D19)*3)+I7)/36</f>
        <v>2726.8559480608333</v>
      </c>
      <c r="M7" s="30">
        <f>(((I7*D19)*4)+I7)/48</f>
        <v>2116.3840334775</v>
      </c>
      <c r="N7" s="30">
        <f>((((I7*D19)*5)+I7)/60)</f>
        <v>1750.1008847275002</v>
      </c>
      <c r="O7" s="118"/>
      <c r="P7" s="2">
        <f>H7+H16</f>
        <v>22900.022459850003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83900</v>
      </c>
      <c r="C8" s="32">
        <f>IF(L20="YES",N20,IF(L20="NO",N20))</f>
        <v>83900</v>
      </c>
      <c r="D8" s="29">
        <v>0</v>
      </c>
      <c r="E8" s="33"/>
      <c r="F8" s="188"/>
      <c r="G8" s="189"/>
      <c r="H8" s="110">
        <f>G7*20/100</f>
        <v>21976.988925000001</v>
      </c>
      <c r="I8" s="34"/>
      <c r="J8" s="34" t="s">
        <v>15</v>
      </c>
      <c r="K8" s="34">
        <f>(I7*K5+I7)/24</f>
        <v>3662.8314875000001</v>
      </c>
      <c r="L8" s="34">
        <f>(I7*L5+I7)/36</f>
        <v>2524.6676499508335</v>
      </c>
      <c r="M8" s="34">
        <f>(I7*M5+I7)/48</f>
        <v>1955.5857311762502</v>
      </c>
      <c r="N8" s="34">
        <f>(I7*N5+I7)/60</f>
        <v>1614.1365799115001</v>
      </c>
      <c r="O8" s="118">
        <v>0</v>
      </c>
      <c r="P8" s="2">
        <f>P7/12</f>
        <v>1908.3352049875002</v>
      </c>
      <c r="T8" s="1">
        <f>25973-12973</f>
        <v>13000</v>
      </c>
    </row>
    <row r="9" spans="1:27" ht="25.5" x14ac:dyDescent="0.35">
      <c r="A9" s="8">
        <f>B8/(100%-A8)</f>
        <v>104875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3419.619476730004</v>
      </c>
      <c r="K9" s="38">
        <f>(K7*24)-I7</f>
        <v>6839.2389534600079</v>
      </c>
      <c r="L9" s="38">
        <f>(L7*36)-I7</f>
        <v>10258.858430189997</v>
      </c>
      <c r="M9" s="38">
        <f>(M7*48)-I7</f>
        <v>13678.477906920001</v>
      </c>
      <c r="N9" s="38">
        <f>(N7*60)-I7</f>
        <v>17098.097383650005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2980.0796982299944</v>
      </c>
      <c r="M10" s="41">
        <f>(M8*48)-I7</f>
        <v>5960.1593964600033</v>
      </c>
      <c r="N10" s="41">
        <f>(N8*60)-I7</f>
        <v>8940.2390946899977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20976.988925000001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106202.298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1831.41574375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3399.9446250000001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7325.6629750000002</v>
      </c>
      <c r="L14" s="44">
        <f>(H8*L12+H8)/12</f>
        <v>1927.5650702968751</v>
      </c>
      <c r="M14" s="44">
        <f>(H8*M12+H8)/24</f>
        <v>1031.0870637312501</v>
      </c>
      <c r="N14" s="165">
        <f>(H7*N12+H7)/60</f>
        <v>462.43247529687505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2647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923.03353485000014</v>
      </c>
      <c r="I16" s="33"/>
      <c r="J16" s="44" t="s">
        <v>16</v>
      </c>
      <c r="K16" s="44">
        <f>(K14*3)-H8</f>
        <v>0</v>
      </c>
      <c r="L16" s="44">
        <f>(L14*12)-H8</f>
        <v>1153.7919185624996</v>
      </c>
      <c r="M16" s="44">
        <f>(M14*24)-H8</f>
        <v>2769.1006045499998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2777</v>
      </c>
      <c r="B17" s="37"/>
      <c r="C17" s="20"/>
      <c r="D17" s="29">
        <f>SUM(D10:D16)</f>
        <v>21089.944625</v>
      </c>
      <c r="E17" s="48"/>
      <c r="F17" s="48"/>
      <c r="G17" s="54"/>
      <c r="H17" s="33">
        <f>+SUM(H12:H16)+(H7)</f>
        <v>23815.022459850003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2642.85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56.326027397260276</v>
      </c>
      <c r="K19" s="37"/>
      <c r="L19" s="37"/>
      <c r="M19" s="37"/>
      <c r="N19" s="34">
        <f>D7</f>
        <v>88095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102795</v>
      </c>
      <c r="V19" s="157">
        <f>(B7+D10+D11+D12+D13+D16)*1.05</f>
        <v>102795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2642.85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2781.1879484587503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60.21092856164384</v>
      </c>
      <c r="I24" s="145">
        <f>H7+H12+H16</f>
        <v>23500.022459850003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3677.6659550243753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6521CEC-B21A-4709-BCF1-DE3203A3D72A}">
      <formula1>"ALAA HAMMAD,KHALED QASSEM,RAMY RAOUF,SIMON LOBO,MHAREN CLEMENTE GARADO"</formula1>
    </dataValidation>
    <dataValidation type="list" allowBlank="1" showInputMessage="1" showErrorMessage="1" sqref="M34" xr:uid="{F5D9D04F-86DA-4436-9991-B43809C4114F}">
      <formula1>"Alaa Hammad,Bachir Ibrahim Mourad,Khaled Qassem,Ramy Raoof,Simon Lobo,Mharen Clemente Garado,Ranjith"</formula1>
    </dataValidation>
    <dataValidation type="list" allowBlank="1" showInputMessage="1" showErrorMessage="1" sqref="B11" xr:uid="{8BA6DA5A-4A1E-43DB-8894-A26D9FF07A91}">
      <formula1>"FO Ceramic+ Intr&amp;Extr CeramicGold WdwTnt,FO Mirror Camera Sensor"</formula1>
    </dataValidation>
    <dataValidation type="list" allowBlank="1" showInputMessage="1" showErrorMessage="1" sqref="B12" xr:uid="{B431B139-FB0D-455B-9E92-F77285822A14}">
      <formula1>"FO Exterior ceramic All Cars SCOTCHGUARD,FO Mirror Camera Sensor,FO PPF Gold Package "</formula1>
    </dataValidation>
    <dataValidation type="list" allowBlank="1" showInputMessage="1" showErrorMessage="1" sqref="K20" xr:uid="{6D263C7C-373E-4DBC-8EDE-2DA6D9CE91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D588778-C93E-4AEB-AC12-FF9012DD01AD}">
      <formula1>"RMC-10-40KMS,RMC-10-60KMS,RMC-10-70KMS,RMC-10-100000KMS,RMC-40-70KMS,RMC-40-100000KMS"</formula1>
    </dataValidation>
    <dataValidation type="list" allowBlank="1" showInputMessage="1" showErrorMessage="1" sqref="K24" xr:uid="{E542BF2D-D6A5-4EBD-90E8-7DD7FCA9D883}">
      <formula1>"RMC-10-70K,RMC-10-100000K,RMC-40-70K"</formula1>
    </dataValidation>
    <dataValidation type="list" allowBlank="1" showInputMessage="1" showErrorMessage="1" sqref="D5" xr:uid="{FD01D201-C78B-4833-AABF-CA382C03CDD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3EEA318-EB47-40B8-9D2E-C9FE8EF2B3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1CD3D6C-D69E-44FA-95CD-066BEE30F8D4}">
      <formula1>"YES,NO"</formula1>
    </dataValidation>
    <dataValidation type="list" allowBlank="1" showInputMessage="1" showErrorMessage="1" sqref="K21" xr:uid="{491546B4-2138-4040-8DC6-22E9324F5D8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D40F-59BC-4702-B113-0D562A19D1FD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P16</v>
      </c>
      <c r="D5" s="19" t="s">
        <v>149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7071.3143144783335</v>
      </c>
      <c r="S5" s="151"/>
      <c r="U5" s="151">
        <f>L7+L14</f>
        <v>2919.4999527734726</v>
      </c>
      <c r="V5" s="151">
        <f>M7+M14</f>
        <v>1974.2609625158334</v>
      </c>
      <c r="W5" s="151">
        <f>N7+N14</f>
        <v>1387.8183805512501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2306.8273238845832</v>
      </c>
      <c r="V6" s="170">
        <f>N7+K14</f>
        <v>5692.8008994783331</v>
      </c>
      <c r="W6" s="170" t="e">
        <f>N7+J14</f>
        <v>#VALUE!</v>
      </c>
    </row>
    <row r="7" spans="1:27" ht="26.25" thickBot="1" x14ac:dyDescent="0.4">
      <c r="A7" s="6">
        <f>B8</f>
        <v>47400</v>
      </c>
      <c r="B7" s="29">
        <f>IF(L20="YES",C8*1,IF(L20="NO",B8*1))</f>
        <v>47400</v>
      </c>
      <c r="C7" s="29">
        <f>B7*5/100</f>
        <v>2370</v>
      </c>
      <c r="D7" s="168">
        <f>B7+C7</f>
        <v>49770</v>
      </c>
      <c r="E7" s="29">
        <f>D17</f>
        <v>18515.670750000001</v>
      </c>
      <c r="F7" s="29">
        <f>(C7)+(D10+D11+D12+D13+D16)*5/100</f>
        <v>3010</v>
      </c>
      <c r="G7" s="30">
        <f>B7+E7+F7</f>
        <v>68925.670750000005</v>
      </c>
      <c r="H7" s="29">
        <f>G7*D20</f>
        <v>13785.134150000002</v>
      </c>
      <c r="I7" s="30">
        <f>(G7-H7)</f>
        <v>55140.536600000007</v>
      </c>
      <c r="J7" s="30">
        <f>(((I7*D19)*1)+I7)/12</f>
        <v>4773.7919561450008</v>
      </c>
      <c r="K7" s="30">
        <f>(((I7*D19)*2)+I7)/24</f>
        <v>2476.2695978116667</v>
      </c>
      <c r="L7" s="30">
        <f>(((I7*D19)*3)+I7)/36</f>
        <v>1710.4288117005558</v>
      </c>
      <c r="M7" s="30">
        <f>(((I7*D19)*4)+I7)/48</f>
        <v>1327.5084186450001</v>
      </c>
      <c r="N7" s="30">
        <f>((((I7*D19)*5)+I7)/60)</f>
        <v>1097.7561828116668</v>
      </c>
      <c r="O7" s="118"/>
      <c r="P7" s="2">
        <f>H7+H16</f>
        <v>14364.109784300003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47400</v>
      </c>
      <c r="C8" s="32">
        <f>IF(L20="YES",N20,IF(L20="NO",N20))</f>
        <v>47400</v>
      </c>
      <c r="D8" s="29">
        <v>0</v>
      </c>
      <c r="E8" s="33"/>
      <c r="F8" s="188"/>
      <c r="G8" s="189"/>
      <c r="H8" s="110">
        <f>G7*20/100</f>
        <v>13785.13415</v>
      </c>
      <c r="I8" s="34"/>
      <c r="J8" s="34" t="s">
        <v>15</v>
      </c>
      <c r="K8" s="34">
        <f>(I7*K5+I7)/24</f>
        <v>2297.5223583333336</v>
      </c>
      <c r="L8" s="34">
        <f>(I7*L5+I7)/36</f>
        <v>1583.6055775205559</v>
      </c>
      <c r="M8" s="34">
        <f>(I7*M5+I7)/48</f>
        <v>1226.6471871141669</v>
      </c>
      <c r="N8" s="34">
        <f>(I7*N5+I7)/60</f>
        <v>1012.4721528703335</v>
      </c>
      <c r="O8" s="118">
        <v>0</v>
      </c>
      <c r="P8" s="2">
        <f>P7/12</f>
        <v>1197.009148691667</v>
      </c>
      <c r="T8" s="1">
        <f>25973-12973</f>
        <v>13000</v>
      </c>
    </row>
    <row r="9" spans="1:27" ht="25.5" x14ac:dyDescent="0.35">
      <c r="A9" s="8">
        <f>B8/(100%-A8)</f>
        <v>59250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2144.9668737400061</v>
      </c>
      <c r="K9" s="38">
        <f>(K7*24)-I7</f>
        <v>4289.9337474799977</v>
      </c>
      <c r="L9" s="38">
        <f>(L7*36)-I7</f>
        <v>6434.9006212200038</v>
      </c>
      <c r="M9" s="38">
        <f>(M7*48)-I7</f>
        <v>8579.8674949599954</v>
      </c>
      <c r="N9" s="38">
        <f>(N7*60)-I7</f>
        <v>10724.834368700002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1869.2641907400102</v>
      </c>
      <c r="M10" s="41">
        <f>(M8*48)-I7</f>
        <v>3738.5283814800059</v>
      </c>
      <c r="N10" s="41">
        <f>(N8*60)-I7</f>
        <v>5607.7925722200016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12785.13415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59999.867999999995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1148.7611791666668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2090.6707500000002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4595.0447166666663</v>
      </c>
      <c r="L14" s="44">
        <f>(H8*L12+H8)/12</f>
        <v>1209.0711410729166</v>
      </c>
      <c r="M14" s="44">
        <f>(H8*M12+H8)/24</f>
        <v>646.75254387083339</v>
      </c>
      <c r="N14" s="165">
        <f>(H7*N12+H7)/60</f>
        <v>290.06219773958338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1552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578.97563430000014</v>
      </c>
      <c r="I16" s="33"/>
      <c r="J16" s="44" t="s">
        <v>16</v>
      </c>
      <c r="K16" s="44">
        <f>(K14*3)-H8</f>
        <v>0</v>
      </c>
      <c r="L16" s="44">
        <f>(L14*12)-H8</f>
        <v>723.71954287500012</v>
      </c>
      <c r="M16" s="44">
        <f>(M14*24)-H8</f>
        <v>1736.9269029000006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1682</v>
      </c>
      <c r="B17" s="37"/>
      <c r="C17" s="20"/>
      <c r="D17" s="29">
        <f>SUM(D10:D16)</f>
        <v>18515.670750000001</v>
      </c>
      <c r="E17" s="48"/>
      <c r="F17" s="48"/>
      <c r="G17" s="54"/>
      <c r="H17" s="33">
        <f>+SUM(H12:H16)+(H7)</f>
        <v>15279.109784300003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1493.1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34.635616438356166</v>
      </c>
      <c r="K19" s="37"/>
      <c r="L19" s="37"/>
      <c r="M19" s="37"/>
      <c r="N19" s="34">
        <f>D7</f>
        <v>49770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63210</v>
      </c>
      <c r="V19" s="157">
        <f>(B7+D10+D11+D12+D13+D16)*1.05</f>
        <v>63210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47400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1493.1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1744.5087266825003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37.767490821917811</v>
      </c>
      <c r="I24" s="145">
        <f>H7+H12+H16</f>
        <v>14964.109784300003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2306.8273238845832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D8E3F83-AFCA-4823-9741-9BCEDD7FFEE1}">
      <formula1>"ALAA HAMMAD,KHALED QASSEM,RAMY RAOUF,SIMON LOBO,MHAREN CLEMENTE GARADO"</formula1>
    </dataValidation>
    <dataValidation type="list" allowBlank="1" showInputMessage="1" showErrorMessage="1" sqref="M34" xr:uid="{CF1285AD-33CD-47C6-AE40-EBB9032E58B5}">
      <formula1>"Alaa Hammad,Bachir Ibrahim Mourad,Khaled Qassem,Ramy Raoof,Simon Lobo,Mharen Clemente Garado,Ranjith"</formula1>
    </dataValidation>
    <dataValidation type="list" allowBlank="1" showInputMessage="1" showErrorMessage="1" sqref="B11" xr:uid="{904182F9-0380-4728-836D-136E57C490D8}">
      <formula1>"FO Ceramic+ Intr&amp;Extr CeramicGold WdwTnt,FO Mirror Camera Sensor"</formula1>
    </dataValidation>
    <dataValidation type="list" allowBlank="1" showInputMessage="1" showErrorMessage="1" sqref="B12" xr:uid="{82EC3A02-D06B-45D1-9035-658F71BDC7F0}">
      <formula1>"FO Exterior ceramic All Cars SCOTCHGUARD,FO Mirror Camera Sensor,FO PPF Gold Package "</formula1>
    </dataValidation>
    <dataValidation type="list" allowBlank="1" showInputMessage="1" showErrorMessage="1" sqref="K20" xr:uid="{E0F2771D-DD72-487E-A85A-B3DD9E761EC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76E25024-B0FB-4BF9-B2BB-D4594687641D}">
      <formula1>"RMC-10-40KMS,RMC-10-60KMS,RMC-10-70KMS,RMC-10-100000KMS,RMC-40-70KMS,RMC-40-100000KMS"</formula1>
    </dataValidation>
    <dataValidation type="list" allowBlank="1" showInputMessage="1" showErrorMessage="1" sqref="K24" xr:uid="{7C280B86-D2D9-47ED-8F8B-9C4A0E4E1B48}">
      <formula1>"RMC-10-70K,RMC-10-100000K,RMC-40-70K"</formula1>
    </dataValidation>
    <dataValidation type="list" allowBlank="1" showInputMessage="1" showErrorMessage="1" sqref="D5" xr:uid="{8CF83893-97EA-4E61-AD8D-8A0316ECC5C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2DBAC951-15F2-4CBF-9F75-93C21DDE184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E8E1734-DEEB-4F8C-AC8C-46CFBD87D6C3}">
      <formula1>"YES,NO"</formula1>
    </dataValidation>
    <dataValidation type="list" allowBlank="1" showInputMessage="1" showErrorMessage="1" sqref="K21" xr:uid="{A73ED569-1A48-4A79-B543-84C9CBAC5CC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635C-154F-4911-9EBE-A4FD534D1FE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H16</v>
      </c>
      <c r="D5" s="19" t="s">
        <v>148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6459.2416542408337</v>
      </c>
      <c r="S5" s="151"/>
      <c r="U5" s="151">
        <f>L7+L14</f>
        <v>2666.7964208432641</v>
      </c>
      <c r="V5" s="151">
        <f>M7+M14</f>
        <v>1803.3746031220833</v>
      </c>
      <c r="W5" s="151">
        <f>N7+N14</f>
        <v>1267.6928069543751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2107.1549752877086</v>
      </c>
      <c r="V6" s="170">
        <f>N7+K14</f>
        <v>5200.0484017408335</v>
      </c>
      <c r="W6" s="170" t="e">
        <f>N7+J14</f>
        <v>#VALUE!</v>
      </c>
    </row>
    <row r="7" spans="1:27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168">
        <f>B7+C7</f>
        <v>43995</v>
      </c>
      <c r="E7" s="29">
        <f>D17</f>
        <v>18324.662625000001</v>
      </c>
      <c r="F7" s="29">
        <f>(C7)+(D10+D11+D12+D13+D16)*5/100</f>
        <v>2735</v>
      </c>
      <c r="G7" s="30">
        <f>B7+E7+F7</f>
        <v>62959.662624999997</v>
      </c>
      <c r="H7" s="29">
        <f>G7*D20</f>
        <v>12591.932525</v>
      </c>
      <c r="I7" s="30">
        <f>(G7-H7)</f>
        <v>50367.730100000001</v>
      </c>
      <c r="J7" s="30">
        <f>(((I7*D19)*1)+I7)/12</f>
        <v>4360.5862334075</v>
      </c>
      <c r="K7" s="30">
        <f>(((I7*D19)*2)+I7)/24</f>
        <v>2261.9308125741668</v>
      </c>
      <c r="L7" s="30">
        <f>(((I7*D19)*3)+I7)/36</f>
        <v>1562.3790056297223</v>
      </c>
      <c r="M7" s="30">
        <f>(((I7*D19)*4)+I7)/48</f>
        <v>1212.6031021575</v>
      </c>
      <c r="N7" s="30">
        <f>((((I7*D19)*5)+I7)/60)</f>
        <v>1002.7375600741667</v>
      </c>
      <c r="O7" s="118"/>
      <c r="P7" s="2">
        <f>H7+H16</f>
        <v>13120.793691049999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12591.932525</v>
      </c>
      <c r="I8" s="34"/>
      <c r="J8" s="34" t="s">
        <v>15</v>
      </c>
      <c r="K8" s="34">
        <f>(I7*K5+I7)/24</f>
        <v>2098.6554208333332</v>
      </c>
      <c r="L8" s="34">
        <f>(I7*L5+I7)/36</f>
        <v>1446.5332263997223</v>
      </c>
      <c r="M8" s="34">
        <f>(I7*M5+I7)/48</f>
        <v>1120.4721291829167</v>
      </c>
      <c r="N8" s="34">
        <f>(I7*N5+I7)/60</f>
        <v>924.83547085283328</v>
      </c>
      <c r="O8" s="118">
        <v>0</v>
      </c>
      <c r="P8" s="2">
        <f>P7/12</f>
        <v>1093.3994742541665</v>
      </c>
      <c r="T8" s="1">
        <f>25973-12973</f>
        <v>13000</v>
      </c>
    </row>
    <row r="9" spans="1:27" ht="25.5" x14ac:dyDescent="0.35">
      <c r="A9" s="8">
        <f>B8/(100%-A8)</f>
        <v>52375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1959.304700890003</v>
      </c>
      <c r="K9" s="38">
        <f>(K7*24)-I7</f>
        <v>3918.609401780006</v>
      </c>
      <c r="L9" s="38">
        <f>(L7*36)-I7</f>
        <v>5877.9141026700017</v>
      </c>
      <c r="M9" s="38">
        <f>(M7*48)-I7</f>
        <v>7837.2188035599975</v>
      </c>
      <c r="N9" s="38">
        <f>(N7*60)-I7</f>
        <v>9796.5235044500005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1707.4660503900013</v>
      </c>
      <c r="M10" s="41">
        <f>(M8*48)-I7</f>
        <v>3414.9321007800027</v>
      </c>
      <c r="N10" s="41">
        <f>(N8*60)-I7</f>
        <v>5122.3981511699967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11591.932525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1049.3277104166666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1899.6626250000002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4197.3108416666664</v>
      </c>
      <c r="L14" s="44">
        <f>(H8*L12+H8)/12</f>
        <v>1104.4174152135417</v>
      </c>
      <c r="M14" s="44">
        <f>(H8*M12+H8)/24</f>
        <v>590.77150096458331</v>
      </c>
      <c r="N14" s="165">
        <f>(H7*N12+H7)/60</f>
        <v>264.95524688020834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528.86116605000007</v>
      </c>
      <c r="I16" s="33"/>
      <c r="J16" s="44" t="s">
        <v>16</v>
      </c>
      <c r="K16" s="44">
        <f>(K14*3)-H8</f>
        <v>0</v>
      </c>
      <c r="L16" s="44">
        <f>(L14*12)-H8</f>
        <v>661.07645756249985</v>
      </c>
      <c r="M16" s="44">
        <f>(M14*24)-H8</f>
        <v>1586.5834981499993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1517</v>
      </c>
      <c r="B17" s="37"/>
      <c r="C17" s="20"/>
      <c r="D17" s="29">
        <f>SUM(D10:D16)</f>
        <v>18324.662625000001</v>
      </c>
      <c r="E17" s="48"/>
      <c r="F17" s="48"/>
      <c r="G17" s="54"/>
      <c r="H17" s="33">
        <f>+SUM(H12:H16)+(H7)</f>
        <v>14035.793691049999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31.471232876712328</v>
      </c>
      <c r="K19" s="37"/>
      <c r="L19" s="37"/>
      <c r="M19" s="37"/>
      <c r="N19" s="34">
        <f>D7</f>
        <v>43995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57435</v>
      </c>
      <c r="V19" s="157">
        <f>(B7+D10+D11+D12+D13+D16)*1.05</f>
        <v>57435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1593.5090610387501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34.498445273972607</v>
      </c>
      <c r="I24" s="145">
        <f>H7+H12+H16</f>
        <v>13720.793691049999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2107.1549752877086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1890847-A929-4BF8-A1DB-E244FB7A6010}">
      <formula1>"ALAA HAMMAD,KHALED QASSEM,RAMY RAOUF,SIMON LOBO,MHAREN CLEMENTE GARADO"</formula1>
    </dataValidation>
    <dataValidation type="list" allowBlank="1" showInputMessage="1" showErrorMessage="1" sqref="M34" xr:uid="{7C96E96A-ECB5-452E-AFAF-A02F3037C6B8}">
      <formula1>"Alaa Hammad,Bachir Ibrahim Mourad,Khaled Qassem,Ramy Raoof,Simon Lobo,Mharen Clemente Garado,Ranjith"</formula1>
    </dataValidation>
    <dataValidation type="list" allowBlank="1" showInputMessage="1" showErrorMessage="1" sqref="B11" xr:uid="{08E46107-AE0B-4BB9-A2D5-DFCF394C6566}">
      <formula1>"FO Ceramic+ Intr&amp;Extr CeramicGold WdwTnt,FO Mirror Camera Sensor"</formula1>
    </dataValidation>
    <dataValidation type="list" allowBlank="1" showInputMessage="1" showErrorMessage="1" sqref="B12" xr:uid="{945335B5-639C-476F-9F4C-FC6B6A8D2383}">
      <formula1>"FO Exterior ceramic All Cars SCOTCHGUARD,FO Mirror Camera Sensor,FO PPF Gold Package "</formula1>
    </dataValidation>
    <dataValidation type="list" allowBlank="1" showInputMessage="1" showErrorMessage="1" sqref="K20" xr:uid="{F7B7ABB4-1401-4CA1-A2E8-A34DD592D45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1CFEFF2-8147-49B7-91D7-D571A0570B76}">
      <formula1>"RMC-10-40KMS,RMC-10-60KMS,RMC-10-70KMS,RMC-10-100000KMS,RMC-40-70KMS,RMC-40-100000KMS"</formula1>
    </dataValidation>
    <dataValidation type="list" allowBlank="1" showInputMessage="1" showErrorMessage="1" sqref="K24" xr:uid="{D286CD2E-A8E1-43BF-9A9A-7502E3DC519D}">
      <formula1>"RMC-10-70K,RMC-10-100000K,RMC-40-70K"</formula1>
    </dataValidation>
    <dataValidation type="list" allowBlank="1" showInputMessage="1" showErrorMessage="1" sqref="D5" xr:uid="{9ABA126B-1BB3-4F96-9534-02F55C9BF1B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A4784C2-E70A-4CA5-B433-029D31ADCF5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3B1ECC2A-2CCC-4A64-85AF-430C4D4E62D6}">
      <formula1>"YES,NO"</formula1>
    </dataValidation>
    <dataValidation type="list" allowBlank="1" showInputMessage="1" showErrorMessage="1" sqref="K21" xr:uid="{7388F20C-7D56-4592-A6B9-E969B22F367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F063-5502-46D2-B9FD-47809E9DC73A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MirageG10</v>
      </c>
      <c r="D5" s="19" t="s">
        <v>88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6459.2416542408337</v>
      </c>
      <c r="S5" s="151"/>
      <c r="U5" s="151">
        <f>L7+L14</f>
        <v>2666.7964208432641</v>
      </c>
      <c r="V5" s="151">
        <f>M7+M14</f>
        <v>1803.3746031220833</v>
      </c>
      <c r="W5" s="151">
        <f>N7+N14</f>
        <v>1267.6928069543751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2107.1549752877086</v>
      </c>
      <c r="V6" s="170">
        <f>N7+K14</f>
        <v>5200.0484017408335</v>
      </c>
      <c r="W6" s="170" t="e">
        <f>N7+J14</f>
        <v>#VALUE!</v>
      </c>
    </row>
    <row r="7" spans="1:27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168">
        <f>B7+C7</f>
        <v>43995</v>
      </c>
      <c r="E7" s="29">
        <f>D17</f>
        <v>18324.662625000001</v>
      </c>
      <c r="F7" s="29">
        <f>(C7)+(D10+D11+D12+D13+D16)*5/100</f>
        <v>2735</v>
      </c>
      <c r="G7" s="30">
        <f>B7+E7+F7</f>
        <v>62959.662624999997</v>
      </c>
      <c r="H7" s="29">
        <f>G7*D20</f>
        <v>12591.932525</v>
      </c>
      <c r="I7" s="30">
        <f>(G7-H7)</f>
        <v>50367.730100000001</v>
      </c>
      <c r="J7" s="30">
        <f>(((I7*D19)*1)+I7)/12</f>
        <v>4360.5862334075</v>
      </c>
      <c r="K7" s="30">
        <f>(((I7*D19)*2)+I7)/24</f>
        <v>2261.9308125741668</v>
      </c>
      <c r="L7" s="30">
        <f>(((I7*D19)*3)+I7)/36</f>
        <v>1562.3790056297223</v>
      </c>
      <c r="M7" s="30">
        <f>(((I7*D19)*4)+I7)/48</f>
        <v>1212.6031021575</v>
      </c>
      <c r="N7" s="30">
        <f>((((I7*D19)*5)+I7)/60)</f>
        <v>1002.7375600741667</v>
      </c>
      <c r="O7" s="118"/>
      <c r="P7" s="2">
        <f>H7+H16</f>
        <v>13120.793691049999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12591.932525</v>
      </c>
      <c r="I8" s="34"/>
      <c r="J8" s="34" t="s">
        <v>15</v>
      </c>
      <c r="K8" s="34">
        <f>(I7*K5+I7)/24</f>
        <v>2098.6554208333332</v>
      </c>
      <c r="L8" s="34">
        <f>(I7*L5+I7)/36</f>
        <v>1446.5332263997223</v>
      </c>
      <c r="M8" s="34">
        <f>(I7*M5+I7)/48</f>
        <v>1120.4721291829167</v>
      </c>
      <c r="N8" s="34">
        <f>(I7*N5+I7)/60</f>
        <v>924.83547085283328</v>
      </c>
      <c r="O8" s="118">
        <v>0</v>
      </c>
      <c r="P8" s="2">
        <f>P7/12</f>
        <v>1093.3994742541665</v>
      </c>
      <c r="T8" s="1">
        <f>25973-12973</f>
        <v>13000</v>
      </c>
    </row>
    <row r="9" spans="1:27" ht="25.5" x14ac:dyDescent="0.35">
      <c r="A9" s="8">
        <f>B8/(100%-A8)</f>
        <v>52375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1959.304700890003</v>
      </c>
      <c r="K9" s="38">
        <f>(K7*24)-I7</f>
        <v>3918.609401780006</v>
      </c>
      <c r="L9" s="38">
        <f>(L7*36)-I7</f>
        <v>5877.9141026700017</v>
      </c>
      <c r="M9" s="38">
        <f>(M7*48)-I7</f>
        <v>7837.2188035599975</v>
      </c>
      <c r="N9" s="38">
        <f>(N7*60)-I7</f>
        <v>9796.5235044500005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1707.4660503900013</v>
      </c>
      <c r="M10" s="41">
        <f>(M8*48)-I7</f>
        <v>3414.9321007800027</v>
      </c>
      <c r="N10" s="41">
        <f>(N8*60)-I7</f>
        <v>5122.3981511699967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11591.932525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1049.3277104166666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1899.6626250000002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4197.3108416666664</v>
      </c>
      <c r="L14" s="44">
        <f>(H8*L12+H8)/12</f>
        <v>1104.4174152135417</v>
      </c>
      <c r="M14" s="44">
        <f>(H8*M12+H8)/24</f>
        <v>590.77150096458331</v>
      </c>
      <c r="N14" s="165">
        <f>(H7*N12+H7)/60</f>
        <v>264.95524688020834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528.86116605000007</v>
      </c>
      <c r="I16" s="33"/>
      <c r="J16" s="44" t="s">
        <v>16</v>
      </c>
      <c r="K16" s="44">
        <f>(K14*3)-H8</f>
        <v>0</v>
      </c>
      <c r="L16" s="44">
        <f>(L14*12)-H8</f>
        <v>661.07645756249985</v>
      </c>
      <c r="M16" s="44">
        <f>(M14*24)-H8</f>
        <v>1586.5834981499993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1517</v>
      </c>
      <c r="B17" s="37"/>
      <c r="C17" s="20"/>
      <c r="D17" s="29">
        <f>SUM(D10:D16)</f>
        <v>18324.662625000001</v>
      </c>
      <c r="E17" s="48"/>
      <c r="F17" s="48"/>
      <c r="G17" s="54"/>
      <c r="H17" s="33">
        <f>+SUM(H12:H16)+(H7)</f>
        <v>14035.793691049999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31.471232876712328</v>
      </c>
      <c r="K19" s="37"/>
      <c r="L19" s="37"/>
      <c r="M19" s="37"/>
      <c r="N19" s="34">
        <f>D7</f>
        <v>43995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57435</v>
      </c>
      <c r="V19" s="157">
        <f>(B7+D10+D11+D12+D13+D16)*1.05</f>
        <v>57435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1593.5090610387501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34.498445273972607</v>
      </c>
      <c r="I24" s="145">
        <f>H7+H12+H16</f>
        <v>13720.793691049999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2107.1549752877086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6AE74A9-62D0-4ACD-95AD-769B7B0DE774}">
      <formula1>"ALAA HAMMAD,KHALED QASSEM,RAMY RAOUF,SIMON LOBO,MHAREN CLEMENTE GARADO"</formula1>
    </dataValidation>
    <dataValidation type="list" allowBlank="1" showInputMessage="1" showErrorMessage="1" sqref="M34" xr:uid="{C93A2F51-17FA-48C2-8390-EEA4A205D2B3}">
      <formula1>"Alaa Hammad,Bachir Ibrahim Mourad,Khaled Qassem,Ramy Raoof,Simon Lobo,Mharen Clemente Garado,Ranjith"</formula1>
    </dataValidation>
    <dataValidation type="list" allowBlank="1" showInputMessage="1" showErrorMessage="1" sqref="B11" xr:uid="{BCB1CD1A-84E3-4E9B-B904-8202C30E903F}">
      <formula1>"FO Ceramic+ Intr&amp;Extr CeramicGold WdwTnt,FO Mirror Camera Sensor"</formula1>
    </dataValidation>
    <dataValidation type="list" allowBlank="1" showInputMessage="1" showErrorMessage="1" sqref="B12" xr:uid="{BAE89F07-7438-4D8E-A2A0-22B7349D9EBD}">
      <formula1>"FO Exterior ceramic All Cars SCOTCHGUARD,FO Mirror Camera Sensor,FO PPF Gold Package "</formula1>
    </dataValidation>
    <dataValidation type="list" allowBlank="1" showInputMessage="1" showErrorMessage="1" sqref="K20" xr:uid="{69867207-097D-4D1B-99DC-E00BC7226D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0ECFB44-7316-476F-9A39-9D5792E6ECCB}">
      <formula1>"RMC-10-40KMS,RMC-10-60KMS,RMC-10-70KMS,RMC-10-100000KMS,RMC-40-70KMS,RMC-40-100000KMS"</formula1>
    </dataValidation>
    <dataValidation type="list" allowBlank="1" showInputMessage="1" showErrorMessage="1" sqref="K24" xr:uid="{13C82101-C97F-4BA4-8BC0-B2400BCCE612}">
      <formula1>"RMC-10-70K,RMC-10-100000K,RMC-40-70K"</formula1>
    </dataValidation>
    <dataValidation type="list" allowBlank="1" showInputMessage="1" showErrorMessage="1" sqref="D5" xr:uid="{5331509D-86A8-46BD-B1CB-8FD0540ED62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CF52EE7-6925-422C-ADA9-D0CBC0E2940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85EC3B1-BD76-4D17-A257-D58A3ED40E63}">
      <formula1>"YES,NO"</formula1>
    </dataValidation>
    <dataValidation type="list" allowBlank="1" showInputMessage="1" showErrorMessage="1" sqref="K21" xr:uid="{54D8FBBC-71B3-464B-BAC2-576EFC960BD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0235-06AD-4957-9EC9-722F3AB9C410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 G09</v>
      </c>
      <c r="D5" s="19" t="s">
        <v>87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6236.6697777908339</v>
      </c>
      <c r="S5" s="151"/>
      <c r="U5" s="151">
        <f>L7+L14</f>
        <v>2574.9042274140975</v>
      </c>
      <c r="V5" s="151">
        <f>M7+M14</f>
        <v>1741.2341087970835</v>
      </c>
      <c r="W5" s="151">
        <f>N7+N14</f>
        <v>1224.0107801918753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2034.5468485252086</v>
      </c>
      <c r="V6" s="170">
        <f>N7+K14</f>
        <v>5020.8656752908337</v>
      </c>
      <c r="W6" s="170" t="e">
        <f>N7+J14</f>
        <v>#VALUE!</v>
      </c>
    </row>
    <row r="7" spans="1:27" ht="26.25" thickBot="1" x14ac:dyDescent="0.4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168">
        <f>B7+C7</f>
        <v>41895</v>
      </c>
      <c r="E7" s="29">
        <f>D17</f>
        <v>18255.205125</v>
      </c>
      <c r="F7" s="29">
        <f>(C7)+(D10+D11+D12+D13+D16)*5/100</f>
        <v>2635</v>
      </c>
      <c r="G7" s="30">
        <f>B7+E7+F7</f>
        <v>60790.205125</v>
      </c>
      <c r="H7" s="29">
        <f>G7*D20</f>
        <v>12158.041025</v>
      </c>
      <c r="I7" s="30">
        <f>(G7-H7)</f>
        <v>48632.164100000002</v>
      </c>
      <c r="J7" s="30">
        <f>(((I7*D19)*1)+I7)/12</f>
        <v>4210.3296069574999</v>
      </c>
      <c r="K7" s="30">
        <f>(((I7*D19)*2)+I7)/24</f>
        <v>2183.9894361241668</v>
      </c>
      <c r="L7" s="30">
        <f>(((I7*D19)*3)+I7)/36</f>
        <v>1508.5427125130557</v>
      </c>
      <c r="M7" s="30">
        <f>(((I7*D19)*4)+I7)/48</f>
        <v>1170.8193507075</v>
      </c>
      <c r="N7" s="30">
        <f>((((I7*D19)*5)+I7)/60)</f>
        <v>968.18533362416679</v>
      </c>
      <c r="O7" s="118"/>
      <c r="P7" s="2">
        <f>H7+H16</f>
        <v>12668.678748050001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39900</v>
      </c>
      <c r="C8" s="32">
        <f>IF(L20="YES",N20,IF(L20="NO",N20))</f>
        <v>39900</v>
      </c>
      <c r="D8" s="29">
        <v>0</v>
      </c>
      <c r="E8" s="33"/>
      <c r="F8" s="188"/>
      <c r="G8" s="189"/>
      <c r="H8" s="110">
        <f>G7*20/100</f>
        <v>12158.041025</v>
      </c>
      <c r="I8" s="34"/>
      <c r="J8" s="34" t="s">
        <v>15</v>
      </c>
      <c r="K8" s="34">
        <f>(I7*K5+I7)/24</f>
        <v>2026.3401708333333</v>
      </c>
      <c r="L8" s="34">
        <f>(I7*L5+I7)/36</f>
        <v>1396.6887350830557</v>
      </c>
      <c r="M8" s="34">
        <f>(I7*M5+I7)/48</f>
        <v>1081.8630172079168</v>
      </c>
      <c r="N8" s="34">
        <f>(I7*N5+I7)/60</f>
        <v>892.96758648283333</v>
      </c>
      <c r="O8" s="118">
        <v>0</v>
      </c>
      <c r="P8" s="2">
        <f>P7/12</f>
        <v>1055.7232290041668</v>
      </c>
      <c r="T8" s="1">
        <f>25973-12973</f>
        <v>13000</v>
      </c>
    </row>
    <row r="9" spans="1:27" ht="25.5" x14ac:dyDescent="0.35">
      <c r="A9" s="8">
        <f>B8/(100%-A8)</f>
        <v>49875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1891.7911834899933</v>
      </c>
      <c r="K9" s="38">
        <f>(K7*24)-I7</f>
        <v>3783.5823669800011</v>
      </c>
      <c r="L9" s="38">
        <f>(L7*36)-I7</f>
        <v>5675.3735504700016</v>
      </c>
      <c r="M9" s="38">
        <f>(M7*48)-I7</f>
        <v>7567.1647339599949</v>
      </c>
      <c r="N9" s="38">
        <f>(N7*60)-I7</f>
        <v>9458.9559174500027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1648.6303629899994</v>
      </c>
      <c r="M10" s="41">
        <f>(M8*48)-I7</f>
        <v>3297.2607259800061</v>
      </c>
      <c r="N10" s="41">
        <f>(N8*60)-I7</f>
        <v>4945.8910889699982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11158.041025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50506.218000000001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1013.1700854166667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1830.2051250000002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4052.6803416666667</v>
      </c>
      <c r="L14" s="44">
        <f>(H8*L12+H8)/12</f>
        <v>1066.3615149010418</v>
      </c>
      <c r="M14" s="44">
        <f>(H8*M12+H8)/24</f>
        <v>570.41475808958342</v>
      </c>
      <c r="N14" s="165">
        <f>(H7*N12+H7)/60</f>
        <v>255.82544656770835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510.63772305000003</v>
      </c>
      <c r="I16" s="33"/>
      <c r="J16" s="44" t="s">
        <v>16</v>
      </c>
      <c r="K16" s="44">
        <f>(K14*3)-H8</f>
        <v>0</v>
      </c>
      <c r="L16" s="44">
        <f>(L14*12)-H8</f>
        <v>638.29715381250026</v>
      </c>
      <c r="M16" s="44">
        <f>(M14*24)-H8</f>
        <v>1531.9131691500024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1457</v>
      </c>
      <c r="B17" s="37"/>
      <c r="C17" s="20"/>
      <c r="D17" s="29">
        <f>SUM(D10:D16)</f>
        <v>18255.205125</v>
      </c>
      <c r="E17" s="48"/>
      <c r="F17" s="48"/>
      <c r="G17" s="54"/>
      <c r="H17" s="33">
        <f>+SUM(H12:H16)+(H7)</f>
        <v>13583.678748050001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1256.8499999999999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30.32054794520548</v>
      </c>
      <c r="K19" s="37"/>
      <c r="L19" s="37"/>
      <c r="M19" s="37"/>
      <c r="N19" s="34">
        <f>D7</f>
        <v>41895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55335</v>
      </c>
      <c r="V19" s="157">
        <f>(B7+D10+D11+D12+D13+D16)*1.05</f>
        <v>55335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39900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1256.8499999999999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1538.6000917137503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33.309701438356164</v>
      </c>
      <c r="I24" s="145">
        <f>H7+H12+H16</f>
        <v>13268.678748050001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2034.5468485252086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9C0FC4F-4FBC-472A-B76C-2C20858615CA}">
      <formula1>"ALAA HAMMAD,KHALED QASSEM,RAMY RAOUF,SIMON LOBO,MHAREN CLEMENTE GARADO"</formula1>
    </dataValidation>
    <dataValidation type="list" allowBlank="1" showInputMessage="1" showErrorMessage="1" sqref="M34" xr:uid="{52ABC745-3C6F-4068-964F-581D5217BD22}">
      <formula1>"Alaa Hammad,Bachir Ibrahim Mourad,Khaled Qassem,Ramy Raoof,Simon Lobo,Mharen Clemente Garado,Ranjith"</formula1>
    </dataValidation>
    <dataValidation type="list" allowBlank="1" showInputMessage="1" showErrorMessage="1" sqref="B11" xr:uid="{23F9A872-295C-4D33-A7AA-81F56A4CDCA3}">
      <formula1>"FO Ceramic+ Intr&amp;Extr CeramicGold WdwTnt,FO Mirror Camera Sensor"</formula1>
    </dataValidation>
    <dataValidation type="list" allowBlank="1" showInputMessage="1" showErrorMessage="1" sqref="B12" xr:uid="{4739D5EA-43DE-47DC-A793-F845241D8F3C}">
      <formula1>"FO Exterior ceramic All Cars SCOTCHGUARD,FO Mirror Camera Sensor,FO PPF Gold Package "</formula1>
    </dataValidation>
    <dataValidation type="list" allowBlank="1" showInputMessage="1" showErrorMessage="1" sqref="K20" xr:uid="{CCDA8FF7-C8F5-4AD4-9D88-E6C39249D16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F536119-20D9-489E-9A87-BBFA5E93D69A}">
      <formula1>"RMC-10-40KMS,RMC-10-60KMS,RMC-10-70KMS,RMC-10-100000KMS,RMC-40-70KMS,RMC-40-100000KMS"</formula1>
    </dataValidation>
    <dataValidation type="list" allowBlank="1" showInputMessage="1" showErrorMessage="1" sqref="K24" xr:uid="{81B268C7-D2A5-40A1-8A08-1E1D84F82222}">
      <formula1>"RMC-10-70K,RMC-10-100000K,RMC-40-70K"</formula1>
    </dataValidation>
    <dataValidation type="list" allowBlank="1" showInputMessage="1" showErrorMessage="1" sqref="D5" xr:uid="{ACE809D7-3578-4F95-945D-33D118B28FB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D001340-2B35-46A5-AC0E-B14CA2EAFD6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1115AE48-5395-4D25-BA15-D167A8887C65}">
      <formula1>"YES,NO"</formula1>
    </dataValidation>
    <dataValidation type="list" allowBlank="1" showInputMessage="1" showErrorMessage="1" sqref="K21" xr:uid="{95CAA853-21F6-4348-AB22-4464BD06403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0D90-0B3D-4146-B23F-74F32972C66B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P61</v>
      </c>
      <c r="D5" s="19" t="s">
        <v>117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15844.891958804998</v>
      </c>
      <c r="S5" s="87"/>
      <c r="U5" s="87">
        <f>L7+L14</f>
        <v>6456.3942942945832</v>
      </c>
      <c r="V5" s="87">
        <f>M7+M14</f>
        <v>4318.9254001424997</v>
      </c>
      <c r="W5" s="87">
        <f>N7+N14</f>
        <v>2992.8028109612496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5070.9577009612494</v>
      </c>
      <c r="V6" s="96">
        <f>N7+K14</f>
        <v>12727.659623804999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29">
        <f>B7+C7</f>
        <v>132195</v>
      </c>
      <c r="E7" s="29">
        <f>D17</f>
        <v>22996.616750000001</v>
      </c>
      <c r="F7" s="29">
        <f>(C7)+(D10+D11+D12+D13+D16)*5/100</f>
        <v>6965</v>
      </c>
      <c r="G7" s="30">
        <f>B7+E7+F7</f>
        <v>155861.61674999999</v>
      </c>
      <c r="H7" s="29">
        <f>G7*D20</f>
        <v>31172.323349999999</v>
      </c>
      <c r="I7" s="29">
        <f>(G7-H7)</f>
        <v>124689.2934</v>
      </c>
      <c r="J7" s="30">
        <f>(((I7*D19)*1)+I7)/12</f>
        <v>10649.504733804999</v>
      </c>
      <c r="K7" s="30">
        <f>(((I7*D19)*2)+I7)/24</f>
        <v>5454.1175088049995</v>
      </c>
      <c r="L7" s="30">
        <f>(((I7*D19)*3)+I7)/36</f>
        <v>3722.3217671383336</v>
      </c>
      <c r="M7" s="30">
        <f>(((I7*D19)*4)+I7)/48</f>
        <v>2856.4238963049997</v>
      </c>
      <c r="N7" s="30">
        <f>((((I7*D19)*5)+I7)/60)</f>
        <v>2336.8851738049998</v>
      </c>
      <c r="O7" s="92"/>
      <c r="P7" s="83">
        <f>H7+H16</f>
        <v>32481.560930699998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125900</v>
      </c>
      <c r="C8" s="32">
        <f>IF(L20="YES",N20,IF(L20="NO",N20))</f>
        <v>125900</v>
      </c>
      <c r="D8" s="29">
        <v>0</v>
      </c>
      <c r="E8" s="33"/>
      <c r="F8" s="188"/>
      <c r="G8" s="189"/>
      <c r="H8" s="110">
        <f>G7*20/100</f>
        <v>31172.323349999999</v>
      </c>
      <c r="I8" s="21"/>
      <c r="J8" s="34" t="s">
        <v>15</v>
      </c>
      <c r="K8" s="23">
        <f>(J7*K5+J7)/24</f>
        <v>443.72936390854164</v>
      </c>
      <c r="L8" s="23">
        <f>(J7*L5+J7)/36</f>
        <v>305.84785956336077</v>
      </c>
      <c r="M8" s="23">
        <f>(J7*M5+J7)/48</f>
        <v>236.90710739077039</v>
      </c>
      <c r="N8" s="23">
        <f>(J7*N5+J7)/60</f>
        <v>195.54265608721613</v>
      </c>
      <c r="O8" s="92"/>
      <c r="P8" s="83">
        <f>P7/12</f>
        <v>2706.7967442249997</v>
      </c>
      <c r="T8" s="86">
        <f>25973-12973</f>
        <v>13000</v>
      </c>
    </row>
    <row r="9" spans="1:28" ht="25.5" x14ac:dyDescent="0.35">
      <c r="A9" s="8">
        <f>B8/(100%-A8)</f>
        <v>157375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3104.7634056599927</v>
      </c>
      <c r="K9" s="38">
        <f>(K7*24)-I7</f>
        <v>6209.5268113199854</v>
      </c>
      <c r="L9" s="38">
        <f>(L7*36)-I7</f>
        <v>9314.2902169800072</v>
      </c>
      <c r="M9" s="38">
        <f>(M7*48)-I7</f>
        <v>12419.05362264</v>
      </c>
      <c r="N9" s="38">
        <f>(N7*60)-I7</f>
        <v>15523.817028299993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1083.0546314279691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4758.9018750000005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30172.323349999999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159366.73799999998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2597.6936124999997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4837.7148750000006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10390.774449999999</v>
      </c>
      <c r="L14" s="44">
        <f>(H8*L12+H8)/12</f>
        <v>2734.0725271562496</v>
      </c>
      <c r="M14" s="44">
        <f>(H8*M12+H8)/24</f>
        <v>1462.5015038374997</v>
      </c>
      <c r="N14" s="52">
        <f>(H7*N12+H7)/60</f>
        <v>655.91763715624995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3907</v>
      </c>
      <c r="B15" s="37" t="s">
        <v>27</v>
      </c>
      <c r="C15" s="20" t="s">
        <v>19</v>
      </c>
      <c r="D15" s="29">
        <f>IF(C15="YES",O10,IF(C15="NO",0))</f>
        <v>4758.9018750000005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1309.2375807000001</v>
      </c>
      <c r="I16" s="21"/>
      <c r="J16" s="44" t="s">
        <v>16</v>
      </c>
      <c r="K16" s="44">
        <f>(K14*3)-H8</f>
        <v>0</v>
      </c>
      <c r="L16" s="44">
        <f>(L14*12)-H8</f>
        <v>1636.5469758749969</v>
      </c>
      <c r="M16" s="44">
        <f>(M14*24)-H8</f>
        <v>3927.7127420999968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4037</v>
      </c>
      <c r="B17" s="37"/>
      <c r="C17" s="20"/>
      <c r="D17" s="29">
        <f>SUM(D10:D16)</f>
        <v>22996.616750000001</v>
      </c>
      <c r="E17" s="33"/>
      <c r="F17" s="33"/>
      <c r="G17" s="33"/>
      <c r="H17" s="33">
        <f>H7+H12+H15+H16</f>
        <v>33081.560930699998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3965.85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85.403625616438347</v>
      </c>
      <c r="K19" s="21"/>
      <c r="L19" s="21"/>
      <c r="M19" s="21"/>
      <c r="N19" s="23">
        <f>D7</f>
        <v>132195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146265</v>
      </c>
      <c r="V19" s="102">
        <f>(B7+D10+D11+D12+D13+D16)*1.05</f>
        <v>146265</v>
      </c>
      <c r="X19" s="87">
        <f>G7*3.15*1.05/100</f>
        <v>5155.1229740062499</v>
      </c>
      <c r="Y19" s="87">
        <f>G7*3/100+510*1.05</f>
        <v>5211.3485025</v>
      </c>
      <c r="Z19" s="87">
        <f>Y19+X19</f>
        <v>10366.471476506249</v>
      </c>
      <c r="AA19" s="87">
        <f>(Z19)-(D14+D15)</f>
        <v>769.85472650624797</v>
      </c>
      <c r="AB19" s="87">
        <f>AA19*1.25</f>
        <v>962.31840813280996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125900</v>
      </c>
      <c r="O20" s="92"/>
      <c r="P20" s="99"/>
      <c r="T20" s="86">
        <f>1992+1084</f>
        <v>3076</v>
      </c>
      <c r="V20" s="83"/>
      <c r="X20" s="87">
        <f>X19-D14</f>
        <v>317.40809900624936</v>
      </c>
      <c r="Y20" s="87">
        <f>Y19-D15</f>
        <v>452.44662749999952</v>
      </c>
      <c r="AA20" s="87">
        <f>X20+Y20</f>
        <v>769.85472650624888</v>
      </c>
    </row>
    <row r="21" spans="1:28" ht="25.5" x14ac:dyDescent="0.35">
      <c r="A21" s="13">
        <f>A19+A20</f>
        <v>3965.85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12727.659623804999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85.403625616438347</v>
      </c>
      <c r="I24" s="85">
        <f>H7/365</f>
        <v>85.403625616438347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93516.970049999989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683E5F1-7C8D-496A-ADF7-99F4D73E7513}">
      <formula1>"ADCB,ADCB PAY IN 2027,Ajman Bank,ADIB,DIB EXPAT,DIB LOCAL GVH,Emirates NBD,EIB,FAB,RAK,SIB STL,SIB NON STL"</formula1>
    </dataValidation>
    <dataValidation type="list" allowBlank="1" showInputMessage="1" showErrorMessage="1" sqref="D5" xr:uid="{8DE30BDE-C4F3-4276-83E3-9C64B85BC18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9668210-272F-4A14-A4C7-D758C467327A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C384D8C-33FF-49DE-A838-BC9F111F1ED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3DD1070F-AA4D-419A-A73A-F547131DA47C}">
      <formula1>"YES,NO"</formula1>
    </dataValidation>
    <dataValidation type="list" allowBlank="1" showInputMessage="1" showErrorMessage="1" sqref="K24" xr:uid="{9225199E-F41B-49DF-BFD4-F0E59B102551}">
      <formula1>"RMC-10-70K,RMC-10-100000K,RMC-40-70K"</formula1>
    </dataValidation>
    <dataValidation type="list" allowBlank="1" showInputMessage="1" showErrorMessage="1" sqref="B16" xr:uid="{CAAC5B43-8EA9-42C1-8561-82A208CDEF68}">
      <formula1>"RMC-10-40KMS,RMC-10-60KMS,RMC-10-70KMS,RMC-10-100000KMS,RMC-40-70KMS,RMC-40-100000KMS"</formula1>
    </dataValidation>
    <dataValidation type="list" allowBlank="1" showInputMessage="1" showErrorMessage="1" sqref="B12" xr:uid="{4D9D8EB4-5821-4153-89C3-0D0C7C6232D4}">
      <formula1>"FO Exterior ceramic All Cars SCOTCHGUARD,FO Mirror Camera Sensor,FO PPF Gold Package "</formula1>
    </dataValidation>
    <dataValidation type="list" allowBlank="1" showInputMessage="1" showErrorMessage="1" sqref="B11" xr:uid="{FE2009B7-DE73-46A6-8FD8-402C9C0E55AC}">
      <formula1>"FO Ceramic+ Intr&amp;Extr CeramicGold WdwTnt,FO Mirror Camera Sensor"</formula1>
    </dataValidation>
    <dataValidation type="list" allowBlank="1" showInputMessage="1" showErrorMessage="1" sqref="M34" xr:uid="{FAD8945A-9867-43D9-B29C-155847822EF2}">
      <formula1>"Alaa,Bachir ,Khaled,Ramy,Simon,Mharen,Ranjith,Jihan,Praveen,Sujith,Mossallem"</formula1>
    </dataValidation>
    <dataValidation type="list" allowBlank="1" showInputMessage="1" showErrorMessage="1" sqref="H34" xr:uid="{2D625CDD-DD51-44BF-A194-5EE437F16AC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9DCA-DE8E-4585-9389-AB0AF4F6C617}">
  <sheetPr>
    <pageSetUpPr fitToPage="1"/>
  </sheetPr>
  <dimension ref="A1:AB54"/>
  <sheetViews>
    <sheetView topLeftCell="B1" zoomScaleNormal="100" workbookViewId="0">
      <selection activeCell="D12" sqref="D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G61</v>
      </c>
      <c r="D5" s="19" t="s">
        <v>116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16071.603416505002</v>
      </c>
      <c r="S5" s="87"/>
      <c r="U5" s="87">
        <f>L7+L14</f>
        <v>6548.7735017862506</v>
      </c>
      <c r="V5" s="87">
        <f>M7+M14</f>
        <v>4380.7213325925004</v>
      </c>
      <c r="W5" s="87">
        <f>N7+N14</f>
        <v>3035.6243517862504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5143.5138417862509</v>
      </c>
      <c r="V6" s="96">
        <f>N7+K14</f>
        <v>12909.769181505002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29">
        <f>B7+C7</f>
        <v>134295</v>
      </c>
      <c r="E7" s="29">
        <f>D17</f>
        <v>23126.711750000002</v>
      </c>
      <c r="F7" s="29">
        <f>(C7)+(D10+D11+D12+D13+D16)*5/100</f>
        <v>7065</v>
      </c>
      <c r="G7" s="30">
        <f>B7+E7+F7</f>
        <v>158091.71175000002</v>
      </c>
      <c r="H7" s="29">
        <f>G7*D20</f>
        <v>31618.342350000006</v>
      </c>
      <c r="I7" s="29">
        <f>(G7-H7)</f>
        <v>126473.36940000001</v>
      </c>
      <c r="J7" s="30">
        <f>(((I7*D19)*1)+I7)/12</f>
        <v>10801.879691505001</v>
      </c>
      <c r="K7" s="30">
        <f>(((I7*D19)*2)+I7)/24</f>
        <v>5532.1559665050008</v>
      </c>
      <c r="L7" s="30">
        <f>(((I7*D19)*3)+I7)/36</f>
        <v>3775.5813915050003</v>
      </c>
      <c r="M7" s="30">
        <f>(((I7*D19)*4)+I7)/48</f>
        <v>2897.2941040050005</v>
      </c>
      <c r="N7" s="30">
        <f>((((I7*D19)*5)+I7)/60)</f>
        <v>2370.3217315050001</v>
      </c>
      <c r="O7" s="92"/>
      <c r="P7" s="83">
        <f>H7+H16</f>
        <v>32946.31272870001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127900</v>
      </c>
      <c r="C8" s="32">
        <f>IF(L20="YES",N20,IF(L20="NO",N20))</f>
        <v>127900</v>
      </c>
      <c r="D8" s="29">
        <v>0</v>
      </c>
      <c r="E8" s="33"/>
      <c r="F8" s="188"/>
      <c r="G8" s="189"/>
      <c r="H8" s="110">
        <f>G7*20/100</f>
        <v>31618.342350000003</v>
      </c>
      <c r="I8" s="21"/>
      <c r="J8" s="34" t="s">
        <v>15</v>
      </c>
      <c r="K8" s="23">
        <f>(J7*K5+J7)/24</f>
        <v>450.07832047937501</v>
      </c>
      <c r="L8" s="23">
        <f>(J7*L5+J7)/36</f>
        <v>310.22398369575058</v>
      </c>
      <c r="M8" s="23">
        <f>(J7*M5+J7)/48</f>
        <v>240.2968153039383</v>
      </c>
      <c r="N8" s="23">
        <f>(J7*N5+J7)/60</f>
        <v>198.340514268851</v>
      </c>
      <c r="O8" s="92"/>
      <c r="P8" s="83">
        <f>P7/12</f>
        <v>2745.5260607250007</v>
      </c>
      <c r="T8" s="86">
        <f>25973-12973</f>
        <v>13000</v>
      </c>
    </row>
    <row r="9" spans="1:28" ht="25.5" x14ac:dyDescent="0.35">
      <c r="A9" s="8">
        <f>B8/(100%-A8)</f>
        <v>159875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3149.1868980599975</v>
      </c>
      <c r="K9" s="38">
        <f>(K7*24)-I7</f>
        <v>6298.3737961200095</v>
      </c>
      <c r="L9" s="38">
        <f>(L7*36)-I7</f>
        <v>9447.560694180007</v>
      </c>
      <c r="M9" s="38">
        <f>(M7*48)-I7</f>
        <v>12596.747592240004</v>
      </c>
      <c r="N9" s="38">
        <f>(N7*60)-I7</f>
        <v>15745.934490300002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1098.5511646260584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4819.5393750000003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30618.342350000003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161898.378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2634.8618625000004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4907.1723750000001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10539.447450000001</v>
      </c>
      <c r="L14" s="44">
        <f>(H8*L12+H8)/12</f>
        <v>2773.1921102812503</v>
      </c>
      <c r="M14" s="44">
        <f>(H8*M12+H8)/24</f>
        <v>1483.4272285875002</v>
      </c>
      <c r="N14" s="52">
        <f>(H7*N12+H7)/60</f>
        <v>665.30262028125014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3967</v>
      </c>
      <c r="B15" s="37" t="s">
        <v>27</v>
      </c>
      <c r="C15" s="20" t="s">
        <v>19</v>
      </c>
      <c r="D15" s="29">
        <f>IF(C15="YES",O10,IF(C15="NO",0))</f>
        <v>4819.5393750000003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1327.9703787000001</v>
      </c>
      <c r="I16" s="21"/>
      <c r="J16" s="44" t="s">
        <v>16</v>
      </c>
      <c r="K16" s="44">
        <f>(K14*3)-H8</f>
        <v>0</v>
      </c>
      <c r="L16" s="44">
        <f>(L14*12)-H8</f>
        <v>1659.9629733750007</v>
      </c>
      <c r="M16" s="44">
        <f>(M14*24)-H8</f>
        <v>3983.9111360999996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4097</v>
      </c>
      <c r="B17" s="37"/>
      <c r="C17" s="20"/>
      <c r="D17" s="29">
        <f>SUM(D10:D16)</f>
        <v>23126.711750000002</v>
      </c>
      <c r="E17" s="33"/>
      <c r="F17" s="33"/>
      <c r="G17" s="33"/>
      <c r="H17" s="33">
        <f>H7+H12+H15+H16</f>
        <v>33546.31272870001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4028.85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86.625595479452073</v>
      </c>
      <c r="K19" s="21"/>
      <c r="L19" s="21"/>
      <c r="M19" s="21"/>
      <c r="N19" s="23">
        <f>D7</f>
        <v>134295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148365</v>
      </c>
      <c r="V19" s="102">
        <f>(B7+D10+D11+D12+D13+D16)*1.05</f>
        <v>148365</v>
      </c>
      <c r="X19" s="87">
        <f>G7*3.15*1.05/100</f>
        <v>5228.8833661312501</v>
      </c>
      <c r="Y19" s="87">
        <f>G7*3/100+510*1.05</f>
        <v>5278.2513525000004</v>
      </c>
      <c r="Z19" s="87">
        <f>Y19+X19</f>
        <v>10507.134718631251</v>
      </c>
      <c r="AA19" s="87">
        <f>(Z19)-(D14+D15)</f>
        <v>780.42296863125011</v>
      </c>
      <c r="AB19" s="87">
        <f>AA19*1.25</f>
        <v>975.52871078906264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127900</v>
      </c>
      <c r="O20" s="92"/>
      <c r="P20" s="99"/>
      <c r="T20" s="86">
        <f>1992+1084</f>
        <v>3076</v>
      </c>
      <c r="V20" s="83"/>
      <c r="X20" s="87">
        <f>X19-D14</f>
        <v>321.71099113125001</v>
      </c>
      <c r="Y20" s="87">
        <f>Y19-D15</f>
        <v>458.7119775000001</v>
      </c>
      <c r="AA20" s="87">
        <f>X20+Y20</f>
        <v>780.42296863125011</v>
      </c>
    </row>
    <row r="21" spans="1:28" ht="25.5" x14ac:dyDescent="0.35">
      <c r="A21" s="13">
        <f>A19+A20</f>
        <v>4028.85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12909.769181505002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86.625595479452073</v>
      </c>
      <c r="I24" s="85">
        <f>H7/365</f>
        <v>86.625595479452073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94855.027050000019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9A3A968-4A36-4A88-B186-DF9110935EB6}">
      <formula1>"ADCB,ADCB PAY IN 2027,Ajman Bank,ADIB,DIB EXPAT,DIB LOCAL GVH,Emirates NBD,EIB,FAB,RAK,SIB STL,SIB NON STL"</formula1>
    </dataValidation>
    <dataValidation type="list" allowBlank="1" showInputMessage="1" showErrorMessage="1" sqref="D5" xr:uid="{B3DC00EA-B78A-4842-80F2-B72133ED23B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7C538F3-8E5A-4884-94F4-DD239EEE26C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6328DD-9165-459B-9025-BB78FCF6492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5EF84BC-2F27-438A-B4E6-8DAE36DFA077}">
      <formula1>"YES,NO"</formula1>
    </dataValidation>
    <dataValidation type="list" allowBlank="1" showInputMessage="1" showErrorMessage="1" sqref="K24" xr:uid="{985FE942-1FB4-405A-9051-540CC0349744}">
      <formula1>"RMC-10-70K,RMC-10-100000K,RMC-40-70K"</formula1>
    </dataValidation>
    <dataValidation type="list" allowBlank="1" showInputMessage="1" showErrorMessage="1" sqref="B16" xr:uid="{22E46612-49B9-4C43-BAE5-451DC7E4A177}">
      <formula1>"RMC-10-40KMS,RMC-10-60KMS,RMC-10-70KMS,RMC-10-100000KMS,RMC-40-70KMS,RMC-40-100000KMS"</formula1>
    </dataValidation>
    <dataValidation type="list" allowBlank="1" showInputMessage="1" showErrorMessage="1" sqref="B12" xr:uid="{C1E79F00-CAB8-47C2-BE7B-179B66D7A167}">
      <formula1>"FO Exterior ceramic All Cars SCOTCHGUARD,FO Mirror Camera Sensor,FO PPF Gold Package "</formula1>
    </dataValidation>
    <dataValidation type="list" allowBlank="1" showInputMessage="1" showErrorMessage="1" sqref="B11" xr:uid="{7E6C600D-85F3-4774-930C-A275E5DC9575}">
      <formula1>"FO Ceramic+ Intr&amp;Extr CeramicGold WdwTnt,FO Mirror Camera Sensor"</formula1>
    </dataValidation>
    <dataValidation type="list" allowBlank="1" showInputMessage="1" showErrorMessage="1" sqref="M34" xr:uid="{2ED1C730-C3B5-48C4-83B5-B65DC03D5C02}">
      <formula1>"Alaa,Bachir ,Khaled,Ramy,Simon,Mharen,Ranjith,Jihan,Praveen,Sujith,Mossallem"</formula1>
    </dataValidation>
    <dataValidation type="list" allowBlank="1" showInputMessage="1" showErrorMessage="1" sqref="H34" xr:uid="{3B2A4928-C7CF-4E0B-8B6B-A30E0D7E19C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16F3-649A-473F-8D25-924F6E1C25F1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 P</v>
      </c>
      <c r="D5" s="19" t="s">
        <v>115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14144.556026055001</v>
      </c>
      <c r="S5" s="87"/>
      <c r="U5" s="87">
        <f>L7+L14</f>
        <v>5763.5502381070828</v>
      </c>
      <c r="V5" s="87">
        <f>M7+M14</f>
        <v>3855.4559067675</v>
      </c>
      <c r="W5" s="87">
        <f>N7+N14</f>
        <v>2671.64125477375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4526.7866447737497</v>
      </c>
      <c r="V6" s="96">
        <f>N7+K14</f>
        <v>11361.837941055001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110900</v>
      </c>
      <c r="B7" s="29">
        <f>IF(L20="YES",C8*1,IF(L20="NO",B8*1))</f>
        <v>110900</v>
      </c>
      <c r="C7" s="29">
        <f>B7*5/100</f>
        <v>5545</v>
      </c>
      <c r="D7" s="29">
        <f>B7+C7</f>
        <v>116445</v>
      </c>
      <c r="E7" s="29">
        <f>D17</f>
        <v>22020.90425</v>
      </c>
      <c r="F7" s="29">
        <f>(C7)+(D10+D11+D12+D13+D16)*5/100</f>
        <v>6215</v>
      </c>
      <c r="G7" s="30">
        <f>B7+E7+F7</f>
        <v>139135.90424999999</v>
      </c>
      <c r="H7" s="29">
        <f>G7*D20</f>
        <v>27827.180850000001</v>
      </c>
      <c r="I7" s="29">
        <f>(G7-H7)</f>
        <v>111308.72339999999</v>
      </c>
      <c r="J7" s="30">
        <f>(((I7*D19)*1)+I7)/12</f>
        <v>9506.6925510549991</v>
      </c>
      <c r="K7" s="30">
        <f>(((I7*D19)*2)+I7)/24</f>
        <v>4868.8290760549999</v>
      </c>
      <c r="L7" s="30">
        <f>(((I7*D19)*3)+I7)/36</f>
        <v>3322.874584388333</v>
      </c>
      <c r="M7" s="30">
        <f>(((I7*D19)*4)+I7)/48</f>
        <v>2549.8973385549998</v>
      </c>
      <c r="N7" s="30">
        <f>((((I7*D19)*5)+I7)/60)</f>
        <v>2086.1109910549999</v>
      </c>
      <c r="O7" s="92"/>
      <c r="P7" s="83">
        <f>H7+H16</f>
        <v>28995.922445700002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110900</v>
      </c>
      <c r="C8" s="32">
        <f>IF(L20="YES",N20,IF(L20="NO",N20))</f>
        <v>110900</v>
      </c>
      <c r="D8" s="29">
        <v>0</v>
      </c>
      <c r="E8" s="33"/>
      <c r="F8" s="188"/>
      <c r="G8" s="189"/>
      <c r="H8" s="110">
        <f>G7*20/100</f>
        <v>27827.180850000001</v>
      </c>
      <c r="I8" s="21"/>
      <c r="J8" s="34" t="s">
        <v>15</v>
      </c>
      <c r="K8" s="23">
        <f>(J7*K5+J7)/24</f>
        <v>396.11218962729163</v>
      </c>
      <c r="L8" s="23">
        <f>(J7*L5+J7)/36</f>
        <v>273.02692857043786</v>
      </c>
      <c r="M8" s="23">
        <f>(J7*M5+J7)/48</f>
        <v>211.48429804201101</v>
      </c>
      <c r="N8" s="23">
        <f>(J7*N5+J7)/60</f>
        <v>174.55871972495487</v>
      </c>
      <c r="O8" s="92"/>
      <c r="P8" s="83">
        <f>P7/12</f>
        <v>2416.3268704750003</v>
      </c>
      <c r="T8" s="86">
        <f>25973-12973</f>
        <v>13000</v>
      </c>
    </row>
    <row r="9" spans="1:28" ht="25.5" x14ac:dyDescent="0.35">
      <c r="A9" s="8">
        <f>B8/(100%-A8)</f>
        <v>138625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2771.5872126600007</v>
      </c>
      <c r="K9" s="38">
        <f>(K7*24)-I7</f>
        <v>5543.1744253200013</v>
      </c>
      <c r="L9" s="38">
        <f>(L7*36)-I7</f>
        <v>8314.761637980002</v>
      </c>
      <c r="M9" s="38">
        <f>(M7*48)-I7</f>
        <v>11086.348850640003</v>
      </c>
      <c r="N9" s="38">
        <f>(N7*60)-I7</f>
        <v>13857.936063300003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966.83063244229379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4304.1206250000005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26827.180850000001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140379.43799999999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2318.9317375000001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4316.783625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9275.7269500000002</v>
      </c>
      <c r="L14" s="44">
        <f>(H8*L12+H8)/12</f>
        <v>2440.6756537187498</v>
      </c>
      <c r="M14" s="44">
        <f>(H8*M12+H8)/24</f>
        <v>1305.5585682124999</v>
      </c>
      <c r="N14" s="52">
        <f>(H7*N12+H7)/60</f>
        <v>585.53026371875001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3457</v>
      </c>
      <c r="B15" s="37" t="s">
        <v>27</v>
      </c>
      <c r="C15" s="20" t="s">
        <v>19</v>
      </c>
      <c r="D15" s="29">
        <f>IF(C15="YES",O10,IF(C15="NO",0))</f>
        <v>4304.1206250000005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1168.7415956999998</v>
      </c>
      <c r="I16" s="21"/>
      <c r="J16" s="44" t="s">
        <v>16</v>
      </c>
      <c r="K16" s="44">
        <f>(K14*3)-H8</f>
        <v>0</v>
      </c>
      <c r="L16" s="44">
        <f>(L14*12)-H8</f>
        <v>1460.9269946249951</v>
      </c>
      <c r="M16" s="44">
        <f>(M14*24)-H8</f>
        <v>3506.2247870999963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3587</v>
      </c>
      <c r="B17" s="37"/>
      <c r="C17" s="20"/>
      <c r="D17" s="29">
        <f>SUM(D10:D16)</f>
        <v>22020.90425</v>
      </c>
      <c r="E17" s="33"/>
      <c r="F17" s="33"/>
      <c r="G17" s="33"/>
      <c r="H17" s="33">
        <f>H7+H12+H15+H16</f>
        <v>29595.922445700002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3493.35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76.238851643835616</v>
      </c>
      <c r="K19" s="21"/>
      <c r="L19" s="21"/>
      <c r="M19" s="21"/>
      <c r="N19" s="23">
        <f>D7</f>
        <v>116445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130515</v>
      </c>
      <c r="V19" s="102">
        <f>(B7+D10+D11+D12+D13+D16)*1.05</f>
        <v>130515</v>
      </c>
      <c r="X19" s="87">
        <f>G7*3.15*1.05/100</f>
        <v>4601.9200330687499</v>
      </c>
      <c r="Y19" s="87">
        <f>G7*3/100+510*1.05</f>
        <v>4709.5771274999997</v>
      </c>
      <c r="Z19" s="87">
        <f>Y19+X19</f>
        <v>9311.4971605687497</v>
      </c>
      <c r="AA19" s="87">
        <f>(Z19)-(D14+D15)</f>
        <v>690.59291056875009</v>
      </c>
      <c r="AB19" s="87">
        <f>AA19*1.25</f>
        <v>863.24113821093761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110900</v>
      </c>
      <c r="O20" s="92"/>
      <c r="P20" s="99"/>
      <c r="T20" s="86">
        <f>1992+1084</f>
        <v>3076</v>
      </c>
      <c r="V20" s="83"/>
      <c r="X20" s="87">
        <f>X19-D14</f>
        <v>285.13640806874992</v>
      </c>
      <c r="Y20" s="87">
        <f>Y19-D15</f>
        <v>405.45650249999926</v>
      </c>
      <c r="AA20" s="87">
        <f>X20+Y20</f>
        <v>690.59291056874918</v>
      </c>
    </row>
    <row r="21" spans="1:28" ht="25.5" x14ac:dyDescent="0.35">
      <c r="A21" s="13">
        <f>A19+A20</f>
        <v>3493.35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11361.837941055001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76.238851643835616</v>
      </c>
      <c r="I24" s="85">
        <f>H7/365</f>
        <v>76.238851643835616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83481.542549999998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A34869B-1098-490D-81CC-4EC4F53DF94B}">
      <formula1>"ADCB,ADCB PAY IN 2027,Ajman Bank,ADIB,DIB EXPAT,DIB LOCAL GVH,Emirates NBD,EIB,FAB,RAK,SIB STL,SIB NON STL"</formula1>
    </dataValidation>
    <dataValidation type="list" allowBlank="1" showInputMessage="1" showErrorMessage="1" sqref="D5" xr:uid="{748B771D-4F2F-4D4B-99D3-695A4CCEBE1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F31A89A-F5F8-4E80-8787-F978BC8D3DC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D7AAB91-26C7-4EDF-8F9C-DFAF2CA17D48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EC8E522-FE7B-494F-82AC-E9620E1C48F6}">
      <formula1>"YES,NO"</formula1>
    </dataValidation>
    <dataValidation type="list" allowBlank="1" showInputMessage="1" showErrorMessage="1" sqref="K24" xr:uid="{D67D1BD8-0DB4-4A72-81CD-B99B7AFA6217}">
      <formula1>"RMC-10-70K,RMC-10-100000K,RMC-40-70K"</formula1>
    </dataValidation>
    <dataValidation type="list" allowBlank="1" showInputMessage="1" showErrorMessage="1" sqref="B16" xr:uid="{DA6E7E9A-61D7-43DC-9B8D-47566103AE49}">
      <formula1>"RMC-10-40KMS,RMC-10-60KMS,RMC-10-70KMS,RMC-10-100000KMS,RMC-40-70KMS,RMC-40-100000KMS"</formula1>
    </dataValidation>
    <dataValidation type="list" allowBlank="1" showInputMessage="1" showErrorMessage="1" sqref="B12" xr:uid="{E8369604-F826-48F6-9486-9D61A10F270C}">
      <formula1>"FO Exterior ceramic All Cars SCOTCHGUARD,FO Mirror Camera Sensor,FO PPF Gold Package "</formula1>
    </dataValidation>
    <dataValidation type="list" allowBlank="1" showInputMessage="1" showErrorMessage="1" sqref="B11" xr:uid="{70573CF5-6C26-4966-A91F-E36909B7AC52}">
      <formula1>"FO Ceramic+ Intr&amp;Extr CeramicGold WdwTnt,FO Mirror Camera Sensor"</formula1>
    </dataValidation>
    <dataValidation type="list" allowBlank="1" showInputMessage="1" showErrorMessage="1" sqref="M34" xr:uid="{FCA8F928-6FB9-429E-BDC4-F031414167C2}">
      <formula1>"Alaa,Bachir ,Khaled,Ramy,Simon,Mharen,Ranjith,Jihan,Praveen,Sujith,Mossallem"</formula1>
    </dataValidation>
    <dataValidation type="list" allowBlank="1" showInputMessage="1" showErrorMessage="1" sqref="H34" xr:uid="{33123EFF-869B-4F68-A834-ADE25050786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A02A-41D1-4598-8999-5626BF764A9B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</v>
      </c>
      <c r="D5" s="19" t="s">
        <v>114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14371.267483754998</v>
      </c>
      <c r="S5" s="87"/>
      <c r="U5" s="87">
        <f>L7+L14</f>
        <v>5855.9294455987492</v>
      </c>
      <c r="V5" s="87">
        <f>M7+M14</f>
        <v>3917.2518392174998</v>
      </c>
      <c r="W5" s="87">
        <f>N7+N14</f>
        <v>2714.4627955987498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4599.3427855987493</v>
      </c>
      <c r="V6" s="96">
        <f>N7+K14</f>
        <v>11543.947498754998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29">
        <f>B7+C7</f>
        <v>122745</v>
      </c>
      <c r="E7" s="29">
        <f>D17</f>
        <v>18150.999250000001</v>
      </c>
      <c r="F7" s="29">
        <f>(C7)+(D10+D11+D12+D13+D16)*5/100</f>
        <v>6315</v>
      </c>
      <c r="G7" s="30">
        <f>B7+E7+F7</f>
        <v>141365.99924999999</v>
      </c>
      <c r="H7" s="29">
        <f>G7*D20</f>
        <v>28273.199850000001</v>
      </c>
      <c r="I7" s="29">
        <f>(G7-H7)</f>
        <v>113092.79939999999</v>
      </c>
      <c r="J7" s="30">
        <f>(((I7*D19)*1)+I7)/12</f>
        <v>9659.0675087549989</v>
      </c>
      <c r="K7" s="30">
        <f>(((I7*D19)*2)+I7)/24</f>
        <v>4946.8675337549994</v>
      </c>
      <c r="L7" s="30">
        <f>(((I7*D19)*3)+I7)/36</f>
        <v>3376.1342087549997</v>
      </c>
      <c r="M7" s="30">
        <f>(((I7*D19)*4)+I7)/48</f>
        <v>2590.7675462549996</v>
      </c>
      <c r="N7" s="30">
        <f>((((I7*D19)*5)+I7)/60)</f>
        <v>2119.5475487549998</v>
      </c>
      <c r="O7" s="92"/>
      <c r="P7" s="83">
        <f>H7+H16</f>
        <v>29460.674243699999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116900</v>
      </c>
      <c r="C8" s="32">
        <f>IF(L20="YES",N20,IF(L20="NO",N20))</f>
        <v>116900</v>
      </c>
      <c r="D8" s="29">
        <v>0</v>
      </c>
      <c r="E8" s="33"/>
      <c r="F8" s="188"/>
      <c r="G8" s="189"/>
      <c r="H8" s="110">
        <f>G7*20/100</f>
        <v>28273.199849999997</v>
      </c>
      <c r="I8" s="21"/>
      <c r="J8" s="34" t="s">
        <v>15</v>
      </c>
      <c r="K8" s="23">
        <f>(J7*K5+J7)/24</f>
        <v>402.46114619812494</v>
      </c>
      <c r="L8" s="23">
        <f>(J7*L5+J7)/36</f>
        <v>277.40305270282761</v>
      </c>
      <c r="M8" s="23">
        <f>(J7*M5+J7)/48</f>
        <v>214.87400595517889</v>
      </c>
      <c r="N8" s="23">
        <f>(J7*N5+J7)/60</f>
        <v>177.35657790658971</v>
      </c>
      <c r="O8" s="92"/>
      <c r="P8" s="83">
        <f>P7/12</f>
        <v>2455.0561869749999</v>
      </c>
      <c r="T8" s="86">
        <f>25973-12973</f>
        <v>13000</v>
      </c>
    </row>
    <row r="9" spans="1:28" ht="25.5" x14ac:dyDescent="0.35">
      <c r="A9" s="8">
        <f>B8/(100%-A8)</f>
        <v>146125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2816.0107050600054</v>
      </c>
      <c r="K9" s="38">
        <f>(K7*24)-I7</f>
        <v>5632.0214101199963</v>
      </c>
      <c r="L9" s="38">
        <f>(L7*36)-I7</f>
        <v>8448.0321151800017</v>
      </c>
      <c r="M9" s="38">
        <f>(M7*48)-I7</f>
        <v>11264.042820239993</v>
      </c>
      <c r="N9" s="38">
        <f>(N7*60)-I7</f>
        <v>14080.053525299998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982.3271656403831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4364.7581250000003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27273.199849999997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17</v>
      </c>
      <c r="D12" s="36">
        <f>IF(C12="YES",2000,IF(C12="NO",0))</f>
        <v>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147974.35800000001</v>
      </c>
      <c r="B13" s="37" t="s">
        <v>22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2356.0999875000002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4386.2411250000005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9424.3999499999991</v>
      </c>
      <c r="L14" s="44">
        <f>(H8*L12+H8)/12</f>
        <v>2479.7952368437495</v>
      </c>
      <c r="M14" s="44">
        <f>(H8*M12+H8)/24</f>
        <v>1326.4842929624999</v>
      </c>
      <c r="N14" s="52">
        <f>(H7*N12+H7)/60</f>
        <v>594.91524684374997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3637</v>
      </c>
      <c r="B15" s="37" t="s">
        <v>27</v>
      </c>
      <c r="C15" s="20" t="s">
        <v>19</v>
      </c>
      <c r="D15" s="29">
        <f>IF(C15="YES",O10,IF(C15="NO",0))</f>
        <v>4364.7581250000003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1187.4743937000001</v>
      </c>
      <c r="I16" s="21"/>
      <c r="J16" s="44" t="s">
        <v>16</v>
      </c>
      <c r="K16" s="44">
        <f>(K14*3)-H8</f>
        <v>0</v>
      </c>
      <c r="L16" s="44">
        <f>(L14*12)-H8</f>
        <v>1484.342992124999</v>
      </c>
      <c r="M16" s="44">
        <f>(M14*24)-H8</f>
        <v>3562.4231810999991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3767</v>
      </c>
      <c r="B17" s="37"/>
      <c r="C17" s="20"/>
      <c r="D17" s="29">
        <f>SUM(D10:D16)</f>
        <v>18150.999250000001</v>
      </c>
      <c r="E17" s="33"/>
      <c r="F17" s="33"/>
      <c r="G17" s="33"/>
      <c r="H17" s="33">
        <f>H7+H12+H15+H16</f>
        <v>30060.674243699999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3682.35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77.460821506849314</v>
      </c>
      <c r="K19" s="21"/>
      <c r="L19" s="21"/>
      <c r="M19" s="21"/>
      <c r="N19" s="23">
        <f>D7</f>
        <v>122745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132615</v>
      </c>
      <c r="V19" s="102">
        <f>(B7+D10+D11+D12+D13+D16)*1.05</f>
        <v>132615</v>
      </c>
      <c r="X19" s="87">
        <f>G7*3.15*1.05/100</f>
        <v>4675.6804251937501</v>
      </c>
      <c r="Y19" s="87">
        <f>G7*3/100+510*1.05</f>
        <v>4776.4799775000001</v>
      </c>
      <c r="Z19" s="87">
        <f>Y19+X19</f>
        <v>9452.1604026937493</v>
      </c>
      <c r="AA19" s="87">
        <f>(Z19)-(D14+D15)</f>
        <v>701.16115269374859</v>
      </c>
      <c r="AB19" s="87">
        <f>AA19*1.25</f>
        <v>876.45144086718574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116900</v>
      </c>
      <c r="O20" s="92"/>
      <c r="P20" s="99"/>
      <c r="T20" s="86">
        <f>1992+1084</f>
        <v>3076</v>
      </c>
      <c r="V20" s="83"/>
      <c r="X20" s="87">
        <f>X19-D14</f>
        <v>289.43930019374966</v>
      </c>
      <c r="Y20" s="87">
        <f>Y19-D15</f>
        <v>411.72185249999984</v>
      </c>
      <c r="AA20" s="87">
        <f>X20+Y20</f>
        <v>701.1611526937495</v>
      </c>
    </row>
    <row r="21" spans="1:28" ht="25.5" x14ac:dyDescent="0.35">
      <c r="A21" s="13">
        <f>A19+A20</f>
        <v>3682.35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11543.947498754998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77.460821506849314</v>
      </c>
      <c r="I24" s="85">
        <f>H7/365</f>
        <v>77.460821506849314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84819.599549999999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0BB4DAD-1AD7-4B45-834D-7F4F9953D2A2}">
      <formula1>"ADCB,ADCB PAY IN 2027,Ajman Bank,ADIB,DIB EXPAT,DIB LOCAL GVH,Emirates NBD,EIB,FAB,RAK,SIB STL,SIB NON STL"</formula1>
    </dataValidation>
    <dataValidation type="list" allowBlank="1" showInputMessage="1" showErrorMessage="1" sqref="D5" xr:uid="{6A3D676F-9C41-4975-9767-F5AE110A65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70C1A520-777C-430C-ACF2-27CE6D252C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C0FA9E2-412F-4327-8BBF-DD84BE85BC8A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81A6ADF-A0A6-4B31-8024-47C05597C342}">
      <formula1>"YES,NO"</formula1>
    </dataValidation>
    <dataValidation type="list" allowBlank="1" showInputMessage="1" showErrorMessage="1" sqref="K24" xr:uid="{A624D637-ADA2-41F1-B664-D24FCECD3022}">
      <formula1>"RMC-10-70K,RMC-10-100000K,RMC-40-70K"</formula1>
    </dataValidation>
    <dataValidation type="list" allowBlank="1" showInputMessage="1" showErrorMessage="1" sqref="B16" xr:uid="{602BE4F4-B76B-4FD9-8371-31FC5FCC2894}">
      <formula1>"RMC-10-40KMS,RMC-10-60KMS,RMC-10-70KMS,RMC-10-100000KMS,RMC-40-70KMS,RMC-40-100000KMS"</formula1>
    </dataValidation>
    <dataValidation type="list" allowBlank="1" showInputMessage="1" showErrorMessage="1" sqref="B12" xr:uid="{9AC46690-F7C6-476B-BA5C-6413218B10F4}">
      <formula1>"FO Exterior ceramic All Cars SCOTCHGUARD,FO Mirror Camera Sensor,FO PPF Gold Package "</formula1>
    </dataValidation>
    <dataValidation type="list" allowBlank="1" showInputMessage="1" showErrorMessage="1" sqref="B11" xr:uid="{45ACA0B0-FB61-42AE-9785-2FA3F4148A30}">
      <formula1>"FO Ceramic+ Intr&amp;Extr CeramicGold WdwTnt,FO Mirror Camera Sensor"</formula1>
    </dataValidation>
    <dataValidation type="list" allowBlank="1" showInputMessage="1" showErrorMessage="1" sqref="M34" xr:uid="{3CFD24B3-2DED-47BB-8268-E4B2CE0BB4CA}">
      <formula1>"Alaa,Bachir ,Khaled,Ramy,Simon,Mharen,Ranjith,Jihan,Praveen,Sujith,Mossallem"</formula1>
    </dataValidation>
    <dataValidation type="list" allowBlank="1" showInputMessage="1" showErrorMessage="1" sqref="H34" xr:uid="{35539722-F979-4909-B550-B6E8B17874B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923D-184A-43E6-8B90-848040103316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G64</v>
      </c>
      <c r="D5" s="19" t="s">
        <v>113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13691.133110654999</v>
      </c>
      <c r="S5" s="87"/>
      <c r="U5" s="87">
        <f>L7+L14</f>
        <v>5578.7918231237491</v>
      </c>
      <c r="V5" s="87">
        <f>M7+M14</f>
        <v>3731.8640418674995</v>
      </c>
      <c r="W5" s="87">
        <f>N7+N14</f>
        <v>2585.9981731237499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4381.6743631237496</v>
      </c>
      <c r="V6" s="96">
        <f>N7+K14</f>
        <v>10997.618825654998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108900</v>
      </c>
      <c r="B7" s="29">
        <f>IF(L20="YES",C8*1,IF(L20="NO",B8*1))</f>
        <v>108900</v>
      </c>
      <c r="C7" s="29">
        <f>B7*5/100</f>
        <v>5445</v>
      </c>
      <c r="D7" s="29">
        <f>B7+C7</f>
        <v>114345</v>
      </c>
      <c r="E7" s="29">
        <f>D17</f>
        <v>19760.714249999997</v>
      </c>
      <c r="F7" s="29">
        <f>(C7)+(D10+D11+D12+D13+D16)*5/100</f>
        <v>6015</v>
      </c>
      <c r="G7" s="30">
        <f>B7+E7+F7</f>
        <v>134675.71424999999</v>
      </c>
      <c r="H7" s="29">
        <f>G7*D20</f>
        <v>26935.14285</v>
      </c>
      <c r="I7" s="29">
        <f>(G7-H7)</f>
        <v>107740.57139999999</v>
      </c>
      <c r="J7" s="30">
        <f>(((I7*D19)*1)+I7)/12</f>
        <v>9201.9426356549993</v>
      </c>
      <c r="K7" s="30">
        <f>(((I7*D19)*2)+I7)/24</f>
        <v>4712.752160654999</v>
      </c>
      <c r="L7" s="30">
        <f>(((I7*D19)*3)+I7)/36</f>
        <v>3216.3553356549996</v>
      </c>
      <c r="M7" s="30">
        <f>(((I7*D19)*4)+I7)/48</f>
        <v>2468.1569231549997</v>
      </c>
      <c r="N7" s="30">
        <f>((((I7*D19)*5)+I7)/60)</f>
        <v>2019.2378756549997</v>
      </c>
      <c r="O7" s="92"/>
      <c r="P7" s="83">
        <f>H7+H16</f>
        <v>28066.4188497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108900</v>
      </c>
      <c r="C8" s="32">
        <f>IF(L20="YES",N20,IF(L20="NO",N20))</f>
        <v>108900</v>
      </c>
      <c r="D8" s="29">
        <v>0</v>
      </c>
      <c r="E8" s="33"/>
      <c r="F8" s="188"/>
      <c r="G8" s="189"/>
      <c r="H8" s="110">
        <f>G7*20/100</f>
        <v>26935.142849999997</v>
      </c>
      <c r="I8" s="21"/>
      <c r="J8" s="34" t="s">
        <v>15</v>
      </c>
      <c r="K8" s="23">
        <f>(J7*K5+J7)/24</f>
        <v>383.41427648562495</v>
      </c>
      <c r="L8" s="23">
        <f>(J7*L5+J7)/36</f>
        <v>264.27468030565842</v>
      </c>
      <c r="M8" s="23">
        <f>(J7*M5+J7)/48</f>
        <v>204.70488221567518</v>
      </c>
      <c r="N8" s="23">
        <f>(J7*N5+J7)/60</f>
        <v>168.96300336168522</v>
      </c>
      <c r="O8" s="92"/>
      <c r="P8" s="83">
        <f>P7/12</f>
        <v>2338.8682374750001</v>
      </c>
      <c r="T8" s="86">
        <f>25973-12973</f>
        <v>13000</v>
      </c>
    </row>
    <row r="9" spans="1:28" ht="25.5" x14ac:dyDescent="0.35">
      <c r="A9" s="8">
        <f>B8/(100%-A8)</f>
        <v>136125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2682.7402278600057</v>
      </c>
      <c r="K9" s="38">
        <f>(K7*24)-I7</f>
        <v>5365.4804557199823</v>
      </c>
      <c r="L9" s="38">
        <f>(L7*36)-I7</f>
        <v>8048.2206835800025</v>
      </c>
      <c r="M9" s="38">
        <f>(M7*48)-I7</f>
        <v>10730.960911439994</v>
      </c>
      <c r="N9" s="38">
        <f>(N7*60)-I7</f>
        <v>13413.701139299999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935.83756604611335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4182.8456249999999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25935.142849999997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 t="b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137847.79799999998</v>
      </c>
      <c r="B13" s="37" t="s">
        <v>22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2244.5952375000002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4177.8686250000001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8978.3809499999988</v>
      </c>
      <c r="L14" s="44">
        <f>(H8*L12+H8)/12</f>
        <v>2362.4364874687494</v>
      </c>
      <c r="M14" s="44">
        <f>(H8*M12+H8)/24</f>
        <v>1263.7071187124998</v>
      </c>
      <c r="N14" s="52">
        <f>(H7*N12+H7)/60</f>
        <v>566.76029746875008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3397</v>
      </c>
      <c r="B15" s="37" t="s">
        <v>27</v>
      </c>
      <c r="C15" s="20" t="s">
        <v>19</v>
      </c>
      <c r="D15" s="29">
        <f>IF(C15="YES",O10,IF(C15="NO",0))</f>
        <v>4182.8456249999999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1131.2759996999998</v>
      </c>
      <c r="I16" s="21"/>
      <c r="J16" s="44" t="s">
        <v>16</v>
      </c>
      <c r="K16" s="44">
        <f>(K14*3)-H8</f>
        <v>0</v>
      </c>
      <c r="L16" s="44">
        <f>(L14*12)-H8</f>
        <v>1414.0949996249983</v>
      </c>
      <c r="M16" s="44">
        <f>(M14*24)-H8</f>
        <v>3393.8279990999981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3527</v>
      </c>
      <c r="B17" s="37"/>
      <c r="C17" s="20"/>
      <c r="D17" s="29">
        <f>SUM(D10:D16)</f>
        <v>19760.714249999997</v>
      </c>
      <c r="E17" s="33"/>
      <c r="F17" s="33"/>
      <c r="G17" s="33"/>
      <c r="H17" s="33">
        <f>H7+H12+H15+H16</f>
        <v>28666.4188497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3430.35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73.794911917808221</v>
      </c>
      <c r="K19" s="21"/>
      <c r="L19" s="21"/>
      <c r="M19" s="21"/>
      <c r="N19" s="23">
        <f>D7</f>
        <v>114345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126315</v>
      </c>
      <c r="V19" s="102">
        <f>(B7+D10+D11+D12+D13+D16)*1.05</f>
        <v>126315</v>
      </c>
      <c r="X19" s="87">
        <f>G7*3.15*1.05/100</f>
        <v>4454.3992488187496</v>
      </c>
      <c r="Y19" s="87">
        <f>G7*3/100+510*1.05</f>
        <v>4575.7714274999998</v>
      </c>
      <c r="Z19" s="87">
        <f>Y19+X19</f>
        <v>9030.1706763187503</v>
      </c>
      <c r="AA19" s="87">
        <f>(Z19)-(D14+D15)</f>
        <v>669.45642631874944</v>
      </c>
      <c r="AB19" s="87">
        <f>AA19*1.25</f>
        <v>836.8205328984368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108900</v>
      </c>
      <c r="O20" s="92"/>
      <c r="P20" s="99"/>
      <c r="T20" s="86">
        <f>1992+1084</f>
        <v>3076</v>
      </c>
      <c r="V20" s="83"/>
      <c r="X20" s="87">
        <f>X19-D14</f>
        <v>276.53062381874952</v>
      </c>
      <c r="Y20" s="87">
        <f>Y19-D15</f>
        <v>392.92580249999992</v>
      </c>
      <c r="AA20" s="87">
        <f>X20+Y20</f>
        <v>669.45642631874944</v>
      </c>
    </row>
    <row r="21" spans="1:28" ht="25.5" x14ac:dyDescent="0.35">
      <c r="A21" s="13">
        <f>A19+A20</f>
        <v>3430.35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10997.618825654998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73.794911917808221</v>
      </c>
      <c r="I24" s="85">
        <f>H7/365</f>
        <v>73.794911917808221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80805.428549999997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AF2C7B8-33BD-4406-AFC9-F3EDE345DC7D}">
      <formula1>"ADCB,ADCB PAY IN 2027,Ajman Bank,ADIB,DIB EXPAT,DIB LOCAL GVH,Emirates NBD,EIB,FAB,RAK,SIB STL,SIB NON STL"</formula1>
    </dataValidation>
    <dataValidation type="list" allowBlank="1" showInputMessage="1" showErrorMessage="1" sqref="D5" xr:uid="{C24709C5-BAF7-4CC6-B7D2-F378E0C18322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EBFDDE8-BC07-4743-9059-7A5C64D4936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A40E37-CE6F-4572-81AD-379253FC049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1E72F63-ADF0-4597-A6B4-204BBF58417A}">
      <formula1>"YES,NO"</formula1>
    </dataValidation>
    <dataValidation type="list" allowBlank="1" showInputMessage="1" showErrorMessage="1" sqref="K24" xr:uid="{0B1FF05A-3448-4FE2-9E69-0DC977CCB676}">
      <formula1>"RMC-10-70K,RMC-10-100000K,RMC-40-70K"</formula1>
    </dataValidation>
    <dataValidation type="list" allowBlank="1" showInputMessage="1" showErrorMessage="1" sqref="B16" xr:uid="{E8D4B27F-5B29-41BA-97B3-3F78521049F0}">
      <formula1>"RMC-10-40KMS,RMC-10-60KMS,RMC-10-70KMS,RMC-10-100000KMS,RMC-40-70KMS,RMC-40-100000KMS"</formula1>
    </dataValidation>
    <dataValidation type="list" allowBlank="1" showInputMessage="1" showErrorMessage="1" sqref="B12" xr:uid="{7830CEBF-2709-465A-B432-FFC44407E093}">
      <formula1>"FO Exterior ceramic All Cars SCOTCHGUARD,FO Mirror Camera Sensor,FO PPF Gold Package "</formula1>
    </dataValidation>
    <dataValidation type="list" allowBlank="1" showInputMessage="1" showErrorMessage="1" sqref="B11" xr:uid="{051852B6-4A22-44A5-8F35-2AABD154CCC3}">
      <formula1>"FO Ceramic+ Intr&amp;Extr CeramicGold WdwTnt,FO Mirror Camera Sensor"</formula1>
    </dataValidation>
    <dataValidation type="list" allowBlank="1" showInputMessage="1" showErrorMessage="1" sqref="M34" xr:uid="{08EE0EF9-81DF-42C3-B0FF-54627A570681}">
      <formula1>"Alaa,Bachir ,Khaled,Ramy,Simon,Mharen,Ranjith,Jihan,Praveen,Sujith,Mossallem"</formula1>
    </dataValidation>
    <dataValidation type="list" allowBlank="1" showInputMessage="1" showErrorMessage="1" sqref="H34" xr:uid="{D729E131-582D-4A04-955E-96EFFC06593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53D1-E6BC-4609-989B-2D9BED00EDEC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P57</v>
      </c>
      <c r="D5" s="19" t="s">
        <v>112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12897.643008704999</v>
      </c>
      <c r="S5" s="87"/>
      <c r="U5" s="87">
        <f>L7+L14</f>
        <v>5255.464596902917</v>
      </c>
      <c r="V5" s="87">
        <f>M7+M14</f>
        <v>3515.5782782924998</v>
      </c>
      <c r="W5" s="87">
        <f>N7+N14</f>
        <v>2436.12278023625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4127.7278702362501</v>
      </c>
      <c r="V6" s="96">
        <f>N7+K14</f>
        <v>10360.235373705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29">
        <f>B7+C7</f>
        <v>104895</v>
      </c>
      <c r="E7" s="29">
        <f>D17</f>
        <v>21305.38175</v>
      </c>
      <c r="F7" s="29">
        <f>(C7)+(D10+D11+D12+D13+D16)*5/100</f>
        <v>5665</v>
      </c>
      <c r="G7" s="30">
        <f>B7+E7+F7</f>
        <v>126870.38175</v>
      </c>
      <c r="H7" s="29">
        <f>G7*D20</f>
        <v>25374.076350000003</v>
      </c>
      <c r="I7" s="29">
        <f>(G7-H7)</f>
        <v>101496.3054</v>
      </c>
      <c r="J7" s="30">
        <f>(((I7*D19)*1)+I7)/12</f>
        <v>8668.6302837050007</v>
      </c>
      <c r="K7" s="30">
        <f>(((I7*D19)*2)+I7)/24</f>
        <v>4439.6175587049993</v>
      </c>
      <c r="L7" s="30">
        <f>(((I7*D19)*3)+I7)/36</f>
        <v>3029.9466503716667</v>
      </c>
      <c r="M7" s="30">
        <f>(((I7*D19)*4)+I7)/48</f>
        <v>2325.1111962049999</v>
      </c>
      <c r="N7" s="30">
        <f>((((I7*D19)*5)+I7)/60)</f>
        <v>1902.2099237049999</v>
      </c>
      <c r="O7" s="92"/>
      <c r="P7" s="83">
        <f>H7+H16</f>
        <v>26439.787556700005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99900</v>
      </c>
      <c r="C8" s="32">
        <f>IF(L20="YES",N20,IF(L20="NO",N20))</f>
        <v>99900</v>
      </c>
      <c r="D8" s="29">
        <v>0</v>
      </c>
      <c r="E8" s="33"/>
      <c r="F8" s="188"/>
      <c r="G8" s="189"/>
      <c r="H8" s="110">
        <f>G7*20/100</f>
        <v>25374.076349999999</v>
      </c>
      <c r="I8" s="21"/>
      <c r="J8" s="34" t="s">
        <v>15</v>
      </c>
      <c r="K8" s="23">
        <f>(J7*K5+J7)/24</f>
        <v>361.19292848770834</v>
      </c>
      <c r="L8" s="23">
        <f>(J7*L5+J7)/36</f>
        <v>248.95824584229447</v>
      </c>
      <c r="M8" s="23">
        <f>(J7*M5+J7)/48</f>
        <v>192.8409045195875</v>
      </c>
      <c r="N8" s="23">
        <f>(J7*N5+J7)/60</f>
        <v>159.17049972596334</v>
      </c>
      <c r="O8" s="92"/>
      <c r="P8" s="83">
        <f>P7/12</f>
        <v>2203.3156297250002</v>
      </c>
      <c r="T8" s="86">
        <f>25973-12973</f>
        <v>13000</v>
      </c>
    </row>
    <row r="9" spans="1:28" ht="25.5" x14ac:dyDescent="0.35">
      <c r="A9" s="8">
        <f>B8/(100%-A8)</f>
        <v>124875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2527.2580044600036</v>
      </c>
      <c r="K9" s="38">
        <f>(K7*24)-I7</f>
        <v>5054.5160089199926</v>
      </c>
      <c r="L9" s="38">
        <f>(L7*36)-I7</f>
        <v>7581.7740133800107</v>
      </c>
      <c r="M9" s="38">
        <f>(M7*48)-I7</f>
        <v>10109.03201784</v>
      </c>
      <c r="N9" s="38">
        <f>(N7*60)-I7</f>
        <v>12636.290022300003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881.59969985279895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3970.6143750000001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24374.076349999999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126455.41799999999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2114.5063625000003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3934.7673749999999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8458.0254499999992</v>
      </c>
      <c r="L14" s="44">
        <f>(H8*L12+H8)/12</f>
        <v>2225.5179465312499</v>
      </c>
      <c r="M14" s="44">
        <f>(H8*M12+H8)/24</f>
        <v>1190.4670820875001</v>
      </c>
      <c r="N14" s="52">
        <f>(H7*N12+H7)/60</f>
        <v>533.9128565312501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3127</v>
      </c>
      <c r="B15" s="37" t="s">
        <v>27</v>
      </c>
      <c r="C15" s="20" t="s">
        <v>19</v>
      </c>
      <c r="D15" s="29">
        <f>IF(C15="YES",O10,IF(C15="NO",0))</f>
        <v>3970.6143750000001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1065.7112067</v>
      </c>
      <c r="I16" s="21"/>
      <c r="J16" s="44" t="s">
        <v>16</v>
      </c>
      <c r="K16" s="44">
        <f>(K14*3)-H8</f>
        <v>0</v>
      </c>
      <c r="L16" s="44">
        <f>(L14*12)-H8</f>
        <v>1332.1390083749975</v>
      </c>
      <c r="M16" s="44">
        <f>(M14*24)-H8</f>
        <v>3197.1336201000049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3257</v>
      </c>
      <c r="B17" s="37"/>
      <c r="C17" s="20"/>
      <c r="D17" s="29">
        <f>SUM(D10:D16)</f>
        <v>21305.38175</v>
      </c>
      <c r="E17" s="33"/>
      <c r="F17" s="33"/>
      <c r="G17" s="33"/>
      <c r="H17" s="33">
        <f>H7+H12+H15+H16</f>
        <v>27039.787556700005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3146.85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69.51801739726028</v>
      </c>
      <c r="K19" s="21"/>
      <c r="L19" s="21"/>
      <c r="M19" s="21"/>
      <c r="N19" s="23">
        <f>D7</f>
        <v>104895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118965</v>
      </c>
      <c r="V19" s="102">
        <f>(B7+D10+D11+D12+D13+D16)*1.05</f>
        <v>118965</v>
      </c>
      <c r="X19" s="87">
        <f>G7*3.15*1.05/100</f>
        <v>4196.2378763812503</v>
      </c>
      <c r="Y19" s="87">
        <f>G7*3/100+510*1.05</f>
        <v>4341.6114524999994</v>
      </c>
      <c r="Z19" s="87">
        <f>Y19+X19</f>
        <v>8537.8493288812497</v>
      </c>
      <c r="AA19" s="87">
        <f>(Z19)-(D14+D15)</f>
        <v>632.46757888124921</v>
      </c>
      <c r="AB19" s="87">
        <f>AA19*1.25</f>
        <v>790.58447360156151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99900</v>
      </c>
      <c r="O20" s="92"/>
      <c r="P20" s="99"/>
      <c r="T20" s="86">
        <f>1992+1084</f>
        <v>3076</v>
      </c>
      <c r="V20" s="83"/>
      <c r="X20" s="87">
        <f>X19-D14</f>
        <v>261.47050138125041</v>
      </c>
      <c r="Y20" s="87">
        <f>Y19-D15</f>
        <v>370.99707749999925</v>
      </c>
      <c r="AA20" s="87">
        <f>X20+Y20</f>
        <v>632.46757888124966</v>
      </c>
    </row>
    <row r="21" spans="1:28" ht="25.5" x14ac:dyDescent="0.35">
      <c r="A21" s="13">
        <f>A19+A20</f>
        <v>3146.85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10360.235373705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69.51801739726028</v>
      </c>
      <c r="I24" s="85">
        <f>H7/365</f>
        <v>69.51801739726028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76122.229050000009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56C1E6A-8340-4C96-B140-933135F5D548}">
      <formula1>"ADCB,ADCB PAY IN 2027,Ajman Bank,ADIB,DIB EXPAT,DIB LOCAL GVH,Emirates NBD,EIB,FAB,RAK,SIB STL,SIB NON STL"</formula1>
    </dataValidation>
    <dataValidation type="list" allowBlank="1" showInputMessage="1" showErrorMessage="1" sqref="D5" xr:uid="{C4012433-E4B1-4F98-81B2-92868D27614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772F090-7A0F-497D-830C-A3B13DA4723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F0FD6BEF-DF14-47FB-98C7-583B0C35CC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C8979C4-1701-4387-AD6A-F1EE3E62C270}">
      <formula1>"YES,NO"</formula1>
    </dataValidation>
    <dataValidation type="list" allowBlank="1" showInputMessage="1" showErrorMessage="1" sqref="K24" xr:uid="{31B96DB1-11C7-43CE-9045-03053278D362}">
      <formula1>"RMC-10-70K,RMC-10-100000K,RMC-40-70K"</formula1>
    </dataValidation>
    <dataValidation type="list" allowBlank="1" showInputMessage="1" showErrorMessage="1" sqref="B16" xr:uid="{0E6CBE55-7AD5-4D58-9F6C-E53CC6F8EFF6}">
      <formula1>"RMC-10-40KMS,RMC-10-60KMS,RMC-10-70KMS,RMC-10-100000KMS,RMC-40-70KMS,RMC-40-100000KMS"</formula1>
    </dataValidation>
    <dataValidation type="list" allowBlank="1" showInputMessage="1" showErrorMessage="1" sqref="B12" xr:uid="{35EA8C87-88B7-4FAD-A351-51B3234CB3C0}">
      <formula1>"FO Exterior ceramic All Cars SCOTCHGUARD,FO Mirror Camera Sensor,FO PPF Gold Package "</formula1>
    </dataValidation>
    <dataValidation type="list" allowBlank="1" showInputMessage="1" showErrorMessage="1" sqref="B11" xr:uid="{BC5EE926-305B-4416-9720-B91214AA576B}">
      <formula1>"FO Ceramic+ Intr&amp;Extr CeramicGold WdwTnt,FO Mirror Camera Sensor"</formula1>
    </dataValidation>
    <dataValidation type="list" allowBlank="1" showInputMessage="1" showErrorMessage="1" sqref="M34" xr:uid="{5BB3C305-FBFE-4CAE-8F0B-4F81008402DF}">
      <formula1>"Alaa,Bachir ,Khaled,Ramy,Simon,Mharen,Ranjith,Jihan,Praveen,Sujith,Mossallem"</formula1>
    </dataValidation>
    <dataValidation type="list" allowBlank="1" showInputMessage="1" showErrorMessage="1" sqref="H34" xr:uid="{E9478027-76E6-4F89-9E6B-B214A56B24C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D7A5-40EF-461E-99B1-44F6C91239E5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P08P</v>
      </c>
      <c r="D5" s="19" t="s">
        <v>111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14156.6577468225</v>
      </c>
      <c r="S5" s="87"/>
      <c r="U5" s="87">
        <f>L7+L14</f>
        <v>5768.4813844422915</v>
      </c>
      <c r="V5" s="87">
        <f>M7+M14</f>
        <v>3858.7545363412501</v>
      </c>
      <c r="W5" s="87">
        <f>N7+N14</f>
        <v>2673.9270427756251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4530.6596477756248</v>
      </c>
      <c r="V6" s="96">
        <f>N7+K14</f>
        <v>11371.558839322501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29">
        <f>B7+C7</f>
        <v>115395</v>
      </c>
      <c r="E7" s="29">
        <f>D17</f>
        <v>23149.945375000003</v>
      </c>
      <c r="F7" s="29">
        <f>(C7)+(D10+D11+D12+D13+D16)*5/100</f>
        <v>6205</v>
      </c>
      <c r="G7" s="30">
        <f>B7+E7+F7</f>
        <v>139254.94537500001</v>
      </c>
      <c r="H7" s="29">
        <f>G7*D20</f>
        <v>27850.989075000005</v>
      </c>
      <c r="I7" s="29">
        <f>(G7-H7)</f>
        <v>111403.95630000001</v>
      </c>
      <c r="J7" s="30">
        <f>(((I7*D19)*1)+I7)/12</f>
        <v>9514.8262343225015</v>
      </c>
      <c r="K7" s="30">
        <f>(((I7*D19)*2)+I7)/24</f>
        <v>4872.9947218224997</v>
      </c>
      <c r="L7" s="30">
        <f>(((I7*D19)*3)+I7)/36</f>
        <v>3325.7175509891667</v>
      </c>
      <c r="M7" s="30">
        <f>(((I7*D19)*4)+I7)/48</f>
        <v>2552.0789655725002</v>
      </c>
      <c r="N7" s="30">
        <f>((((I7*D19)*5)+I7)/60)</f>
        <v>2087.8958143225</v>
      </c>
      <c r="O7" s="92"/>
      <c r="P7" s="83">
        <f>H7+H16</f>
        <v>29020.730616150006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109900</v>
      </c>
      <c r="C8" s="32">
        <f>IF(L20="YES",N20,IF(L20="NO",N20))</f>
        <v>109900</v>
      </c>
      <c r="D8" s="29">
        <v>0</v>
      </c>
      <c r="E8" s="33"/>
      <c r="F8" s="188"/>
      <c r="G8" s="189"/>
      <c r="H8" s="110">
        <f>G7*20/100</f>
        <v>27850.989075000001</v>
      </c>
      <c r="I8" s="21"/>
      <c r="J8" s="34" t="s">
        <v>15</v>
      </c>
      <c r="K8" s="23">
        <f>(J7*K5+J7)/24</f>
        <v>396.45109309677088</v>
      </c>
      <c r="L8" s="23">
        <f>(J7*L5+J7)/36</f>
        <v>273.26052343516761</v>
      </c>
      <c r="M8" s="23">
        <f>(J7*M5+J7)/48</f>
        <v>211.66523860436598</v>
      </c>
      <c r="N8" s="23">
        <f>(J7*N5+J7)/60</f>
        <v>174.70806770588499</v>
      </c>
      <c r="O8" s="92"/>
      <c r="P8" s="83">
        <f>P7/12</f>
        <v>2418.3942180125005</v>
      </c>
      <c r="T8" s="86">
        <f>25973-12973</f>
        <v>13000</v>
      </c>
    </row>
    <row r="9" spans="1:28" ht="25.5" x14ac:dyDescent="0.35">
      <c r="A9" s="8">
        <f>B8/(100%-A8)</f>
        <v>137375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2773.9585118700197</v>
      </c>
      <c r="K9" s="38">
        <f>(K7*24)-I7</f>
        <v>5547.9170237399958</v>
      </c>
      <c r="L9" s="38">
        <f>(L7*36)-I7</f>
        <v>8321.875535610001</v>
      </c>
      <c r="M9" s="38">
        <f>(M7*48)-I7</f>
        <v>11095.834047480006</v>
      </c>
      <c r="N9" s="38">
        <f>(N7*60)-I7</f>
        <v>13869.792559349997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967.65782803059847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4640.1075000000001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26850.989075000001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139113.61799999999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2320.9157562500004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4309.8378750000002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9283.6630249999998</v>
      </c>
      <c r="L14" s="44">
        <f>(H8*L12+H8)/12</f>
        <v>2442.7638334531252</v>
      </c>
      <c r="M14" s="44">
        <f>(H8*M12+H8)/24</f>
        <v>1306.67557076875</v>
      </c>
      <c r="N14" s="52">
        <f>(H7*N12+H7)/60</f>
        <v>586.0312284531251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3427</v>
      </c>
      <c r="B15" s="37" t="s">
        <v>27</v>
      </c>
      <c r="C15" s="20" t="s">
        <v>19</v>
      </c>
      <c r="D15" s="29">
        <f>IF(C15="YES",O10,IF(C15="NO",0))</f>
        <v>4640.1075000000001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1169.7415411500001</v>
      </c>
      <c r="I16" s="21"/>
      <c r="J16" s="44" t="s">
        <v>16</v>
      </c>
      <c r="K16" s="44">
        <f>(K14*3)-H8</f>
        <v>0</v>
      </c>
      <c r="L16" s="44">
        <f>(L14*12)-H8</f>
        <v>1462.1769264374998</v>
      </c>
      <c r="M16" s="44">
        <f>(M14*24)-H8</f>
        <v>3509.2246234500017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3557</v>
      </c>
      <c r="B17" s="37"/>
      <c r="C17" s="20"/>
      <c r="D17" s="29">
        <f>SUM(D10:D16)</f>
        <v>23149.945375000003</v>
      </c>
      <c r="E17" s="33"/>
      <c r="F17" s="33"/>
      <c r="G17" s="33"/>
      <c r="H17" s="33">
        <f>H7+H12+H15+H16</f>
        <v>29620.730616150006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3461.85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76.30407965753426</v>
      </c>
      <c r="K19" s="21"/>
      <c r="L19" s="21"/>
      <c r="M19" s="21"/>
      <c r="N19" s="23">
        <f>D7</f>
        <v>115395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130305</v>
      </c>
      <c r="V19" s="102">
        <f>(B7+D10+D11+D12+D13+D16)*1.05</f>
        <v>130305</v>
      </c>
      <c r="X19" s="87">
        <f>G7*3.15*1.05/100</f>
        <v>4605.8573182781256</v>
      </c>
      <c r="Y19" s="87">
        <f>G7*3/100+510*1.05</f>
        <v>4713.1483612500006</v>
      </c>
      <c r="Z19" s="87">
        <f>Y19+X19</f>
        <v>9319.0056795281271</v>
      </c>
      <c r="AA19" s="87">
        <f>(Z19)-(D14+D15)</f>
        <v>369.06030452812774</v>
      </c>
      <c r="AB19" s="87">
        <f>AA19*1.25</f>
        <v>461.32538066015968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109900</v>
      </c>
      <c r="O20" s="92"/>
      <c r="P20" s="99"/>
      <c r="T20" s="86">
        <f>1992+1084</f>
        <v>3076</v>
      </c>
      <c r="V20" s="83"/>
      <c r="X20" s="87">
        <f>X19-D14</f>
        <v>296.01944327812544</v>
      </c>
      <c r="Y20" s="87">
        <f>Y19-D15</f>
        <v>73.040861250000489</v>
      </c>
      <c r="AA20" s="87">
        <f>X20+Y20</f>
        <v>369.06030452812593</v>
      </c>
    </row>
    <row r="21" spans="1:28" ht="25.5" x14ac:dyDescent="0.35">
      <c r="A21" s="13">
        <f>A19+A20</f>
        <v>3461.85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11371.558839322501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76.30407965753426</v>
      </c>
      <c r="I24" s="85">
        <f>H7/365</f>
        <v>76.30407965753426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83552.967225000015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B8A4713-3812-4138-A8F6-2DAB92FFC1D0}">
      <formula1>"ADCB,ADCB PAY IN 2027,Ajman Bank,ADIB,DIB EXPAT,DIB LOCAL GVH,Emirates NBD,EIB,FAB,RAK,SIB STL,SIB NON STL"</formula1>
    </dataValidation>
    <dataValidation type="list" allowBlank="1" showInputMessage="1" showErrorMessage="1" sqref="D5" xr:uid="{242911B8-1BDB-4104-B61B-E045FDFBD5A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5BC4310-182C-48F5-81EE-512340984DA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3ACEC09D-1751-4C7E-944B-7256DC783B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A7DB3A6-417E-43C9-8D46-356832A9A037}">
      <formula1>"YES,NO"</formula1>
    </dataValidation>
    <dataValidation type="list" allowBlank="1" showInputMessage="1" showErrorMessage="1" sqref="K24" xr:uid="{604448A5-465F-4179-B0C8-911A396351A7}">
      <formula1>"RMC-10-70K,RMC-10-100000K,RMC-40-70K"</formula1>
    </dataValidation>
    <dataValidation type="list" allowBlank="1" showInputMessage="1" showErrorMessage="1" sqref="B16" xr:uid="{0960E1AD-7FA0-4AB0-9740-452AEA391D22}">
      <formula1>"RMC-10-40KMS,RMC-10-60KMS,RMC-10-70KMS,RMC-10-100000KMS,RMC-40-70KMS,RMC-40-100000KMS"</formula1>
    </dataValidation>
    <dataValidation type="list" allowBlank="1" showInputMessage="1" showErrorMessage="1" sqref="B12" xr:uid="{9A4CE96C-B6EC-4FB7-A622-34990DD8D552}">
      <formula1>"FO Exterior ceramic All Cars SCOTCHGUARD,FO Mirror Camera Sensor,FO PPF Gold Package "</formula1>
    </dataValidation>
    <dataValidation type="list" allowBlank="1" showInputMessage="1" showErrorMessage="1" sqref="B11" xr:uid="{BCD6C802-D0A8-4ED6-AF11-A31A26312771}">
      <formula1>"FO Ceramic+ Intr&amp;Extr CeramicGold WdwTnt,FO Mirror Camera Sensor"</formula1>
    </dataValidation>
    <dataValidation type="list" allowBlank="1" showInputMessage="1" showErrorMessage="1" sqref="M34" xr:uid="{0E82E90F-4BE8-47D4-BB0A-0A61A71BA35B}">
      <formula1>"Alaa,Bachir ,Khaled,Ramy,Simon,Mharen,Ranjith,Jihan,Praveen,Sujith,Mossallem"</formula1>
    </dataValidation>
    <dataValidation type="list" allowBlank="1" showInputMessage="1" showErrorMessage="1" sqref="H34" xr:uid="{4ED6A67D-6083-442F-9228-94F95FE5800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693D-EAEC-45CE-93DC-48255BF84679}">
  <sheetPr>
    <pageSetUpPr fitToPage="1"/>
  </sheetPr>
  <dimension ref="A1:AB54"/>
  <sheetViews>
    <sheetView topLeftCell="B1" zoomScaleNormal="100" workbookViewId="0">
      <selection activeCell="B13" sqref="B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F08</v>
      </c>
      <c r="D5" s="19" t="s">
        <v>110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15633.9248267475</v>
      </c>
      <c r="S5" s="87"/>
      <c r="U5" s="87">
        <f>L7+L14</f>
        <v>6370.4305028568742</v>
      </c>
      <c r="V5" s="87">
        <f>M7+M14</f>
        <v>4261.4209812037498</v>
      </c>
      <c r="W5" s="87">
        <f>N7+N14</f>
        <v>2952.9550778568751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5003.4403328568751</v>
      </c>
      <c r="V6" s="96">
        <f>N7+K14</f>
        <v>12558.1969442475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122900</v>
      </c>
      <c r="B7" s="29">
        <f>IF(L20="YES",C8*1,IF(L20="NO",B8*1))</f>
        <v>122900</v>
      </c>
      <c r="C7" s="29">
        <f>B7*5/100</f>
        <v>6145</v>
      </c>
      <c r="D7" s="29">
        <f>B7+C7</f>
        <v>129045</v>
      </c>
      <c r="E7" s="29">
        <f>D17</f>
        <v>24031.394124999999</v>
      </c>
      <c r="F7" s="29">
        <f>(C7)+(D10+D11+D12+D13+D16)*5/100</f>
        <v>6855</v>
      </c>
      <c r="G7" s="30">
        <f>B7+E7+F7</f>
        <v>153786.39412499999</v>
      </c>
      <c r="H7" s="29">
        <f>G7*D20</f>
        <v>30757.278825000001</v>
      </c>
      <c r="I7" s="29">
        <f>(G7-H7)</f>
        <v>123029.11529999999</v>
      </c>
      <c r="J7" s="30">
        <f>(((I7*D19)*1)+I7)/12</f>
        <v>10507.711689247499</v>
      </c>
      <c r="K7" s="30">
        <f>(((I7*D19)*2)+I7)/24</f>
        <v>5381.4985517474997</v>
      </c>
      <c r="L7" s="30">
        <f>(((I7*D19)*3)+I7)/36</f>
        <v>3672.7608392474995</v>
      </c>
      <c r="M7" s="30">
        <f>(((I7*D19)*4)+I7)/48</f>
        <v>2818.3919829974998</v>
      </c>
      <c r="N7" s="30">
        <f>((((I7*D19)*5)+I7)/60)</f>
        <v>2305.7706692474999</v>
      </c>
      <c r="O7" s="92"/>
      <c r="P7" s="83">
        <f>H7+H16</f>
        <v>32049.084535649999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122900</v>
      </c>
      <c r="C8" s="32">
        <f>IF(L20="YES",N20,IF(L20="NO",N20))</f>
        <v>122900</v>
      </c>
      <c r="D8" s="29">
        <v>0</v>
      </c>
      <c r="E8" s="33"/>
      <c r="F8" s="188"/>
      <c r="G8" s="189"/>
      <c r="H8" s="110">
        <f>G7*20/100</f>
        <v>30757.278824999998</v>
      </c>
      <c r="I8" s="21"/>
      <c r="J8" s="34" t="s">
        <v>15</v>
      </c>
      <c r="K8" s="23">
        <f>(J7*K5+J7)/24</f>
        <v>437.82132038531245</v>
      </c>
      <c r="L8" s="23">
        <f>(J7*L5+J7)/36</f>
        <v>301.77564209758305</v>
      </c>
      <c r="M8" s="23">
        <f>(J7*M5+J7)/48</f>
        <v>233.75280295371832</v>
      </c>
      <c r="N8" s="23">
        <f>(J7*N5+J7)/60</f>
        <v>192.9390994673995</v>
      </c>
      <c r="O8" s="92"/>
      <c r="P8" s="83">
        <f>P7/12</f>
        <v>2670.7570446374998</v>
      </c>
      <c r="T8" s="86">
        <f>25973-12973</f>
        <v>13000</v>
      </c>
    </row>
    <row r="9" spans="1:28" ht="25.5" x14ac:dyDescent="0.35">
      <c r="A9" s="8">
        <f>B8/(100%-A8)</f>
        <v>153625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3063.4249709699943</v>
      </c>
      <c r="K9" s="38">
        <f>(K7*24)-I7</f>
        <v>6126.8499419400032</v>
      </c>
      <c r="L9" s="38">
        <f>(L7*36)-I7</f>
        <v>9190.2749129099975</v>
      </c>
      <c r="M9" s="38">
        <f>(M7*48)-I7</f>
        <v>12253.699883879992</v>
      </c>
      <c r="N9" s="38">
        <f>(N7*60)-I7</f>
        <v>15317.124854850015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1068.6342787964713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5070.0824999999995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29757.278824999998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155569.27799999999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2563.10656875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4761.3116250000003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10252.426275</v>
      </c>
      <c r="L14" s="44">
        <f>(H8*L12+H8)/12</f>
        <v>2697.6696636093748</v>
      </c>
      <c r="M14" s="44">
        <f>(H8*M12+H8)/24</f>
        <v>1443.0289982062498</v>
      </c>
      <c r="N14" s="52">
        <f>(H7*N12+H7)/60</f>
        <v>647.18440860937505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3817</v>
      </c>
      <c r="B15" s="37" t="s">
        <v>27</v>
      </c>
      <c r="C15" s="20" t="s">
        <v>19</v>
      </c>
      <c r="D15" s="29">
        <f>IF(C15="YES",O10,IF(C15="NO",0))</f>
        <v>5070.0824999999995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1291.80571065</v>
      </c>
      <c r="I16" s="21"/>
      <c r="J16" s="44" t="s">
        <v>16</v>
      </c>
      <c r="K16" s="44">
        <f>(K14*3)-H8</f>
        <v>0</v>
      </c>
      <c r="L16" s="44">
        <f>(L14*12)-H8</f>
        <v>1614.7571383124996</v>
      </c>
      <c r="M16" s="44">
        <f>(M14*24)-H8</f>
        <v>3875.4171319499983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3947</v>
      </c>
      <c r="B17" s="37"/>
      <c r="C17" s="20"/>
      <c r="D17" s="29">
        <f>SUM(D10:D16)</f>
        <v>24031.394124999999</v>
      </c>
      <c r="E17" s="33"/>
      <c r="F17" s="33"/>
      <c r="G17" s="33"/>
      <c r="H17" s="33">
        <f>H7+H12+H15+H16</f>
        <v>32649.084535649999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3871.35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84.266517328767122</v>
      </c>
      <c r="K19" s="21"/>
      <c r="L19" s="21"/>
      <c r="M19" s="21"/>
      <c r="N19" s="23">
        <f>D7</f>
        <v>129045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143955</v>
      </c>
      <c r="V19" s="102">
        <f>(B7+D10+D11+D12+D13+D16)*1.05</f>
        <v>143955</v>
      </c>
      <c r="X19" s="87">
        <f>G7*3.15*1.05/100</f>
        <v>5086.4849856843757</v>
      </c>
      <c r="Y19" s="87">
        <f>G7*3/100+510*1.05</f>
        <v>5149.09182375</v>
      </c>
      <c r="Z19" s="87">
        <f>Y19+X19</f>
        <v>10235.576809434377</v>
      </c>
      <c r="AA19" s="87">
        <f>(Z19)-(D14+D15)</f>
        <v>404.18268443437773</v>
      </c>
      <c r="AB19" s="87">
        <f>AA19*1.25</f>
        <v>505.22835554297217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122900</v>
      </c>
      <c r="O20" s="92"/>
      <c r="P20" s="99"/>
      <c r="T20" s="86">
        <f>1992+1084</f>
        <v>3076</v>
      </c>
      <c r="V20" s="83"/>
      <c r="X20" s="87">
        <f>X19-D14</f>
        <v>325.17336068437544</v>
      </c>
      <c r="Y20" s="87">
        <f>Y19-D15</f>
        <v>79.009323750000476</v>
      </c>
      <c r="AA20" s="87">
        <f>X20+Y20</f>
        <v>404.18268443437591</v>
      </c>
    </row>
    <row r="21" spans="1:28" ht="25.5" x14ac:dyDescent="0.35">
      <c r="A21" s="13">
        <f>A19+A20</f>
        <v>3871.35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12558.1969442475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84.266517328767122</v>
      </c>
      <c r="I24" s="85">
        <f>H7/365</f>
        <v>84.266517328767122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92271.836475000004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3B02D36-3B1A-4000-96E8-4771A2A357F6}">
      <formula1>"ADCB,ADCB PAY IN 2027,Ajman Bank,ADIB,DIB EXPAT,DIB LOCAL GVH,Emirates NBD,EIB,FAB,RAK,SIB STL,SIB NON STL"</formula1>
    </dataValidation>
    <dataValidation type="list" allowBlank="1" showInputMessage="1" showErrorMessage="1" sqref="D5" xr:uid="{8C42BF68-EF1B-4192-B4D0-0A26032DE8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F1BE371-AC4A-46B7-822E-8E208C364A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22CF653-5931-4D8F-8DC6-3ABFE53F201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B73415B-F77E-4CB2-8AFF-AB04913994BD}">
      <formula1>"YES,NO"</formula1>
    </dataValidation>
    <dataValidation type="list" allowBlank="1" showInputMessage="1" showErrorMessage="1" sqref="K24" xr:uid="{D9CBAAC4-E99D-4995-8B05-BB72DBB3E8FC}">
      <formula1>"RMC-10-70K,RMC-10-100000K,RMC-40-70K"</formula1>
    </dataValidation>
    <dataValidation type="list" allowBlank="1" showInputMessage="1" showErrorMessage="1" sqref="B16" xr:uid="{ECB5759B-AE26-43BC-ACA4-CEA95482B283}">
      <formula1>"RMC-10-40KMS,RMC-10-60KMS,RMC-10-70KMS,RMC-10-100000KMS,RMC-40-70KMS,RMC-40-100000KMS"</formula1>
    </dataValidation>
    <dataValidation type="list" allowBlank="1" showInputMessage="1" showErrorMessage="1" sqref="B12" xr:uid="{064D29C1-0643-49D7-8ECD-E99AFAC1290E}">
      <formula1>"FO Exterior ceramic All Cars SCOTCHGUARD,FO Mirror Camera Sensor,FO PPF Gold Package "</formula1>
    </dataValidation>
    <dataValidation type="list" allowBlank="1" showInputMessage="1" showErrorMessage="1" sqref="B11" xr:uid="{0A07DE6A-6335-4208-9051-682FB709D728}">
      <formula1>"FO Ceramic+ Intr&amp;Extr CeramicGold WdwTnt,FO Mirror Camera Sensor"</formula1>
    </dataValidation>
    <dataValidation type="list" allowBlank="1" showInputMessage="1" showErrorMessage="1" sqref="M34" xr:uid="{3FDE658D-43AD-4B0C-81E5-48895FC054AA}">
      <formula1>"Alaa,Bachir ,Khaled,Ramy,Simon,Mharen,Ranjith,Jihan,Praveen,Sujith,Mossallem"</formula1>
    </dataValidation>
    <dataValidation type="list" allowBlank="1" showInputMessage="1" showErrorMessage="1" sqref="H34" xr:uid="{62998388-DD40-4A31-9D5D-E5171284437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A25B-4EDF-4388-A62D-0FC5CA5C9C82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P06-01</v>
      </c>
      <c r="D5" s="19" t="s">
        <v>109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15179.381109847498</v>
      </c>
      <c r="S5" s="87"/>
      <c r="U5" s="87">
        <f>L7+L14</f>
        <v>6185.2153894985422</v>
      </c>
      <c r="V5" s="87">
        <f>M7+M14</f>
        <v>4137.5236135537498</v>
      </c>
      <c r="W5" s="87">
        <f>N7+N14</f>
        <v>2867.1002978318747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4857.9693528318749</v>
      </c>
      <c r="V6" s="96">
        <f>N7+K14</f>
        <v>12193.077527347499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118900</v>
      </c>
      <c r="B7" s="29">
        <f>IF(L20="YES",C8*1,IF(L20="NO",B8*1))</f>
        <v>118900</v>
      </c>
      <c r="C7" s="29">
        <f>B7*5/100</f>
        <v>5945</v>
      </c>
      <c r="D7" s="29">
        <f>B7+C7</f>
        <v>124845</v>
      </c>
      <c r="E7" s="29">
        <f>D17</f>
        <v>23760.179125000002</v>
      </c>
      <c r="F7" s="29">
        <f>(C7)+(D10+D11+D12+D13+D16)*5/100</f>
        <v>6655</v>
      </c>
      <c r="G7" s="30">
        <f>B7+E7+F7</f>
        <v>149315.179125</v>
      </c>
      <c r="H7" s="29">
        <f>G7*D20</f>
        <v>29863.035824999999</v>
      </c>
      <c r="I7" s="29">
        <f>(G7-H7)</f>
        <v>119452.1433</v>
      </c>
      <c r="J7" s="30">
        <f>(((I7*D19)*1)+I7)/12</f>
        <v>10202.2084723475</v>
      </c>
      <c r="K7" s="30">
        <f>(((I7*D19)*2)+I7)/24</f>
        <v>5225.0358348474992</v>
      </c>
      <c r="L7" s="30">
        <f>(((I7*D19)*3)+I7)/36</f>
        <v>3565.9782890141669</v>
      </c>
      <c r="M7" s="30">
        <f>(((I7*D19)*4)+I7)/48</f>
        <v>2736.4495160974998</v>
      </c>
      <c r="N7" s="30">
        <f>((((I7*D19)*5)+I7)/60)</f>
        <v>2238.7322523475</v>
      </c>
      <c r="O7" s="92"/>
      <c r="P7" s="83">
        <f>H7+H16</f>
        <v>31117.283329649999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118900</v>
      </c>
      <c r="C8" s="32">
        <f>IF(L20="YES",N20,IF(L20="NO",N20))</f>
        <v>118900</v>
      </c>
      <c r="D8" s="29">
        <v>0</v>
      </c>
      <c r="E8" s="33"/>
      <c r="F8" s="188"/>
      <c r="G8" s="189"/>
      <c r="H8" s="110">
        <f>G7*20/100</f>
        <v>29863.035824999999</v>
      </c>
      <c r="I8" s="21"/>
      <c r="J8" s="34" t="s">
        <v>15</v>
      </c>
      <c r="K8" s="23">
        <f>(J7*K5+J7)/24</f>
        <v>425.09201968114581</v>
      </c>
      <c r="L8" s="23">
        <f>(J7*L5+J7)/36</f>
        <v>293.00175943222445</v>
      </c>
      <c r="M8" s="23">
        <f>(J7*M5+J7)/48</f>
        <v>226.95662930776373</v>
      </c>
      <c r="N8" s="23">
        <f>(J7*N5+J7)/60</f>
        <v>187.32955123308736</v>
      </c>
      <c r="O8" s="92"/>
      <c r="P8" s="83">
        <f>P7/12</f>
        <v>2593.1069441374998</v>
      </c>
      <c r="T8" s="86">
        <f>25973-12973</f>
        <v>13000</v>
      </c>
    </row>
    <row r="9" spans="1:28" ht="25.5" x14ac:dyDescent="0.35">
      <c r="A9" s="8">
        <f>B8/(100%-A8)</f>
        <v>148625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2974.3583681700111</v>
      </c>
      <c r="K9" s="38">
        <f>(K7*24)-I7</f>
        <v>5948.7167363399931</v>
      </c>
      <c r="L9" s="38">
        <f>(L7*36)-I7</f>
        <v>8923.0751045100042</v>
      </c>
      <c r="M9" s="38">
        <f>(M7*48)-I7</f>
        <v>11897.433472679986</v>
      </c>
      <c r="N9" s="38">
        <f>(N7*60)-I7</f>
        <v>14871.791840849997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1037.5646016377414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4937.7825000000003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28863.035824999999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150505.99799999999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2488.5863187499999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4622.3966250000003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9954.3452749999997</v>
      </c>
      <c r="L14" s="44">
        <f>(H8*L12+H8)/12</f>
        <v>2619.2371004843749</v>
      </c>
      <c r="M14" s="44">
        <f>(H8*M12+H8)/24</f>
        <v>1401.0740974562498</v>
      </c>
      <c r="N14" s="52">
        <f>(H7*N12+H7)/60</f>
        <v>628.36804548437499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3697</v>
      </c>
      <c r="B15" s="37" t="s">
        <v>27</v>
      </c>
      <c r="C15" s="20" t="s">
        <v>19</v>
      </c>
      <c r="D15" s="29">
        <f>IF(C15="YES",O10,IF(C15="NO",0))</f>
        <v>4937.7825000000003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1254.2475046500001</v>
      </c>
      <c r="I16" s="21"/>
      <c r="J16" s="44" t="s">
        <v>16</v>
      </c>
      <c r="K16" s="44">
        <f>(K14*3)-H8</f>
        <v>0</v>
      </c>
      <c r="L16" s="44">
        <f>(L14*12)-H8</f>
        <v>1567.8093808124977</v>
      </c>
      <c r="M16" s="44">
        <f>(M14*24)-H8</f>
        <v>3762.7425139499974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3827</v>
      </c>
      <c r="B17" s="37"/>
      <c r="C17" s="20"/>
      <c r="D17" s="29">
        <f>SUM(D10:D16)</f>
        <v>23760.179125000002</v>
      </c>
      <c r="E17" s="33"/>
      <c r="F17" s="33"/>
      <c r="G17" s="33"/>
      <c r="H17" s="33">
        <f>H7+H12+H15+H16</f>
        <v>31717.283329649999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3745.35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81.816536506849317</v>
      </c>
      <c r="K19" s="21"/>
      <c r="L19" s="21"/>
      <c r="M19" s="21"/>
      <c r="N19" s="23">
        <f>D7</f>
        <v>124845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139755</v>
      </c>
      <c r="V19" s="102">
        <f>(B7+D10+D11+D12+D13+D16)*1.05</f>
        <v>139755</v>
      </c>
      <c r="X19" s="87">
        <f>G7*3.15*1.05/100</f>
        <v>4938.5995495593743</v>
      </c>
      <c r="Y19" s="87">
        <f>G7*3/100+510*1.05</f>
        <v>5014.9553737499991</v>
      </c>
      <c r="Z19" s="87">
        <f>Y19+X19</f>
        <v>9953.5549233093734</v>
      </c>
      <c r="AA19" s="87">
        <f>(Z19)-(D14+D15)</f>
        <v>393.37579830937284</v>
      </c>
      <c r="AB19" s="87">
        <f>AA19*1.25</f>
        <v>491.71974788671605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118900</v>
      </c>
      <c r="O20" s="92"/>
      <c r="P20" s="99"/>
      <c r="T20" s="86">
        <f>1992+1084</f>
        <v>3076</v>
      </c>
      <c r="V20" s="83"/>
      <c r="X20" s="87">
        <f>X19-D14</f>
        <v>316.20292455937397</v>
      </c>
      <c r="Y20" s="87">
        <f>Y19-D15</f>
        <v>77.172873749998871</v>
      </c>
      <c r="AA20" s="87">
        <f>X20+Y20</f>
        <v>393.37579830937284</v>
      </c>
    </row>
    <row r="21" spans="1:28" ht="25.5" x14ac:dyDescent="0.35">
      <c r="A21" s="13">
        <f>A19+A20</f>
        <v>3745.35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12193.077527347499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81.816536506849317</v>
      </c>
      <c r="I24" s="85">
        <f>H7/365</f>
        <v>81.816536506849317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89589.107474999997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C354CB-468A-4A56-B9D7-07072573CCFC}">
      <formula1>"ADCB,ADCB PAY IN 2027,Ajman Bank,ADIB,DIB EXPAT,DIB LOCAL GVH,Emirates NBD,EIB,FAB,RAK,SIB STL,SIB NON STL"</formula1>
    </dataValidation>
    <dataValidation type="list" allowBlank="1" showInputMessage="1" showErrorMessage="1" sqref="D5" xr:uid="{FA8733F0-0C43-4331-9C50-B8BFC2FF85D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C769B92-CC75-4BAE-ACF6-C30DC4A37F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4AD7A1F-722C-419A-B082-FEECC8EF140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4A3AF-672A-4186-B1B1-FC3B931AD8F6}">
      <formula1>"YES,NO"</formula1>
    </dataValidation>
    <dataValidation type="list" allowBlank="1" showInputMessage="1" showErrorMessage="1" sqref="K24" xr:uid="{0A4C6297-7219-46E0-AD41-83CF05390EAD}">
      <formula1>"RMC-10-70K,RMC-10-100000K,RMC-40-70K"</formula1>
    </dataValidation>
    <dataValidation type="list" allowBlank="1" showInputMessage="1" showErrorMessage="1" sqref="B16" xr:uid="{1682E4FA-8470-43FA-AAC0-0F2E6BCE68B7}">
      <formula1>"RMC-10-40KMS,RMC-10-60KMS,RMC-10-70KMS,RMC-10-100000KMS,RMC-40-70KMS,RMC-40-100000KMS"</formula1>
    </dataValidation>
    <dataValidation type="list" allowBlank="1" showInputMessage="1" showErrorMessage="1" sqref="B12" xr:uid="{49811E65-5BF0-45A1-8422-3A0E34BDB6E4}">
      <formula1>"FO Exterior ceramic All Cars SCOTCHGUARD,FO Mirror Camera Sensor,FO PPF Gold Package "</formula1>
    </dataValidation>
    <dataValidation type="list" allowBlank="1" showInputMessage="1" showErrorMessage="1" sqref="B11" xr:uid="{28FA5DB8-2479-41E4-A161-F13759D71301}">
      <formula1>"FO Ceramic+ Intr&amp;Extr CeramicGold WdwTnt,FO Mirror Camera Sensor"</formula1>
    </dataValidation>
    <dataValidation type="list" allowBlank="1" showInputMessage="1" showErrorMessage="1" sqref="M34" xr:uid="{5D66927D-9703-4A78-8768-2A26081980CC}">
      <formula1>"Alaa,Bachir ,Khaled,Ramy,Simon,Mharen,Ranjith,Jihan,Praveen,Sujith,Mossallem"</formula1>
    </dataValidation>
    <dataValidation type="list" allowBlank="1" showInputMessage="1" showErrorMessage="1" sqref="H34" xr:uid="{4A72A223-3395-4A30-8D3E-5F601D2D948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8BBE-B8DB-4CA0-9AED-30EABA226B71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</v>
      </c>
      <c r="D5" s="19" t="s">
        <v>108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14383.9296052725</v>
      </c>
      <c r="S5" s="87"/>
      <c r="U5" s="87">
        <f>L7+L14</f>
        <v>5861.0889411214584</v>
      </c>
      <c r="V5" s="87">
        <f>M7+M14</f>
        <v>3920.7032201662496</v>
      </c>
      <c r="W5" s="87">
        <f>N7+N14</f>
        <v>2716.854432788125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4603.3951377881249</v>
      </c>
      <c r="V6" s="96">
        <f>N7+K14</f>
        <v>11554.118547772501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111900</v>
      </c>
      <c r="B7" s="29">
        <f>IF(L20="YES",C8*1,IF(L20="NO",B8*1))</f>
        <v>111900</v>
      </c>
      <c r="C7" s="29">
        <f>B7*5/100</f>
        <v>5595</v>
      </c>
      <c r="D7" s="29">
        <f>B7+C7</f>
        <v>117495</v>
      </c>
      <c r="E7" s="29">
        <f>D17</f>
        <v>23285.552875000001</v>
      </c>
      <c r="F7" s="29">
        <f>(C7)+(D10+D11+D12+D13+D16)*5/100</f>
        <v>6305</v>
      </c>
      <c r="G7" s="30">
        <f>B7+E7+F7</f>
        <v>141490.55287499999</v>
      </c>
      <c r="H7" s="29">
        <f>G7*D20</f>
        <v>28298.110574999999</v>
      </c>
      <c r="I7" s="29">
        <f>(G7-H7)</f>
        <v>113192.4423</v>
      </c>
      <c r="J7" s="30">
        <f>(((I7*D19)*1)+I7)/12</f>
        <v>9667.5778427724999</v>
      </c>
      <c r="K7" s="30">
        <f>(((I7*D19)*2)+I7)/24</f>
        <v>4951.2260802724995</v>
      </c>
      <c r="L7" s="30">
        <f>(((I7*D19)*3)+I7)/36</f>
        <v>3379.1088261058335</v>
      </c>
      <c r="M7" s="30">
        <f>(((I7*D19)*4)+I7)/48</f>
        <v>2593.0501990224998</v>
      </c>
      <c r="N7" s="30">
        <f>((((I7*D19)*5)+I7)/60)</f>
        <v>2121.4150227724999</v>
      </c>
      <c r="O7" s="92"/>
      <c r="P7" s="83">
        <f>H7+H16</f>
        <v>29486.63121915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111900</v>
      </c>
      <c r="C8" s="32">
        <f>IF(L20="YES",N20,IF(L20="NO",N20))</f>
        <v>111900</v>
      </c>
      <c r="D8" s="29">
        <v>0</v>
      </c>
      <c r="E8" s="33"/>
      <c r="F8" s="188"/>
      <c r="G8" s="189"/>
      <c r="H8" s="110">
        <f>G7*20/100</f>
        <v>28298.110575000002</v>
      </c>
      <c r="I8" s="21"/>
      <c r="J8" s="34" t="s">
        <v>15</v>
      </c>
      <c r="K8" s="23">
        <f>(J7*K5+J7)/24</f>
        <v>402.81574344885416</v>
      </c>
      <c r="L8" s="23">
        <f>(J7*L5+J7)/36</f>
        <v>277.64746476784688</v>
      </c>
      <c r="M8" s="23">
        <f>(J7*M5+J7)/48</f>
        <v>215.06332542734324</v>
      </c>
      <c r="N8" s="23">
        <f>(J7*N5+J7)/60</f>
        <v>177.51284182304104</v>
      </c>
      <c r="O8" s="92"/>
      <c r="P8" s="83">
        <f>P7/12</f>
        <v>2457.2192682625</v>
      </c>
      <c r="T8" s="86">
        <f>25973-12973</f>
        <v>13000</v>
      </c>
    </row>
    <row r="9" spans="1:28" ht="25.5" x14ac:dyDescent="0.35">
      <c r="A9" s="8">
        <f>B8/(100%-A8)</f>
        <v>139875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2818.4918132699968</v>
      </c>
      <c r="K9" s="38">
        <f>(K7*24)-I7</f>
        <v>5636.9836265399936</v>
      </c>
      <c r="L9" s="38">
        <f>(L7*36)-I7</f>
        <v>8455.4754398100049</v>
      </c>
      <c r="M9" s="38">
        <f>(M7*48)-I7</f>
        <v>11273.967253079987</v>
      </c>
      <c r="N9" s="38">
        <f>(N7*60)-I7</f>
        <v>14092.459066349998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983.19266660996254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4706.2574999999997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27298.110575000002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141645.258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2358.1758812499997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4379.2953750000006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9432.7035250000008</v>
      </c>
      <c r="L14" s="44">
        <f>(H8*L12+H8)/12</f>
        <v>2481.980115015625</v>
      </c>
      <c r="M14" s="44">
        <f>(H8*M12+H8)/24</f>
        <v>1327.65302114375</v>
      </c>
      <c r="N14" s="52">
        <f>(H7*N12+H7)/60</f>
        <v>595.43941001562496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3487</v>
      </c>
      <c r="B15" s="37" t="s">
        <v>27</v>
      </c>
      <c r="C15" s="20" t="s">
        <v>19</v>
      </c>
      <c r="D15" s="29">
        <f>IF(C15="YES",O10,IF(C15="NO",0))</f>
        <v>4706.2574999999997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1188.52064415</v>
      </c>
      <c r="I16" s="21"/>
      <c r="J16" s="44" t="s">
        <v>16</v>
      </c>
      <c r="K16" s="44">
        <f>(K14*3)-H8</f>
        <v>0</v>
      </c>
      <c r="L16" s="44">
        <f>(L14*12)-H8</f>
        <v>1485.6508051874953</v>
      </c>
      <c r="M16" s="44">
        <f>(M14*24)-H8</f>
        <v>3565.5619324499967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3617</v>
      </c>
      <c r="B17" s="37"/>
      <c r="C17" s="20"/>
      <c r="D17" s="29">
        <f>SUM(D10:D16)</f>
        <v>23285.552875000001</v>
      </c>
      <c r="E17" s="33"/>
      <c r="F17" s="33"/>
      <c r="G17" s="33"/>
      <c r="H17" s="33">
        <f>H7+H12+H15+H16</f>
        <v>30086.63121915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3524.85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77.529070068493141</v>
      </c>
      <c r="K19" s="21"/>
      <c r="L19" s="21"/>
      <c r="M19" s="21"/>
      <c r="N19" s="23">
        <f>D7</f>
        <v>117495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132405</v>
      </c>
      <c r="V19" s="102">
        <f>(B7+D10+D11+D12+D13+D16)*1.05</f>
        <v>132405</v>
      </c>
      <c r="X19" s="87">
        <f>G7*3.15*1.05/100</f>
        <v>4679.8000363406245</v>
      </c>
      <c r="Y19" s="87">
        <f>G7*3/100+510*1.05</f>
        <v>4780.2165862499996</v>
      </c>
      <c r="Z19" s="87">
        <f>Y19+X19</f>
        <v>9460.016622590625</v>
      </c>
      <c r="AA19" s="87">
        <f>(Z19)-(D14+D15)</f>
        <v>374.46374759062383</v>
      </c>
      <c r="AB19" s="87">
        <f>AA19*1.25</f>
        <v>468.07968448827978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111900</v>
      </c>
      <c r="O20" s="92"/>
      <c r="P20" s="99"/>
      <c r="T20" s="86">
        <f>1992+1084</f>
        <v>3076</v>
      </c>
      <c r="V20" s="83"/>
      <c r="X20" s="87">
        <f>X19-D14</f>
        <v>300.5046613406239</v>
      </c>
      <c r="Y20" s="87">
        <f>Y19-D15</f>
        <v>73.959086249999928</v>
      </c>
      <c r="AA20" s="87">
        <f>X20+Y20</f>
        <v>374.46374759062383</v>
      </c>
    </row>
    <row r="21" spans="1:28" ht="25.5" x14ac:dyDescent="0.35">
      <c r="A21" s="13">
        <f>A19+A20</f>
        <v>3524.85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11554.118547772501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77.529070068493141</v>
      </c>
      <c r="I24" s="85">
        <f>H7/365</f>
        <v>77.529070068493141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84894.331724999982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EA53051D-2165-489E-A014-EAF24093ECF5}">
      <formula1>"ADCB,ADCB PAY IN 2027,Ajman Bank,ADIB,DIB EXPAT,DIB LOCAL GVH,Emirates NBD,EIB,FAB,RAK,SIB STL,SIB NON STL"</formula1>
    </dataValidation>
    <dataValidation type="list" allowBlank="1" showInputMessage="1" showErrorMessage="1" sqref="D5" xr:uid="{EF3B436F-BFAD-47F1-8B1A-5505A88B087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6B8EB00-EA44-43A9-B195-878F3294D92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171461-D305-49BA-9CD3-6D1980C43C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A3CAE2-489C-4490-9DA2-F45D45478300}">
      <formula1>"YES,NO"</formula1>
    </dataValidation>
    <dataValidation type="list" allowBlank="1" showInputMessage="1" showErrorMessage="1" sqref="K24" xr:uid="{1C2F6256-D3FE-43E6-86A3-D982585C4DDE}">
      <formula1>"RMC-10-70K,RMC-10-100000K,RMC-40-70K"</formula1>
    </dataValidation>
    <dataValidation type="list" allowBlank="1" showInputMessage="1" showErrorMessage="1" sqref="B16" xr:uid="{24DB37ED-265C-4D89-947A-AFD2F05B1971}">
      <formula1>"RMC-10-40KMS,RMC-10-60KMS,RMC-10-70KMS,RMC-10-100000KMS,RMC-40-70KMS,RMC-40-100000KMS"</formula1>
    </dataValidation>
    <dataValidation type="list" allowBlank="1" showInputMessage="1" showErrorMessage="1" sqref="B12" xr:uid="{D9D3AB9F-3E7D-4995-953E-31BD53CF572F}">
      <formula1>"FO Exterior ceramic All Cars SCOTCHGUARD,FO Mirror Camera Sensor,FO PPF Gold Package "</formula1>
    </dataValidation>
    <dataValidation type="list" allowBlank="1" showInputMessage="1" showErrorMessage="1" sqref="B11" xr:uid="{CF8B0CE6-BE18-447F-A277-DD540AE78936}">
      <formula1>"FO Ceramic+ Intr&amp;Extr CeramicGold WdwTnt,FO Mirror Camera Sensor"</formula1>
    </dataValidation>
    <dataValidation type="list" allowBlank="1" showInputMessage="1" showErrorMessage="1" sqref="M34" xr:uid="{B6FE2F9B-46A1-42A7-BB5C-894A08D299AB}">
      <formula1>"Alaa,Bachir ,Khaled,Ramy,Simon,Mharen,Ranjith,Jihan,Praveen,Sujith,Mossallem"</formula1>
    </dataValidation>
    <dataValidation type="list" allowBlank="1" showInputMessage="1" showErrorMessage="1" sqref="H34" xr:uid="{50E41F0D-53EA-4C38-9774-3029A8239AB9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6EA3-13B0-487E-A810-F34FD8CCF21C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F06</v>
      </c>
      <c r="D5" s="19" t="s">
        <v>107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12224.8469499975</v>
      </c>
      <c r="S5" s="87"/>
      <c r="U5" s="87">
        <f>L7+L14</f>
        <v>4981.317152669375</v>
      </c>
      <c r="V5" s="87">
        <f>M7+M14</f>
        <v>3332.1907238287499</v>
      </c>
      <c r="W5" s="87">
        <f>N7+N14</f>
        <v>2309.0442276693748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3912.4079826693751</v>
      </c>
      <c r="V6" s="96">
        <f>N7+K14</f>
        <v>9819.8013174975003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29">
        <f>B7+C7</f>
        <v>97545</v>
      </c>
      <c r="E7" s="29">
        <f>D17</f>
        <v>21997.281625000003</v>
      </c>
      <c r="F7" s="29">
        <f>(C7)+(D10+D11+D12+D13+D16)*5/100</f>
        <v>5355</v>
      </c>
      <c r="G7" s="30">
        <f>B7+E7+F7</f>
        <v>120252.281625</v>
      </c>
      <c r="H7" s="29">
        <f>G7*D20</f>
        <v>24050.456325000003</v>
      </c>
      <c r="I7" s="29">
        <f>(G7-H7)</f>
        <v>96201.825299999997</v>
      </c>
      <c r="J7" s="30">
        <f>(((I7*D19)*1)+I7)/12</f>
        <v>8216.4375624975</v>
      </c>
      <c r="K7" s="30">
        <f>(((I7*D19)*2)+I7)/24</f>
        <v>4208.0281749975002</v>
      </c>
      <c r="L7" s="30">
        <f>(((I7*D19)*3)+I7)/36</f>
        <v>2871.8917124974996</v>
      </c>
      <c r="M7" s="30">
        <f>(((I7*D19)*4)+I7)/48</f>
        <v>2203.8234812474998</v>
      </c>
      <c r="N7" s="30">
        <f>((((I7*D19)*5)+I7)/60)</f>
        <v>1802.9825424974999</v>
      </c>
      <c r="O7" s="92"/>
      <c r="P7" s="83">
        <f>H7+H16</f>
        <v>25060.575490650004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92900</v>
      </c>
      <c r="C8" s="32">
        <f>IF(L20="YES",N20,IF(L20="NO",N20))</f>
        <v>92900</v>
      </c>
      <c r="D8" s="29">
        <v>0</v>
      </c>
      <c r="E8" s="33"/>
      <c r="F8" s="188"/>
      <c r="G8" s="189"/>
      <c r="H8" s="110">
        <f>G7*20/100</f>
        <v>24050.456325000003</v>
      </c>
      <c r="I8" s="21"/>
      <c r="J8" s="34" t="s">
        <v>15</v>
      </c>
      <c r="K8" s="23">
        <f>(J7*K5+J7)/24</f>
        <v>342.3515651040625</v>
      </c>
      <c r="L8" s="23">
        <f>(J7*L5+J7)/36</f>
        <v>235.97152210739347</v>
      </c>
      <c r="M8" s="23">
        <f>(J7*M5+J7)/48</f>
        <v>182.78150060905898</v>
      </c>
      <c r="N8" s="23">
        <f>(J7*N5+J7)/60</f>
        <v>150.86748771005827</v>
      </c>
      <c r="O8" s="92"/>
      <c r="P8" s="83">
        <f>P7/12</f>
        <v>2088.3812908875002</v>
      </c>
      <c r="T8" s="86">
        <f>25973-12973</f>
        <v>13000</v>
      </c>
    </row>
    <row r="9" spans="1:28" ht="25.5" x14ac:dyDescent="0.35">
      <c r="A9" s="8">
        <f>B8/(100%-A8)</f>
        <v>116125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2395.4254499700037</v>
      </c>
      <c r="K9" s="38">
        <f>(K7*24)-I7</f>
        <v>4790.8508999400074</v>
      </c>
      <c r="L9" s="38">
        <f>(L7*36)-I7</f>
        <v>7186.2763499099819</v>
      </c>
      <c r="M9" s="38">
        <f>(M7*48)-I7</f>
        <v>9581.7017998799856</v>
      </c>
      <c r="N9" s="38">
        <f>(N7*60)-I7</f>
        <v>11977.127249850004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835.61170010599562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4077.8325000000004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23050.456325000003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117594.678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2004.2046937500002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3719.4491250000005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8016.8187750000006</v>
      </c>
      <c r="L14" s="44">
        <f>(H8*L12+H8)/12</f>
        <v>2109.4254401718754</v>
      </c>
      <c r="M14" s="44">
        <f>(H8*M12+H8)/24</f>
        <v>1128.3672425812501</v>
      </c>
      <c r="N14" s="52">
        <f>(H7*N12+H7)/60</f>
        <v>506.06168517187507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2917</v>
      </c>
      <c r="B15" s="37" t="s">
        <v>27</v>
      </c>
      <c r="C15" s="20" t="s">
        <v>19</v>
      </c>
      <c r="D15" s="29">
        <f>IF(C15="YES",O10,IF(C15="NO",0))</f>
        <v>4077.8325000000004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1010.11916565</v>
      </c>
      <c r="I16" s="21"/>
      <c r="J16" s="44" t="s">
        <v>16</v>
      </c>
      <c r="K16" s="44">
        <f>(K14*3)-H8</f>
        <v>0</v>
      </c>
      <c r="L16" s="44">
        <f>(L14*12)-H8</f>
        <v>1262.6489570625017</v>
      </c>
      <c r="M16" s="44">
        <f>(M14*24)-H8</f>
        <v>3030.3574969500005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3047</v>
      </c>
      <c r="B17" s="37"/>
      <c r="C17" s="20"/>
      <c r="D17" s="29">
        <f>SUM(D10:D16)</f>
        <v>21997.281625000003</v>
      </c>
      <c r="E17" s="33"/>
      <c r="F17" s="33"/>
      <c r="G17" s="33"/>
      <c r="H17" s="33">
        <f>H7+H12+H15+H16</f>
        <v>25660.575490650004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2926.35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65.891661164383564</v>
      </c>
      <c r="K19" s="21"/>
      <c r="L19" s="21"/>
      <c r="M19" s="21"/>
      <c r="N19" s="23">
        <f>D7</f>
        <v>97545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112455</v>
      </c>
      <c r="V19" s="102">
        <f>(B7+D10+D11+D12+D13+D16)*1.05</f>
        <v>112455</v>
      </c>
      <c r="X19" s="87">
        <f>G7*3.15*1.05/100</f>
        <v>3977.3442147468754</v>
      </c>
      <c r="Y19" s="87">
        <f>G7*3/100+510*1.05</f>
        <v>4143.0684487500002</v>
      </c>
      <c r="Z19" s="87">
        <f>Y19+X19</f>
        <v>8120.4126634968761</v>
      </c>
      <c r="AA19" s="87">
        <f>(Z19)-(D14+D15)</f>
        <v>323.13103849687468</v>
      </c>
      <c r="AB19" s="87">
        <f>AA19*1.25</f>
        <v>403.91379812109335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92900</v>
      </c>
      <c r="O20" s="92"/>
      <c r="P20" s="99"/>
      <c r="T20" s="86">
        <f>1992+1084</f>
        <v>3076</v>
      </c>
      <c r="V20" s="83"/>
      <c r="X20" s="87">
        <f>X19-D14</f>
        <v>257.89508974687487</v>
      </c>
      <c r="Y20" s="87">
        <f>Y19-D15</f>
        <v>65.235948749999807</v>
      </c>
      <c r="AA20" s="87">
        <f>X20+Y20</f>
        <v>323.13103849687468</v>
      </c>
    </row>
    <row r="21" spans="1:28" ht="25.5" x14ac:dyDescent="0.35">
      <c r="A21" s="13">
        <f>A19+A20</f>
        <v>2926.35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9819.8013174975003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65.891661164383564</v>
      </c>
      <c r="I24" s="85">
        <f>H7/365</f>
        <v>65.891661164383564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72151.36897499999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3AC7FD7-BEF0-4E47-B0B0-7D625877D3A4}">
      <formula1>"ADCB,ADCB PAY IN 2027,Ajman Bank,ADIB,DIB EXPAT,DIB LOCAL GVH,Emirates NBD,EIB,FAB,RAK,SIB STL,SIB NON STL"</formula1>
    </dataValidation>
    <dataValidation type="list" allowBlank="1" showInputMessage="1" showErrorMessage="1" sqref="D5" xr:uid="{BE028CD5-F717-4C38-B6BB-4D00DF322E9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E6A4BC-487D-4705-B5FE-85D4E0EF6C8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0B6A78CB-18B2-4963-BEAD-B4FC2DD3DD6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915ACC-5B1E-4C39-8784-5855EC0AD063}">
      <formula1>"YES,NO"</formula1>
    </dataValidation>
    <dataValidation type="list" allowBlank="1" showInputMessage="1" showErrorMessage="1" sqref="K24" xr:uid="{FC0BCDDB-9A60-403E-943C-B59FCE77E680}">
      <formula1>"RMC-10-70K,RMC-10-100000K,RMC-40-70K"</formula1>
    </dataValidation>
    <dataValidation type="list" allowBlank="1" showInputMessage="1" showErrorMessage="1" sqref="B16" xr:uid="{5209D941-F211-4629-B37C-9CF9C58A7482}">
      <formula1>"RMC-10-40KMS,RMC-10-60KMS,RMC-10-70KMS,RMC-10-100000KMS,RMC-40-70KMS,RMC-40-100000KMS"</formula1>
    </dataValidation>
    <dataValidation type="list" allowBlank="1" showInputMessage="1" showErrorMessage="1" sqref="B12" xr:uid="{E6648B08-FC4F-46FB-947F-804DDD00ED50}">
      <formula1>"FO Exterior ceramic All Cars SCOTCHGUARD,FO Mirror Camera Sensor,FO PPF Gold Package "</formula1>
    </dataValidation>
    <dataValidation type="list" allowBlank="1" showInputMessage="1" showErrorMessage="1" sqref="B11" xr:uid="{BF321D46-34FE-4EB1-AFFB-FF1FCA6643B1}">
      <formula1>"FO Ceramic+ Intr&amp;Extr CeramicGold WdwTnt,FO Mirror Camera Sensor"</formula1>
    </dataValidation>
    <dataValidation type="list" allowBlank="1" showInputMessage="1" showErrorMessage="1" sqref="M34" xr:uid="{2C8511D3-B7D0-4813-B49E-AED0D9E6331C}">
      <formula1>"Alaa,Bachir ,Khaled,Ramy,Simon,Mharen,Ranjith,Jihan,Praveen,Sujith,Mossallem"</formula1>
    </dataValidation>
    <dataValidation type="list" allowBlank="1" showInputMessage="1" showErrorMessage="1" sqref="H34" xr:uid="{095E2E30-BEFA-4967-872C-9A0959D5534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B7D6-CF3F-4450-A554-3CA330C5347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P03</v>
      </c>
      <c r="D5" s="19" t="s">
        <v>106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10747.579870072499</v>
      </c>
      <c r="S5" s="87"/>
      <c r="U5" s="87">
        <f>L7+L14</f>
        <v>4379.3680342547905</v>
      </c>
      <c r="V5" s="87">
        <f>M7+M14</f>
        <v>2929.5242789662498</v>
      </c>
      <c r="W5" s="87">
        <f>N7+N14</f>
        <v>2030.016192588125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3439.6272975881247</v>
      </c>
      <c r="V6" s="96">
        <f>N7+K14</f>
        <v>8633.1632125724991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29">
        <f>B7+C7</f>
        <v>83895</v>
      </c>
      <c r="E7" s="29">
        <f>D17</f>
        <v>21115.832875</v>
      </c>
      <c r="F7" s="29">
        <f>(C7)+(D10+D11+D12+D13+D16)*5/100</f>
        <v>4705</v>
      </c>
      <c r="G7" s="30">
        <f>B7+E7+F7</f>
        <v>105720.83287499999</v>
      </c>
      <c r="H7" s="29">
        <f>G7*D20</f>
        <v>21144.166574999999</v>
      </c>
      <c r="I7" s="29">
        <f>(G7-H7)</f>
        <v>84576.666299999997</v>
      </c>
      <c r="J7" s="30">
        <f>(((I7*D19)*1)+I7)/12</f>
        <v>7223.5521075725001</v>
      </c>
      <c r="K7" s="30">
        <f>(((I7*D19)*2)+I7)/24</f>
        <v>3699.5243450724997</v>
      </c>
      <c r="L7" s="30">
        <f>(((I7*D19)*3)+I7)/36</f>
        <v>2524.8484242391664</v>
      </c>
      <c r="M7" s="30">
        <f>(((I7*D19)*4)+I7)/48</f>
        <v>1937.5104638225</v>
      </c>
      <c r="N7" s="30">
        <f>((((I7*D19)*5)+I7)/60)</f>
        <v>1585.1076875725</v>
      </c>
      <c r="O7" s="92"/>
      <c r="P7" s="83">
        <f>H7+H16</f>
        <v>22032.221571149999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21144.166574999996</v>
      </c>
      <c r="I8" s="21"/>
      <c r="J8" s="34" t="s">
        <v>15</v>
      </c>
      <c r="K8" s="23">
        <f>(J7*K5+J7)/24</f>
        <v>300.98133781552082</v>
      </c>
      <c r="L8" s="23">
        <f>(J7*L5+J7)/36</f>
        <v>207.45640344497801</v>
      </c>
      <c r="M8" s="23">
        <f>(J7*M5+J7)/48</f>
        <v>160.69393625970659</v>
      </c>
      <c r="N8" s="23">
        <f>(J7*N5+J7)/60</f>
        <v>132.63645594854373</v>
      </c>
      <c r="O8" s="92"/>
      <c r="P8" s="83">
        <f>P7/12</f>
        <v>1836.0184642624999</v>
      </c>
      <c r="T8" s="86">
        <f>25973-12973</f>
        <v>13000</v>
      </c>
    </row>
    <row r="9" spans="1:28" ht="25.5" x14ac:dyDescent="0.35">
      <c r="A9" s="8">
        <f>B8/(100%-A8)</f>
        <v>99875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2105.95899087</v>
      </c>
      <c r="K9" s="38">
        <f>(K7*24)-I7</f>
        <v>4211.91798174</v>
      </c>
      <c r="L9" s="38">
        <f>(L7*36)-I7</f>
        <v>6317.8769726099999</v>
      </c>
      <c r="M9" s="38">
        <f>(M7*48)-I7</f>
        <v>8423.8359634799999</v>
      </c>
      <c r="N9" s="38">
        <f>(N7*60)-I7</f>
        <v>10529.79495435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734.63524934012366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3647.8575000000001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20144.166574999996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1762.0138812499999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3267.9753750000004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7048.0555249999989</v>
      </c>
      <c r="L14" s="44">
        <f>(H8*L12+H8)/12</f>
        <v>1854.5196100156245</v>
      </c>
      <c r="M14" s="44">
        <f>(H8*M12+H8)/24</f>
        <v>992.01381514374987</v>
      </c>
      <c r="N14" s="52">
        <f>(H7*N12+H7)/60</f>
        <v>444.90850501562505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3647.8575000000001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888.05499615000008</v>
      </c>
      <c r="I16" s="21"/>
      <c r="J16" s="44" t="s">
        <v>16</v>
      </c>
      <c r="K16" s="44">
        <f>(K14*3)-H8</f>
        <v>0</v>
      </c>
      <c r="L16" s="44">
        <f>(L14*12)-H8</f>
        <v>1110.0687451874983</v>
      </c>
      <c r="M16" s="44">
        <f>(M14*24)-H8</f>
        <v>2664.1649884500002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2657</v>
      </c>
      <c r="B17" s="37"/>
      <c r="C17" s="20"/>
      <c r="D17" s="29">
        <f>SUM(D10:D16)</f>
        <v>21115.832875</v>
      </c>
      <c r="E17" s="33"/>
      <c r="F17" s="33"/>
      <c r="G17" s="33"/>
      <c r="H17" s="33">
        <f>H7+H12+H15+H16</f>
        <v>22632.221571149999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57.92922349315068</v>
      </c>
      <c r="K19" s="21"/>
      <c r="L19" s="21"/>
      <c r="M19" s="21"/>
      <c r="N19" s="23">
        <f>D7</f>
        <v>83895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98805</v>
      </c>
      <c r="V19" s="102">
        <f>(B7+D10+D11+D12+D13+D16)*1.05</f>
        <v>98805</v>
      </c>
      <c r="X19" s="87">
        <f>G7*3.15*1.05/100</f>
        <v>3496.7165473406244</v>
      </c>
      <c r="Y19" s="87">
        <f>G7*3/100+510*1.05</f>
        <v>3707.1249862499999</v>
      </c>
      <c r="Z19" s="87">
        <f>Y19+X19</f>
        <v>7203.8415335906247</v>
      </c>
      <c r="AA19" s="87">
        <f>(Z19)-(D14+D15)</f>
        <v>288.00865859062469</v>
      </c>
      <c r="AB19" s="87">
        <f>AA19*1.25</f>
        <v>360.01082323828086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79900</v>
      </c>
      <c r="O20" s="92"/>
      <c r="P20" s="99"/>
      <c r="T20" s="86">
        <f>1992+1084</f>
        <v>3076</v>
      </c>
      <c r="V20" s="83"/>
      <c r="X20" s="87">
        <f>X19-D14</f>
        <v>228.74117234062396</v>
      </c>
      <c r="Y20" s="87">
        <f>Y19-D15</f>
        <v>59.26748624999982</v>
      </c>
      <c r="AA20" s="87">
        <f>X20+Y20</f>
        <v>288.00865859062378</v>
      </c>
    </row>
    <row r="21" spans="1:28" ht="25.5" x14ac:dyDescent="0.35">
      <c r="A21" s="13">
        <f>A19+A20</f>
        <v>2516.85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8633.1632125724991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57.92922349315068</v>
      </c>
      <c r="I24" s="85">
        <f>H7/365</f>
        <v>57.92922349315068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63432.499725000001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516BE17E-91F8-4BAB-86B1-B2D48119ADB1}">
      <formula1>"ADCB,ADCB PAY IN 2027,Ajman Bank,ADIB,DIB EXPAT,DIB LOCAL GVH,Emirates NBD,EIB,FAB,RAK,SIB STL,SIB NON STL"</formula1>
    </dataValidation>
    <dataValidation type="list" allowBlank="1" showInputMessage="1" showErrorMessage="1" sqref="D5" xr:uid="{AB2B1BD9-D831-46F6-B0B4-707F1B01B4D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1EA28B8-A568-4552-BFA7-F33BFA43888B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9647386-B169-437F-A290-75E516CDCEE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7A629EB-CCE5-4FC7-900B-8F4EE5BC66E2}">
      <formula1>"YES,NO"</formula1>
    </dataValidation>
    <dataValidation type="list" allowBlank="1" showInputMessage="1" showErrorMessage="1" sqref="K24" xr:uid="{5A988A3C-895B-44C6-B249-7FC6F86B17F1}">
      <formula1>"RMC-10-70K,RMC-10-100000K,RMC-40-70K"</formula1>
    </dataValidation>
    <dataValidation type="list" allowBlank="1" showInputMessage="1" showErrorMessage="1" sqref="B16" xr:uid="{9074AC8B-E834-4543-B08F-6B67DEDF673C}">
      <formula1>"RMC-10-40KMS,RMC-10-60KMS,RMC-10-70KMS,RMC-10-100000KMS,RMC-40-70KMS,RMC-40-100000KMS"</formula1>
    </dataValidation>
    <dataValidation type="list" allowBlank="1" showInputMessage="1" showErrorMessage="1" sqref="B12" xr:uid="{328C4EF4-4F38-4FAD-8D8B-786C72EB9A8F}">
      <formula1>"FO Exterior ceramic All Cars SCOTCHGUARD,FO Mirror Camera Sensor,FO PPF Gold Package "</formula1>
    </dataValidation>
    <dataValidation type="list" allowBlank="1" showInputMessage="1" showErrorMessage="1" sqref="B11" xr:uid="{21532792-47E6-4127-9FBD-80292BA7DBB0}">
      <formula1>"FO Ceramic+ Intr&amp;Extr CeramicGold WdwTnt,FO Mirror Camera Sensor"</formula1>
    </dataValidation>
    <dataValidation type="list" allowBlank="1" showInputMessage="1" showErrorMessage="1" sqref="M34" xr:uid="{DD32FF03-4791-4B2C-8DD9-F6709357BC89}">
      <formula1>"Alaa,Bachir ,Khaled,Ramy,Simon,Mharen,Ranjith,Jihan,Praveen,Sujith,Mossallem"</formula1>
    </dataValidation>
    <dataValidation type="list" allowBlank="1" showInputMessage="1" showErrorMessage="1" sqref="H34" xr:uid="{AAE381A8-EC36-4DA0-A07E-C5C2629C346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7DB8-BECD-47FA-BBCB-2971C7023498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F03</v>
      </c>
      <c r="D5" s="19" t="s">
        <v>105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12631.644522997498</v>
      </c>
      <c r="S5" s="87"/>
      <c r="U5" s="87">
        <f>L7+L14</f>
        <v>5147.0769152527082</v>
      </c>
      <c r="V5" s="87">
        <f>M7+M14</f>
        <v>3443.0736743287498</v>
      </c>
      <c r="W5" s="87">
        <f>N7+N14</f>
        <v>2385.8806569193748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4042.5984119193745</v>
      </c>
      <c r="V6" s="96">
        <f>N7+K14</f>
        <v>10146.567890497498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96900</v>
      </c>
      <c r="B7" s="29">
        <f>IF(L20="YES",C8*1,IF(L20="NO",B8*1))</f>
        <v>96900</v>
      </c>
      <c r="C7" s="29">
        <f>B7*5/100</f>
        <v>4845</v>
      </c>
      <c r="D7" s="29">
        <f>B7+C7</f>
        <v>101745</v>
      </c>
      <c r="E7" s="29">
        <f>D17</f>
        <v>21798.831624999999</v>
      </c>
      <c r="F7" s="29">
        <f>(C7)+(D10+D11+D12+D13+D16)*5/100</f>
        <v>5555</v>
      </c>
      <c r="G7" s="30">
        <f>B7+E7+F7</f>
        <v>124253.83162499999</v>
      </c>
      <c r="H7" s="29">
        <f>G7*D20</f>
        <v>24850.766325000001</v>
      </c>
      <c r="I7" s="29">
        <f>(G7-H7)</f>
        <v>99403.065299999987</v>
      </c>
      <c r="J7" s="30">
        <f>(((I7*D19)*1)+I7)/12</f>
        <v>8489.8501354974997</v>
      </c>
      <c r="K7" s="30">
        <f>(((I7*D19)*2)+I7)/24</f>
        <v>4348.0557479974996</v>
      </c>
      <c r="L7" s="30">
        <f>(((I7*D19)*3)+I7)/36</f>
        <v>2967.4576188308329</v>
      </c>
      <c r="M7" s="30">
        <f>(((I7*D19)*4)+I7)/48</f>
        <v>2277.1585542475</v>
      </c>
      <c r="N7" s="30">
        <f>((((I7*D19)*5)+I7)/60)</f>
        <v>1862.9791154974998</v>
      </c>
      <c r="O7" s="92"/>
      <c r="P7" s="83">
        <f>H7+H16</f>
        <v>25894.498510649999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96900</v>
      </c>
      <c r="C8" s="32">
        <f>IF(L20="YES",N20,IF(L20="NO",N20))</f>
        <v>96900</v>
      </c>
      <c r="D8" s="29">
        <v>0</v>
      </c>
      <c r="E8" s="33"/>
      <c r="F8" s="188"/>
      <c r="G8" s="189"/>
      <c r="H8" s="110">
        <f>G7*20/100</f>
        <v>24850.766324999997</v>
      </c>
      <c r="I8" s="21"/>
      <c r="J8" s="34" t="s">
        <v>15</v>
      </c>
      <c r="K8" s="23">
        <f>(J7*K5+J7)/24</f>
        <v>353.74375564572915</v>
      </c>
      <c r="L8" s="23">
        <f>(J7*L5+J7)/36</f>
        <v>243.82377930807959</v>
      </c>
      <c r="M8" s="23">
        <f>(J7*M5+J7)/48</f>
        <v>188.8637911392548</v>
      </c>
      <c r="N8" s="23">
        <f>(J7*N5+J7)/60</f>
        <v>155.88779823795991</v>
      </c>
      <c r="O8" s="92"/>
      <c r="P8" s="83">
        <f>P7/12</f>
        <v>2157.8748758874999</v>
      </c>
      <c r="T8" s="86">
        <f>25973-12973</f>
        <v>13000</v>
      </c>
    </row>
    <row r="9" spans="1:28" ht="25.5" x14ac:dyDescent="0.35">
      <c r="A9" s="8">
        <f>B8/(100%-A8)</f>
        <v>121125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2475.1363259700011</v>
      </c>
      <c r="K9" s="38">
        <f>(K7*24)-I7</f>
        <v>4950.2726519400021</v>
      </c>
      <c r="L9" s="38">
        <f>(L7*36)-I7</f>
        <v>7425.4089779100032</v>
      </c>
      <c r="M9" s="38">
        <f>(M7*48)-I7</f>
        <v>9900.5453038800042</v>
      </c>
      <c r="N9" s="38">
        <f>(N7*60)-I7</f>
        <v>12375.681629850005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863.41775878009503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3740.4675000000002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23850.766324999997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122657.958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2070.89719375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3858.3641250000005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8283.5887749999983</v>
      </c>
      <c r="L14" s="44">
        <f>(H8*L12+H8)/12</f>
        <v>2179.6192964218749</v>
      </c>
      <c r="M14" s="44">
        <f>(H8*M12+H8)/24</f>
        <v>1165.9151200812498</v>
      </c>
      <c r="N14" s="52">
        <f>(H7*N12+H7)/60</f>
        <v>522.90154142187498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3037</v>
      </c>
      <c r="B15" s="37" t="s">
        <v>27</v>
      </c>
      <c r="C15" s="20" t="s">
        <v>19</v>
      </c>
      <c r="D15" s="29">
        <f>IF(C15="YES",O10,IF(C15="NO",0))</f>
        <v>3740.4675000000002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1043.73218565</v>
      </c>
      <c r="I16" s="21"/>
      <c r="J16" s="44" t="s">
        <v>16</v>
      </c>
      <c r="K16" s="44">
        <f>(K14*3)-H8</f>
        <v>0</v>
      </c>
      <c r="L16" s="44">
        <f>(L14*12)-H8</f>
        <v>1304.6652320624999</v>
      </c>
      <c r="M16" s="44">
        <f>(M14*24)-H8</f>
        <v>3131.1965569499989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3167</v>
      </c>
      <c r="B17" s="37"/>
      <c r="C17" s="20"/>
      <c r="D17" s="29">
        <f>SUM(D10:D16)</f>
        <v>21798.831624999999</v>
      </c>
      <c r="E17" s="33"/>
      <c r="F17" s="33"/>
      <c r="G17" s="33"/>
      <c r="H17" s="33">
        <f>H7+H12+H15+H16</f>
        <v>26494.498510649999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3052.35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68.084291301369859</v>
      </c>
      <c r="K19" s="21"/>
      <c r="L19" s="21"/>
      <c r="M19" s="21"/>
      <c r="N19" s="23">
        <f>D7</f>
        <v>101745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116655</v>
      </c>
      <c r="V19" s="102">
        <f>(B7+D10+D11+D12+D13+D16)*1.05</f>
        <v>116655</v>
      </c>
      <c r="X19" s="87">
        <f>G7*3.15*1.05/100</f>
        <v>4109.6954809968747</v>
      </c>
      <c r="Y19" s="87">
        <f>G7*3/100+510*1.05</f>
        <v>4263.1149487499997</v>
      </c>
      <c r="Z19" s="87">
        <f>Y19+X19</f>
        <v>8372.8104297468744</v>
      </c>
      <c r="AA19" s="87">
        <f>(Z19)-(D14+D15)</f>
        <v>773.97880474687372</v>
      </c>
      <c r="AB19" s="87">
        <f>AA19*1.25</f>
        <v>967.47350593359215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96900</v>
      </c>
      <c r="O20" s="92"/>
      <c r="P20" s="99"/>
      <c r="T20" s="86">
        <f>1992+1084</f>
        <v>3076</v>
      </c>
      <c r="V20" s="83"/>
      <c r="X20" s="87">
        <f>X19-D14</f>
        <v>251.33135599687421</v>
      </c>
      <c r="Y20" s="87">
        <f>Y19-D15</f>
        <v>522.64744874999951</v>
      </c>
      <c r="AA20" s="87">
        <f>X20+Y20</f>
        <v>773.97880474687372</v>
      </c>
    </row>
    <row r="21" spans="1:28" ht="25.5" x14ac:dyDescent="0.35">
      <c r="A21" s="13">
        <f>A19+A20</f>
        <v>3052.35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10146.567890497498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68.084291301369859</v>
      </c>
      <c r="I24" s="85">
        <f>H7/365</f>
        <v>68.084291301369859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74552.298974999983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4EED5D2-9EE0-4B5C-8854-011E895E746F}">
      <formula1>"ADCB,ADCB PAY IN 2027,Ajman Bank,ADIB,DIB EXPAT,DIB LOCAL GVH,Emirates NBD,EIB,FAB,RAK,SIB STL,SIB NON STL"</formula1>
    </dataValidation>
    <dataValidation type="list" allowBlank="1" showInputMessage="1" showErrorMessage="1" sqref="D5" xr:uid="{5BDDB83A-2AB1-4F89-91A3-789D7AC198DE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C0950C9-6EFC-433C-AA93-3F452C1A4CC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AD82622-BE4C-4D58-9C41-6ADD6AA8E0A7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8A51E9F-FBBD-4E70-95AB-44CA4C32E1D4}">
      <formula1>"YES,NO"</formula1>
    </dataValidation>
    <dataValidation type="list" allowBlank="1" showInputMessage="1" showErrorMessage="1" sqref="K24" xr:uid="{64CD7524-8DCA-4B41-ADB7-652B8A49F633}">
      <formula1>"RMC-10-70K,RMC-10-100000K,RMC-40-70K"</formula1>
    </dataValidation>
    <dataValidation type="list" allowBlank="1" showInputMessage="1" showErrorMessage="1" sqref="B16" xr:uid="{B1C86C53-E6C9-470D-B951-EBEEB86FEFC8}">
      <formula1>"RMC-10-40KMS,RMC-10-60KMS,RMC-10-70KMS,RMC-10-100000KMS,RMC-40-70KMS,RMC-40-100000KMS"</formula1>
    </dataValidation>
    <dataValidation type="list" allowBlank="1" showInputMessage="1" showErrorMessage="1" sqref="B12" xr:uid="{0F6AB501-16E3-429A-BCBA-115DE5035D5F}">
      <formula1>"FO Exterior ceramic All Cars SCOTCHGUARD,FO Mirror Camera Sensor,FO PPF Gold Package "</formula1>
    </dataValidation>
    <dataValidation type="list" allowBlank="1" showInputMessage="1" showErrorMessage="1" sqref="B11" xr:uid="{CF181521-BC58-4D5E-95E0-EA757313FCD8}">
      <formula1>"FO Ceramic+ Intr&amp;Extr CeramicGold WdwTnt,FO Mirror Camera Sensor"</formula1>
    </dataValidation>
    <dataValidation type="list" allowBlank="1" showInputMessage="1" showErrorMessage="1" sqref="M34" xr:uid="{F619526F-C0AA-4E78-99C6-D651B4E368E4}">
      <formula1>"Alaa,Bachir ,Khaled,Ramy,Simon,Mharen,Ranjith,Jihan,Praveen,Sujith,Mossallem"</formula1>
    </dataValidation>
    <dataValidation type="list" allowBlank="1" showInputMessage="1" showErrorMessage="1" sqref="H34" xr:uid="{587D2DF7-5F4E-4FF5-8CAD-E41AD2FB0AE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CCED-609D-49EE-AA5F-6EAFE5D3E500}">
  <sheetPr>
    <pageSetUpPr fitToPage="1"/>
  </sheetPr>
  <dimension ref="A1:AB54"/>
  <sheetViews>
    <sheetView topLeftCell="C6" zoomScaleNormal="100" workbookViewId="0">
      <selection activeCell="K16" sqref="K16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Cross</v>
      </c>
      <c r="D5" s="19" t="s">
        <v>104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10465.152912337502</v>
      </c>
      <c r="S5" s="87"/>
      <c r="U5" s="87">
        <f>L7+L14</f>
        <v>4264.2861641343752</v>
      </c>
      <c r="V5" s="87">
        <f>M7+M14</f>
        <v>2852.5416801187503</v>
      </c>
      <c r="W5" s="87">
        <f>N7+N14</f>
        <v>1976.6710391343752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3349.2401141343753</v>
      </c>
      <c r="V6" s="96">
        <f>N7+K14</f>
        <v>8406.2992998375012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77900</v>
      </c>
      <c r="B7" s="29">
        <f>IF(L20="YES",C8*1,IF(L20="NO",B8*1))</f>
        <v>77900</v>
      </c>
      <c r="C7" s="29">
        <f>B7*5/100</f>
        <v>3895</v>
      </c>
      <c r="D7" s="29">
        <f>B7+C7</f>
        <v>81795</v>
      </c>
      <c r="E7" s="29">
        <f>D17</f>
        <v>20467.680625000001</v>
      </c>
      <c r="F7" s="29">
        <f>(C7)+(D10+D11+D12+D13+D16)*5/100</f>
        <v>4575</v>
      </c>
      <c r="G7" s="30">
        <f>B7+E7+F7</f>
        <v>102942.68062500001</v>
      </c>
      <c r="H7" s="29">
        <f>G7*D20</f>
        <v>20588.536125000002</v>
      </c>
      <c r="I7" s="29">
        <f>(G7-H7)</f>
        <v>82354.144500000009</v>
      </c>
      <c r="J7" s="30">
        <f>(((I7*D19)*1)+I7)/12</f>
        <v>7033.7302248375008</v>
      </c>
      <c r="K7" s="30">
        <f>(((I7*D19)*2)+I7)/24</f>
        <v>3602.3075373375009</v>
      </c>
      <c r="L7" s="30">
        <f>(((I7*D19)*3)+I7)/36</f>
        <v>2458.4999748375003</v>
      </c>
      <c r="M7" s="30">
        <f>(((I7*D19)*4)+I7)/48</f>
        <v>1886.5961935875002</v>
      </c>
      <c r="N7" s="30">
        <f>((((I7*D19)*5)+I7)/60)</f>
        <v>1543.4539248375002</v>
      </c>
      <c r="O7" s="92"/>
      <c r="P7" s="83">
        <f>H7+H16</f>
        <v>21453.254642250002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77900</v>
      </c>
      <c r="C8" s="32">
        <f>IF(L20="YES",N20,IF(L20="NO",N20))</f>
        <v>77900</v>
      </c>
      <c r="D8" s="29">
        <v>0</v>
      </c>
      <c r="E8" s="33"/>
      <c r="F8" s="188"/>
      <c r="G8" s="189"/>
      <c r="H8" s="110">
        <f>G7*20/100</f>
        <v>20588.536125000002</v>
      </c>
      <c r="I8" s="21"/>
      <c r="J8" s="34" t="s">
        <v>15</v>
      </c>
      <c r="K8" s="23">
        <f>(J7*K5+J7)/24</f>
        <v>293.07209270156255</v>
      </c>
      <c r="L8" s="23">
        <f>(J7*L5+J7)/36</f>
        <v>202.00482442943033</v>
      </c>
      <c r="M8" s="23">
        <f>(J7*M5+J7)/48</f>
        <v>156.47119029336423</v>
      </c>
      <c r="N8" s="23">
        <f>(J7*N5+J7)/60</f>
        <v>129.15100981172458</v>
      </c>
      <c r="O8" s="92"/>
      <c r="P8" s="83">
        <f>P7/12</f>
        <v>1787.7712201875001</v>
      </c>
      <c r="T8" s="86">
        <f>25973-12973</f>
        <v>13000</v>
      </c>
    </row>
    <row r="9" spans="1:28" ht="25.5" x14ac:dyDescent="0.35">
      <c r="A9" s="8">
        <f>B8/(100%-A8)</f>
        <v>97375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2050.6181980499969</v>
      </c>
      <c r="K9" s="38">
        <f>(K7*24)-I7</f>
        <v>4101.2363961000083</v>
      </c>
      <c r="L9" s="38">
        <f>(L7*36)-I7</f>
        <v>6151.8545941500051</v>
      </c>
      <c r="M9" s="38">
        <f>(M7*48)-I7</f>
        <v>8202.472792200002</v>
      </c>
      <c r="N9" s="38">
        <f>(N7*60)-I7</f>
        <v>10253.090990249999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715.3303638659736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19588.536125000002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98607.377999999997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1715.7113437500002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3177.680625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6862.8453750000008</v>
      </c>
      <c r="L14" s="44">
        <f>(H8*L12+H8)/12</f>
        <v>1805.7861892968751</v>
      </c>
      <c r="M14" s="44">
        <f>(H8*M12+H8)/24</f>
        <v>965.94548653125014</v>
      </c>
      <c r="N14" s="52">
        <f>(H7*N12+H7)/60</f>
        <v>433.21711429687508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2467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864.7185172500001</v>
      </c>
      <c r="I16" s="21"/>
      <c r="J16" s="44" t="s">
        <v>16</v>
      </c>
      <c r="K16" s="44">
        <f>(K14*3)-H8</f>
        <v>0</v>
      </c>
      <c r="L16" s="44">
        <f>(L14*12)-H8</f>
        <v>1080.8981465625002</v>
      </c>
      <c r="M16" s="44">
        <f>(M14*24)-H8</f>
        <v>2594.1555517500019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2597</v>
      </c>
      <c r="B17" s="37"/>
      <c r="C17" s="20"/>
      <c r="D17" s="29">
        <f>SUM(D10:D16)</f>
        <v>20467.680625000001</v>
      </c>
      <c r="E17" s="33"/>
      <c r="F17" s="33"/>
      <c r="G17" s="33"/>
      <c r="H17" s="33">
        <f>H7+H12+H15+H16</f>
        <v>22053.254642250002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2453.85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56.406948287671241</v>
      </c>
      <c r="K19" s="21"/>
      <c r="L19" s="21"/>
      <c r="M19" s="21"/>
      <c r="N19" s="23">
        <f>D7</f>
        <v>81795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96075</v>
      </c>
      <c r="V19" s="102">
        <f>(B7+D10+D11+D12+D13+D16)*1.05</f>
        <v>96075</v>
      </c>
      <c r="X19" s="87">
        <f>G7*3.15*1.05/100</f>
        <v>3404.8291616718752</v>
      </c>
      <c r="Y19" s="87">
        <f>G7*3/100+510*1.05</f>
        <v>3623.7804187500001</v>
      </c>
      <c r="Z19" s="87">
        <f>Y19+X19</f>
        <v>7028.6095804218749</v>
      </c>
      <c r="AA19" s="87">
        <f>(Z19)-(D14+D15)</f>
        <v>160.92895542187489</v>
      </c>
      <c r="AB19" s="87">
        <f>AA19*1.25</f>
        <v>201.16119427734361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77900</v>
      </c>
      <c r="O20" s="92"/>
      <c r="P20" s="99"/>
      <c r="T20" s="86">
        <f>1992+1084</f>
        <v>3076</v>
      </c>
      <c r="V20" s="83"/>
      <c r="X20" s="87">
        <f>X19-D14</f>
        <v>227.14853667187526</v>
      </c>
      <c r="Y20" s="87">
        <f>Y19-D15</f>
        <v>-66.219581249999919</v>
      </c>
      <c r="AA20" s="87">
        <f>X20+Y20</f>
        <v>160.92895542187534</v>
      </c>
    </row>
    <row r="21" spans="1:28" ht="25.5" x14ac:dyDescent="0.35">
      <c r="A21" s="13">
        <f>A19+A20</f>
        <v>2453.85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8406.2992998375012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56.406948287671241</v>
      </c>
      <c r="I24" s="85">
        <f>H7/365</f>
        <v>56.406948287671241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61765.608375000011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18583FAB-CB09-4EA5-80CB-CB57454553C3}">
      <formula1>"ADCB,ADCB PAY IN 2027,Ajman Bank,ADIB,DIB EXPAT,DIB LOCAL GVH,Emirates NBD,EIB,FAB,RAK,SIB STL,SIB NON STL"</formula1>
    </dataValidation>
    <dataValidation type="list" allowBlank="1" showInputMessage="1" showErrorMessage="1" sqref="D5" xr:uid="{6A8ED090-2363-421C-B51D-38B5971AE21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29A9337-462A-4763-A1BC-78272EC460F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62EAADA-351B-4D68-A71B-5182A022DB7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3214201-AAD9-4EB3-9531-D1AF8F11CCD4}">
      <formula1>"YES,NO"</formula1>
    </dataValidation>
    <dataValidation type="list" allowBlank="1" showInputMessage="1" showErrorMessage="1" sqref="K24" xr:uid="{46D6253A-BB8C-440D-B37E-1803504A7385}">
      <formula1>"RMC-10-70K,RMC-10-100000K,RMC-40-70K"</formula1>
    </dataValidation>
    <dataValidation type="list" allowBlank="1" showInputMessage="1" showErrorMessage="1" sqref="B16" xr:uid="{ECFC9BCC-FEF3-4BE4-BB5B-EB5DC25367AD}">
      <formula1>"RMC-10-40KMS,RMC-10-60KMS,RMC-10-70KMS,RMC-10-100000KMS,RMC-40-70KMS,RMC-40-100000KMS"</formula1>
    </dataValidation>
    <dataValidation type="list" allowBlank="1" showInputMessage="1" showErrorMessage="1" sqref="B12" xr:uid="{D7C8A2A6-5245-4CA3-BE61-436EC02A6495}">
      <formula1>"FO Exterior ceramic All Cars SCOTCHGUARD,FO Mirror Camera Sensor,FO PPF Gold Package "</formula1>
    </dataValidation>
    <dataValidation type="list" allowBlank="1" showInputMessage="1" showErrorMessage="1" sqref="B11" xr:uid="{ACAC1B9E-A2BE-4F0F-A4BF-D3EB042D1CAC}">
      <formula1>"FO Ceramic+ Intr&amp;Extr CeramicGold WdwTnt,FO Mirror Camera Sensor"</formula1>
    </dataValidation>
    <dataValidation type="list" allowBlank="1" showInputMessage="1" showErrorMessage="1" sqref="M34" xr:uid="{639E85CA-E034-431E-88D0-E2218DC79551}">
      <formula1>"Alaa,Bachir ,Khaled,Ramy,Simon,Mharen,Ranjith,Jihan,Praveen,Sujith,Mossallem"</formula1>
    </dataValidation>
    <dataValidation type="list" allowBlank="1" showInputMessage="1" showErrorMessage="1" sqref="H34" xr:uid="{0E9A144B-750C-456A-A4E8-1A59AC55F0D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1DCA-E30E-419D-9F5A-0CC8E8F99BBB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P-01</v>
      </c>
      <c r="D5" s="19" t="s">
        <v>103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10454.125559865</v>
      </c>
      <c r="S5" s="87"/>
      <c r="U5" s="87">
        <f>L7+L14</f>
        <v>4259.7927958129167</v>
      </c>
      <c r="V5" s="87">
        <f>M7+M14</f>
        <v>2849.5358967525003</v>
      </c>
      <c r="W5" s="87">
        <f>N7+N14</f>
        <v>1974.5881791462502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3345.7109491462502</v>
      </c>
      <c r="V6" s="96">
        <f>N7+K14</f>
        <v>8397.4414048650015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29">
        <f>B7+C7</f>
        <v>81690</v>
      </c>
      <c r="E7" s="29">
        <f>D17</f>
        <v>20464.207750000001</v>
      </c>
      <c r="F7" s="29">
        <f>(C7)+(D10+D11+D12+D13+D16)*5/100</f>
        <v>4570</v>
      </c>
      <c r="G7" s="30">
        <f>B7+E7+F7</f>
        <v>102834.20775</v>
      </c>
      <c r="H7" s="29">
        <f>G7*D20</f>
        <v>20566.841550000001</v>
      </c>
      <c r="I7" s="29">
        <f>(G7-H7)</f>
        <v>82267.366200000004</v>
      </c>
      <c r="J7" s="30">
        <f>(((I7*D19)*1)+I7)/12</f>
        <v>7026.3186348650006</v>
      </c>
      <c r="K7" s="30">
        <f>(((I7*D19)*2)+I7)/24</f>
        <v>3598.5117098650003</v>
      </c>
      <c r="L7" s="30">
        <f>(((I7*D19)*3)+I7)/36</f>
        <v>2455.9094015316668</v>
      </c>
      <c r="M7" s="30">
        <f>(((I7*D19)*4)+I7)/48</f>
        <v>1884.6082473650001</v>
      </c>
      <c r="N7" s="30">
        <f>((((I7*D19)*5)+I7)/60)</f>
        <v>1541.8275548650001</v>
      </c>
      <c r="O7" s="92"/>
      <c r="P7" s="83">
        <f>H7+H16</f>
        <v>21430.648895100003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77800</v>
      </c>
      <c r="C8" s="32">
        <f>IF(L20="YES",N20,IF(L20="NO",N20))</f>
        <v>77800</v>
      </c>
      <c r="D8" s="29">
        <v>0</v>
      </c>
      <c r="E8" s="33"/>
      <c r="F8" s="188"/>
      <c r="G8" s="189"/>
      <c r="H8" s="110">
        <f>G7*20/100</f>
        <v>20566.841550000001</v>
      </c>
      <c r="I8" s="21"/>
      <c r="J8" s="34" t="s">
        <v>15</v>
      </c>
      <c r="K8" s="23">
        <f>(J7*K5+J7)/24</f>
        <v>292.76327645270834</v>
      </c>
      <c r="L8" s="23">
        <f>(J7*L5+J7)/36</f>
        <v>201.7919676829701</v>
      </c>
      <c r="M8" s="23">
        <f>(J7*M5+J7)/48</f>
        <v>156.306313298101</v>
      </c>
      <c r="N8" s="23">
        <f>(J7*N5+J7)/60</f>
        <v>129.01492066717952</v>
      </c>
      <c r="O8" s="92"/>
      <c r="P8" s="83">
        <f>P7/12</f>
        <v>1785.8874079250002</v>
      </c>
      <c r="T8" s="86">
        <f>25973-12973</f>
        <v>13000</v>
      </c>
    </row>
    <row r="9" spans="1:28" ht="25.5" x14ac:dyDescent="0.35">
      <c r="A9" s="8">
        <f>B8/(100%-A8)</f>
        <v>97250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2048.4574183799996</v>
      </c>
      <c r="K9" s="38">
        <f>(K7*24)-I7</f>
        <v>4096.9148367599992</v>
      </c>
      <c r="L9" s="38">
        <f>(L7*36)-I7</f>
        <v>6145.3722551399987</v>
      </c>
      <c r="M9" s="38">
        <f>(M7*48)-I7</f>
        <v>8193.8296735199983</v>
      </c>
      <c r="N9" s="38">
        <f>(N7*60)-I7</f>
        <v>10242.287091899998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714.57660516577107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19566.841550000001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98480.796000000002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1713.9034625000002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3174.20775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6855.6138500000006</v>
      </c>
      <c r="L14" s="44">
        <f>(H8*L12+H8)/12</f>
        <v>1803.88339428125</v>
      </c>
      <c r="M14" s="44">
        <f>(H8*M12+H8)/24</f>
        <v>964.92764938750008</v>
      </c>
      <c r="N14" s="52">
        <f>(H7*N12+H7)/60</f>
        <v>432.76062428125005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2464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863.80734510000013</v>
      </c>
      <c r="I16" s="21"/>
      <c r="J16" s="44" t="s">
        <v>16</v>
      </c>
      <c r="K16" s="44">
        <f>(K14*3)-H8</f>
        <v>0</v>
      </c>
      <c r="L16" s="44">
        <f>(L14*12)-H8</f>
        <v>1079.7591813750005</v>
      </c>
      <c r="M16" s="44">
        <f>(M14*24)-H8</f>
        <v>2591.4220353000019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2594</v>
      </c>
      <c r="B17" s="37"/>
      <c r="C17" s="20"/>
      <c r="D17" s="29">
        <f>SUM(D10:D16)</f>
        <v>20464.207750000001</v>
      </c>
      <c r="E17" s="33"/>
      <c r="F17" s="33"/>
      <c r="G17" s="33"/>
      <c r="H17" s="33">
        <f>H7+H12+H15+H16</f>
        <v>22030.648895100003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2450.6999999999998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56.347511095890411</v>
      </c>
      <c r="K19" s="21"/>
      <c r="L19" s="21"/>
      <c r="M19" s="21"/>
      <c r="N19" s="23">
        <f>D7</f>
        <v>81690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95970</v>
      </c>
      <c r="V19" s="102">
        <f>(B7+D10+D11+D12+D13+D16)*1.05</f>
        <v>95970</v>
      </c>
      <c r="X19" s="87">
        <f>G7*3.15*1.05/100</f>
        <v>3401.2414213312504</v>
      </c>
      <c r="Y19" s="87">
        <f>G7*3/100+510*1.05</f>
        <v>3620.5262324999999</v>
      </c>
      <c r="Z19" s="87">
        <f>Y19+X19</f>
        <v>7021.7676538312498</v>
      </c>
      <c r="AA19" s="87">
        <f>(Z19)-(D14+D15)</f>
        <v>157.55990383125027</v>
      </c>
      <c r="AB19" s="87">
        <f>AA19*1.25</f>
        <v>196.94987978906283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77800</v>
      </c>
      <c r="O20" s="92"/>
      <c r="P20" s="99"/>
      <c r="T20" s="86">
        <f>1992+1084</f>
        <v>3076</v>
      </c>
      <c r="V20" s="83"/>
      <c r="X20" s="87">
        <f>X19-D14</f>
        <v>227.03367133125039</v>
      </c>
      <c r="Y20" s="87">
        <f>Y19-D15</f>
        <v>-69.473767500000122</v>
      </c>
      <c r="AA20" s="87">
        <f>X20+Y20</f>
        <v>157.55990383125027</v>
      </c>
    </row>
    <row r="21" spans="1:28" ht="25.5" x14ac:dyDescent="0.35">
      <c r="A21" s="13">
        <f>A19+A20</f>
        <v>2450.6999999999998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8397.4414048650015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56.347511095890411</v>
      </c>
      <c r="I24" s="85">
        <f>H7/365</f>
        <v>56.347511095890411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61700.524650000007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9FF54C7-4085-41DD-803C-C0A6207C07F8}">
      <formula1>"ADCB,ADCB PAY IN 2027,Ajman Bank,ADIB,DIB EXPAT,DIB LOCAL GVH,Emirates NBD,EIB,FAB,RAK,SIB STL,SIB NON STL"</formula1>
    </dataValidation>
    <dataValidation type="list" allowBlank="1" showInputMessage="1" showErrorMessage="1" sqref="D5" xr:uid="{285D760B-EF38-48C7-9BF7-E479A17B1FD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1AE8C4-99D0-4C0F-ACF8-5718B60C065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15C9CAA-F2CD-456E-B875-735D6D6054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3D903D0-01CD-44C9-8903-7C10C7AADED0}">
      <formula1>"YES,NO"</formula1>
    </dataValidation>
    <dataValidation type="list" allowBlank="1" showInputMessage="1" showErrorMessage="1" sqref="K24" xr:uid="{A52B955D-EFB6-49FA-95E1-EC6D3954226D}">
      <formula1>"RMC-10-70K,RMC-10-100000K,RMC-40-70K"</formula1>
    </dataValidation>
    <dataValidation type="list" allowBlank="1" showInputMessage="1" showErrorMessage="1" sqref="B16" xr:uid="{F5AC849C-5BDB-4276-B828-3DE9CFF10F57}">
      <formula1>"RMC-10-40KMS,RMC-10-60KMS,RMC-10-70KMS,RMC-10-100000KMS,RMC-40-70KMS,RMC-40-100000KMS"</formula1>
    </dataValidation>
    <dataValidation type="list" allowBlank="1" showInputMessage="1" showErrorMessage="1" sqref="B12" xr:uid="{E55AC275-18FD-4D4E-8B6F-F733E0D1A3A5}">
      <formula1>"FO Exterior ceramic All Cars SCOTCHGUARD,FO Mirror Camera Sensor,FO PPF Gold Package "</formula1>
    </dataValidation>
    <dataValidation type="list" allowBlank="1" showInputMessage="1" showErrorMessage="1" sqref="B11" xr:uid="{BFDE2F0C-041E-40BB-A3DC-44F79D499136}">
      <formula1>"FO Ceramic+ Intr&amp;Extr CeramicGold WdwTnt,FO Mirror Camera Sensor"</formula1>
    </dataValidation>
    <dataValidation type="list" allowBlank="1" showInputMessage="1" showErrorMessage="1" sqref="M34" xr:uid="{DB096E45-8C8C-4594-BA8A-E6BFAC07DB86}">
      <formula1>"Alaa,Bachir ,Khaled,Ramy,Simon,Mharen,Ranjith,Jihan,Praveen,Sujith,Mossallem"</formula1>
    </dataValidation>
    <dataValidation type="list" allowBlank="1" showInputMessage="1" showErrorMessage="1" sqref="H34" xr:uid="{98E672A1-95CE-48BA-8DA9-FF78BB7D3A5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CC6E-F7D6-4E51-92CB-38F2FCE57964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</v>
      </c>
      <c r="D5" s="19" t="s">
        <v>102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9582.9647145374984</v>
      </c>
      <c r="S5" s="87"/>
      <c r="U5" s="87">
        <f>L7+L14</f>
        <v>3904.8166984177078</v>
      </c>
      <c r="V5" s="87">
        <f>M7+M14</f>
        <v>2612.0790108187498</v>
      </c>
      <c r="W5" s="87">
        <f>N7+N14</f>
        <v>1810.042240084375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3066.9069150843743</v>
      </c>
      <c r="V6" s="96">
        <f>N7+K14</f>
        <v>7697.6677020374991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29">
        <f>B7+C7</f>
        <v>73395</v>
      </c>
      <c r="E7" s="29">
        <f>D17</f>
        <v>20189.850624999999</v>
      </c>
      <c r="F7" s="29">
        <f>(C7)+(D10+D11+D12+D13+D16)*5/100</f>
        <v>4175</v>
      </c>
      <c r="G7" s="30">
        <f>B7+E7+F7</f>
        <v>94264.850624999992</v>
      </c>
      <c r="H7" s="29">
        <f>G7*D20</f>
        <v>18852.970125</v>
      </c>
      <c r="I7" s="29">
        <f>(G7-H7)</f>
        <v>75411.880499999999</v>
      </c>
      <c r="J7" s="30">
        <f>(((I7*D19)*1)+I7)/12</f>
        <v>6440.8030270374993</v>
      </c>
      <c r="K7" s="30">
        <f>(((I7*D19)*2)+I7)/24</f>
        <v>3298.6413395375002</v>
      </c>
      <c r="L7" s="30">
        <f>(((I7*D19)*3)+I7)/36</f>
        <v>2251.2541103708336</v>
      </c>
      <c r="M7" s="30">
        <f>(((I7*D19)*4)+I7)/48</f>
        <v>1727.5604957875</v>
      </c>
      <c r="N7" s="30">
        <f>((((I7*D19)*5)+I7)/60)</f>
        <v>1413.3443270374999</v>
      </c>
      <c r="O7" s="92"/>
      <c r="P7" s="83">
        <f>H7+H16</f>
        <v>19644.79487025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69900</v>
      </c>
      <c r="C8" s="32">
        <f>IF(L20="YES",N20,IF(L20="NO",N20))</f>
        <v>69900</v>
      </c>
      <c r="D8" s="29">
        <v>0</v>
      </c>
      <c r="E8" s="33"/>
      <c r="F8" s="188"/>
      <c r="G8" s="189"/>
      <c r="H8" s="110">
        <f>G7*20/100</f>
        <v>18852.970124999996</v>
      </c>
      <c r="I8" s="21"/>
      <c r="J8" s="34" t="s">
        <v>15</v>
      </c>
      <c r="K8" s="23">
        <f>(J7*K5+J7)/24</f>
        <v>268.36679279322914</v>
      </c>
      <c r="L8" s="23">
        <f>(J7*L5+J7)/36</f>
        <v>184.97628471261308</v>
      </c>
      <c r="M8" s="23">
        <f>(J7*M5+J7)/48</f>
        <v>143.28103067230504</v>
      </c>
      <c r="N8" s="23">
        <f>(J7*N5+J7)/60</f>
        <v>118.26387824812021</v>
      </c>
      <c r="O8" s="92"/>
      <c r="P8" s="83">
        <f>P7/12</f>
        <v>1637.0662391875001</v>
      </c>
      <c r="T8" s="86">
        <f>25973-12973</f>
        <v>13000</v>
      </c>
    </row>
    <row r="9" spans="1:28" ht="25.5" x14ac:dyDescent="0.35">
      <c r="A9" s="8">
        <f>B8/(100%-A8)</f>
        <v>87375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1877.755824449996</v>
      </c>
      <c r="K9" s="38">
        <f>(K7*24)-I7</f>
        <v>3755.5116489000065</v>
      </c>
      <c r="L9" s="38">
        <f>(L7*36)-I7</f>
        <v>5633.2674733500171</v>
      </c>
      <c r="M9" s="38">
        <f>(M7*48)-I7</f>
        <v>7511.0232977999985</v>
      </c>
      <c r="N9" s="38">
        <f>(N7*60)-I7</f>
        <v>9388.7791222499945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655.02966784971341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17852.970124999996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88480.817999999999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1571.08084375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2899.850625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6284.323374999999</v>
      </c>
      <c r="L14" s="44">
        <f>(H8*L12+H8)/12</f>
        <v>1653.5625880468745</v>
      </c>
      <c r="M14" s="44">
        <f>(H8*M12+H8)/24</f>
        <v>884.51851503124988</v>
      </c>
      <c r="N14" s="52">
        <f>(H7*N12+H7)/60</f>
        <v>396.69791304687499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2227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791.82474525000009</v>
      </c>
      <c r="I16" s="21"/>
      <c r="J16" s="44" t="s">
        <v>16</v>
      </c>
      <c r="K16" s="44">
        <f>(K14*3)-H8</f>
        <v>0</v>
      </c>
      <c r="L16" s="44">
        <f>(L14*12)-H8</f>
        <v>989.78093156249815</v>
      </c>
      <c r="M16" s="44">
        <f>(M14*24)-H8</f>
        <v>2375.4742357499999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2357</v>
      </c>
      <c r="B17" s="37"/>
      <c r="C17" s="20"/>
      <c r="D17" s="29">
        <f>SUM(D10:D16)</f>
        <v>20189.850624999999</v>
      </c>
      <c r="E17" s="33"/>
      <c r="F17" s="33"/>
      <c r="G17" s="33"/>
      <c r="H17" s="33">
        <f>H7+H12+H15+H16</f>
        <v>20244.79487025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2201.85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51.651972945205479</v>
      </c>
      <c r="K19" s="21"/>
      <c r="L19" s="21"/>
      <c r="M19" s="21"/>
      <c r="N19" s="23">
        <f>D7</f>
        <v>73395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87675</v>
      </c>
      <c r="V19" s="102">
        <f>(B7+D10+D11+D12+D13+D16)*1.05</f>
        <v>87675</v>
      </c>
      <c r="X19" s="87">
        <f>G7*3.15*1.05/100</f>
        <v>3117.8099344218745</v>
      </c>
      <c r="Y19" s="87">
        <f>G7*3/100+510*1.05</f>
        <v>3363.4455187500002</v>
      </c>
      <c r="Z19" s="87">
        <f>Y19+X19</f>
        <v>6481.2554531718743</v>
      </c>
      <c r="AA19" s="87">
        <f>(Z19)-(D14+D15)</f>
        <v>-108.59517182812579</v>
      </c>
      <c r="AB19" s="87">
        <f>AA19*1.25</f>
        <v>-135.74396478515723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69900</v>
      </c>
      <c r="O20" s="92"/>
      <c r="P20" s="99"/>
      <c r="T20" s="86">
        <f>1992+1084</f>
        <v>3076</v>
      </c>
      <c r="V20" s="83"/>
      <c r="X20" s="87">
        <f>X19-D14</f>
        <v>217.95930942187442</v>
      </c>
      <c r="Y20" s="87">
        <f>Y19-D15</f>
        <v>-326.55448124999975</v>
      </c>
      <c r="AA20" s="87">
        <f>X20+Y20</f>
        <v>-108.59517182812533</v>
      </c>
    </row>
    <row r="21" spans="1:28" ht="25.5" x14ac:dyDescent="0.35">
      <c r="A21" s="13">
        <f>A19+A20</f>
        <v>2201.85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7697.6677020374991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51.651972945205479</v>
      </c>
      <c r="I24" s="85">
        <f>H7/365</f>
        <v>51.651972945205479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56558.910374999999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654BB4E-4CFE-45C0-9828-F2B0EAFD5D24}">
      <formula1>"ADCB,ADCB PAY IN 2027,Ajman Bank,ADIB,DIB EXPAT,DIB LOCAL GVH,Emirates NBD,EIB,FAB,RAK,SIB STL,SIB NON STL"</formula1>
    </dataValidation>
    <dataValidation type="list" allowBlank="1" showInputMessage="1" showErrorMessage="1" sqref="D5" xr:uid="{37F648E5-4E3A-4315-8F3B-4CC52E9B701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3A5ECF-4C7F-4361-89BC-A0943C77113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B67CAA9-94E1-4BBA-84F8-98795CA3B4B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B9545D0-3F2F-41A4-B4D0-79134EC14BB2}">
      <formula1>"YES,NO"</formula1>
    </dataValidation>
    <dataValidation type="list" allowBlank="1" showInputMessage="1" showErrorMessage="1" sqref="K24" xr:uid="{A88B4CC1-2B18-4CD2-8722-9D4456219C6F}">
      <formula1>"RMC-10-70K,RMC-10-100000K,RMC-40-70K"</formula1>
    </dataValidation>
    <dataValidation type="list" allowBlank="1" showInputMessage="1" showErrorMessage="1" sqref="B16" xr:uid="{29FC3844-4BB3-43A3-918E-970E588FA1F2}">
      <formula1>"RMC-10-40KMS,RMC-10-60KMS,RMC-10-70KMS,RMC-10-100000KMS,RMC-40-70KMS,RMC-40-100000KMS"</formula1>
    </dataValidation>
    <dataValidation type="list" allowBlank="1" showInputMessage="1" showErrorMessage="1" sqref="B12" xr:uid="{B0220F45-3A34-4BF3-AFF6-84F9080B87EE}">
      <formula1>"FO Exterior ceramic All Cars SCOTCHGUARD,FO Mirror Camera Sensor,FO PPF Gold Package "</formula1>
    </dataValidation>
    <dataValidation type="list" allowBlank="1" showInputMessage="1" showErrorMessage="1" sqref="B11" xr:uid="{2B7485AE-571C-4C5C-B047-BBC6AABD9BC0}">
      <formula1>"FO Ceramic+ Intr&amp;Extr CeramicGold WdwTnt,FO Mirror Camera Sensor"</formula1>
    </dataValidation>
    <dataValidation type="list" allowBlank="1" showInputMessage="1" showErrorMessage="1" sqref="M34" xr:uid="{704E222D-BA6B-499F-80A3-B3EFFA71C6B2}">
      <formula1>"Alaa,Bachir ,Khaled,Ramy,Simon,Mharen,Ranjith,Jihan,Praveen,Sujith,Mossallem"</formula1>
    </dataValidation>
    <dataValidation type="list" allowBlank="1" showInputMessage="1" showErrorMessage="1" sqref="H34" xr:uid="{ABE23F33-085D-4567-9A59-D3EB30905CE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748B-5FA6-478D-9F4F-3CECDF6ABDEA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HL</v>
      </c>
      <c r="D5" s="19" t="s">
        <v>101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8811.0500414624985</v>
      </c>
      <c r="S5" s="87"/>
      <c r="U5" s="87">
        <f>L7+L14</f>
        <v>3590.280915915625</v>
      </c>
      <c r="V5" s="87">
        <f>M7+M14</f>
        <v>2401.6741751812501</v>
      </c>
      <c r="W5" s="87">
        <f>N7+N14</f>
        <v>1664.2420409156248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2819.8653659156253</v>
      </c>
      <c r="V6" s="96">
        <f>N7+K14</f>
        <v>7077.6150539624996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19946.749374999999</v>
      </c>
      <c r="F7" s="29">
        <f>(C7)+(D10+D11+D12+D13+D16)*5/100</f>
        <v>3825</v>
      </c>
      <c r="G7" s="30">
        <f>B7+E7+F7</f>
        <v>86671.749374999999</v>
      </c>
      <c r="H7" s="29">
        <f>G7*D20</f>
        <v>17334.349875</v>
      </c>
      <c r="I7" s="29">
        <f>(G7-H7)</f>
        <v>69337.3995</v>
      </c>
      <c r="J7" s="30">
        <f>(((I7*D19)*1)+I7)/12</f>
        <v>5921.9917289625</v>
      </c>
      <c r="K7" s="30">
        <f>(((I7*D19)*2)+I7)/24</f>
        <v>3032.9334164624997</v>
      </c>
      <c r="L7" s="30">
        <f>(((I7*D19)*3)+I7)/36</f>
        <v>2069.9139789625001</v>
      </c>
      <c r="M7" s="30">
        <f>(((I7*D19)*4)+I7)/48</f>
        <v>1588.4042602125</v>
      </c>
      <c r="N7" s="30">
        <f>((((I7*D19)*5)+I7)/60)</f>
        <v>1299.4984289624999</v>
      </c>
      <c r="O7" s="92"/>
      <c r="P7" s="83">
        <f>H7+H16</f>
        <v>18062.392569750002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17334.349875</v>
      </c>
      <c r="I8" s="21"/>
      <c r="J8" s="34" t="s">
        <v>15</v>
      </c>
      <c r="K8" s="23">
        <f>(J7*K5+J7)/24</f>
        <v>246.74965537343749</v>
      </c>
      <c r="L8" s="23">
        <f>(J7*L5+J7)/36</f>
        <v>170.07631246039804</v>
      </c>
      <c r="M8" s="23">
        <f>(J7*M5+J7)/48</f>
        <v>131.73964100387829</v>
      </c>
      <c r="N8" s="23">
        <f>(J7*N5+J7)/60</f>
        <v>108.73763812996643</v>
      </c>
      <c r="O8" s="92"/>
      <c r="P8" s="83">
        <f>P7/12</f>
        <v>1505.1993808125001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1726.5012475499971</v>
      </c>
      <c r="K9" s="38">
        <f>(K7*24)-I7</f>
        <v>3453.0024950999941</v>
      </c>
      <c r="L9" s="38">
        <f>(L7*36)-I7</f>
        <v>5179.5037426500057</v>
      </c>
      <c r="M9" s="38">
        <f>(M7*48)-I7</f>
        <v>6906.0049902000028</v>
      </c>
      <c r="N9" s="38">
        <f>(N7*60)-I7</f>
        <v>8632.5062377499999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602.26655883548574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16334.349875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1444.5291562499999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2656.7493749999999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5778.1166249999997</v>
      </c>
      <c r="L14" s="44">
        <f>(H8*L12+H8)/12</f>
        <v>1520.3669369531251</v>
      </c>
      <c r="M14" s="44">
        <f>(H8*M12+H8)/24</f>
        <v>813.26991496874996</v>
      </c>
      <c r="N14" s="52">
        <f>(H7*N12+H7)/60</f>
        <v>364.74361195312497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728.04269475000001</v>
      </c>
      <c r="I16" s="21"/>
      <c r="J16" s="44" t="s">
        <v>16</v>
      </c>
      <c r="K16" s="44">
        <f>(K14*3)-H8</f>
        <v>0</v>
      </c>
      <c r="L16" s="44">
        <f>(L14*12)-H8</f>
        <v>910.05336843750047</v>
      </c>
      <c r="M16" s="44">
        <f>(M14*24)-H8</f>
        <v>2184.1280842499982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19946.749374999999</v>
      </c>
      <c r="E17" s="33"/>
      <c r="F17" s="33"/>
      <c r="G17" s="33"/>
      <c r="H17" s="33">
        <f>H7+H12+H15+H16</f>
        <v>18662.392569750002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47.491369520547941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80325</v>
      </c>
      <c r="V19" s="102">
        <f>(B7+D10+D11+D12+D13+D16)*1.05</f>
        <v>80325</v>
      </c>
      <c r="X19" s="87">
        <f>G7*3.15*1.05/100</f>
        <v>2866.6681105781249</v>
      </c>
      <c r="Y19" s="87">
        <f>G7*3/100+510*1.05</f>
        <v>3135.6524812499997</v>
      </c>
      <c r="Z19" s="87">
        <f>Y19+X19</f>
        <v>6002.3205918281246</v>
      </c>
      <c r="AA19" s="87">
        <f>(Z19)-(D14+D15)</f>
        <v>-344.42878317187478</v>
      </c>
      <c r="AB19" s="87">
        <f>AA19*1.25</f>
        <v>-430.53597896484348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209.91873557812505</v>
      </c>
      <c r="Y20" s="87">
        <f>Y19-D15</f>
        <v>-554.34751875000029</v>
      </c>
      <c r="AA20" s="87">
        <f>X20+Y20</f>
        <v>-344.42878317187524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7077.6150539624996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47.491369520547941</v>
      </c>
      <c r="I24" s="85">
        <f>H7/365</f>
        <v>47.491369520547941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52003.049625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02DA3E8-8491-4F7D-8DE2-F9832AF1CBBD}">
      <formula1>"ADCB,ADCB PAY IN 2027,Ajman Bank,ADIB,DIB EXPAT,DIB LOCAL GVH,Emirates NBD,EIB,FAB,RAK,SIB STL,SIB NON STL"</formula1>
    </dataValidation>
    <dataValidation type="list" allowBlank="1" showInputMessage="1" showErrorMessage="1" sqref="D5" xr:uid="{31EBAD39-0B93-4D3A-8054-6C63ECF65CA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961E52-D2AE-4266-9EF9-0FC4BFCC81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5EB7FB0-6043-424D-852A-0AA846E1EB82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A6DC433-368F-4F08-B853-BFFEDA52738B}">
      <formula1>"YES,NO"</formula1>
    </dataValidation>
    <dataValidation type="list" allowBlank="1" showInputMessage="1" showErrorMessage="1" sqref="K24" xr:uid="{7943FDC9-1EFE-4769-8CA3-40B2C01BD1FC}">
      <formula1>"RMC-10-70K,RMC-10-100000K,RMC-40-70K"</formula1>
    </dataValidation>
    <dataValidation type="list" allowBlank="1" showInputMessage="1" showErrorMessage="1" sqref="B16" xr:uid="{D7292C9F-6016-4FB2-A64C-9A660854BE74}">
      <formula1>"RMC-10-40KMS,RMC-10-60KMS,RMC-10-70KMS,RMC-10-100000KMS,RMC-40-70KMS,RMC-40-100000KMS"</formula1>
    </dataValidation>
    <dataValidation type="list" allowBlank="1" showInputMessage="1" showErrorMessage="1" sqref="B12" xr:uid="{58EDC1F3-1A20-4D3A-9C4D-B8284D9BD513}">
      <formula1>"FO Exterior ceramic All Cars SCOTCHGUARD,FO Mirror Camera Sensor,FO PPF Gold Package "</formula1>
    </dataValidation>
    <dataValidation type="list" allowBlank="1" showInputMessage="1" showErrorMessage="1" sqref="B11" xr:uid="{5579B7B1-2521-42C9-A840-95B7E6233FFA}">
      <formula1>"FO Ceramic+ Intr&amp;Extr CeramicGold WdwTnt,FO Mirror Camera Sensor"</formula1>
    </dataValidation>
    <dataValidation type="list" allowBlank="1" showInputMessage="1" showErrorMessage="1" sqref="M34" xr:uid="{1D531698-67E5-473B-B04D-84E92F7380D7}">
      <formula1>"Alaa,Bachir ,Khaled,Ramy,Simon,Mharen,Ranjith,Jihan,Praveen,Sujith,Mossallem"</formula1>
    </dataValidation>
    <dataValidation type="list" allowBlank="1" showInputMessage="1" showErrorMessage="1" sqref="H34" xr:uid="{D31FC523-5B99-48B0-B444-A8DEFD94E0B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0B98-9578-419B-8F14-97BDD41E165D}">
  <sheetPr>
    <pageSetUpPr fitToPage="1"/>
  </sheetPr>
  <dimension ref="A1:AB54"/>
  <sheetViews>
    <sheetView topLeftCell="B4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</v>
      </c>
      <c r="D5" s="19" t="s">
        <v>100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8811.0500414624985</v>
      </c>
      <c r="S5" s="87"/>
      <c r="U5" s="87">
        <f>L7+L14</f>
        <v>3590.280915915625</v>
      </c>
      <c r="V5" s="87">
        <f>M7+M14</f>
        <v>2401.6741751812501</v>
      </c>
      <c r="W5" s="87">
        <f>N7+N14</f>
        <v>1664.2420409156248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2819.8653659156253</v>
      </c>
      <c r="V6" s="96">
        <f>N7+K14</f>
        <v>7077.6150539624996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19946.749374999999</v>
      </c>
      <c r="F7" s="29">
        <f>(C7)+(D10+D11+D12+D13+D16)*5/100</f>
        <v>3825</v>
      </c>
      <c r="G7" s="30">
        <f>B7+E7+F7</f>
        <v>86671.749374999999</v>
      </c>
      <c r="H7" s="29">
        <f>G7*D20</f>
        <v>17334.349875</v>
      </c>
      <c r="I7" s="29">
        <f>(G7-H7)</f>
        <v>69337.3995</v>
      </c>
      <c r="J7" s="30">
        <f>(((I7*D19)*1)+I7)/12</f>
        <v>5921.9917289625</v>
      </c>
      <c r="K7" s="30">
        <f>(((I7*D19)*2)+I7)/24</f>
        <v>3032.9334164624997</v>
      </c>
      <c r="L7" s="30">
        <f>(((I7*D19)*3)+I7)/36</f>
        <v>2069.9139789625001</v>
      </c>
      <c r="M7" s="30">
        <f>(((I7*D19)*4)+I7)/48</f>
        <v>1588.4042602125</v>
      </c>
      <c r="N7" s="30">
        <f>((((I7*D19)*5)+I7)/60)</f>
        <v>1299.4984289624999</v>
      </c>
      <c r="O7" s="92"/>
      <c r="P7" s="83">
        <f>H7+H16</f>
        <v>18062.392569750002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17334.349875</v>
      </c>
      <c r="I8" s="21"/>
      <c r="J8" s="34" t="s">
        <v>15</v>
      </c>
      <c r="K8" s="23">
        <f>(J7*K5+J7)/24</f>
        <v>246.74965537343749</v>
      </c>
      <c r="L8" s="23">
        <f>(J7*L5+J7)/36</f>
        <v>170.07631246039804</v>
      </c>
      <c r="M8" s="23">
        <f>(J7*M5+J7)/48</f>
        <v>131.73964100387829</v>
      </c>
      <c r="N8" s="23">
        <f>(J7*N5+J7)/60</f>
        <v>108.73763812996643</v>
      </c>
      <c r="O8" s="92"/>
      <c r="P8" s="83">
        <f>P7/12</f>
        <v>1505.1993808125001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1726.5012475499971</v>
      </c>
      <c r="K9" s="38">
        <f>(K7*24)-I7</f>
        <v>3453.0024950999941</v>
      </c>
      <c r="L9" s="38">
        <f>(L7*36)-I7</f>
        <v>5179.5037426500057</v>
      </c>
      <c r="M9" s="38">
        <f>(M7*48)-I7</f>
        <v>6906.0049902000028</v>
      </c>
      <c r="N9" s="38">
        <f>(N7*60)-I7</f>
        <v>8632.5062377499999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602.26655883548574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16334.349875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 t="b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1444.5291562499999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2656.7493749999999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5778.1166249999997</v>
      </c>
      <c r="L14" s="44">
        <f>(H8*L12+H8)/12</f>
        <v>1520.3669369531251</v>
      </c>
      <c r="M14" s="44">
        <f>(H8*M12+H8)/24</f>
        <v>813.26991496874996</v>
      </c>
      <c r="N14" s="52">
        <f>(H7*N12+H7)/60</f>
        <v>364.74361195312497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728.04269475000001</v>
      </c>
      <c r="I16" s="21"/>
      <c r="J16" s="44" t="s">
        <v>16</v>
      </c>
      <c r="K16" s="44">
        <f>(K14*3)-H8</f>
        <v>0</v>
      </c>
      <c r="L16" s="44">
        <f>(L14*12)-H8</f>
        <v>910.05336843750047</v>
      </c>
      <c r="M16" s="44">
        <f>(M14*24)-H8</f>
        <v>2184.1280842499982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19946.749374999999</v>
      </c>
      <c r="E17" s="33"/>
      <c r="F17" s="33"/>
      <c r="G17" s="33"/>
      <c r="H17" s="33">
        <f>H7+H12+H15+H16</f>
        <v>18662.392569750002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47.491369520547941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80325</v>
      </c>
      <c r="V19" s="102">
        <f>(B7+D10+D11+D12+D13+D16)*1.05</f>
        <v>80325</v>
      </c>
      <c r="X19" s="87">
        <f>G7*3.15*1.05/100</f>
        <v>2866.6681105781249</v>
      </c>
      <c r="Y19" s="87">
        <f>G7*3/100+510*1.05</f>
        <v>3135.6524812499997</v>
      </c>
      <c r="Z19" s="87">
        <f>Y19+X19</f>
        <v>6002.3205918281246</v>
      </c>
      <c r="AA19" s="87">
        <f>(Z19)-(D14+D15)</f>
        <v>-344.42878317187478</v>
      </c>
      <c r="AB19" s="87">
        <f>AA19*1.25</f>
        <v>-430.53597896484348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209.91873557812505</v>
      </c>
      <c r="Y20" s="87">
        <f>Y19-D15</f>
        <v>-554.34751875000029</v>
      </c>
      <c r="AA20" s="87">
        <f>X20+Y20</f>
        <v>-344.42878317187524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7077.6150539624996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47.491369520547941</v>
      </c>
      <c r="I24" s="85">
        <f>H7/365</f>
        <v>47.491369520547941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52003.049625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87A12E-29B5-4694-8232-613870A82CC5}">
      <formula1>"ADCB,ADCB PAY IN 2027,Ajman Bank,ADIB,DIB EXPAT,DIB LOCAL GVH,Emirates NBD,EIB,FAB,RAK,SIB STL,SIB NON STL"</formula1>
    </dataValidation>
    <dataValidation type="list" allowBlank="1" showInputMessage="1" showErrorMessage="1" sqref="D5" xr:uid="{768CBF70-2692-475C-A275-4C3F970AD2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377854B5-DC0A-4627-B8E0-9DFEB703C91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94CFB1EE-2F39-49DC-8726-D6BA619422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4CA38AC-0A11-4EBC-B429-7E4229A466DF}">
      <formula1>"YES,NO"</formula1>
    </dataValidation>
    <dataValidation type="list" allowBlank="1" showInputMessage="1" showErrorMessage="1" sqref="K24" xr:uid="{B913722A-F4C1-41F6-87F4-73B23427A694}">
      <formula1>"RMC-10-70K,RMC-10-100000K,RMC-40-70K"</formula1>
    </dataValidation>
    <dataValidation type="list" allowBlank="1" showInputMessage="1" showErrorMessage="1" sqref="B16" xr:uid="{219BAF85-1ECF-4305-B523-4704D2698B86}">
      <formula1>"RMC-10-40KMS,RMC-10-60KMS,RMC-10-70KMS,RMC-10-100000KMS,RMC-40-70KMS,RMC-40-100000KMS"</formula1>
    </dataValidation>
    <dataValidation type="list" allowBlank="1" showInputMessage="1" showErrorMessage="1" sqref="B12" xr:uid="{FAB37681-AE50-4E7F-BD57-542D4C540D3E}">
      <formula1>"FO Exterior ceramic All Cars SCOTCHGUARD,FO Mirror Camera Sensor,FO PPF Gold Package "</formula1>
    </dataValidation>
    <dataValidation type="list" allowBlank="1" showInputMessage="1" showErrorMessage="1" sqref="B11" xr:uid="{9E4B379B-0E26-486E-B8F1-9ADE7FC75D8B}">
      <formula1>"FO Ceramic+ Intr&amp;Extr CeramicGold WdwTnt,FO Mirror Camera Sensor"</formula1>
    </dataValidation>
    <dataValidation type="list" allowBlank="1" showInputMessage="1" showErrorMessage="1" sqref="M34" xr:uid="{600ACA2B-F191-4C95-B050-02C15D29FF9C}">
      <formula1>"Alaa,Bachir ,Khaled,Ramy,Simon,Mharen,Ranjith,Jihan,Praveen,Sujith,Mossallem"</formula1>
    </dataValidation>
    <dataValidation type="list" allowBlank="1" showInputMessage="1" showErrorMessage="1" sqref="H34" xr:uid="{77A42FCE-4C74-4CF8-B4D8-2C16D59B6AA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A7B2-558F-48E3-BE2F-014A79727B6E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G43</v>
      </c>
      <c r="D5" s="19" t="s">
        <v>99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12030.382819455001</v>
      </c>
      <c r="S5" s="87"/>
      <c r="U5" s="87">
        <f>L7+L14</f>
        <v>4902.0779185904166</v>
      </c>
      <c r="V5" s="87">
        <f>M7+M14</f>
        <v>3279.1846146675002</v>
      </c>
      <c r="W5" s="87">
        <f>N7+N14</f>
        <v>2272.31360192375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3850.1721919237498</v>
      </c>
      <c r="V6" s="96">
        <f>N7+K14</f>
        <v>9663.594934454999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29">
        <f>B7+C7</f>
        <v>96495</v>
      </c>
      <c r="E7" s="29">
        <f>D17</f>
        <v>21149.394250000001</v>
      </c>
      <c r="F7" s="29">
        <f>(C7)+(D10+D11+D12+D13+D16)*5/100</f>
        <v>5290</v>
      </c>
      <c r="G7" s="30">
        <f>B7+E7+F7</f>
        <v>118339.39425</v>
      </c>
      <c r="H7" s="29">
        <f>G7*D20</f>
        <v>23667.878850000001</v>
      </c>
      <c r="I7" s="29">
        <f>(G7-H7)</f>
        <v>94671.515400000004</v>
      </c>
      <c r="J7" s="30">
        <f>(((I7*D19)*1)+I7)/12</f>
        <v>8085.7363444550001</v>
      </c>
      <c r="K7" s="30">
        <f>(((I7*D19)*2)+I7)/24</f>
        <v>4141.0898694550006</v>
      </c>
      <c r="L7" s="30">
        <f>(((I7*D19)*3)+I7)/36</f>
        <v>2826.2077111216668</v>
      </c>
      <c r="M7" s="30">
        <f>(((I7*D19)*4)+I7)/48</f>
        <v>2168.7666319550003</v>
      </c>
      <c r="N7" s="30">
        <f>((((I7*D19)*5)+I7)/60)</f>
        <v>1774.3019844550001</v>
      </c>
      <c r="O7" s="92"/>
      <c r="P7" s="83">
        <f>H7+H16</f>
        <v>24661.929761700001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91900</v>
      </c>
      <c r="C8" s="32">
        <f>IF(L20="YES",N20,IF(L20="NO",N20))</f>
        <v>91900</v>
      </c>
      <c r="D8" s="29">
        <v>0</v>
      </c>
      <c r="E8" s="33"/>
      <c r="F8" s="188"/>
      <c r="G8" s="189"/>
      <c r="H8" s="110">
        <f>G7*20/100</f>
        <v>23667.878849999997</v>
      </c>
      <c r="I8" s="21"/>
      <c r="J8" s="34" t="s">
        <v>15</v>
      </c>
      <c r="K8" s="23">
        <f>(J7*K5+J7)/24</f>
        <v>336.90568101895832</v>
      </c>
      <c r="L8" s="23">
        <f>(J7*L5+J7)/36</f>
        <v>232.21785573700066</v>
      </c>
      <c r="M8" s="23">
        <f>(J7*M5+J7)/48</f>
        <v>179.87394309602186</v>
      </c>
      <c r="N8" s="23">
        <f>(J7*N5+J7)/60</f>
        <v>148.46759551143455</v>
      </c>
      <c r="O8" s="92"/>
      <c r="P8" s="83">
        <f>P7/12</f>
        <v>2055.1608134749999</v>
      </c>
      <c r="T8" s="86">
        <f>25973-12973</f>
        <v>13000</v>
      </c>
    </row>
    <row r="9" spans="1:28" ht="25.5" x14ac:dyDescent="0.35">
      <c r="A9" s="8">
        <f>B8/(100%-A8)</f>
        <v>114875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2357.3207334600011</v>
      </c>
      <c r="K9" s="38">
        <f>(K7*24)-I7</f>
        <v>4714.6414669200021</v>
      </c>
      <c r="L9" s="38">
        <f>(L7*36)-I7</f>
        <v>7071.9622003800032</v>
      </c>
      <c r="M9" s="38">
        <f>(M7*48)-I7</f>
        <v>9429.2829338400043</v>
      </c>
      <c r="N9" s="38">
        <f>(N7*60)-I7</f>
        <v>11786.603667300005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822.31938623107362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3575.0925000000002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22667.878849999997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116328.85799999999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1972.3232375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3674.3017500000001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7889.2929499999991</v>
      </c>
      <c r="L14" s="44">
        <f>(H8*L12+H8)/12</f>
        <v>2075.8702074687499</v>
      </c>
      <c r="M14" s="44">
        <f>(H8*M12+H8)/24</f>
        <v>1110.4179827124999</v>
      </c>
      <c r="N14" s="52">
        <f>(H7*N12+H7)/60</f>
        <v>498.01161746875005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2887</v>
      </c>
      <c r="B15" s="37" t="s">
        <v>27</v>
      </c>
      <c r="C15" s="20" t="s">
        <v>19</v>
      </c>
      <c r="D15" s="29">
        <f>IF(C15="YES",O10,IF(C15="NO",0))</f>
        <v>3575.0925000000002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994.05091170000014</v>
      </c>
      <c r="I16" s="21"/>
      <c r="J16" s="44" t="s">
        <v>16</v>
      </c>
      <c r="K16" s="44">
        <f>(K14*3)-H8</f>
        <v>0</v>
      </c>
      <c r="L16" s="44">
        <f>(L14*12)-H8</f>
        <v>1242.5636396250011</v>
      </c>
      <c r="M16" s="44">
        <f>(M14*24)-H8</f>
        <v>2982.1527351000004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3017</v>
      </c>
      <c r="B17" s="37"/>
      <c r="C17" s="20"/>
      <c r="D17" s="29">
        <f>SUM(D10:D16)</f>
        <v>21149.394250000001</v>
      </c>
      <c r="E17" s="33"/>
      <c r="F17" s="33"/>
      <c r="G17" s="33"/>
      <c r="H17" s="33">
        <f>H7+H12+H15+H16</f>
        <v>25261.929761700001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2894.85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64.843503698630144</v>
      </c>
      <c r="K19" s="21"/>
      <c r="L19" s="21"/>
      <c r="M19" s="21"/>
      <c r="N19" s="23">
        <f>D7</f>
        <v>96495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111090</v>
      </c>
      <c r="V19" s="102">
        <f>(B7+D10+D11+D12+D13+D16)*1.05</f>
        <v>111090</v>
      </c>
      <c r="X19" s="87">
        <f>G7*3.15*1.05/100</f>
        <v>3914.0754648187499</v>
      </c>
      <c r="Y19" s="87">
        <f>G7*3/100+510*1.05</f>
        <v>4085.6818274999996</v>
      </c>
      <c r="Z19" s="87">
        <f>Y19+X19</f>
        <v>7999.757292318749</v>
      </c>
      <c r="AA19" s="87">
        <f>(Z19)-(D14+D15)</f>
        <v>750.36304231874874</v>
      </c>
      <c r="AB19" s="87">
        <f>AA19*1.25</f>
        <v>937.95380289843592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91900</v>
      </c>
      <c r="O20" s="92"/>
      <c r="P20" s="99"/>
      <c r="T20" s="86">
        <f>1992+1084</f>
        <v>3076</v>
      </c>
      <c r="V20" s="83"/>
      <c r="X20" s="87">
        <f>X19-D14</f>
        <v>239.7737148187498</v>
      </c>
      <c r="Y20" s="87">
        <f>Y19-D15</f>
        <v>510.5893274999994</v>
      </c>
      <c r="AA20" s="87">
        <f>X20+Y20</f>
        <v>750.36304231874919</v>
      </c>
    </row>
    <row r="21" spans="1:28" ht="25.5" x14ac:dyDescent="0.35">
      <c r="A21" s="13">
        <f>A19+A20</f>
        <v>2894.85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9663.594934454999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64.843503698630144</v>
      </c>
      <c r="I24" s="85">
        <f>H7/365</f>
        <v>64.843503698630144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71003.636549999996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76577DF-E0B7-406B-861C-BCBE4FC6A2FA}">
      <formula1>"ADCB,ADCB PAY IN 2027,Ajman Bank,ADIB,DIB EXPAT,DIB LOCAL GVH,Emirates NBD,EIB,FAB,RAK,SIB STL,SIB NON STL"</formula1>
    </dataValidation>
    <dataValidation type="list" allowBlank="1" showInputMessage="1" showErrorMessage="1" sqref="D5" xr:uid="{A606157F-81C4-4A15-9571-2F81408DE1E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895AA4E-AFD8-468D-BC16-36B36EBE84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9183E67-A8F4-4B59-9A55-4B60974E734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7FBA1-F0DC-4B9E-BCB5-D4E0D967ADBA}">
      <formula1>"YES,NO"</formula1>
    </dataValidation>
    <dataValidation type="list" allowBlank="1" showInputMessage="1" showErrorMessage="1" sqref="K24" xr:uid="{C7E9F1EA-C418-4F3A-9904-9A18258DEAFB}">
      <formula1>"RMC-10-70K,RMC-10-100000K,RMC-40-70K"</formula1>
    </dataValidation>
    <dataValidation type="list" allowBlank="1" showInputMessage="1" showErrorMessage="1" sqref="B16" xr:uid="{86A59D18-A044-4673-8666-EB86868FB78C}">
      <formula1>"RMC-10-40KMS,RMC-10-60KMS,RMC-10-70KMS,RMC-10-100000KMS,RMC-40-70KMS,RMC-40-100000KMS"</formula1>
    </dataValidation>
    <dataValidation type="list" allowBlank="1" showInputMessage="1" showErrorMessage="1" sqref="B12" xr:uid="{91DB52E7-5429-4481-8CE5-9DFD367225EB}">
      <formula1>"FO Exterior ceramic All Cars SCOTCHGUARD,FO Mirror Camera Sensor,FO PPF Gold Package "</formula1>
    </dataValidation>
    <dataValidation type="list" allowBlank="1" showInputMessage="1" showErrorMessage="1" sqref="B11" xr:uid="{0BE1ECBD-620A-4BA1-ADED-25CE2374ED52}">
      <formula1>"FO Ceramic+ Intr&amp;Extr CeramicGold WdwTnt,FO Mirror Camera Sensor"</formula1>
    </dataValidation>
    <dataValidation type="list" allowBlank="1" showInputMessage="1" showErrorMessage="1" sqref="M34" xr:uid="{0CED6D80-BD38-4029-BD79-0AE3A613B768}">
      <formula1>"Alaa,Bachir ,Khaled,Ramy,Simon,Mharen,Ranjith,Jihan,Praveen,Sujith,Mossallem"</formula1>
    </dataValidation>
    <dataValidation type="list" allowBlank="1" showInputMessage="1" showErrorMessage="1" sqref="H34" xr:uid="{84EBA34A-A00B-4726-A6B4-8F5B70B9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A8E1-5579-4AAF-A7CB-3BB9FCDCDA5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G40</v>
      </c>
      <c r="D5" s="19" t="s">
        <v>98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11462.203173329999</v>
      </c>
      <c r="S5" s="87"/>
      <c r="U5" s="87">
        <f>L7+L14</f>
        <v>4670.5590268924998</v>
      </c>
      <c r="V5" s="87">
        <f>M7+M14</f>
        <v>3124.312905105</v>
      </c>
      <c r="W5" s="87">
        <f>N7+N14</f>
        <v>2164.9951268925001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3668.3334668924999</v>
      </c>
      <c r="V6" s="96">
        <f>N7+K14</f>
        <v>9207.1956633299997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29">
        <f>B7+C7</f>
        <v>91245</v>
      </c>
      <c r="E7" s="29">
        <f>D17</f>
        <v>20810.375500000002</v>
      </c>
      <c r="F7" s="29">
        <f>(C7)+(D10+D11+D12+D13+D16)*5/100</f>
        <v>5040</v>
      </c>
      <c r="G7" s="30">
        <f>B7+E7+F7</f>
        <v>112750.37549999999</v>
      </c>
      <c r="H7" s="29">
        <f>G7*D20</f>
        <v>22550.075100000002</v>
      </c>
      <c r="I7" s="29">
        <f>(G7-H7)</f>
        <v>90200.300399999993</v>
      </c>
      <c r="J7" s="30">
        <f>(((I7*D19)*1)+I7)/12</f>
        <v>7703.8573233300003</v>
      </c>
      <c r="K7" s="30">
        <f>(((I7*D19)*2)+I7)/24</f>
        <v>3945.5114733299997</v>
      </c>
      <c r="L7" s="30">
        <f>(((I7*D19)*3)+I7)/36</f>
        <v>2692.7295233299997</v>
      </c>
      <c r="M7" s="30">
        <f>(((I7*D19)*4)+I7)/48</f>
        <v>2066.3385483299999</v>
      </c>
      <c r="N7" s="30">
        <f>((((I7*D19)*5)+I7)/60)</f>
        <v>1690.50396333</v>
      </c>
      <c r="O7" s="92"/>
      <c r="P7" s="83">
        <f>H7+H16</f>
        <v>23497.1782542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86900</v>
      </c>
      <c r="C8" s="32">
        <f>IF(L20="YES",N20,IF(L20="NO",N20))</f>
        <v>86900</v>
      </c>
      <c r="D8" s="29">
        <v>0</v>
      </c>
      <c r="E8" s="33"/>
      <c r="F8" s="188"/>
      <c r="G8" s="189"/>
      <c r="H8" s="110">
        <f>G7*20/100</f>
        <v>22550.075099999998</v>
      </c>
      <c r="I8" s="21"/>
      <c r="J8" s="34" t="s">
        <v>15</v>
      </c>
      <c r="K8" s="23">
        <f>(J7*K5+J7)/24</f>
        <v>320.99405513875001</v>
      </c>
      <c r="L8" s="23">
        <f>(J7*L5+J7)/36</f>
        <v>221.25050240530243</v>
      </c>
      <c r="M8" s="23">
        <f>(J7*M5+J7)/48</f>
        <v>171.37872603857863</v>
      </c>
      <c r="N8" s="23">
        <f>(J7*N5+J7)/60</f>
        <v>141.45566021854435</v>
      </c>
      <c r="O8" s="92"/>
      <c r="P8" s="83">
        <f>P7/12</f>
        <v>1958.0981878499999</v>
      </c>
      <c r="T8" s="86">
        <f>25973-12973</f>
        <v>13000</v>
      </c>
    </row>
    <row r="9" spans="1:28" ht="25.5" x14ac:dyDescent="0.35">
      <c r="A9" s="8">
        <f>B8/(100%-A8)</f>
        <v>108625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2245.9874799600075</v>
      </c>
      <c r="K9" s="38">
        <f>(K7*24)-I7</f>
        <v>4491.9749599200004</v>
      </c>
      <c r="L9" s="38">
        <f>(L7*36)-I7</f>
        <v>6737.9624398799933</v>
      </c>
      <c r="M9" s="38">
        <f>(M7*48)-I7</f>
        <v>8983.9499198400008</v>
      </c>
      <c r="N9" s="38">
        <f>(N7*60)-I7</f>
        <v>11229.937399800008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783.4822897826607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3409.7175000000002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21550.075099999998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109999.758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1879.1729250000001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3500.6579999999999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7516.6916999999994</v>
      </c>
      <c r="L14" s="44">
        <f>(H8*L12+H8)/12</f>
        <v>1977.8295035624999</v>
      </c>
      <c r="M14" s="44">
        <f>(H8*M12+H8)/24</f>
        <v>1057.9743567749999</v>
      </c>
      <c r="N14" s="52">
        <f>(H7*N12+H7)/60</f>
        <v>474.49116356250005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2737</v>
      </c>
      <c r="B15" s="37" t="s">
        <v>27</v>
      </c>
      <c r="C15" s="20" t="s">
        <v>19</v>
      </c>
      <c r="D15" s="29">
        <f>IF(C15="YES",O10,IF(C15="NO",0))</f>
        <v>3409.7175000000002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947.10315419999995</v>
      </c>
      <c r="I16" s="21"/>
      <c r="J16" s="44" t="s">
        <v>16</v>
      </c>
      <c r="K16" s="44">
        <f>(K14*3)-H8</f>
        <v>0</v>
      </c>
      <c r="L16" s="44">
        <f>(L14*12)-H8</f>
        <v>1183.8789427500014</v>
      </c>
      <c r="M16" s="44">
        <f>(M14*24)-H8</f>
        <v>2841.3094625999984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2867</v>
      </c>
      <c r="B17" s="37"/>
      <c r="C17" s="20"/>
      <c r="D17" s="29">
        <f>SUM(D10:D16)</f>
        <v>20810.375500000002</v>
      </c>
      <c r="E17" s="33"/>
      <c r="F17" s="33"/>
      <c r="G17" s="33"/>
      <c r="H17" s="33">
        <f>H7+H12+H15+H16</f>
        <v>24097.1782542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2737.35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61.781027671232884</v>
      </c>
      <c r="K19" s="21"/>
      <c r="L19" s="21"/>
      <c r="M19" s="21"/>
      <c r="N19" s="23">
        <f>D7</f>
        <v>91245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105840</v>
      </c>
      <c r="V19" s="102">
        <f>(B7+D10+D11+D12+D13+D16)*1.05</f>
        <v>105840</v>
      </c>
      <c r="X19" s="87">
        <f>G7*3.15*1.05/100</f>
        <v>3729.2186696624999</v>
      </c>
      <c r="Y19" s="87">
        <f>G7*3/100+510*1.05</f>
        <v>3918.0112650000001</v>
      </c>
      <c r="Z19" s="87">
        <f>Y19+X19</f>
        <v>7647.2299346625005</v>
      </c>
      <c r="AA19" s="87">
        <f>(Z19)-(D14+D15)</f>
        <v>736.85443466250035</v>
      </c>
      <c r="AB19" s="87">
        <f>AA19*1.25</f>
        <v>921.06804332812544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86900</v>
      </c>
      <c r="O20" s="92"/>
      <c r="P20" s="99"/>
      <c r="T20" s="86">
        <f>1992+1084</f>
        <v>3076</v>
      </c>
      <c r="V20" s="83"/>
      <c r="X20" s="87">
        <f>X19-D14</f>
        <v>228.5606696625</v>
      </c>
      <c r="Y20" s="87">
        <f>Y19-D15</f>
        <v>508.29376499999989</v>
      </c>
      <c r="AA20" s="87">
        <f>X20+Y20</f>
        <v>736.8544346624999</v>
      </c>
    </row>
    <row r="21" spans="1:28" ht="25.5" x14ac:dyDescent="0.35">
      <c r="A21" s="13">
        <f>A19+A20</f>
        <v>2737.35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9207.1956633299997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61.781027671232884</v>
      </c>
      <c r="I24" s="85">
        <f>H7/365</f>
        <v>61.781027671232884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67650.225300000006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4E9B378D-B8C4-4220-8E56-8AD194A553BE}">
      <formula1>"ADCB,ADCB PAY IN 2027,Ajman Bank,ADIB,DIB EXPAT,DIB LOCAL GVH,Emirates NBD,EIB,FAB,RAK,SIB STL,SIB NON STL"</formula1>
    </dataValidation>
    <dataValidation type="list" allowBlank="1" showInputMessage="1" showErrorMessage="1" sqref="D5" xr:uid="{CD509C4F-E59D-45BB-BAF5-75D7F034124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6090EB8-29EC-4B34-AFCD-734CDFDE4C85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5EFC87E-CACA-47C0-9B1A-C4CF0162275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80A9931-8673-43CB-BF01-259C02B7E0B3}">
      <formula1>"YES,NO"</formula1>
    </dataValidation>
    <dataValidation type="list" allowBlank="1" showInputMessage="1" showErrorMessage="1" sqref="K24" xr:uid="{92821129-D88E-4C16-8FFA-4F5E9C621E28}">
      <formula1>"RMC-10-70K,RMC-10-100000K,RMC-40-70K"</formula1>
    </dataValidation>
    <dataValidation type="list" allowBlank="1" showInputMessage="1" showErrorMessage="1" sqref="B16" xr:uid="{A8B7C1D4-113C-49CC-839A-11BEF241C546}">
      <formula1>"RMC-10-40KMS,RMC-10-60KMS,RMC-10-70KMS,RMC-10-100000KMS,RMC-40-70KMS,RMC-40-100000KMS"</formula1>
    </dataValidation>
    <dataValidation type="list" allowBlank="1" showInputMessage="1" showErrorMessage="1" sqref="B12" xr:uid="{32B29E5A-4610-4004-8909-A9AC110CA4FE}">
      <formula1>"FO Exterior ceramic All Cars SCOTCHGUARD,FO Mirror Camera Sensor,FO PPF Gold Package "</formula1>
    </dataValidation>
    <dataValidation type="list" allowBlank="1" showInputMessage="1" showErrorMessage="1" sqref="B11" xr:uid="{8F472D8C-A7E0-4D16-868A-9479AD1D4E25}">
      <formula1>"FO Ceramic+ Intr&amp;Extr CeramicGold WdwTnt,FO Mirror Camera Sensor"</formula1>
    </dataValidation>
    <dataValidation type="list" allowBlank="1" showInputMessage="1" showErrorMessage="1" sqref="M34" xr:uid="{C2B4565C-11D8-4E8F-A40C-92F3E2E6B1CD}">
      <formula1>"Alaa,Bachir ,Khaled,Ramy,Simon,Mharen,Ranjith,Jihan,Praveen,Sujith,Mossallem"</formula1>
    </dataValidation>
    <dataValidation type="list" allowBlank="1" showInputMessage="1" showErrorMessage="1" sqref="H34" xr:uid="{7308359E-C2F6-4A23-849A-95931FF6758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3AE4-E009-4F51-89E7-FEF42389F262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G37</v>
      </c>
      <c r="D5" s="19" t="s">
        <v>97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9719.7123966799991</v>
      </c>
      <c r="S5" s="87"/>
      <c r="U5" s="87">
        <f>L7+L14</f>
        <v>3960.5379338188886</v>
      </c>
      <c r="V5" s="87">
        <f>M7+M14</f>
        <v>2649.3530445800002</v>
      </c>
      <c r="W5" s="87">
        <f>N7+N14</f>
        <v>1835.8713115966666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3110.6712849299997</v>
      </c>
      <c r="V6" s="96">
        <f>N7+K14</f>
        <v>7807.5124366799992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29">
        <f>B7+C7</f>
        <v>74445</v>
      </c>
      <c r="E7" s="29">
        <f>D17</f>
        <v>20469.998</v>
      </c>
      <c r="F7" s="29">
        <f>(C7)+(D10+D11+D12+D13+D16)*5/100</f>
        <v>4240</v>
      </c>
      <c r="G7" s="30">
        <f>B7+E7+F7</f>
        <v>95609.997999999992</v>
      </c>
      <c r="H7" s="29">
        <f>G7*D20</f>
        <v>19121.999599999999</v>
      </c>
      <c r="I7" s="29">
        <f>(G7-H7)</f>
        <v>76487.998399999997</v>
      </c>
      <c r="J7" s="30">
        <f>(((I7*D19)*1)+I7)/12</f>
        <v>6532.7124633466665</v>
      </c>
      <c r="K7" s="30">
        <f>(((I7*D19)*2)+I7)/24</f>
        <v>3345.7125300133334</v>
      </c>
      <c r="L7" s="30">
        <f>(((I7*D19)*3)+I7)/36</f>
        <v>2283.3792189022224</v>
      </c>
      <c r="M7" s="30">
        <f>(((I7*D19)*4)+I7)/48</f>
        <v>1752.2125633466667</v>
      </c>
      <c r="N7" s="30">
        <f>((((I7*D19)*5)+I7)/60)</f>
        <v>1433.5125700133333</v>
      </c>
      <c r="O7" s="92"/>
      <c r="P7" s="83">
        <f>H7+H16</f>
        <v>19925.123583199998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70900</v>
      </c>
      <c r="C8" s="32">
        <f>IF(L20="YES",N20,IF(L20="NO",N20))</f>
        <v>70900</v>
      </c>
      <c r="D8" s="29">
        <v>0</v>
      </c>
      <c r="E8" s="33"/>
      <c r="F8" s="188"/>
      <c r="G8" s="189"/>
      <c r="H8" s="110">
        <f>G7*20/100</f>
        <v>19121.999599999999</v>
      </c>
      <c r="I8" s="21"/>
      <c r="J8" s="34" t="s">
        <v>15</v>
      </c>
      <c r="K8" s="23">
        <f>(J7*K5+J7)/24</f>
        <v>272.19635263944446</v>
      </c>
      <c r="L8" s="23">
        <f>(J7*L5+J7)/36</f>
        <v>187.61587266261438</v>
      </c>
      <c r="M8" s="23">
        <f>(J7*M5+J7)/48</f>
        <v>145.3256326741994</v>
      </c>
      <c r="N8" s="23">
        <f>(J7*N5+J7)/60</f>
        <v>119.95148868115037</v>
      </c>
      <c r="O8" s="92"/>
      <c r="P8" s="83">
        <f>P7/12</f>
        <v>1660.4269652666665</v>
      </c>
      <c r="T8" s="86">
        <f>25973-12973</f>
        <v>13000</v>
      </c>
    </row>
    <row r="9" spans="1:28" ht="25.5" x14ac:dyDescent="0.35">
      <c r="A9" s="8">
        <f>B8/(100%-A8)</f>
        <v>88625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1904.551160160001</v>
      </c>
      <c r="K9" s="38">
        <f>(K7*24)-I7</f>
        <v>3809.102320320002</v>
      </c>
      <c r="L9" s="38">
        <f>(L7*36)-I7</f>
        <v>5713.6534804800031</v>
      </c>
      <c r="M9" s="38">
        <f>(M7*48)-I7</f>
        <v>7618.2046406400041</v>
      </c>
      <c r="N9" s="38">
        <f>(N7*60)-I7</f>
        <v>9522.7558008000051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664.37685752235575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18121.999599999999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89746.637999999992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1593.4999666666665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2944.998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6373.9998666666661</v>
      </c>
      <c r="L14" s="44">
        <f>(H8*L12+H8)/12</f>
        <v>1677.1587149166664</v>
      </c>
      <c r="M14" s="44">
        <f>(H8*M12+H8)/24</f>
        <v>897.14048123333339</v>
      </c>
      <c r="N14" s="52">
        <f>(H7*N12+H7)/60</f>
        <v>402.35874158333331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2257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803.1239832</v>
      </c>
      <c r="I16" s="21"/>
      <c r="J16" s="44" t="s">
        <v>16</v>
      </c>
      <c r="K16" s="44">
        <f>(K14*3)-H8</f>
        <v>0</v>
      </c>
      <c r="L16" s="44">
        <f>(L14*12)-H8</f>
        <v>1003.904978999999</v>
      </c>
      <c r="M16" s="44">
        <f>(M14*24)-H8</f>
        <v>2409.3719496000012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2387</v>
      </c>
      <c r="B17" s="37"/>
      <c r="C17" s="20"/>
      <c r="D17" s="29">
        <f>SUM(D10:D16)</f>
        <v>20469.998</v>
      </c>
      <c r="E17" s="33"/>
      <c r="F17" s="33"/>
      <c r="G17" s="33"/>
      <c r="H17" s="33">
        <f>H7+H12+H15+H16</f>
        <v>20525.123583199998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2233.35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52.389039999999994</v>
      </c>
      <c r="K19" s="21"/>
      <c r="L19" s="21"/>
      <c r="M19" s="21"/>
      <c r="N19" s="23">
        <f>D7</f>
        <v>74445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89040</v>
      </c>
      <c r="V19" s="102">
        <f>(B7+D10+D11+D12+D13+D16)*1.05</f>
        <v>89040</v>
      </c>
      <c r="X19" s="87">
        <f>G7*3.15*1.05/100</f>
        <v>3162.30068385</v>
      </c>
      <c r="Y19" s="87">
        <f>G7*3/100+510*1.05</f>
        <v>3403.7999399999994</v>
      </c>
      <c r="Z19" s="87">
        <f>Y19+X19</f>
        <v>6566.1006238499995</v>
      </c>
      <c r="AA19" s="87">
        <f>(Z19)-(D14+D15)</f>
        <v>-3.8973761500001274</v>
      </c>
      <c r="AB19" s="87">
        <f>AA19*1.25</f>
        <v>-4.8717201875001592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70900</v>
      </c>
      <c r="O20" s="92"/>
      <c r="P20" s="99"/>
      <c r="T20" s="86">
        <f>1992+1084</f>
        <v>3076</v>
      </c>
      <c r="V20" s="83"/>
      <c r="X20" s="87">
        <f>X19-D14</f>
        <v>217.30268384999999</v>
      </c>
      <c r="Y20" s="87">
        <f>Y19-D15</f>
        <v>-221.20006000000058</v>
      </c>
      <c r="AA20" s="87">
        <f>X20+Y20</f>
        <v>-3.8973761500005821</v>
      </c>
    </row>
    <row r="21" spans="1:28" ht="25.5" x14ac:dyDescent="0.35">
      <c r="A21" s="13">
        <f>A19+A20</f>
        <v>2233.35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7807.5124366799992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52.389039999999994</v>
      </c>
      <c r="I24" s="85">
        <f>H7/365</f>
        <v>52.389039999999994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57365.998800000001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CD8A721-C59D-4F1E-B1D7-9038AB5EFF4A}">
      <formula1>"ADCB,ADCB PAY IN 2027,Ajman Bank,ADIB,DIB EXPAT,DIB LOCAL GVH,Emirates NBD,EIB,FAB,RAK,SIB STL,SIB NON STL"</formula1>
    </dataValidation>
    <dataValidation type="list" allowBlank="1" showInputMessage="1" showErrorMessage="1" sqref="D5" xr:uid="{C67FA18C-66E5-4ACA-B701-8D5FA7E6D9C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F3DEAF9-6A1F-41C2-8957-D3192236D6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B84640C-8521-4736-B9F9-6B7550FA031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CC7EB69-E6F5-40B9-9744-013A5F93A79F}">
      <formula1>"YES,NO"</formula1>
    </dataValidation>
    <dataValidation type="list" allowBlank="1" showInputMessage="1" showErrorMessage="1" sqref="K24" xr:uid="{2E36A893-B59E-4B38-9C27-2E2E56663E75}">
      <formula1>"RMC-10-70K,RMC-10-100000K,RMC-40-70K"</formula1>
    </dataValidation>
    <dataValidation type="list" allowBlank="1" showInputMessage="1" showErrorMessage="1" sqref="B16" xr:uid="{90B88DBA-7B77-4F55-8702-B785FAA1212C}">
      <formula1>"RMC-10-40KMS,RMC-10-60KMS,RMC-10-70KMS,RMC-10-100000KMS,RMC-40-70KMS,RMC-40-100000KMS"</formula1>
    </dataValidation>
    <dataValidation type="list" allowBlank="1" showInputMessage="1" showErrorMessage="1" sqref="B12" xr:uid="{BA852166-D0AB-44A4-B39F-6462827DAAC9}">
      <formula1>"FO Exterior ceramic All Cars SCOTCHGUARD,FO Mirror Camera Sensor,FO PPF Gold Package "</formula1>
    </dataValidation>
    <dataValidation type="list" allowBlank="1" showInputMessage="1" showErrorMessage="1" sqref="B11" xr:uid="{AF4CC02C-71E0-4A34-BD5F-90D244AF3B4E}">
      <formula1>"FO Ceramic+ Intr&amp;Extr CeramicGold WdwTnt,FO Mirror Camera Sensor"</formula1>
    </dataValidation>
    <dataValidation type="list" allowBlank="1" showInputMessage="1" showErrorMessage="1" sqref="M34" xr:uid="{837B0F90-5782-4FBA-93D1-15FC36506EB4}">
      <formula1>"Alaa,Bachir ,Khaled,Ramy,Simon,Mharen,Ranjith,Jihan,Praveen,Sujith,Mossallem"</formula1>
    </dataValidation>
    <dataValidation type="list" allowBlank="1" showInputMessage="1" showErrorMessage="1" sqref="H34" xr:uid="{82ACDBFD-076E-45F9-9FA3-375CFD74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8895-037C-4906-8771-ABE8DCD0845A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G38</v>
      </c>
      <c r="D5" s="19" t="s">
        <v>96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10050.532970855</v>
      </c>
      <c r="S5" s="87"/>
      <c r="U5" s="87">
        <f>L7+L14</f>
        <v>4095.3389834626396</v>
      </c>
      <c r="V5" s="87">
        <f>M7+M14</f>
        <v>2739.5265455674999</v>
      </c>
      <c r="W5" s="87">
        <f>N7+N14</f>
        <v>1898.3571112404165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3216.5462345737501</v>
      </c>
      <c r="V6" s="96">
        <f>N7+K14</f>
        <v>8073.2492858550004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29">
        <f>B7+C7</f>
        <v>77595</v>
      </c>
      <c r="E7" s="29">
        <f>D17</f>
        <v>20574.184249999998</v>
      </c>
      <c r="F7" s="29">
        <f>(C7)+(D10+D11+D12+D13+D16)*5/100</f>
        <v>4390</v>
      </c>
      <c r="G7" s="30">
        <f>B7+E7+F7</f>
        <v>98864.184249999991</v>
      </c>
      <c r="H7" s="29">
        <f>G7*D20</f>
        <v>19772.83685</v>
      </c>
      <c r="I7" s="29">
        <f>(G7-H7)</f>
        <v>79091.347399999999</v>
      </c>
      <c r="J7" s="30">
        <f>(((I7*D19)*1)+I7)/12</f>
        <v>6755.0601625216668</v>
      </c>
      <c r="K7" s="30">
        <f>(((I7*D19)*2)+I7)/24</f>
        <v>3459.5873541883334</v>
      </c>
      <c r="L7" s="30">
        <f>(((I7*D19)*3)+I7)/36</f>
        <v>2361.0964180772226</v>
      </c>
      <c r="M7" s="30">
        <f>(((I7*D19)*4)+I7)/48</f>
        <v>1811.8509500216667</v>
      </c>
      <c r="N7" s="30">
        <f>((((I7*D19)*5)+I7)/60)</f>
        <v>1482.3036691883333</v>
      </c>
      <c r="O7" s="92"/>
      <c r="P7" s="83">
        <f>H7+H16</f>
        <v>20603.295997699999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73900</v>
      </c>
      <c r="C8" s="32">
        <f>IF(L20="YES",N20,IF(L20="NO",N20))</f>
        <v>73900</v>
      </c>
      <c r="D8" s="29">
        <v>0</v>
      </c>
      <c r="E8" s="33"/>
      <c r="F8" s="188"/>
      <c r="G8" s="189"/>
      <c r="H8" s="110">
        <f>G7*20/100</f>
        <v>19772.83685</v>
      </c>
      <c r="I8" s="21"/>
      <c r="J8" s="34" t="s">
        <v>15</v>
      </c>
      <c r="K8" s="23">
        <f>(J7*K5+J7)/24</f>
        <v>281.46084010506945</v>
      </c>
      <c r="L8" s="23">
        <f>(J7*L5+J7)/36</f>
        <v>194.00157505642085</v>
      </c>
      <c r="M8" s="23">
        <f>(J7*M5+J7)/48</f>
        <v>150.27194253209657</v>
      </c>
      <c r="N8" s="23">
        <f>(J7*N5+J7)/60</f>
        <v>124.034163017502</v>
      </c>
      <c r="O8" s="92"/>
      <c r="P8" s="83">
        <f>P7/12</f>
        <v>1716.9413331416665</v>
      </c>
      <c r="T8" s="86">
        <f>25973-12973</f>
        <v>13000</v>
      </c>
    </row>
    <row r="9" spans="1:28" ht="25.5" x14ac:dyDescent="0.35">
      <c r="A9" s="8">
        <f>B8/(100%-A8)</f>
        <v>92375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1969.3745502600068</v>
      </c>
      <c r="K9" s="38">
        <f>(K7*24)-I7</f>
        <v>3938.749100519999</v>
      </c>
      <c r="L9" s="38">
        <f>(L7*36)-I7</f>
        <v>5908.1236507800058</v>
      </c>
      <c r="M9" s="38">
        <f>(M7*48)-I7</f>
        <v>7877.4982010399981</v>
      </c>
      <c r="N9" s="38">
        <f>(N7*60)-I7</f>
        <v>9846.8727513000049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686.98961852845332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18772.83685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93544.097999999998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1647.7364041666667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3049.1842499999998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6590.9456166666669</v>
      </c>
      <c r="L14" s="44">
        <f>(H8*L12+H8)/12</f>
        <v>1734.2425653854168</v>
      </c>
      <c r="M14" s="44">
        <f>(H8*M12+H8)/24</f>
        <v>927.67559554583329</v>
      </c>
      <c r="N14" s="52">
        <f>(H7*N12+H7)/60</f>
        <v>416.05344205208337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2347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830.45914770000002</v>
      </c>
      <c r="I16" s="21"/>
      <c r="J16" s="44" t="s">
        <v>16</v>
      </c>
      <c r="K16" s="44">
        <f>(K14*3)-H8</f>
        <v>0</v>
      </c>
      <c r="L16" s="44">
        <f>(L14*12)-H8</f>
        <v>1038.0739346250011</v>
      </c>
      <c r="M16" s="44">
        <f>(M14*24)-H8</f>
        <v>2491.3774430999983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2477</v>
      </c>
      <c r="B17" s="37"/>
      <c r="C17" s="20"/>
      <c r="D17" s="29">
        <f>SUM(D10:D16)</f>
        <v>20574.184249999998</v>
      </c>
      <c r="E17" s="33"/>
      <c r="F17" s="33"/>
      <c r="G17" s="33"/>
      <c r="H17" s="33">
        <f>H7+H12+H15+H16</f>
        <v>21203.295997699999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2327.85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54.172155753424654</v>
      </c>
      <c r="K19" s="21"/>
      <c r="L19" s="21"/>
      <c r="M19" s="21"/>
      <c r="N19" s="23">
        <f>D7</f>
        <v>77595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92190</v>
      </c>
      <c r="V19" s="102">
        <f>(B7+D10+D11+D12+D13+D16)*1.05</f>
        <v>92190</v>
      </c>
      <c r="X19" s="87">
        <f>G7*3.15*1.05/100</f>
        <v>3269.9328940687496</v>
      </c>
      <c r="Y19" s="87">
        <f>G7*3/100+510*1.05</f>
        <v>3501.4255274999996</v>
      </c>
      <c r="Z19" s="87">
        <f>Y19+X19</f>
        <v>6771.3584215687497</v>
      </c>
      <c r="AA19" s="87">
        <f>(Z19)-(D14+D15)</f>
        <v>97.174171568749443</v>
      </c>
      <c r="AB19" s="87">
        <f>AA19*1.25</f>
        <v>121.4677144609368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73900</v>
      </c>
      <c r="O20" s="92"/>
      <c r="P20" s="99"/>
      <c r="T20" s="86">
        <f>1992+1084</f>
        <v>3076</v>
      </c>
      <c r="V20" s="83"/>
      <c r="X20" s="87">
        <f>X19-D14</f>
        <v>220.74864406874985</v>
      </c>
      <c r="Y20" s="87">
        <f>Y19-D15</f>
        <v>-123.57447250000041</v>
      </c>
      <c r="AA20" s="87">
        <f>X20+Y20</f>
        <v>97.174171568749443</v>
      </c>
    </row>
    <row r="21" spans="1:28" ht="25.5" x14ac:dyDescent="0.35">
      <c r="A21" s="13">
        <f>A19+A20</f>
        <v>2327.85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8073.2492858550004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54.172155753424654</v>
      </c>
      <c r="I24" s="85">
        <f>H7/365</f>
        <v>54.172155753424654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59318.510549999999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EE76CBE-7D1F-4E4C-996A-20E0144CFE27}">
      <formula1>"ADCB,ADCB PAY IN 2027,Ajman Bank,ADIB,DIB EXPAT,DIB LOCAL GVH,Emirates NBD,EIB,FAB,RAK,SIB STL,SIB NON STL"</formula1>
    </dataValidation>
    <dataValidation type="list" allowBlank="1" showInputMessage="1" showErrorMessage="1" sqref="D5" xr:uid="{55349D58-B317-44EC-8712-FC9B504801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010214B-498A-494A-9BD5-ED3D2A9B4AC4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2C53DE7-58DA-4F46-B9EC-01BB1A64855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E68CC76-79A1-46F8-B400-75FFBE04DB0B}">
      <formula1>"YES,NO"</formula1>
    </dataValidation>
    <dataValidation type="list" allowBlank="1" showInputMessage="1" showErrorMessage="1" sqref="K24" xr:uid="{03FA26E1-5A89-46CC-B67E-C591B60FE1AD}">
      <formula1>"RMC-10-70K,RMC-10-100000K,RMC-40-70K"</formula1>
    </dataValidation>
    <dataValidation type="list" allowBlank="1" showInputMessage="1" showErrorMessage="1" sqref="B16" xr:uid="{A2307866-C4D5-4136-A31B-949167819D3E}">
      <formula1>"RMC-10-40KMS,RMC-10-60KMS,RMC-10-70KMS,RMC-10-100000KMS,RMC-40-70KMS,RMC-40-100000KMS"</formula1>
    </dataValidation>
    <dataValidation type="list" allowBlank="1" showInputMessage="1" showErrorMessage="1" sqref="B12" xr:uid="{69FC2FFF-8410-42A0-9E64-4A2E6E642462}">
      <formula1>"FO Exterior ceramic All Cars SCOTCHGUARD,FO Mirror Camera Sensor,FO PPF Gold Package "</formula1>
    </dataValidation>
    <dataValidation type="list" allowBlank="1" showInputMessage="1" showErrorMessage="1" sqref="B11" xr:uid="{50FDAF41-503C-4F65-9C83-10A389F96570}">
      <formula1>"FO Ceramic+ Intr&amp;Extr CeramicGold WdwTnt,FO Mirror Camera Sensor"</formula1>
    </dataValidation>
    <dataValidation type="list" allowBlank="1" showInputMessage="1" showErrorMessage="1" sqref="M34" xr:uid="{2F37EE7B-1F95-4CAC-8AF7-3E91CE09AE12}">
      <formula1>"Alaa,Bachir ,Khaled,Ramy,Simon,Mharen,Ranjith,Jihan,Praveen,Sujith,Mossallem"</formula1>
    </dataValidation>
    <dataValidation type="list" allowBlank="1" showInputMessage="1" showErrorMessage="1" sqref="H34" xr:uid="{BA15B494-F5E1-46DC-AA41-8AF754A299A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AB98-EAF0-4278-82D3-65351BEEEEC7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G45</v>
      </c>
      <c r="D5" s="19" t="s">
        <v>95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12498.605219750001</v>
      </c>
      <c r="S5" s="87"/>
      <c r="U5" s="87">
        <f>L7+L14</f>
        <v>5092.8667508263898</v>
      </c>
      <c r="V5" s="87">
        <f>M7+M14</f>
        <v>3406.810452875</v>
      </c>
      <c r="W5" s="87">
        <f>N7+N14</f>
        <v>2360.7520286041668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4000.0208619375007</v>
      </c>
      <c r="V6" s="96">
        <f>N7+K14</f>
        <v>10039.701969750002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29">
        <f>B7+C7</f>
        <v>100695</v>
      </c>
      <c r="E7" s="29">
        <f>D17</f>
        <v>21545.162499999999</v>
      </c>
      <c r="F7" s="29">
        <f>(C7)+(D10+D11+D12+D13+D16)*5/100</f>
        <v>5500</v>
      </c>
      <c r="G7" s="30">
        <f>B7+E7+F7</f>
        <v>122945.16250000001</v>
      </c>
      <c r="H7" s="29">
        <f>G7*D20</f>
        <v>24589.032500000001</v>
      </c>
      <c r="I7" s="29">
        <f>(G7-H7)</f>
        <v>98356.13</v>
      </c>
      <c r="J7" s="30">
        <f>(((I7*D19)*1)+I7)/12</f>
        <v>8400.4331364166665</v>
      </c>
      <c r="K7" s="30">
        <f>(((I7*D19)*2)+I7)/24</f>
        <v>4302.2610530833335</v>
      </c>
      <c r="L7" s="30">
        <f>(((I7*D19)*3)+I7)/36</f>
        <v>2936.2036919722223</v>
      </c>
      <c r="M7" s="30">
        <f>(((I7*D19)*4)+I7)/48</f>
        <v>2253.1750114166666</v>
      </c>
      <c r="N7" s="30">
        <f>((((I7*D19)*5)+I7)/60)</f>
        <v>1843.3578030833335</v>
      </c>
      <c r="O7" s="92"/>
      <c r="P7" s="83">
        <f>H7+H16</f>
        <v>25621.771865000002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95900</v>
      </c>
      <c r="C8" s="32">
        <f>IF(L20="YES",N20,IF(L20="NO",N20))</f>
        <v>95900</v>
      </c>
      <c r="D8" s="29">
        <v>0</v>
      </c>
      <c r="E8" s="33"/>
      <c r="F8" s="188"/>
      <c r="G8" s="189"/>
      <c r="H8" s="110">
        <f>G7*20/100</f>
        <v>24589.032500000001</v>
      </c>
      <c r="I8" s="21"/>
      <c r="J8" s="34" t="s">
        <v>15</v>
      </c>
      <c r="K8" s="23">
        <f>(J7*K5+J7)/24</f>
        <v>350.01804735069442</v>
      </c>
      <c r="L8" s="23">
        <f>(J7*L5+J7)/36</f>
        <v>241.25577277058866</v>
      </c>
      <c r="M8" s="23">
        <f>(J7*M5+J7)/48</f>
        <v>186.87463548053574</v>
      </c>
      <c r="N8" s="23">
        <f>(J7*N5+J7)/60</f>
        <v>154.24595310650403</v>
      </c>
      <c r="O8" s="92"/>
      <c r="P8" s="83">
        <f>P7/12</f>
        <v>2135.147655416667</v>
      </c>
      <c r="T8" s="86">
        <f>25973-12973</f>
        <v>13000</v>
      </c>
    </row>
    <row r="9" spans="1:28" ht="25.5" x14ac:dyDescent="0.35">
      <c r="A9" s="8">
        <f>B8/(100%-A8)</f>
        <v>119875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2449.0676370000001</v>
      </c>
      <c r="K9" s="38">
        <f>(K7*24)-I7</f>
        <v>4898.1352740000002</v>
      </c>
      <c r="L9" s="38">
        <f>(L7*36)-I7</f>
        <v>7347.2029110000003</v>
      </c>
      <c r="M9" s="38">
        <f>(M7*48)-I7</f>
        <v>9796.2705480000004</v>
      </c>
      <c r="N9" s="38">
        <f>(N7*60)-I7</f>
        <v>12245.338185000001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854.3240499735748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23589.032500000001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121392.13799999999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2049.0860416666669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3820.1624999999999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8196.3441666666677</v>
      </c>
      <c r="L14" s="44">
        <f>(H8*L12+H8)/12</f>
        <v>2156.663058854167</v>
      </c>
      <c r="M14" s="44">
        <f>(H8*M12+H8)/24</f>
        <v>1153.6354414583334</v>
      </c>
      <c r="N14" s="52">
        <f>(H7*N12+H7)/60</f>
        <v>517.3942255208334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3007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1032.7393650000001</v>
      </c>
      <c r="I16" s="21"/>
      <c r="J16" s="44" t="s">
        <v>16</v>
      </c>
      <c r="K16" s="44">
        <f>(K14*3)-H8</f>
        <v>0</v>
      </c>
      <c r="L16" s="44">
        <f>(L14*12)-H8</f>
        <v>1290.9242062500052</v>
      </c>
      <c r="M16" s="44">
        <f>(M14*24)-H8</f>
        <v>3098.2180950000002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3137</v>
      </c>
      <c r="B17" s="37"/>
      <c r="C17" s="20"/>
      <c r="D17" s="29">
        <f>SUM(D10:D16)</f>
        <v>21545.162499999999</v>
      </c>
      <c r="E17" s="33"/>
      <c r="F17" s="33"/>
      <c r="G17" s="33"/>
      <c r="H17" s="33">
        <f>H7+H12+H15+H16</f>
        <v>26221.771865000002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3020.85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67.367212328767124</v>
      </c>
      <c r="K19" s="21"/>
      <c r="L19" s="21"/>
      <c r="M19" s="21"/>
      <c r="N19" s="23">
        <f>D7</f>
        <v>100695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115500</v>
      </c>
      <c r="V19" s="102">
        <f>(B7+D10+D11+D12+D13+D16)*1.05</f>
        <v>115500</v>
      </c>
      <c r="X19" s="87">
        <f>G7*3.15*1.05/100</f>
        <v>4066.4112496875005</v>
      </c>
      <c r="Y19" s="87">
        <f>G7*3/100+510*1.05</f>
        <v>4223.8548750000009</v>
      </c>
      <c r="Z19" s="87">
        <f>Y19+X19</f>
        <v>8290.2661246875014</v>
      </c>
      <c r="AA19" s="87">
        <f>(Z19)-(D14+D15)</f>
        <v>845.103624687501</v>
      </c>
      <c r="AB19" s="87">
        <f>AA19*1.25</f>
        <v>1056.3795308593762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95900</v>
      </c>
      <c r="O20" s="92"/>
      <c r="P20" s="99"/>
      <c r="T20" s="86">
        <f>1992+1084</f>
        <v>3076</v>
      </c>
      <c r="V20" s="83"/>
      <c r="X20" s="87">
        <f>X19-D14</f>
        <v>246.24874968750055</v>
      </c>
      <c r="Y20" s="87">
        <f>Y19-D15</f>
        <v>598.8548750000009</v>
      </c>
      <c r="AA20" s="87">
        <f>X20+Y20</f>
        <v>845.10362468750145</v>
      </c>
    </row>
    <row r="21" spans="1:28" ht="25.5" x14ac:dyDescent="0.35">
      <c r="A21" s="13">
        <f>A19+A20</f>
        <v>3020.85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10039.701969750002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67.367212328767124</v>
      </c>
      <c r="I24" s="85">
        <f>H7/365</f>
        <v>67.367212328767124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73767.097500000003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AE3A771-98A3-4AC8-A418-8A4254E264BC}">
      <formula1>"ADCB,ADCB PAY IN 2027,Ajman Bank,ADIB,DIB EXPAT,DIB LOCAL GVH,Emirates NBD,EIB,FAB,RAK,SIB STL,SIB NON STL"</formula1>
    </dataValidation>
    <dataValidation type="list" allowBlank="1" showInputMessage="1" showErrorMessage="1" sqref="D5" xr:uid="{7BEF50E1-2BF0-4CE8-84AB-34703E0C9E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DECF14C1-5589-400D-9DDD-B9BF6000EA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FEC1054-51D3-4E9C-AA3E-96A7019FEE0F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4B94F9F-CB84-44AD-9F46-9ADBD68B18FE}">
      <formula1>"YES,NO"</formula1>
    </dataValidation>
    <dataValidation type="list" allowBlank="1" showInputMessage="1" showErrorMessage="1" sqref="K24" xr:uid="{F165D127-0358-447A-936F-74C2A79FB19A}">
      <formula1>"RMC-10-70K,RMC-10-100000K,RMC-40-70K"</formula1>
    </dataValidation>
    <dataValidation type="list" allowBlank="1" showInputMessage="1" showErrorMessage="1" sqref="B16" xr:uid="{6A5E52AF-42F8-4AEC-8D1E-8AD04520487F}">
      <formula1>"RMC-10-40KMS,RMC-10-60KMS,RMC-10-70KMS,RMC-10-100000KMS,RMC-40-70KMS,RMC-40-100000KMS"</formula1>
    </dataValidation>
    <dataValidation type="list" allowBlank="1" showInputMessage="1" showErrorMessage="1" sqref="B12" xr:uid="{1CE0F4D3-DE8D-45CE-8312-692424CE5910}">
      <formula1>"FO Exterior ceramic All Cars SCOTCHGUARD,FO Mirror Camera Sensor,FO PPF Gold Package "</formula1>
    </dataValidation>
    <dataValidation type="list" allowBlank="1" showInputMessage="1" showErrorMessage="1" sqref="B11" xr:uid="{D037D109-ADCD-4B9A-B8C2-A026C7CB1D8C}">
      <formula1>"FO Ceramic+ Intr&amp;Extr CeramicGold WdwTnt,FO Mirror Camera Sensor"</formula1>
    </dataValidation>
    <dataValidation type="list" allowBlank="1" showInputMessage="1" showErrorMessage="1" sqref="M34" xr:uid="{FA6AA8D9-F0CB-4001-AE45-15125E80A9FD}">
      <formula1>"Alaa,Bachir ,Khaled,Ramy,Simon,Mharen,Ranjith,Jihan,Praveen,Sujith,Mossallem"</formula1>
    </dataValidation>
    <dataValidation type="list" allowBlank="1" showInputMessage="1" showErrorMessage="1" sqref="H34" xr:uid="{C1A21952-65E1-4C65-8740-741302E6E53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4A8D-98C5-4FD3-BB85-650F140365F6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G44</v>
      </c>
      <c r="D5" s="19" t="s">
        <v>94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11836.964071400002</v>
      </c>
      <c r="S5" s="87"/>
      <c r="U5" s="87">
        <f>L7+L14</f>
        <v>4823.2646515388888</v>
      </c>
      <c r="V5" s="87">
        <f>M7+M14</f>
        <v>3226.4634508999998</v>
      </c>
      <c r="W5" s="87">
        <f>N7+N14</f>
        <v>2235.7804293166669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3788.2709626500005</v>
      </c>
      <c r="V6" s="96">
        <f>N7+K14</f>
        <v>9508.2282714000012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89900</v>
      </c>
      <c r="B7" s="29">
        <f>IF(L20="YES",C8*1,IF(L20="NO",B8*1))</f>
        <v>89900</v>
      </c>
      <c r="C7" s="29">
        <f>B7*5/100</f>
        <v>4495</v>
      </c>
      <c r="D7" s="29">
        <f>B7+C7</f>
        <v>94395</v>
      </c>
      <c r="E7" s="29">
        <f>D17</f>
        <v>21336.79</v>
      </c>
      <c r="F7" s="29">
        <f>(C7)+(D10+D11+D12+D13+D16)*5/100</f>
        <v>5200</v>
      </c>
      <c r="G7" s="30">
        <f>B7+E7+F7</f>
        <v>116436.79000000001</v>
      </c>
      <c r="H7" s="29">
        <f>G7*D20</f>
        <v>23287.358000000004</v>
      </c>
      <c r="I7" s="29">
        <f>(G7-H7)</f>
        <v>93149.432000000001</v>
      </c>
      <c r="J7" s="30">
        <f>(((I7*D19)*1)+I7)/12</f>
        <v>7955.7377380666667</v>
      </c>
      <c r="K7" s="30">
        <f>(((I7*D19)*2)+I7)/24</f>
        <v>4074.5114047333336</v>
      </c>
      <c r="L7" s="30">
        <f>(((I7*D19)*3)+I7)/36</f>
        <v>2780.769293622222</v>
      </c>
      <c r="M7" s="30">
        <f>(((I7*D19)*4)+I7)/48</f>
        <v>2133.8982380666666</v>
      </c>
      <c r="N7" s="30">
        <f>((((I7*D19)*5)+I7)/60)</f>
        <v>1745.7756047333335</v>
      </c>
      <c r="O7" s="92"/>
      <c r="P7" s="83">
        <f>H7+H16</f>
        <v>24265.427036000005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89900</v>
      </c>
      <c r="C8" s="32">
        <f>IF(L20="YES",N20,IF(L20="NO",N20))</f>
        <v>89900</v>
      </c>
      <c r="D8" s="29">
        <v>0</v>
      </c>
      <c r="E8" s="33"/>
      <c r="F8" s="188"/>
      <c r="G8" s="189"/>
      <c r="H8" s="110">
        <f>G7*20/100</f>
        <v>23287.358000000004</v>
      </c>
      <c r="I8" s="21"/>
      <c r="J8" s="34" t="s">
        <v>15</v>
      </c>
      <c r="K8" s="23">
        <f>(J7*K5+J7)/24</f>
        <v>331.48907241944443</v>
      </c>
      <c r="L8" s="23">
        <f>(J7*L5+J7)/36</f>
        <v>228.48436798297573</v>
      </c>
      <c r="M8" s="23">
        <f>(J7*M5+J7)/48</f>
        <v>176.98201576474139</v>
      </c>
      <c r="N8" s="23">
        <f>(J7*N5+J7)/60</f>
        <v>146.0806044338008</v>
      </c>
      <c r="O8" s="92"/>
      <c r="P8" s="83">
        <f>P7/12</f>
        <v>2022.1189196666671</v>
      </c>
      <c r="T8" s="86">
        <f>25973-12973</f>
        <v>13000</v>
      </c>
    </row>
    <row r="9" spans="1:28" ht="25.5" x14ac:dyDescent="0.35">
      <c r="A9" s="8">
        <f>B8/(100%-A8)</f>
        <v>112375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2319.4208568000031</v>
      </c>
      <c r="K9" s="38">
        <f>(K7*24)-I7</f>
        <v>4638.8417136000062</v>
      </c>
      <c r="L9" s="38">
        <f>(L7*36)-I7</f>
        <v>6958.2625703999947</v>
      </c>
      <c r="M9" s="38">
        <f>(M7*48)-I7</f>
        <v>9277.6834271999978</v>
      </c>
      <c r="N9" s="38">
        <f>(N7*60)-I7</f>
        <v>11597.104284000001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809.09852796138057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22287.358000000004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113797.21799999999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1940.613166666667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3611.79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7762.4526666666679</v>
      </c>
      <c r="L14" s="44">
        <f>(H8*L12+H8)/12</f>
        <v>2042.495357916667</v>
      </c>
      <c r="M14" s="44">
        <f>(H8*M12+H8)/24</f>
        <v>1092.5652128333334</v>
      </c>
      <c r="N14" s="52">
        <f>(H7*N12+H7)/60</f>
        <v>490.0048245833334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2827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978.0690360000001</v>
      </c>
      <c r="I16" s="21"/>
      <c r="J16" s="44" t="s">
        <v>16</v>
      </c>
      <c r="K16" s="44">
        <f>(K14*3)-H8</f>
        <v>0</v>
      </c>
      <c r="L16" s="44">
        <f>(L14*12)-H8</f>
        <v>1222.586295000001</v>
      </c>
      <c r="M16" s="44">
        <f>(M14*24)-H8</f>
        <v>2934.2071079999987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2957</v>
      </c>
      <c r="B17" s="37"/>
      <c r="C17" s="20"/>
      <c r="D17" s="29">
        <f>SUM(D10:D16)</f>
        <v>21336.79</v>
      </c>
      <c r="E17" s="33"/>
      <c r="F17" s="33"/>
      <c r="G17" s="33"/>
      <c r="H17" s="33">
        <f>H7+H12+H15+H16</f>
        <v>24865.427036000005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2831.85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63.800980821917818</v>
      </c>
      <c r="K19" s="21"/>
      <c r="L19" s="21"/>
      <c r="M19" s="21"/>
      <c r="N19" s="23">
        <f>D7</f>
        <v>94395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109200</v>
      </c>
      <c r="V19" s="102">
        <f>(B7+D10+D11+D12+D13+D16)*1.05</f>
        <v>109200</v>
      </c>
      <c r="X19" s="87">
        <f>G7*3.15*1.05/100</f>
        <v>3851.1468292500003</v>
      </c>
      <c r="Y19" s="87">
        <f>G7*3/100+510*1.05</f>
        <v>4028.6037000000001</v>
      </c>
      <c r="Z19" s="87">
        <f>Y19+X19</f>
        <v>7879.7505292500009</v>
      </c>
      <c r="AA19" s="87">
        <f>(Z19)-(D14+D15)</f>
        <v>642.96052925000095</v>
      </c>
      <c r="AB19" s="87">
        <f>AA19*1.25</f>
        <v>803.70066156250118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89900</v>
      </c>
      <c r="O20" s="92"/>
      <c r="P20" s="99"/>
      <c r="T20" s="86">
        <f>1992+1084</f>
        <v>3076</v>
      </c>
      <c r="V20" s="83"/>
      <c r="X20" s="87">
        <f>X19-D14</f>
        <v>239.35682925000037</v>
      </c>
      <c r="Y20" s="87">
        <f>Y19-D15</f>
        <v>403.60370000000012</v>
      </c>
      <c r="AA20" s="87">
        <f>X20+Y20</f>
        <v>642.96052925000049</v>
      </c>
    </row>
    <row r="21" spans="1:28" ht="25.5" x14ac:dyDescent="0.35">
      <c r="A21" s="13">
        <f>A19+A20</f>
        <v>2831.85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9508.2282714000012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63.800980821917818</v>
      </c>
      <c r="I24" s="85">
        <f>H7/365</f>
        <v>63.800980821917818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69862.074000000008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054B50D-414F-43BE-A818-9C8492FEBBFD}">
      <formula1>"ADCB,ADCB PAY IN 2027,Ajman Bank,ADIB,DIB EXPAT,DIB LOCAL GVH,Emirates NBD,EIB,FAB,RAK,SIB STL,SIB NON STL"</formula1>
    </dataValidation>
    <dataValidation type="list" allowBlank="1" showInputMessage="1" showErrorMessage="1" sqref="D5" xr:uid="{01D0C76A-363C-4412-BB27-4C36305B25A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61B7366-ABE5-4973-835C-8FD6B007AB48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835DA24-FBA6-4BB6-8FE5-850E07BDDDB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ECBB6E1-DF21-436A-8B23-C7619FFC533E}">
      <formula1>"YES,NO"</formula1>
    </dataValidation>
    <dataValidation type="list" allowBlank="1" showInputMessage="1" showErrorMessage="1" sqref="K24" xr:uid="{4FC45325-3B30-45BC-BC60-04D0D7C6EA5B}">
      <formula1>"RMC-10-70K,RMC-10-100000K,RMC-40-70K"</formula1>
    </dataValidation>
    <dataValidation type="list" allowBlank="1" showInputMessage="1" showErrorMessage="1" sqref="B16" xr:uid="{A23C46CC-ECBA-40FE-9C59-24BDA0FACC9D}">
      <formula1>"RMC-10-40KMS,RMC-10-60KMS,RMC-10-70KMS,RMC-10-100000KMS,RMC-40-70KMS,RMC-40-100000KMS"</formula1>
    </dataValidation>
    <dataValidation type="list" allowBlank="1" showInputMessage="1" showErrorMessage="1" sqref="B12" xr:uid="{01959837-3216-4385-A531-CF325941F900}">
      <formula1>"FO Exterior ceramic All Cars SCOTCHGUARD,FO Mirror Camera Sensor,FO PPF Gold Package "</formula1>
    </dataValidation>
    <dataValidation type="list" allowBlank="1" showInputMessage="1" showErrorMessage="1" sqref="B11" xr:uid="{B02A9C25-D05A-475D-B3C3-46ECAED5138C}">
      <formula1>"FO Ceramic+ Intr&amp;Extr CeramicGold WdwTnt,FO Mirror Camera Sensor"</formula1>
    </dataValidation>
    <dataValidation type="list" allowBlank="1" showInputMessage="1" showErrorMessage="1" sqref="M34" xr:uid="{B11DCE1D-C5EE-45ED-8D05-685915CBF3DD}">
      <formula1>"Alaa,Bachir ,Khaled,Ramy,Simon,Mharen,Ranjith,Jihan,Praveen,Sujith,Mossallem"</formula1>
    </dataValidation>
    <dataValidation type="list" allowBlank="1" showInputMessage="1" showErrorMessage="1" sqref="H34" xr:uid="{EE3720E2-C503-4B02-81A7-DB1EA95A1A0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064E-4894-4B06-9A73-B87561CC8AF9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G42</v>
      </c>
      <c r="D5" s="19" t="s">
        <v>93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9521.2200521750001</v>
      </c>
      <c r="S5" s="87"/>
      <c r="U5" s="87">
        <f>L7+L14</f>
        <v>3879.6573040326393</v>
      </c>
      <c r="V5" s="87">
        <f>M7+M14</f>
        <v>2595.2489439874998</v>
      </c>
      <c r="W5" s="87">
        <f>N7+N14</f>
        <v>1798.3798318104168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3047.1463151437501</v>
      </c>
      <c r="V6" s="96">
        <f>N7+K14</f>
        <v>7648.0703271750008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68900</v>
      </c>
      <c r="B7" s="29">
        <f>IF(L20="YES",C8*1,IF(L20="NO",B8*1))</f>
        <v>68900</v>
      </c>
      <c r="C7" s="29">
        <f>B7*5/100</f>
        <v>3445</v>
      </c>
      <c r="D7" s="29">
        <f>B7+C7</f>
        <v>72345</v>
      </c>
      <c r="E7" s="29">
        <f>D17</f>
        <v>20607.486250000002</v>
      </c>
      <c r="F7" s="29">
        <f>(C7)+(D10+D11+D12+D13+D16)*5/100</f>
        <v>4150</v>
      </c>
      <c r="G7" s="30">
        <f>B7+E7+F7</f>
        <v>93657.486250000002</v>
      </c>
      <c r="H7" s="29">
        <f>G7*D20</f>
        <v>18731.49725</v>
      </c>
      <c r="I7" s="29">
        <f>(G7-H7)</f>
        <v>74925.989000000001</v>
      </c>
      <c r="J7" s="30">
        <f>(((I7*D19)*1)+I7)/12</f>
        <v>6399.303843841667</v>
      </c>
      <c r="K7" s="30">
        <f>(((I7*D19)*2)+I7)/24</f>
        <v>3277.3876355083335</v>
      </c>
      <c r="L7" s="30">
        <f>(((I7*D19)*3)+I7)/36</f>
        <v>2236.7488993972224</v>
      </c>
      <c r="M7" s="30">
        <f>(((I7*D19)*4)+I7)/48</f>
        <v>1716.4295313416667</v>
      </c>
      <c r="N7" s="30">
        <f>((((I7*D19)*5)+I7)/60)</f>
        <v>1404.2379105083335</v>
      </c>
      <c r="O7" s="92"/>
      <c r="P7" s="83">
        <f>H7+H16</f>
        <v>19518.220134499999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68900</v>
      </c>
      <c r="C8" s="32">
        <f>IF(L20="YES",N20,IF(L20="NO",N20))</f>
        <v>68900</v>
      </c>
      <c r="D8" s="29">
        <v>0</v>
      </c>
      <c r="E8" s="33"/>
      <c r="F8" s="188"/>
      <c r="G8" s="189"/>
      <c r="H8" s="110">
        <f>G7*20/100</f>
        <v>18731.49725</v>
      </c>
      <c r="I8" s="21"/>
      <c r="J8" s="34" t="s">
        <v>15</v>
      </c>
      <c r="K8" s="23">
        <f>(J7*K5+J7)/24</f>
        <v>266.63766016006946</v>
      </c>
      <c r="L8" s="23">
        <f>(J7*L5+J7)/36</f>
        <v>183.78445122633056</v>
      </c>
      <c r="M8" s="23">
        <f>(J7*M5+J7)/48</f>
        <v>142.35784675946107</v>
      </c>
      <c r="N8" s="23">
        <f>(J7*N5+J7)/60</f>
        <v>117.5018840793394</v>
      </c>
      <c r="O8" s="92"/>
      <c r="P8" s="83">
        <f>P7/12</f>
        <v>1626.5183445416667</v>
      </c>
      <c r="T8" s="86">
        <f>25973-12973</f>
        <v>13000</v>
      </c>
    </row>
    <row r="9" spans="1:28" ht="25.5" x14ac:dyDescent="0.35">
      <c r="A9" s="8">
        <f>B8/(100%-A8)</f>
        <v>86125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1865.6571261000063</v>
      </c>
      <c r="K9" s="38">
        <f>(K7*24)-I7</f>
        <v>3731.314252199998</v>
      </c>
      <c r="L9" s="38">
        <f>(L7*36)-I7</f>
        <v>5596.9713783000043</v>
      </c>
      <c r="M9" s="38">
        <f>(M7*48)-I7</f>
        <v>7462.628504399996</v>
      </c>
      <c r="N9" s="38">
        <f>(N7*60)-I7</f>
        <v>9328.2856305000023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650.80920091869757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17731.49725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87214.997999999992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1560.9581041666668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2882.4862499999999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6243.8324166666671</v>
      </c>
      <c r="L14" s="44">
        <f>(H8*L12+H8)/12</f>
        <v>1642.9084046354167</v>
      </c>
      <c r="M14" s="44">
        <f>(H8*M12+H8)/24</f>
        <v>878.81941264583338</v>
      </c>
      <c r="N14" s="52">
        <f>(H7*N12+H7)/60</f>
        <v>394.14192130208335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2197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786.72288450000008</v>
      </c>
      <c r="I16" s="21"/>
      <c r="J16" s="44" t="s">
        <v>16</v>
      </c>
      <c r="K16" s="44">
        <f>(K14*3)-H8</f>
        <v>0</v>
      </c>
      <c r="L16" s="44">
        <f>(L14*12)-H8</f>
        <v>983.40360562500064</v>
      </c>
      <c r="M16" s="44">
        <f>(M14*24)-H8</f>
        <v>2360.1686535000008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2327</v>
      </c>
      <c r="B17" s="37"/>
      <c r="C17" s="20"/>
      <c r="D17" s="29">
        <f>SUM(D10:D16)</f>
        <v>20607.486250000002</v>
      </c>
      <c r="E17" s="33"/>
      <c r="F17" s="33"/>
      <c r="G17" s="33"/>
      <c r="H17" s="33">
        <f>H7+H12+H15+H16</f>
        <v>20118.220134499999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2170.35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51.319170547945205</v>
      </c>
      <c r="K19" s="21"/>
      <c r="L19" s="21"/>
      <c r="M19" s="21"/>
      <c r="N19" s="23">
        <f>D7</f>
        <v>72345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87150</v>
      </c>
      <c r="V19" s="102">
        <f>(B7+D10+D11+D12+D13+D16)*1.05</f>
        <v>87150</v>
      </c>
      <c r="X19" s="87">
        <f>G7*3.15*1.05/100</f>
        <v>3097.7213577187504</v>
      </c>
      <c r="Y19" s="87">
        <f>G7*3/100+510*1.05</f>
        <v>3345.2245874999999</v>
      </c>
      <c r="Z19" s="87">
        <f>Y19+X19</f>
        <v>6442.9459452187502</v>
      </c>
      <c r="AA19" s="87">
        <f>(Z19)-(D14+D15)</f>
        <v>-64.540304781249688</v>
      </c>
      <c r="AB19" s="87">
        <f>AA19*1.25</f>
        <v>-80.67538097656211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68900</v>
      </c>
      <c r="O20" s="92"/>
      <c r="P20" s="99"/>
      <c r="T20" s="86">
        <f>1992+1084</f>
        <v>3076</v>
      </c>
      <c r="V20" s="83"/>
      <c r="X20" s="87">
        <f>X19-D14</f>
        <v>215.23510771875044</v>
      </c>
      <c r="Y20" s="87">
        <f>Y19-D15</f>
        <v>-279.77541250000013</v>
      </c>
      <c r="AA20" s="87">
        <f>X20+Y20</f>
        <v>-64.540304781249688</v>
      </c>
    </row>
    <row r="21" spans="1:28" ht="25.5" x14ac:dyDescent="0.35">
      <c r="A21" s="13">
        <f>A19+A20</f>
        <v>2170.35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7648.0703271750008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51.319170547945205</v>
      </c>
      <c r="I24" s="85">
        <f>H7/365</f>
        <v>51.319170547945205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56194.491750000001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13E7573-11E6-4FC8-B47A-8AF3362E3F90}">
      <formula1>"ADCB,ADCB PAY IN 2027,Ajman Bank,ADIB,DIB EXPAT,DIB LOCAL GVH,Emirates NBD,EIB,FAB,RAK,SIB STL,SIB NON STL"</formula1>
    </dataValidation>
    <dataValidation type="list" allowBlank="1" showInputMessage="1" showErrorMessage="1" sqref="D5" xr:uid="{E0907CC4-6ECD-4DCE-8953-A792EA10C02F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0C896C6-ED42-42BF-838F-D18C6A7F709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D646AB13-E902-42FE-AE2D-EA4906EE9195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DB8970-65A3-44B3-B8BE-7125438421EF}">
      <formula1>"YES,NO"</formula1>
    </dataValidation>
    <dataValidation type="list" allowBlank="1" showInputMessage="1" showErrorMessage="1" sqref="K24" xr:uid="{D572BB7C-C9F2-4616-ABC9-71CFF896E399}">
      <formula1>"RMC-10-70K,RMC-10-100000K,RMC-40-70K"</formula1>
    </dataValidation>
    <dataValidation type="list" allowBlank="1" showInputMessage="1" showErrorMessage="1" sqref="B16" xr:uid="{173A5A35-06C1-4361-8203-FE170C26420E}">
      <formula1>"RMC-10-40KMS,RMC-10-60KMS,RMC-10-70KMS,RMC-10-100000KMS,RMC-40-70KMS,RMC-40-100000KMS"</formula1>
    </dataValidation>
    <dataValidation type="list" allowBlank="1" showInputMessage="1" showErrorMessage="1" sqref="B12" xr:uid="{1138DD73-FC3D-497B-A6ED-8A457EA94E40}">
      <formula1>"FO Exterior ceramic All Cars SCOTCHGUARD,FO Mirror Camera Sensor,FO PPF Gold Package "</formula1>
    </dataValidation>
    <dataValidation type="list" allowBlank="1" showInputMessage="1" showErrorMessage="1" sqref="B11" xr:uid="{40758660-83FC-46FF-8FCC-8B06EB0E5881}">
      <formula1>"FO Ceramic+ Intr&amp;Extr CeramicGold WdwTnt,FO Mirror Camera Sensor"</formula1>
    </dataValidation>
    <dataValidation type="list" allowBlank="1" showInputMessage="1" showErrorMessage="1" sqref="M34" xr:uid="{63C54B9B-FC6D-49C0-A902-67F9CA9F5A9C}">
      <formula1>"Alaa,Bachir ,Khaled,Ramy,Simon,Mharen,Ranjith,Jihan,Praveen,Sujith,Mossallem"</formula1>
    </dataValidation>
    <dataValidation type="list" allowBlank="1" showInputMessage="1" showErrorMessage="1" sqref="H34" xr:uid="{5FE35025-F8D8-4461-97B0-A63065D7985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AFD4-4D5A-4446-9C9A-967B3BCE10E0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ASXG40</v>
      </c>
      <c r="D5" s="19" t="s">
        <v>92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8969.8524285499989</v>
      </c>
      <c r="S5" s="87"/>
      <c r="U5" s="87">
        <f>L7+L14</f>
        <v>3654.988887959722</v>
      </c>
      <c r="V5" s="87">
        <f>M7+M14</f>
        <v>2444.9597756749999</v>
      </c>
      <c r="W5" s="87">
        <f>N7+N14</f>
        <v>1694.2368324041665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2870.6880657375</v>
      </c>
      <c r="V6" s="96">
        <f>N7+K14</f>
        <v>7205.17557855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20433.842499999999</v>
      </c>
      <c r="F7" s="29">
        <f>(C7)+(D10+D11+D12+D13+D16)*5/100</f>
        <v>3900</v>
      </c>
      <c r="G7" s="30">
        <f>B7+E7+F7</f>
        <v>88233.842499999999</v>
      </c>
      <c r="H7" s="29">
        <f>G7*D20</f>
        <v>17646.768500000002</v>
      </c>
      <c r="I7" s="29">
        <f>(G7-H7)</f>
        <v>70587.073999999993</v>
      </c>
      <c r="J7" s="30">
        <f>(((I7*D19)*1)+I7)/12</f>
        <v>6028.7243452166658</v>
      </c>
      <c r="K7" s="30">
        <f>(((I7*D19)*2)+I7)/24</f>
        <v>3087.5962618833328</v>
      </c>
      <c r="L7" s="30">
        <f>(((I7*D19)*3)+I7)/36</f>
        <v>2107.2202341055554</v>
      </c>
      <c r="M7" s="30">
        <f>(((I7*D19)*4)+I7)/48</f>
        <v>1617.0322202166665</v>
      </c>
      <c r="N7" s="30">
        <f>((((I7*D19)*5)+I7)/60)</f>
        <v>1322.9194118833332</v>
      </c>
      <c r="O7" s="92"/>
      <c r="P7" s="83">
        <f>H7+H16</f>
        <v>18387.932777000002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88"/>
      <c r="G8" s="189"/>
      <c r="H8" s="110">
        <f>G7*20/100</f>
        <v>17646.768500000002</v>
      </c>
      <c r="I8" s="21"/>
      <c r="J8" s="34" t="s">
        <v>15</v>
      </c>
      <c r="K8" s="23">
        <f>(J7*K5+J7)/24</f>
        <v>251.19684771736107</v>
      </c>
      <c r="L8" s="23">
        <f>(J7*L5+J7)/36</f>
        <v>173.14161390331975</v>
      </c>
      <c r="M8" s="23">
        <f>(J7*M5+J7)/48</f>
        <v>134.11399699629908</v>
      </c>
      <c r="N8" s="23">
        <f>(J7*N5+J7)/60</f>
        <v>110.69742685208668</v>
      </c>
      <c r="O8" s="92"/>
      <c r="P8" s="83">
        <f>P7/12</f>
        <v>1532.3277314166669</v>
      </c>
      <c r="T8" s="86">
        <f>25973-12973</f>
        <v>13000</v>
      </c>
    </row>
    <row r="9" spans="1:28" ht="25.5" x14ac:dyDescent="0.35">
      <c r="A9" s="8">
        <f>B8/(100%-A8)</f>
        <v>79875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1757.6181425999966</v>
      </c>
      <c r="K9" s="38">
        <f>(K7*24)-I7</f>
        <v>3515.2362851999933</v>
      </c>
      <c r="L9" s="38">
        <f>(L7*36)-I7</f>
        <v>5272.8544278000045</v>
      </c>
      <c r="M9" s="38">
        <f>(M7*48)-I7</f>
        <v>7030.4725704000011</v>
      </c>
      <c r="N9" s="38">
        <f>(N7*60)-I7</f>
        <v>8788.0907129999978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613.12126590853495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16646.768500000002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80885.898000000001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1470.5640416666668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2708.8425000000002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5882.256166666667</v>
      </c>
      <c r="L14" s="44">
        <f>(H8*L12+H8)/12</f>
        <v>1547.7686538541668</v>
      </c>
      <c r="M14" s="44">
        <f>(H8*M12+H8)/24</f>
        <v>827.92755545833336</v>
      </c>
      <c r="N14" s="52">
        <f>(H7*N12+H7)/60</f>
        <v>371.31742052083337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741.16427699999997</v>
      </c>
      <c r="I16" s="21"/>
      <c r="J16" s="44" t="s">
        <v>16</v>
      </c>
      <c r="K16" s="44">
        <f>(K14*3)-H8</f>
        <v>0</v>
      </c>
      <c r="L16" s="44">
        <f>(L14*12)-H8</f>
        <v>926.45534625000073</v>
      </c>
      <c r="M16" s="44">
        <f>(M14*24)-H8</f>
        <v>2223.4928309999996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2177</v>
      </c>
      <c r="B17" s="37"/>
      <c r="C17" s="20"/>
      <c r="D17" s="29">
        <f>SUM(D10:D16)</f>
        <v>20433.842499999999</v>
      </c>
      <c r="E17" s="33"/>
      <c r="F17" s="33"/>
      <c r="G17" s="33"/>
      <c r="H17" s="33">
        <f>H7+H12+H15+H16</f>
        <v>18987.932777000002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2012.85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48.347310958904117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81900</v>
      </c>
      <c r="V19" s="102">
        <f>(B7+D10+D11+D12+D13+D16)*1.05</f>
        <v>81900</v>
      </c>
      <c r="X19" s="87">
        <f>G7*3.15*1.05/100</f>
        <v>2918.3343406875001</v>
      </c>
      <c r="Y19" s="87">
        <f>G7*3/100+510*1.05</f>
        <v>3182.5152749999997</v>
      </c>
      <c r="Z19" s="87">
        <f>Y19+X19</f>
        <v>6100.8496156874999</v>
      </c>
      <c r="AA19" s="87">
        <f>(Z19)-(D14+D15)</f>
        <v>-232.99288431250079</v>
      </c>
      <c r="AB19" s="87">
        <f>AA19*1.25</f>
        <v>-291.24110539062599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209.49184068749992</v>
      </c>
      <c r="Y20" s="87">
        <f>Y19-D15</f>
        <v>-442.48472500000025</v>
      </c>
      <c r="AA20" s="87">
        <f>X20+Y20</f>
        <v>-232.99288431250034</v>
      </c>
    </row>
    <row r="21" spans="1:28" ht="25.5" x14ac:dyDescent="0.35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7205.17557855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48.347310958904117</v>
      </c>
      <c r="I24" s="85">
        <f>H7/365</f>
        <v>48.347310958904117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52940.305500000002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1F4EA4F-40EF-4766-BCD6-8CB038A19C64}">
      <formula1>"ADCB,ADCB PAY IN 2027,Ajman Bank,ADIB,DIB EXPAT,DIB LOCAL GVH,Emirates NBD,EIB,FAB,RAK,SIB STL,SIB NON STL"</formula1>
    </dataValidation>
    <dataValidation type="list" allowBlank="1" showInputMessage="1" showErrorMessage="1" sqref="D5" xr:uid="{51E61AA5-2C2D-4634-83DD-026D71F575D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C9059D-53A2-41E5-AF57-C12AB293E11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FA9B86A-E2D4-4404-9E6E-23EF025FA04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BDED2D8-0C28-4389-8379-E9733ADF86AA}">
      <formula1>"YES,NO"</formula1>
    </dataValidation>
    <dataValidation type="list" allowBlank="1" showInputMessage="1" showErrorMessage="1" sqref="K24" xr:uid="{3FEBEBF7-F3ED-4140-B1D8-45767C9874A6}">
      <formula1>"RMC-10-70K,RMC-10-100000K,RMC-40-70K"</formula1>
    </dataValidation>
    <dataValidation type="list" allowBlank="1" showInputMessage="1" showErrorMessage="1" sqref="B16" xr:uid="{316A0999-282E-44F0-B6F8-510EA2E086CB}">
      <formula1>"RMC-10-40KMS,RMC-10-60KMS,RMC-10-70KMS,RMC-10-100000KMS,RMC-40-70KMS,RMC-40-100000KMS"</formula1>
    </dataValidation>
    <dataValidation type="list" allowBlank="1" showInputMessage="1" showErrorMessage="1" sqref="B12" xr:uid="{5982A4CF-B085-4142-8C69-DF1D35AC035D}">
      <formula1>"FO Exterior ceramic All Cars SCOTCHGUARD,FO Mirror Camera Sensor,FO PPF Gold Package "</formula1>
    </dataValidation>
    <dataValidation type="list" allowBlank="1" showInputMessage="1" showErrorMessage="1" sqref="B11" xr:uid="{4E67EB9B-145B-4567-AD92-DE6B0229A872}">
      <formula1>"FO Ceramic+ Intr&amp;Extr CeramicGold WdwTnt,FO Mirror Camera Sensor"</formula1>
    </dataValidation>
    <dataValidation type="list" allowBlank="1" showInputMessage="1" showErrorMessage="1" sqref="M34" xr:uid="{A3D04C92-DDE3-4C27-894A-0D770EFFF1D2}">
      <formula1>"Alaa,Bachir ,Khaled,Ramy,Simon,Mharen,Ranjith,Jihan,Praveen,Sujith,Mossallem"</formula1>
    </dataValidation>
    <dataValidation type="list" allowBlank="1" showInputMessage="1" showErrorMessage="1" sqref="H34" xr:uid="{0289C3A8-5252-469B-999A-71ABE592D12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7668-9CF6-478F-9FBA-92DAA1591926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G43</v>
      </c>
      <c r="D5" s="19" t="s">
        <v>91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8859.5789038250005</v>
      </c>
      <c r="S5" s="87"/>
      <c r="U5" s="87">
        <f>L7+L14</f>
        <v>3610.0552047451392</v>
      </c>
      <c r="V5" s="87">
        <f>M7+M14</f>
        <v>2414.9019420125001</v>
      </c>
      <c r="W5" s="87">
        <f>N7+N14</f>
        <v>1673.4082325229167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2835.3964158562503</v>
      </c>
      <c r="V6" s="96">
        <f>N7+K14</f>
        <v>7116.5966288250002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20399.11375</v>
      </c>
      <c r="F7" s="29">
        <f>(C7)+(D10+D11+D12+D13+D16)*5/100</f>
        <v>3850</v>
      </c>
      <c r="G7" s="30">
        <f>B7+E7+F7</f>
        <v>87149.113750000004</v>
      </c>
      <c r="H7" s="29">
        <f>G7*D20</f>
        <v>17429.822750000003</v>
      </c>
      <c r="I7" s="29">
        <f>(G7-H7)</f>
        <v>69719.290999999997</v>
      </c>
      <c r="J7" s="30">
        <f>(((I7*D19)*1)+I7)/12</f>
        <v>5954.6084454916663</v>
      </c>
      <c r="K7" s="30">
        <f>(((I7*D19)*2)+I7)/24</f>
        <v>3049.6379871583335</v>
      </c>
      <c r="L7" s="30">
        <f>(((I7*D19)*3)+I7)/36</f>
        <v>2081.3145010472222</v>
      </c>
      <c r="M7" s="30">
        <f>(((I7*D19)*4)+I7)/48</f>
        <v>1597.1527579916667</v>
      </c>
      <c r="N7" s="30">
        <f>((((I7*D19)*5)+I7)/60)</f>
        <v>1306.6557121583332</v>
      </c>
      <c r="O7" s="92"/>
      <c r="P7" s="83">
        <f>H7+H16</f>
        <v>18161.875305500002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17429.822750000003</v>
      </c>
      <c r="I8" s="21"/>
      <c r="J8" s="34" t="s">
        <v>15</v>
      </c>
      <c r="K8" s="23">
        <f>(J7*K5+J7)/24</f>
        <v>248.10868522881944</v>
      </c>
      <c r="L8" s="23">
        <f>(J7*L5+J7)/36</f>
        <v>171.01304643871762</v>
      </c>
      <c r="M8" s="23">
        <f>(J7*M5+J7)/48</f>
        <v>132.46522704366669</v>
      </c>
      <c r="N8" s="23">
        <f>(J7*N5+J7)/60</f>
        <v>109.33653540663614</v>
      </c>
      <c r="O8" s="92"/>
      <c r="P8" s="83">
        <f>P7/12</f>
        <v>1513.4896087916668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1736.0103458999947</v>
      </c>
      <c r="K9" s="38">
        <f>(K7*24)-I7</f>
        <v>3472.020691800004</v>
      </c>
      <c r="L9" s="38">
        <f>(L7*36)-I7</f>
        <v>5208.0310376999987</v>
      </c>
      <c r="M9" s="38">
        <f>(M7*48)-I7</f>
        <v>6944.041383600008</v>
      </c>
      <c r="N9" s="38">
        <f>(N7*60)-I7</f>
        <v>8680.0517295000027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605.58367890650243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16429.822750000003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1452.4852291666668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2674.11375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5809.9409166666674</v>
      </c>
      <c r="L14" s="44">
        <f>(H8*L12+H8)/12</f>
        <v>1528.7407036979168</v>
      </c>
      <c r="M14" s="44">
        <f>(H8*M12+H8)/24</f>
        <v>817.74918402083347</v>
      </c>
      <c r="N14" s="52">
        <f>(H7*N12+H7)/60</f>
        <v>366.7525203645834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732.05255550000004</v>
      </c>
      <c r="I16" s="21"/>
      <c r="J16" s="44" t="s">
        <v>16</v>
      </c>
      <c r="K16" s="44">
        <f>(K14*3)-H8</f>
        <v>0</v>
      </c>
      <c r="L16" s="44">
        <f>(L14*12)-H8</f>
        <v>915.06569437500002</v>
      </c>
      <c r="M16" s="44">
        <f>(M14*24)-H8</f>
        <v>2196.1576664999993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20399.11375</v>
      </c>
      <c r="E17" s="33"/>
      <c r="F17" s="33"/>
      <c r="G17" s="33"/>
      <c r="H17" s="33">
        <f>H7+H12+H15+H16</f>
        <v>18761.875305500002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47.7529390410959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80850</v>
      </c>
      <c r="V19" s="102">
        <f>(B7+D10+D11+D12+D13+D16)*1.05</f>
        <v>80850</v>
      </c>
      <c r="X19" s="87">
        <f>G7*3.15*1.05/100</f>
        <v>2882.4569372812502</v>
      </c>
      <c r="Y19" s="87">
        <f>G7*3/100+510*1.05</f>
        <v>3149.9734125</v>
      </c>
      <c r="Z19" s="87">
        <f>Y19+X19</f>
        <v>6032.4303497812507</v>
      </c>
      <c r="AA19" s="87">
        <f>(Z19)-(D14+D15)</f>
        <v>-266.68340021874974</v>
      </c>
      <c r="AB19" s="87">
        <f>AA19*1.25</f>
        <v>-333.35425027343717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208.34318728125027</v>
      </c>
      <c r="Y20" s="87">
        <f>Y19-D15</f>
        <v>-475.02658750000001</v>
      </c>
      <c r="AA20" s="87">
        <f>X20+Y20</f>
        <v>-266.68340021874974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7116.5966288250002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47.7529390410959</v>
      </c>
      <c r="I24" s="85">
        <f>H7/365</f>
        <v>47.7529390410959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52289.468250000005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5F70F1F-8081-4BBF-9825-36D9C1954736}">
      <formula1>"ADCB,ADCB PAY IN 2027,Ajman Bank,ADIB,DIB EXPAT,DIB LOCAL GVH,Emirates NBD,EIB,FAB,RAK,SIB STL,SIB NON STL"</formula1>
    </dataValidation>
    <dataValidation type="list" allowBlank="1" showInputMessage="1" showErrorMessage="1" sqref="D5" xr:uid="{A47996BD-DB75-4AA4-B0DC-C9B173486C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E838425-E781-440B-BBDD-0CD6D6F44F9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5E8593F3-9899-4289-ACFD-EDE422B1E2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5E1F57F-1EE1-451C-8539-9ECC2D31F9D3}">
      <formula1>"YES,NO"</formula1>
    </dataValidation>
    <dataValidation type="list" allowBlank="1" showInputMessage="1" showErrorMessage="1" sqref="K24" xr:uid="{CD5D94B0-F31D-4A6E-A825-1221A5C384CA}">
      <formula1>"RMC-10-70K,RMC-10-100000K,RMC-40-70K"</formula1>
    </dataValidation>
    <dataValidation type="list" allowBlank="1" showInputMessage="1" showErrorMessage="1" sqref="B16" xr:uid="{E4D7C9D7-0B68-4E92-86E9-72540F1EE112}">
      <formula1>"RMC-10-40KMS,RMC-10-60KMS,RMC-10-70KMS,RMC-10-100000KMS,RMC-40-70KMS,RMC-40-100000KMS"</formula1>
    </dataValidation>
    <dataValidation type="list" allowBlank="1" showInputMessage="1" showErrorMessage="1" sqref="B12" xr:uid="{06BD09E6-B645-47F6-A970-EABF4EAAAE86}">
      <formula1>"FO Exterior ceramic All Cars SCOTCHGUARD,FO Mirror Camera Sensor,FO PPF Gold Package "</formula1>
    </dataValidation>
    <dataValidation type="list" allowBlank="1" showInputMessage="1" showErrorMessage="1" sqref="B11" xr:uid="{9319FADA-CE96-4B8F-8C37-5037FF69D124}">
      <formula1>"FO Ceramic+ Intr&amp;Extr CeramicGold WdwTnt,FO Mirror Camera Sensor"</formula1>
    </dataValidation>
    <dataValidation type="list" allowBlank="1" showInputMessage="1" showErrorMessage="1" sqref="M34" xr:uid="{AAB3C520-B6F1-4734-B7D8-F9F29C0A44FB}">
      <formula1>"Alaa,Bachir ,Khaled,Ramy,Simon,Mharen,Ranjith,Jihan,Praveen,Sujith,Mossallem"</formula1>
    </dataValidation>
    <dataValidation type="list" allowBlank="1" showInputMessage="1" showErrorMessage="1" sqref="H34" xr:uid="{726E1D1B-8F34-4039-A647-09AC8671F367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1945-E6F9-42D0-B0FA-C4EE4E6F82D1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G48</v>
      </c>
      <c r="D5" s="19" t="s">
        <v>90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8969.8524285499989</v>
      </c>
      <c r="S5" s="87"/>
      <c r="U5" s="87">
        <f>L7+L14</f>
        <v>3654.988887959722</v>
      </c>
      <c r="V5" s="87">
        <f>M7+M14</f>
        <v>2444.9597756749999</v>
      </c>
      <c r="W5" s="87">
        <f>N7+N14</f>
        <v>1694.2368324041665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2870.6880657375</v>
      </c>
      <c r="V6" s="96">
        <f>N7+K14</f>
        <v>7205.17557855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20433.842499999999</v>
      </c>
      <c r="F7" s="29">
        <f>(C7)+(D10+D11+D12+D13+D16)*5/100</f>
        <v>3900</v>
      </c>
      <c r="G7" s="30">
        <f>B7+E7+F7</f>
        <v>88233.842499999999</v>
      </c>
      <c r="H7" s="29">
        <f>G7*D20</f>
        <v>17646.768500000002</v>
      </c>
      <c r="I7" s="29">
        <f>(G7-H7)</f>
        <v>70587.073999999993</v>
      </c>
      <c r="J7" s="30">
        <f>(((I7*D19)*1)+I7)/12</f>
        <v>6028.7243452166658</v>
      </c>
      <c r="K7" s="30">
        <f>(((I7*D19)*2)+I7)/24</f>
        <v>3087.5962618833328</v>
      </c>
      <c r="L7" s="30">
        <f>(((I7*D19)*3)+I7)/36</f>
        <v>2107.2202341055554</v>
      </c>
      <c r="M7" s="30">
        <f>(((I7*D19)*4)+I7)/48</f>
        <v>1617.0322202166665</v>
      </c>
      <c r="N7" s="30">
        <f>((((I7*D19)*5)+I7)/60)</f>
        <v>1322.9194118833332</v>
      </c>
      <c r="O7" s="92"/>
      <c r="P7" s="83">
        <f>H7+H16</f>
        <v>18387.932777000002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88"/>
      <c r="G8" s="189"/>
      <c r="H8" s="110">
        <f>G7*20/100</f>
        <v>17646.768500000002</v>
      </c>
      <c r="I8" s="21"/>
      <c r="J8" s="34" t="s">
        <v>15</v>
      </c>
      <c r="K8" s="23">
        <f>(J7*K5+J7)/24</f>
        <v>251.19684771736107</v>
      </c>
      <c r="L8" s="23">
        <f>(J7*L5+J7)/36</f>
        <v>173.14161390331975</v>
      </c>
      <c r="M8" s="23">
        <f>(J7*M5+J7)/48</f>
        <v>134.11399699629908</v>
      </c>
      <c r="N8" s="23">
        <f>(J7*N5+J7)/60</f>
        <v>110.69742685208668</v>
      </c>
      <c r="O8" s="92"/>
      <c r="P8" s="83">
        <f>P7/12</f>
        <v>1532.3277314166669</v>
      </c>
      <c r="T8" s="86">
        <f>25973-12973</f>
        <v>13000</v>
      </c>
    </row>
    <row r="9" spans="1:28" ht="25.5" x14ac:dyDescent="0.35">
      <c r="A9" s="8">
        <f>B8/(100%-A8)</f>
        <v>79875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1757.6181425999966</v>
      </c>
      <c r="K9" s="38">
        <f>(K7*24)-I7</f>
        <v>3515.2362851999933</v>
      </c>
      <c r="L9" s="38">
        <f>(L7*36)-I7</f>
        <v>5272.8544278000045</v>
      </c>
      <c r="M9" s="38">
        <f>(M7*48)-I7</f>
        <v>7030.4725704000011</v>
      </c>
      <c r="N9" s="38">
        <f>(N7*60)-I7</f>
        <v>8788.0907129999978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613.12126590853495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16646.768500000002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80885.898000000001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1470.5640416666668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2708.8425000000002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5882.256166666667</v>
      </c>
      <c r="L14" s="44">
        <f>(H8*L12+H8)/12</f>
        <v>1547.7686538541668</v>
      </c>
      <c r="M14" s="44">
        <f>(H8*M12+H8)/24</f>
        <v>827.92755545833336</v>
      </c>
      <c r="N14" s="52">
        <f>(H7*N12+H7)/60</f>
        <v>371.31742052083337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741.16427699999997</v>
      </c>
      <c r="I16" s="21"/>
      <c r="J16" s="44" t="s">
        <v>16</v>
      </c>
      <c r="K16" s="44">
        <f>(K14*3)-H8</f>
        <v>0</v>
      </c>
      <c r="L16" s="44">
        <f>(L14*12)-H8</f>
        <v>926.45534625000073</v>
      </c>
      <c r="M16" s="44">
        <f>(M14*24)-H8</f>
        <v>2223.4928309999996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2177</v>
      </c>
      <c r="B17" s="37"/>
      <c r="C17" s="20"/>
      <c r="D17" s="29">
        <f>SUM(D10:D16)</f>
        <v>20433.842499999999</v>
      </c>
      <c r="E17" s="33"/>
      <c r="F17" s="33"/>
      <c r="G17" s="33"/>
      <c r="H17" s="33">
        <f>H7+H12+H15+H16</f>
        <v>18987.932777000002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2012.85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48.347310958904117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81900</v>
      </c>
      <c r="V19" s="102">
        <f>(B7+D10+D11+D12+D13+D16)*1.05</f>
        <v>81900</v>
      </c>
      <c r="X19" s="87">
        <f>G7*3.15*1.05/100</f>
        <v>2918.3343406875001</v>
      </c>
      <c r="Y19" s="87">
        <f>G7*3/100+510*1.05</f>
        <v>3182.5152749999997</v>
      </c>
      <c r="Z19" s="87">
        <f>Y19+X19</f>
        <v>6100.8496156874999</v>
      </c>
      <c r="AA19" s="87">
        <f>(Z19)-(D14+D15)</f>
        <v>-232.99288431250079</v>
      </c>
      <c r="AB19" s="87">
        <f>AA19*1.25</f>
        <v>-291.24110539062599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209.49184068749992</v>
      </c>
      <c r="Y20" s="87">
        <f>Y19-D15</f>
        <v>-442.48472500000025</v>
      </c>
      <c r="AA20" s="87">
        <f>X20+Y20</f>
        <v>-232.99288431250034</v>
      </c>
    </row>
    <row r="21" spans="1:28" ht="25.5" x14ac:dyDescent="0.35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7205.17557855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48.347310958904117</v>
      </c>
      <c r="I24" s="85">
        <f>H7/365</f>
        <v>48.347310958904117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52940.305500000002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F493175-B045-48F8-A541-B5BA5ADFC41A}">
      <formula1>"ADCB,ADCB PAY IN 2027,Ajman Bank,ADIB,DIB EXPAT,DIB LOCAL GVH,Emirates NBD,EIB,FAB,RAK,SIB STL,SIB NON STL"</formula1>
    </dataValidation>
    <dataValidation type="list" allowBlank="1" showInputMessage="1" showErrorMessage="1" sqref="D5" xr:uid="{F2EC29FF-9E9D-4DFD-8756-E0A7B06E4E2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FA646B3-407D-4DDA-954E-9C469DBAEFC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7A837C5-B5EB-45AC-83D4-08F0EA1C952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0E792F4-52E7-4325-97F4-15AE826D419B}">
      <formula1>"YES,NO"</formula1>
    </dataValidation>
    <dataValidation type="list" allowBlank="1" showInputMessage="1" showErrorMessage="1" sqref="K24" xr:uid="{9F3E29E2-1DFB-4717-B1C3-6E91E04465CE}">
      <formula1>"RMC-10-70K,RMC-10-100000K,RMC-40-70K"</formula1>
    </dataValidation>
    <dataValidation type="list" allowBlank="1" showInputMessage="1" showErrorMessage="1" sqref="B16" xr:uid="{545DFA37-4901-49FE-9128-CC7F53FABB32}">
      <formula1>"RMC-10-40KMS,RMC-10-60KMS,RMC-10-70KMS,RMC-10-100000KMS,RMC-40-70KMS,RMC-40-100000KMS"</formula1>
    </dataValidation>
    <dataValidation type="list" allowBlank="1" showInputMessage="1" showErrorMessage="1" sqref="B12" xr:uid="{C1EBE719-4EB6-41EA-AAF3-C7A075D1FFD7}">
      <formula1>"FO Exterior ceramic All Cars SCOTCHGUARD,FO Mirror Camera Sensor,FO PPF Gold Package "</formula1>
    </dataValidation>
    <dataValidation type="list" allowBlank="1" showInputMessage="1" showErrorMessage="1" sqref="B11" xr:uid="{D55EB648-847C-4609-9936-51C420C1851B}">
      <formula1>"FO Ceramic+ Intr&amp;Extr CeramicGold WdwTnt,FO Mirror Camera Sensor"</formula1>
    </dataValidation>
    <dataValidation type="list" allowBlank="1" showInputMessage="1" showErrorMessage="1" sqref="M34" xr:uid="{13C0F0C5-9222-4176-BB23-404A1FFCEE44}">
      <formula1>"Alaa,Bachir ,Khaled,Ramy,Simon,Mharen,Ranjith,Jihan,Praveen,Sujith,Mossallem"</formula1>
    </dataValidation>
    <dataValidation type="list" allowBlank="1" showInputMessage="1" showErrorMessage="1" sqref="H34" xr:uid="{9CD8F919-EC0A-44C3-A14D-74F7C362AC4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EEEF-F51A-4A25-946C-8B5157ED32C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G17</v>
      </c>
      <c r="D5" s="19" t="s">
        <v>89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6411.5066549300009</v>
      </c>
      <c r="S5" s="87"/>
      <c r="U5" s="87">
        <f>L7+L14</f>
        <v>2612.5274373813891</v>
      </c>
      <c r="V5" s="87">
        <f>M7+M14</f>
        <v>1747.6180347049999</v>
      </c>
      <c r="W5" s="87">
        <f>N7+N14</f>
        <v>1211.0133151591667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2051.9217884925001</v>
      </c>
      <c r="V6" s="96">
        <f>N7+K14</f>
        <v>5150.1439449299996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29">
        <f>B7+C7</f>
        <v>43995</v>
      </c>
      <c r="E7" s="29">
        <f>D17</f>
        <v>18428.1355</v>
      </c>
      <c r="F7" s="29">
        <f>(C7)+(D10+D11+D12+D13+D16)*5/100</f>
        <v>2740</v>
      </c>
      <c r="G7" s="30">
        <f>B7+E7+F7</f>
        <v>63068.135500000004</v>
      </c>
      <c r="H7" s="29">
        <f>G7*D20</f>
        <v>12613.627100000002</v>
      </c>
      <c r="I7" s="29">
        <f>(G7-H7)</f>
        <v>50454.508400000006</v>
      </c>
      <c r="J7" s="30">
        <f>(((I7*D19)*1)+I7)/12</f>
        <v>4309.2354715966676</v>
      </c>
      <c r="K7" s="30">
        <f>(((I7*D19)*2)+I7)/24</f>
        <v>2206.9642882633339</v>
      </c>
      <c r="L7" s="30">
        <f>(((I7*D19)*3)+I7)/36</f>
        <v>1506.2072271522225</v>
      </c>
      <c r="M7" s="30">
        <f>(((I7*D19)*4)+I7)/48</f>
        <v>1155.8286965966668</v>
      </c>
      <c r="N7" s="30">
        <f>((((I7*D19)*5)+I7)/60)</f>
        <v>945.60157826333341</v>
      </c>
      <c r="O7" s="92"/>
      <c r="P7" s="83">
        <f>H7+H16</f>
        <v>13143.399438200002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12613.6271</v>
      </c>
      <c r="I8" s="21"/>
      <c r="J8" s="34" t="s">
        <v>15</v>
      </c>
      <c r="K8" s="23">
        <f>(J7*K5+J7)/24</f>
        <v>179.55147798319447</v>
      </c>
      <c r="L8" s="23">
        <f>(J7*L5+J7)/36</f>
        <v>123.75884872454986</v>
      </c>
      <c r="M8" s="23">
        <f>(J7*M5+J7)/48</f>
        <v>95.862534095227531</v>
      </c>
      <c r="N8" s="23">
        <f>(J7*N5+J7)/60</f>
        <v>79.124745317634137</v>
      </c>
      <c r="O8" s="92"/>
      <c r="P8" s="83">
        <f>P7/12</f>
        <v>1095.2832865166667</v>
      </c>
      <c r="T8" s="86">
        <f>25973-12973</f>
        <v>13000</v>
      </c>
    </row>
    <row r="9" spans="1:28" ht="25.5" x14ac:dyDescent="0.35">
      <c r="A9" s="8">
        <f>B8/(100%-A8)</f>
        <v>52375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1256.3172591600014</v>
      </c>
      <c r="K9" s="38">
        <f>(K7*24)-I7</f>
        <v>2512.6345183200028</v>
      </c>
      <c r="L9" s="38">
        <f>(L7*36)-I7</f>
        <v>3768.9517774800042</v>
      </c>
      <c r="M9" s="38">
        <f>(M7*48)-I7</f>
        <v>5025.2690366399984</v>
      </c>
      <c r="N9" s="38">
        <f>(N7*60)-I7</f>
        <v>6281.5862957999998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438.24924746138095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12113.6271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1051.1355916666669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1903.1355000000001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4204.5423666666666</v>
      </c>
      <c r="L14" s="44">
        <f>(H8*L12+H8)/12</f>
        <v>1106.3202102291666</v>
      </c>
      <c r="M14" s="44">
        <f>(H8*M12+H8)/24</f>
        <v>591.78933810833325</v>
      </c>
      <c r="N14" s="52">
        <f>(H7*N12+H7)/60</f>
        <v>265.41173689583337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529.77233820000015</v>
      </c>
      <c r="I16" s="21"/>
      <c r="J16" s="44" t="s">
        <v>16</v>
      </c>
      <c r="K16" s="44">
        <f>(K14*3)-H8</f>
        <v>0</v>
      </c>
      <c r="L16" s="44">
        <f>(L14*12)-H8</f>
        <v>662.21542274999956</v>
      </c>
      <c r="M16" s="44">
        <f>(M14*24)-H8</f>
        <v>1589.3170145999993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1517</v>
      </c>
      <c r="B17" s="37"/>
      <c r="C17" s="20"/>
      <c r="D17" s="29">
        <f>SUM(D10:D16)</f>
        <v>18428.1355</v>
      </c>
      <c r="E17" s="33"/>
      <c r="F17" s="33"/>
      <c r="G17" s="33"/>
      <c r="H17" s="33">
        <f>H7+H12+H15+H16</f>
        <v>13743.399438200002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34.55788246575343</v>
      </c>
      <c r="K19" s="21"/>
      <c r="L19" s="21"/>
      <c r="M19" s="21"/>
      <c r="N19" s="23">
        <f>D7</f>
        <v>43995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57540</v>
      </c>
      <c r="V19" s="102">
        <f>(B7+D10+D11+D12+D13+D16)*1.05</f>
        <v>57540</v>
      </c>
      <c r="X19" s="87">
        <f>G7*3.15*1.05/100</f>
        <v>2085.9785816625003</v>
      </c>
      <c r="Y19" s="87">
        <f>G7*3/100+510*1.05</f>
        <v>2427.544065</v>
      </c>
      <c r="Z19" s="87">
        <f>Y19+X19</f>
        <v>4513.5226466625008</v>
      </c>
      <c r="AA19" s="87">
        <f>(Z19)-(D14+D15)</f>
        <v>-1014.6128533374995</v>
      </c>
      <c r="AB19" s="87">
        <f>AA19*1.25</f>
        <v>-1268.2660666718743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41900</v>
      </c>
      <c r="O20" s="92"/>
      <c r="P20" s="99"/>
      <c r="T20" s="86">
        <f>1992+1084</f>
        <v>3076</v>
      </c>
      <c r="V20" s="83"/>
      <c r="X20" s="87">
        <f>X19-D14</f>
        <v>182.84308166250025</v>
      </c>
      <c r="Y20" s="87">
        <f>Y19-D15</f>
        <v>-1197.455935</v>
      </c>
      <c r="AA20" s="87">
        <f>X20+Y20</f>
        <v>-1014.6128533374997</v>
      </c>
    </row>
    <row r="21" spans="1:28" ht="25.5" x14ac:dyDescent="0.35">
      <c r="A21" s="13">
        <f>A19+A20</f>
        <v>1319.85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5150.1439449299996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34.55788246575343</v>
      </c>
      <c r="I24" s="85">
        <f>H7/365</f>
        <v>34.55788246575343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37840.881300000008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B8CDB328-FA28-4954-87BE-718425688A75}">
      <formula1>"ADCB,ADCB PAY IN 2027,Ajman Bank,ADIB,DIB EXPAT,DIB LOCAL GVH,Emirates NBD,EIB,FAB,RAK,SIB STL,SIB NON STL"</formula1>
    </dataValidation>
    <dataValidation type="list" allowBlank="1" showInputMessage="1" showErrorMessage="1" sqref="D5" xr:uid="{63C9D72E-19CD-4782-9ED2-FB63249C072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473249EC-758E-4942-B1E9-436D4273861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BF9D98C2-48E7-4D51-A4E8-637BFF3DF06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0E826B5D-53EA-4C58-9DD9-5BABB0A7FA3D}">
      <formula1>"YES,NO"</formula1>
    </dataValidation>
    <dataValidation type="list" allowBlank="1" showInputMessage="1" showErrorMessage="1" sqref="K24" xr:uid="{5569C975-9E81-4DFD-B72C-AB789D3E8039}">
      <formula1>"RMC-10-70K,RMC-10-100000K,RMC-40-70K"</formula1>
    </dataValidation>
    <dataValidation type="list" allowBlank="1" showInputMessage="1" showErrorMessage="1" sqref="B16" xr:uid="{01A0BEA3-9031-4415-A28A-2D0740473202}">
      <formula1>"RMC-10-40KMS,RMC-10-60KMS,RMC-10-70KMS,RMC-10-100000KMS,RMC-40-70KMS,RMC-40-100000KMS"</formula1>
    </dataValidation>
    <dataValidation type="list" allowBlank="1" showInputMessage="1" showErrorMessage="1" sqref="B12" xr:uid="{16D78914-4AC3-4697-BC39-FBEA811AE69E}">
      <formula1>"FO Exterior ceramic All Cars SCOTCHGUARD,FO Mirror Camera Sensor,FO PPF Gold Package "</formula1>
    </dataValidation>
    <dataValidation type="list" allowBlank="1" showInputMessage="1" showErrorMessage="1" sqref="B11" xr:uid="{EB87B1A6-B850-4573-A746-1D0DDD69F7EF}">
      <formula1>"FO Ceramic+ Intr&amp;Extr CeramicGold WdwTnt,FO Mirror Camera Sensor"</formula1>
    </dataValidation>
    <dataValidation type="list" allowBlank="1" showInputMessage="1" showErrorMessage="1" sqref="M34" xr:uid="{690FE34A-B64F-45A2-9FAC-586487D3BC71}">
      <formula1>"Alaa,Bachir ,Khaled,Ramy,Simon,Mharen,Ranjith,Jihan,Praveen,Sujith,Mossallem"</formula1>
    </dataValidation>
    <dataValidation type="list" allowBlank="1" showInputMessage="1" showErrorMessage="1" sqref="H34" xr:uid="{30AEED85-FF11-40A5-82A6-3E7ED2EB12C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FAF8-7E14-44D8-9860-273007FF9FD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G16</v>
      </c>
      <c r="D5" s="19" t="s">
        <v>86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6246.0963678425005</v>
      </c>
      <c r="S5" s="87"/>
      <c r="U5" s="87">
        <f>L7+L14</f>
        <v>2545.1269125595145</v>
      </c>
      <c r="V5" s="87">
        <f>M7+M14</f>
        <v>1702.5312842112503</v>
      </c>
      <c r="W5" s="87">
        <f>N7+N14</f>
        <v>1179.7704153372918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1998.9843136706254</v>
      </c>
      <c r="V6" s="96">
        <f>N7+K14</f>
        <v>5017.2755203425004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18376.042375000001</v>
      </c>
      <c r="F7" s="29">
        <f>(C7)+(D10+D11+D12+D13+D16)*5/100</f>
        <v>2665</v>
      </c>
      <c r="G7" s="30">
        <f>B7+E7+F7</f>
        <v>61441.042375000005</v>
      </c>
      <c r="H7" s="29">
        <f>G7*D20</f>
        <v>12288.208475000001</v>
      </c>
      <c r="I7" s="29">
        <f>(G7-H7)</f>
        <v>49152.833900000005</v>
      </c>
      <c r="J7" s="30">
        <f>(((I7*D19)*1)+I7)/12</f>
        <v>4198.061622009167</v>
      </c>
      <c r="K7" s="30">
        <f>(((I7*D19)*2)+I7)/24</f>
        <v>2150.0268761758334</v>
      </c>
      <c r="L7" s="30">
        <f>(((I7*D19)*3)+I7)/36</f>
        <v>1467.3486275647224</v>
      </c>
      <c r="M7" s="30">
        <f>(((I7*D19)*4)+I7)/48</f>
        <v>1126.0095032591669</v>
      </c>
      <c r="N7" s="30">
        <f>((((I7*D19)*5)+I7)/60)</f>
        <v>921.20602867583341</v>
      </c>
      <c r="O7" s="92"/>
      <c r="P7" s="83">
        <f>H7+H16</f>
        <v>12804.313230950002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88"/>
      <c r="G8" s="189"/>
      <c r="H8" s="110">
        <f>G7*20/100</f>
        <v>12288.208475000001</v>
      </c>
      <c r="I8" s="21"/>
      <c r="J8" s="34" t="s">
        <v>15</v>
      </c>
      <c r="K8" s="23">
        <f>(J7*K5+J7)/24</f>
        <v>174.91923425038195</v>
      </c>
      <c r="L8" s="23">
        <f>(J7*L5+J7)/36</f>
        <v>120.56599752764662</v>
      </c>
      <c r="M8" s="23">
        <f>(J7*M5+J7)/48</f>
        <v>93.389379166278914</v>
      </c>
      <c r="N8" s="23">
        <f>(J7*N5+J7)/60</f>
        <v>77.083408149458322</v>
      </c>
      <c r="O8" s="92"/>
      <c r="P8" s="83">
        <f>P7/12</f>
        <v>1067.0261025791667</v>
      </c>
      <c r="T8" s="86">
        <f>25973-12973</f>
        <v>13000</v>
      </c>
    </row>
    <row r="9" spans="1:28" ht="25.5" x14ac:dyDescent="0.35">
      <c r="A9" s="8">
        <f>B8/(100%-A8)</f>
        <v>50500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1223.9055641099985</v>
      </c>
      <c r="K9" s="38">
        <f>(K7*24)-I7</f>
        <v>2447.811128219997</v>
      </c>
      <c r="L9" s="38">
        <f>(L7*36)-I7</f>
        <v>3671.7166923300028</v>
      </c>
      <c r="M9" s="38">
        <f>(M7*48)-I7</f>
        <v>4895.6222564400014</v>
      </c>
      <c r="N9" s="38">
        <f>(N7*60)-I7</f>
        <v>6119.5278205499999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426.94286695833216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11788.208475000001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51139.127999999997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1024.0173729166668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1851.0423750000002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4096.0694916666671</v>
      </c>
      <c r="L14" s="44">
        <f>(H8*L12+H8)/12</f>
        <v>1077.7782849947919</v>
      </c>
      <c r="M14" s="44">
        <f>(H8*M12+H8)/24</f>
        <v>576.52178095208342</v>
      </c>
      <c r="N14" s="52">
        <f>(H7*N12+H7)/60</f>
        <v>258.56438666145834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1342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516.10475595000014</v>
      </c>
      <c r="I16" s="21"/>
      <c r="J16" s="44" t="s">
        <v>16</v>
      </c>
      <c r="K16" s="44">
        <f>(K14*3)-H8</f>
        <v>0</v>
      </c>
      <c r="L16" s="44">
        <f>(L14*12)-H8</f>
        <v>645.13094493750214</v>
      </c>
      <c r="M16" s="44">
        <f>(M14*24)-H8</f>
        <v>1548.3142678500008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1472</v>
      </c>
      <c r="B17" s="37"/>
      <c r="C17" s="20"/>
      <c r="D17" s="29">
        <f>SUM(D10:D16)</f>
        <v>18376.042375000001</v>
      </c>
      <c r="E17" s="33"/>
      <c r="F17" s="33"/>
      <c r="G17" s="33"/>
      <c r="H17" s="33">
        <f>H7+H12+H15+H16</f>
        <v>13404.313230950002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1272.5999999999999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33.666324589041096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55965</v>
      </c>
      <c r="V19" s="102">
        <f>(B7+D10+D11+D12+D13+D16)*1.05</f>
        <v>55965</v>
      </c>
      <c r="X19" s="87">
        <f>G7*3.15*1.05/100</f>
        <v>2032.1624765531253</v>
      </c>
      <c r="Y19" s="87">
        <f>G7*3/100+510*1.05</f>
        <v>2378.7312712499997</v>
      </c>
      <c r="Z19" s="87">
        <f>Y19+X19</f>
        <v>4410.8937478031248</v>
      </c>
      <c r="AA19" s="87">
        <f>(Z19)-(D14+D15)</f>
        <v>-1065.1486271968752</v>
      </c>
      <c r="AB19" s="87">
        <f>AA19*1.25</f>
        <v>-1331.435783996094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181.1201015531251</v>
      </c>
      <c r="Y20" s="87">
        <f>Y19-D15</f>
        <v>-1246.2687287500003</v>
      </c>
      <c r="AA20" s="87">
        <f>X20+Y20</f>
        <v>-1065.1486271968752</v>
      </c>
    </row>
    <row r="21" spans="1:28" ht="25.5" x14ac:dyDescent="0.35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5017.2755203425004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33.666324589041096</v>
      </c>
      <c r="I24" s="85">
        <f>H7/365</f>
        <v>33.666324589041096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36864.625424999998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7472CD9-56B0-4AC4-B347-36F0A995C4C9}">
      <formula1>"ADCB,ADCB PAY IN 2027,Ajman Bank,ADIB,DIB EXPAT,DIB LOCAL GVH,Emirates NBD,EIB,FAB,RAK,SIB STL,SIB NON STL"</formula1>
    </dataValidation>
    <dataValidation type="list" allowBlank="1" showInputMessage="1" showErrorMessage="1" sqref="D5" xr:uid="{32541376-F4DA-411C-8C6E-527CA10C146D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EB45EF-0CDF-4E5B-BF6F-1BBEC0C30C7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EC757FC-63AE-43E8-AB63-FFDE2183C6C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EB74B7F-F6CA-431B-9529-8E831B097DA9}">
      <formula1>"YES,NO"</formula1>
    </dataValidation>
    <dataValidation type="list" allowBlank="1" showInputMessage="1" showErrorMessage="1" sqref="K24" xr:uid="{CB8AB2AA-B612-4D4C-BBF7-3FFC245F6F21}">
      <formula1>"RMC-10-70K,RMC-10-100000K,RMC-40-70K"</formula1>
    </dataValidation>
    <dataValidation type="list" allowBlank="1" showInputMessage="1" showErrorMessage="1" sqref="B16" xr:uid="{50E18858-0484-4B53-A018-7DE3BF41E221}">
      <formula1>"RMC-10-40KMS,RMC-10-60KMS,RMC-10-70KMS,RMC-10-100000KMS,RMC-40-70KMS,RMC-40-100000KMS"</formula1>
    </dataValidation>
    <dataValidation type="list" allowBlank="1" showInputMessage="1" showErrorMessage="1" sqref="B12" xr:uid="{5BFB2D1E-1460-4797-BA65-9F791AF4E939}">
      <formula1>"FO Exterior ceramic All Cars SCOTCHGUARD,FO Mirror Camera Sensor,FO PPF Gold Package "</formula1>
    </dataValidation>
    <dataValidation type="list" allowBlank="1" showInputMessage="1" showErrorMessage="1" sqref="B11" xr:uid="{3329D8D8-A138-4D63-B931-79E1BE08B62C}">
      <formula1>"FO Ceramic+ Intr&amp;Extr CeramicGold WdwTnt,FO Mirror Camera Sensor"</formula1>
    </dataValidation>
    <dataValidation type="list" allowBlank="1" showInputMessage="1" showErrorMessage="1" sqref="M34" xr:uid="{D3141E72-CDC9-4770-8A6E-EBA1639C7C90}">
      <formula1>"Alaa,Bachir ,Khaled,Ramy,Simon,Mharen,Ranjith,Jihan,Praveen,Sujith,Mossallem"</formula1>
    </dataValidation>
    <dataValidation type="list" allowBlank="1" showInputMessage="1" showErrorMessage="1" sqref="H34" xr:uid="{4A570D4D-37B4-4196-8A6C-BCEBD30002C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C778-BFFD-470E-9A57-31ABBD5AB4E9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MirageG10</v>
      </c>
      <c r="D5" s="19" t="s">
        <v>88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6246.0963678425005</v>
      </c>
      <c r="S5" s="87"/>
      <c r="U5" s="87">
        <f>L7+L14</f>
        <v>2545.1269125595145</v>
      </c>
      <c r="V5" s="87">
        <f>M7+M14</f>
        <v>1702.5312842112503</v>
      </c>
      <c r="W5" s="87">
        <f>N7+N14</f>
        <v>1179.7704153372918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1998.9843136706254</v>
      </c>
      <c r="V6" s="96">
        <f>N7+K14</f>
        <v>5017.2755203425004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18376.042375000001</v>
      </c>
      <c r="F7" s="29">
        <f>(C7)+(D10+D11+D12+D13+D16)*5/100</f>
        <v>2665</v>
      </c>
      <c r="G7" s="30">
        <f>B7+E7+F7</f>
        <v>61441.042375000005</v>
      </c>
      <c r="H7" s="29">
        <f>G7*D20</f>
        <v>12288.208475000001</v>
      </c>
      <c r="I7" s="29">
        <f>(G7-H7)</f>
        <v>49152.833900000005</v>
      </c>
      <c r="J7" s="30">
        <f>(((I7*D19)*1)+I7)/12</f>
        <v>4198.061622009167</v>
      </c>
      <c r="K7" s="30">
        <f>(((I7*D19)*2)+I7)/24</f>
        <v>2150.0268761758334</v>
      </c>
      <c r="L7" s="30">
        <f>(((I7*D19)*3)+I7)/36</f>
        <v>1467.3486275647224</v>
      </c>
      <c r="M7" s="30">
        <f>(((I7*D19)*4)+I7)/48</f>
        <v>1126.0095032591669</v>
      </c>
      <c r="N7" s="30">
        <f>((((I7*D19)*5)+I7)/60)</f>
        <v>921.20602867583341</v>
      </c>
      <c r="O7" s="92"/>
      <c r="P7" s="83">
        <f>H7+H16</f>
        <v>12804.313230950002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88"/>
      <c r="G8" s="189"/>
      <c r="H8" s="110">
        <f>G7*20/100</f>
        <v>12288.208475000001</v>
      </c>
      <c r="I8" s="21"/>
      <c r="J8" s="34" t="s">
        <v>15</v>
      </c>
      <c r="K8" s="23">
        <f>(J7*K5+J7)/24</f>
        <v>174.91923425038195</v>
      </c>
      <c r="L8" s="23">
        <f>(J7*L5+J7)/36</f>
        <v>120.56599752764662</v>
      </c>
      <c r="M8" s="23">
        <f>(J7*M5+J7)/48</f>
        <v>93.389379166278914</v>
      </c>
      <c r="N8" s="23">
        <f>(J7*N5+J7)/60</f>
        <v>77.083408149458322</v>
      </c>
      <c r="O8" s="92"/>
      <c r="P8" s="83">
        <f>P7/12</f>
        <v>1067.0261025791667</v>
      </c>
      <c r="T8" s="86">
        <f>25973-12973</f>
        <v>13000</v>
      </c>
    </row>
    <row r="9" spans="1:28" ht="25.5" x14ac:dyDescent="0.35">
      <c r="A9" s="8">
        <f>B8/(100%-A8)</f>
        <v>50500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1223.9055641099985</v>
      </c>
      <c r="K9" s="38">
        <f>(K7*24)-I7</f>
        <v>2447.811128219997</v>
      </c>
      <c r="L9" s="38">
        <f>(L7*36)-I7</f>
        <v>3671.7166923300028</v>
      </c>
      <c r="M9" s="38">
        <f>(M7*48)-I7</f>
        <v>4895.6222564400014</v>
      </c>
      <c r="N9" s="38">
        <f>(N7*60)-I7</f>
        <v>6119.5278205499999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426.94286695833216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11788.208475000001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51139.127999999997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1024.0173729166668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1851.0423750000002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4096.0694916666671</v>
      </c>
      <c r="L14" s="44">
        <f>(H8*L12+H8)/12</f>
        <v>1077.7782849947919</v>
      </c>
      <c r="M14" s="44">
        <f>(H8*M12+H8)/24</f>
        <v>576.52178095208342</v>
      </c>
      <c r="N14" s="52">
        <f>(H7*N12+H7)/60</f>
        <v>258.56438666145834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1342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516.10475595000014</v>
      </c>
      <c r="I16" s="21"/>
      <c r="J16" s="44" t="s">
        <v>16</v>
      </c>
      <c r="K16" s="44">
        <f>(K14*3)-H8</f>
        <v>0</v>
      </c>
      <c r="L16" s="44">
        <f>(L14*12)-H8</f>
        <v>645.13094493750214</v>
      </c>
      <c r="M16" s="44">
        <f>(M14*24)-H8</f>
        <v>1548.3142678500008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1472</v>
      </c>
      <c r="B17" s="37"/>
      <c r="C17" s="20"/>
      <c r="D17" s="29">
        <f>SUM(D10:D16)</f>
        <v>18376.042375000001</v>
      </c>
      <c r="E17" s="33"/>
      <c r="F17" s="33"/>
      <c r="G17" s="33"/>
      <c r="H17" s="33">
        <f>H7+H12+H15+H16</f>
        <v>13404.313230950002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1272.5999999999999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33.666324589041096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55965</v>
      </c>
      <c r="V19" s="102">
        <f>(B7+D10+D11+D12+D13+D16)*1.05</f>
        <v>55965</v>
      </c>
      <c r="X19" s="87">
        <f>G7*3.15*1.05/100</f>
        <v>2032.1624765531253</v>
      </c>
      <c r="Y19" s="87">
        <f>G7*3/100+510*1.05</f>
        <v>2378.7312712499997</v>
      </c>
      <c r="Z19" s="87">
        <f>Y19+X19</f>
        <v>4410.8937478031248</v>
      </c>
      <c r="AA19" s="87">
        <f>(Z19)-(D14+D15)</f>
        <v>-1065.1486271968752</v>
      </c>
      <c r="AB19" s="87">
        <f>AA19*1.25</f>
        <v>-1331.435783996094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181.1201015531251</v>
      </c>
      <c r="Y20" s="87">
        <f>Y19-D15</f>
        <v>-1246.2687287500003</v>
      </c>
      <c r="AA20" s="87">
        <f>X20+Y20</f>
        <v>-1065.1486271968752</v>
      </c>
    </row>
    <row r="21" spans="1:28" ht="25.5" x14ac:dyDescent="0.35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5017.2755203425004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33.666324589041096</v>
      </c>
      <c r="I24" s="85">
        <f>H7/365</f>
        <v>33.666324589041096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36864.625424999998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9E4D83E-6E56-4E36-BFAA-DED8E7A0D475}">
      <formula1>"ADCB,ADCB PAY IN 2027,Ajman Bank,ADIB,DIB EXPAT,DIB LOCAL GVH,Emirates NBD,EIB,FAB,RAK,SIB STL,SIB NON STL"</formula1>
    </dataValidation>
    <dataValidation type="list" allowBlank="1" showInputMessage="1" showErrorMessage="1" sqref="D5" xr:uid="{0A2430D9-44BE-4621-B820-D0C5BE1E226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D9F44D5-4242-4D8A-BDB0-60933989B4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FAFA4D-F8B4-41B0-BB3D-72D7D99E85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4327B6E-ABB4-4962-8B6E-92D4CB6DCE3B}">
      <formula1>"YES,NO"</formula1>
    </dataValidation>
    <dataValidation type="list" allowBlank="1" showInputMessage="1" showErrorMessage="1" sqref="K24" xr:uid="{EA2FDBCC-2F27-4890-B17C-F33C5AB3607B}">
      <formula1>"RMC-10-70K,RMC-10-100000K,RMC-40-70K"</formula1>
    </dataValidation>
    <dataValidation type="list" allowBlank="1" showInputMessage="1" showErrorMessage="1" sqref="B16" xr:uid="{6BFDDB0E-8845-469B-A162-C8A2B877B2FF}">
      <formula1>"RMC-10-40KMS,RMC-10-60KMS,RMC-10-70KMS,RMC-10-100000KMS,RMC-40-70KMS,RMC-40-100000KMS"</formula1>
    </dataValidation>
    <dataValidation type="list" allowBlank="1" showInputMessage="1" showErrorMessage="1" sqref="B12" xr:uid="{F599CB1A-A623-4913-A6A3-1E337C086335}">
      <formula1>"FO Exterior ceramic All Cars SCOTCHGUARD,FO Mirror Camera Sensor,FO PPF Gold Package "</formula1>
    </dataValidation>
    <dataValidation type="list" allowBlank="1" showInputMessage="1" showErrorMessage="1" sqref="B11" xr:uid="{C10165F5-2CEB-4FA1-9D59-330C5C2BBDC0}">
      <formula1>"FO Ceramic+ Intr&amp;Extr CeramicGold WdwTnt,FO Mirror Camera Sensor"</formula1>
    </dataValidation>
    <dataValidation type="list" allowBlank="1" showInputMessage="1" showErrorMessage="1" sqref="M34" xr:uid="{00E9092D-2B38-4B73-8534-CAFE186FAE8B}">
      <formula1>"Alaa,Bachir ,Khaled,Ramy,Simon,Mharen,Ranjith,Jihan,Praveen,Sujith,Mossallem"</formula1>
    </dataValidation>
    <dataValidation type="list" allowBlank="1" showInputMessage="1" showErrorMessage="1" sqref="H34" xr:uid="{8FF4A431-C855-42D5-9C63-FE567185F95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EBF1-F8DA-49DA-B4CA-5CC6D08E4D90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 G09</v>
      </c>
      <c r="D5" s="19" t="s">
        <v>87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6190.9596054800004</v>
      </c>
      <c r="S5" s="87"/>
      <c r="U5" s="87">
        <f>L7+L14</f>
        <v>2522.6600709522222</v>
      </c>
      <c r="V5" s="87">
        <f>M7+M14</f>
        <v>1687.5023673799999</v>
      </c>
      <c r="W5" s="87">
        <f>N7+N14</f>
        <v>1169.3561153966666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1981.3384887299999</v>
      </c>
      <c r="V6" s="96">
        <f>N7+K14</f>
        <v>4972.98604548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29">
        <f>B7+C7</f>
        <v>41895</v>
      </c>
      <c r="E7" s="29">
        <f>D17</f>
        <v>18358.678</v>
      </c>
      <c r="F7" s="29">
        <f>(C7)+(D10+D11+D12+D13+D16)*5/100</f>
        <v>2640</v>
      </c>
      <c r="G7" s="30">
        <f>B7+E7+F7</f>
        <v>60898.678</v>
      </c>
      <c r="H7" s="29">
        <f>G7*D20</f>
        <v>12179.7356</v>
      </c>
      <c r="I7" s="29">
        <f>(G7-H7)</f>
        <v>48718.9424</v>
      </c>
      <c r="J7" s="30">
        <f>(((I7*D19)*1)+I7)/12</f>
        <v>4161.0036721466668</v>
      </c>
      <c r="K7" s="30">
        <f>(((I7*D19)*2)+I7)/24</f>
        <v>2131.0477388133336</v>
      </c>
      <c r="L7" s="30">
        <f>(((I7*D19)*3)+I7)/36</f>
        <v>1454.3957610355556</v>
      </c>
      <c r="M7" s="30">
        <f>(((I7*D19)*4)+I7)/48</f>
        <v>1116.0697721466665</v>
      </c>
      <c r="N7" s="30">
        <f>((((I7*D19)*5)+I7)/60)</f>
        <v>913.07417881333333</v>
      </c>
      <c r="O7" s="92"/>
      <c r="P7" s="83">
        <f>H7+H16</f>
        <v>12691.2844952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39900</v>
      </c>
      <c r="C8" s="32">
        <f>IF(L20="YES",N20,IF(L20="NO",N20))</f>
        <v>39900</v>
      </c>
      <c r="D8" s="29">
        <v>0</v>
      </c>
      <c r="E8" s="33"/>
      <c r="F8" s="188"/>
      <c r="G8" s="189"/>
      <c r="H8" s="110">
        <f>G7*20/100</f>
        <v>12179.7356</v>
      </c>
      <c r="I8" s="21"/>
      <c r="J8" s="34" t="s">
        <v>15</v>
      </c>
      <c r="K8" s="23">
        <f>(J7*K5+J7)/24</f>
        <v>173.37515300611111</v>
      </c>
      <c r="L8" s="23">
        <f>(J7*L5+J7)/36</f>
        <v>119.50171379534552</v>
      </c>
      <c r="M8" s="23">
        <f>(J7*M5+J7)/48</f>
        <v>92.564994189962718</v>
      </c>
      <c r="N8" s="23">
        <f>(J7*N5+J7)/60</f>
        <v>76.402962426733041</v>
      </c>
      <c r="O8" s="92"/>
      <c r="P8" s="83">
        <f>P7/12</f>
        <v>1057.6070412666666</v>
      </c>
      <c r="T8" s="86">
        <f>25973-12973</f>
        <v>13000</v>
      </c>
    </row>
    <row r="9" spans="1:28" ht="25.5" x14ac:dyDescent="0.35">
      <c r="A9" s="8">
        <f>B8/(100%-A8)</f>
        <v>49875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1213.1016657599976</v>
      </c>
      <c r="K9" s="38">
        <f>(K7*24)-I7</f>
        <v>2426.2033315200097</v>
      </c>
      <c r="L9" s="38">
        <f>(L7*36)-I7</f>
        <v>3639.30499728</v>
      </c>
      <c r="M9" s="38">
        <f>(M7*48)-I7</f>
        <v>4852.4066630399902</v>
      </c>
      <c r="N9" s="38">
        <f>(N7*60)-I7</f>
        <v>6065.5083288000023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423.1740734573159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11679.7356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50506.218000000001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1014.9779666666667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1833.6780000000001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4059.9118666666668</v>
      </c>
      <c r="L14" s="44">
        <f>(H8*L12+H8)/12</f>
        <v>1068.2643099166667</v>
      </c>
      <c r="M14" s="44">
        <f>(H8*M12+H8)/24</f>
        <v>571.43259523333336</v>
      </c>
      <c r="N14" s="52">
        <f>(H7*N12+H7)/60</f>
        <v>256.28193658333333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511.5488952</v>
      </c>
      <c r="I16" s="21"/>
      <c r="J16" s="44" t="s">
        <v>16</v>
      </c>
      <c r="K16" s="44">
        <f>(K14*3)-H8</f>
        <v>0</v>
      </c>
      <c r="L16" s="44">
        <f>(L14*12)-H8</f>
        <v>639.43611899999996</v>
      </c>
      <c r="M16" s="44">
        <f>(M14*24)-H8</f>
        <v>1534.6466856000006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1457</v>
      </c>
      <c r="B17" s="37"/>
      <c r="C17" s="20"/>
      <c r="D17" s="29">
        <f>SUM(D10:D16)</f>
        <v>18358.678</v>
      </c>
      <c r="E17" s="33"/>
      <c r="F17" s="33"/>
      <c r="G17" s="33"/>
      <c r="H17" s="33">
        <f>H7+H12+H15+H16</f>
        <v>13291.2844952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1256.8499999999999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33.369138630136987</v>
      </c>
      <c r="K19" s="21"/>
      <c r="L19" s="21"/>
      <c r="M19" s="21"/>
      <c r="N19" s="23">
        <f>D7</f>
        <v>41895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55440</v>
      </c>
      <c r="V19" s="102">
        <f>(B7+D10+D11+D12+D13+D16)*1.05</f>
        <v>55440</v>
      </c>
      <c r="X19" s="87">
        <f>G7*3.15*1.05/100</f>
        <v>2014.2237748500002</v>
      </c>
      <c r="Y19" s="87">
        <f>G7*3/100+510*1.05</f>
        <v>2362.4603399999996</v>
      </c>
      <c r="Z19" s="87">
        <f>Y19+X19</f>
        <v>4376.6841148499998</v>
      </c>
      <c r="AA19" s="87">
        <f>(Z19)-(D14+D15)</f>
        <v>-1081.9938851500001</v>
      </c>
      <c r="AB19" s="87">
        <f>AA19*1.25</f>
        <v>-1352.4923564375001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39900</v>
      </c>
      <c r="O20" s="92"/>
      <c r="P20" s="99"/>
      <c r="T20" s="86">
        <f>1992+1084</f>
        <v>3076</v>
      </c>
      <c r="V20" s="83"/>
      <c r="X20" s="87">
        <f>X19-D14</f>
        <v>180.54577485000004</v>
      </c>
      <c r="Y20" s="87">
        <f>Y19-D15</f>
        <v>-1262.5396600000004</v>
      </c>
      <c r="AA20" s="87">
        <f>X20+Y20</f>
        <v>-1081.9938851500003</v>
      </c>
    </row>
    <row r="21" spans="1:28" ht="25.5" x14ac:dyDescent="0.35">
      <c r="A21" s="13">
        <f>A19+A20</f>
        <v>1256.8499999999999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4972.98604548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33.369138630136987</v>
      </c>
      <c r="I24" s="85">
        <f>H7/365</f>
        <v>33.369138630136987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36539.2068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B2B498C-F9FC-4FD7-9F20-3CD0C8D1563C}">
      <formula1>"ADCB,ADCB PAY IN 2027,Ajman Bank,ADIB,DIB EXPAT,DIB LOCAL GVH,Emirates NBD,EIB,FAB,RAK,SIB STL,SIB NON STL"</formula1>
    </dataValidation>
    <dataValidation type="list" allowBlank="1" showInputMessage="1" showErrorMessage="1" sqref="D5" xr:uid="{47747D2F-80FB-40B8-B4E2-201F60FDAB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D8FA317-D5AC-4ADC-AAF3-55352298E3D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0DCE40F-D7E7-4935-89B6-AFD2963930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D658EBE-1F96-4D57-B683-2F00B7F0F84F}">
      <formula1>"YES,NO"</formula1>
    </dataValidation>
    <dataValidation type="list" allowBlank="1" showInputMessage="1" showErrorMessage="1" sqref="K24" xr:uid="{73F92F37-B953-420C-AFEC-D6AE1C5090D2}">
      <formula1>"RMC-10-70K,RMC-10-100000K,RMC-40-70K"</formula1>
    </dataValidation>
    <dataValidation type="list" allowBlank="1" showInputMessage="1" showErrorMessage="1" sqref="B16" xr:uid="{409678A9-C5A8-45CE-B9DC-CB310E28FA5A}">
      <formula1>"RMC-10-40KMS,RMC-10-60KMS,RMC-10-70KMS,RMC-10-100000KMS,RMC-40-70KMS,RMC-40-100000KMS"</formula1>
    </dataValidation>
    <dataValidation type="list" allowBlank="1" showInputMessage="1" showErrorMessage="1" sqref="B12" xr:uid="{93A6D68D-A135-48F6-927C-957E1AF4A250}">
      <formula1>"FO Exterior ceramic All Cars SCOTCHGUARD,FO Mirror Camera Sensor,FO PPF Gold Package "</formula1>
    </dataValidation>
    <dataValidation type="list" allowBlank="1" showInputMessage="1" showErrorMessage="1" sqref="B11" xr:uid="{9345643F-6D50-4CFF-B8B7-FEC63D9C1677}">
      <formula1>"FO Ceramic+ Intr&amp;Extr CeramicGold WdwTnt,FO Mirror Camera Sensor"</formula1>
    </dataValidation>
    <dataValidation type="list" allowBlank="1" showInputMessage="1" showErrorMessage="1" sqref="M34" xr:uid="{FC00B049-1759-49BE-96EB-8B3A1C7415DC}">
      <formula1>"Alaa,Bachir ,Khaled,Ramy,Simon,Mharen,Ranjith,Jihan,Praveen,Sujith,Mossallem"</formula1>
    </dataValidation>
    <dataValidation type="list" allowBlank="1" showInputMessage="1" showErrorMessage="1" sqref="H34" xr:uid="{1265F2CA-C954-44F8-AE66-9A848EF7038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80</vt:i4>
      </vt:variant>
    </vt:vector>
  </HeadingPairs>
  <TitlesOfParts>
    <vt:vector size="160" baseType="lpstr">
      <vt:lpstr>MLP 26</vt:lpstr>
      <vt:lpstr>PR 26</vt:lpstr>
      <vt:lpstr>ML 26</vt:lpstr>
      <vt:lpstr>EH43 26</vt:lpstr>
      <vt:lpstr>EH40 26</vt:lpstr>
      <vt:lpstr>H43 26</vt:lpstr>
      <vt:lpstr>H40 26</vt:lpstr>
      <vt:lpstr>H44 26</vt:lpstr>
      <vt:lpstr>H42 26</vt:lpstr>
      <vt:lpstr>H48 26</vt:lpstr>
      <vt:lpstr>H45 26</vt:lpstr>
      <vt:lpstr>H38 26</vt:lpstr>
      <vt:lpstr>HLP 26</vt:lpstr>
      <vt:lpstr>H37 26</vt:lpstr>
      <vt:lpstr>PRP 26</vt:lpstr>
      <vt:lpstr>XPHL 26</vt:lpstr>
      <vt:lpstr>XPMLP 26</vt:lpstr>
      <vt:lpstr>XPML 26</vt:lpstr>
      <vt:lpstr>XPMLP-01 26</vt:lpstr>
      <vt:lpstr>XC 26</vt:lpstr>
      <vt:lpstr>P10 26</vt:lpstr>
      <vt:lpstr>G10 26</vt:lpstr>
      <vt:lpstr>G03 26</vt:lpstr>
      <vt:lpstr>G06 26</vt:lpstr>
      <vt:lpstr>P03 26</vt:lpstr>
      <vt:lpstr>P06 26</vt:lpstr>
      <vt:lpstr>P12 26 (2)</vt:lpstr>
      <vt:lpstr>P12 26</vt:lpstr>
      <vt:lpstr>G12 26</vt:lpstr>
      <vt:lpstr>P05 26</vt:lpstr>
      <vt:lpstr>G05 26</vt:lpstr>
      <vt:lpstr>G08 26</vt:lpstr>
      <vt:lpstr>G09 26</vt:lpstr>
      <vt:lpstr>P09 26</vt:lpstr>
      <vt:lpstr>H57 26</vt:lpstr>
      <vt:lpstr>P08 26</vt:lpstr>
      <vt:lpstr>H64 26</vt:lpstr>
      <vt:lpstr>P57 26</vt:lpstr>
      <vt:lpstr>P59 26</vt:lpstr>
      <vt:lpstr>H61 26</vt:lpstr>
      <vt:lpstr>P61 26</vt:lpstr>
      <vt:lpstr>H59 26</vt:lpstr>
      <vt:lpstr>H17 26</vt:lpstr>
      <vt:lpstr>HL 26</vt:lpstr>
      <vt:lpstr>P16 26</vt:lpstr>
      <vt:lpstr>H16 26</vt:lpstr>
      <vt:lpstr>MIG10 26</vt:lpstr>
      <vt:lpstr>MIG09 26</vt:lpstr>
      <vt:lpstr>MOP61 25</vt:lpstr>
      <vt:lpstr>MOG61 25</vt:lpstr>
      <vt:lpstr>MOG59P 25</vt:lpstr>
      <vt:lpstr>MOG59 25</vt:lpstr>
      <vt:lpstr>MOG64 25</vt:lpstr>
      <vt:lpstr>MOP57 25</vt:lpstr>
      <vt:lpstr>OTP08 25</vt:lpstr>
      <vt:lpstr>OTF08 25</vt:lpstr>
      <vt:lpstr>OTP06-01 25</vt:lpstr>
      <vt:lpstr>OTP06 25</vt:lpstr>
      <vt:lpstr>OTF06 25</vt:lpstr>
      <vt:lpstr>OTP03 25</vt:lpstr>
      <vt:lpstr>OTF03 25</vt:lpstr>
      <vt:lpstr>XC 25</vt:lpstr>
      <vt:lpstr>XPMLP-01 25</vt:lpstr>
      <vt:lpstr>XPMLP 25</vt:lpstr>
      <vt:lpstr>XPHL 25</vt:lpstr>
      <vt:lpstr>XPML 25</vt:lpstr>
      <vt:lpstr>ECG43 25</vt:lpstr>
      <vt:lpstr>ECG40 25</vt:lpstr>
      <vt:lpstr>ECG37 25</vt:lpstr>
      <vt:lpstr>ECG38 25</vt:lpstr>
      <vt:lpstr>ASG45 25</vt:lpstr>
      <vt:lpstr>ASG44 25</vt:lpstr>
      <vt:lpstr>ASG42 25</vt:lpstr>
      <vt:lpstr>ASG40 25</vt:lpstr>
      <vt:lpstr>ASG43 25</vt:lpstr>
      <vt:lpstr>ASG48 25</vt:lpstr>
      <vt:lpstr>ATG17 25</vt:lpstr>
      <vt:lpstr>ATG16 25</vt:lpstr>
      <vt:lpstr>MIG10 25</vt:lpstr>
      <vt:lpstr>MIG09 25</vt:lpstr>
      <vt:lpstr>'ASG40 25'!Print_Area</vt:lpstr>
      <vt:lpstr>'ASG42 25'!Print_Area</vt:lpstr>
      <vt:lpstr>'ASG43 25'!Print_Area</vt:lpstr>
      <vt:lpstr>'ASG44 25'!Print_Area</vt:lpstr>
      <vt:lpstr>'ASG45 25'!Print_Area</vt:lpstr>
      <vt:lpstr>'ASG48 25'!Print_Area</vt:lpstr>
      <vt:lpstr>'ATG16 25'!Print_Area</vt:lpstr>
      <vt:lpstr>'ATG17 25'!Print_Area</vt:lpstr>
      <vt:lpstr>'ECG37 25'!Print_Area</vt:lpstr>
      <vt:lpstr>'ECG38 25'!Print_Area</vt:lpstr>
      <vt:lpstr>'ECG40 25'!Print_Area</vt:lpstr>
      <vt:lpstr>'ECG43 25'!Print_Area</vt:lpstr>
      <vt:lpstr>'EH40 26'!Print_Area</vt:lpstr>
      <vt:lpstr>'EH43 26'!Print_Area</vt:lpstr>
      <vt:lpstr>'G03 26'!Print_Area</vt:lpstr>
      <vt:lpstr>'G05 26'!Print_Area</vt:lpstr>
      <vt:lpstr>'G06 26'!Print_Area</vt:lpstr>
      <vt:lpstr>'G08 26'!Print_Area</vt:lpstr>
      <vt:lpstr>'G09 26'!Print_Area</vt:lpstr>
      <vt:lpstr>'G10 26'!Print_Area</vt:lpstr>
      <vt:lpstr>'G12 26'!Print_Area</vt:lpstr>
      <vt:lpstr>'H16 26'!Print_Area</vt:lpstr>
      <vt:lpstr>'H17 26'!Print_Area</vt:lpstr>
      <vt:lpstr>'H37 26'!Print_Area</vt:lpstr>
      <vt:lpstr>'H38 26'!Print_Area</vt:lpstr>
      <vt:lpstr>'H40 26'!Print_Area</vt:lpstr>
      <vt:lpstr>'H42 26'!Print_Area</vt:lpstr>
      <vt:lpstr>'H43 26'!Print_Area</vt:lpstr>
      <vt:lpstr>'H44 26'!Print_Area</vt:lpstr>
      <vt:lpstr>'H45 26'!Print_Area</vt:lpstr>
      <vt:lpstr>'H48 26'!Print_Area</vt:lpstr>
      <vt:lpstr>'H57 26'!Print_Area</vt:lpstr>
      <vt:lpstr>'H59 26'!Print_Area</vt:lpstr>
      <vt:lpstr>'H61 26'!Print_Area</vt:lpstr>
      <vt:lpstr>'H64 26'!Print_Area</vt:lpstr>
      <vt:lpstr>'HL 26'!Print_Area</vt:lpstr>
      <vt:lpstr>'HLP 26'!Print_Area</vt:lpstr>
      <vt:lpstr>'MIG09 25'!Print_Area</vt:lpstr>
      <vt:lpstr>'MIG09 26'!Print_Area</vt:lpstr>
      <vt:lpstr>'MIG10 25'!Print_Area</vt:lpstr>
      <vt:lpstr>'MIG10 26'!Print_Area</vt:lpstr>
      <vt:lpstr>'ML 26'!Print_Area</vt:lpstr>
      <vt:lpstr>'MLP 26'!Print_Area</vt:lpstr>
      <vt:lpstr>'MOG59 25'!Print_Area</vt:lpstr>
      <vt:lpstr>'MOG59P 25'!Print_Area</vt:lpstr>
      <vt:lpstr>'MOG61 25'!Print_Area</vt:lpstr>
      <vt:lpstr>'MOG64 25'!Print_Area</vt:lpstr>
      <vt:lpstr>'MOP57 25'!Print_Area</vt:lpstr>
      <vt:lpstr>'MOP61 25'!Print_Area</vt:lpstr>
      <vt:lpstr>'OTF03 25'!Print_Area</vt:lpstr>
      <vt:lpstr>'OTF06 25'!Print_Area</vt:lpstr>
      <vt:lpstr>'OTF08 25'!Print_Area</vt:lpstr>
      <vt:lpstr>'OTP03 25'!Print_Area</vt:lpstr>
      <vt:lpstr>'OTP06 25'!Print_Area</vt:lpstr>
      <vt:lpstr>'OTP06-01 25'!Print_Area</vt:lpstr>
      <vt:lpstr>'OTP08 25'!Print_Area</vt:lpstr>
      <vt:lpstr>'P03 26'!Print_Area</vt:lpstr>
      <vt:lpstr>'P05 26'!Print_Area</vt:lpstr>
      <vt:lpstr>'P06 26'!Print_Area</vt:lpstr>
      <vt:lpstr>'P08 26'!Print_Area</vt:lpstr>
      <vt:lpstr>'P09 26'!Print_Area</vt:lpstr>
      <vt:lpstr>'P10 26'!Print_Area</vt:lpstr>
      <vt:lpstr>'P12 26'!Print_Area</vt:lpstr>
      <vt:lpstr>'P12 26 (2)'!Print_Area</vt:lpstr>
      <vt:lpstr>'P16 26'!Print_Area</vt:lpstr>
      <vt:lpstr>'P57 26'!Print_Area</vt:lpstr>
      <vt:lpstr>'P59 26'!Print_Area</vt:lpstr>
      <vt:lpstr>'P61 26'!Print_Area</vt:lpstr>
      <vt:lpstr>'PR 26'!Print_Area</vt:lpstr>
      <vt:lpstr>'PRP 26'!Print_Area</vt:lpstr>
      <vt:lpstr>'XC 25'!Print_Area</vt:lpstr>
      <vt:lpstr>'XC 26'!Print_Area</vt:lpstr>
      <vt:lpstr>'XPHL 25'!Print_Area</vt:lpstr>
      <vt:lpstr>'XPHL 26'!Print_Area</vt:lpstr>
      <vt:lpstr>'XPML 25'!Print_Area</vt:lpstr>
      <vt:lpstr>'XPML 26'!Print_Area</vt:lpstr>
      <vt:lpstr>'XPMLP 25'!Print_Area</vt:lpstr>
      <vt:lpstr>'XPMLP 26'!Print_Area</vt:lpstr>
      <vt:lpstr>'XPMLP-01 25'!Print_Area</vt:lpstr>
      <vt:lpstr>'XPMLP-01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cp:lastPrinted>2026-07-11T09:44:47Z</cp:lastPrinted>
  <dcterms:created xsi:type="dcterms:W3CDTF">2026-05-02T09:24:11Z</dcterms:created>
  <dcterms:modified xsi:type="dcterms:W3CDTF">2026-07-17T06:14:11Z</dcterms:modified>
</cp:coreProperties>
</file>