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neeth\Downloads\"/>
    </mc:Choice>
  </mc:AlternateContent>
  <xr:revisionPtr revIDLastSave="0" documentId="13_ncr:1_{266F9803-6C35-4500-8019-E72094D35AE4}" xr6:coauthVersionLast="47" xr6:coauthVersionMax="47" xr10:uidLastSave="{00000000-0000-0000-0000-000000000000}"/>
  <bookViews>
    <workbookView xWindow="-108" yWindow="-108" windowWidth="23256" windowHeight="12456" tabRatio="633" xr2:uid="{665EF06F-66B4-4087-9410-B361F9670F9A}"/>
  </bookViews>
  <sheets>
    <sheet name="MLP 26" sheetId="82" r:id="rId1"/>
    <sheet name="PR 26" sheetId="81" r:id="rId2"/>
    <sheet name="ML 26" sheetId="80" r:id="rId3"/>
    <sheet name="EH43 26" sheetId="79" r:id="rId4"/>
    <sheet name="EH40 26" sheetId="78" r:id="rId5"/>
    <sheet name="H43 26" sheetId="77" r:id="rId6"/>
    <sheet name="H40 26" sheetId="76" r:id="rId7"/>
    <sheet name="H44 26" sheetId="75" r:id="rId8"/>
    <sheet name="H42 26" sheetId="74" r:id="rId9"/>
    <sheet name="H48 26" sheetId="73" r:id="rId10"/>
    <sheet name="H45 26" sheetId="72" r:id="rId11"/>
    <sheet name="H38 26" sheetId="71" r:id="rId12"/>
    <sheet name="HLP 26" sheetId="70" r:id="rId13"/>
    <sheet name="H37 26" sheetId="69" r:id="rId14"/>
    <sheet name="PRP 26" sheetId="68" r:id="rId15"/>
    <sheet name="XPHL 26" sheetId="67" r:id="rId16"/>
    <sheet name="XPMLP 26" sheetId="66" r:id="rId17"/>
    <sheet name="XPML 26" sheetId="65" r:id="rId18"/>
    <sheet name="XPMLP-01 26" sheetId="64" r:id="rId19"/>
    <sheet name="XC 26" sheetId="63" r:id="rId20"/>
    <sheet name="P10 26" sheetId="62" r:id="rId21"/>
    <sheet name="G10 26" sheetId="61" r:id="rId22"/>
    <sheet name="G03 26" sheetId="60" r:id="rId23"/>
    <sheet name="G06 26" sheetId="59" r:id="rId24"/>
    <sheet name="P03 26" sheetId="58" r:id="rId25"/>
    <sheet name="P06 26" sheetId="57" r:id="rId26"/>
    <sheet name="P12 26 (2)" sheetId="56" r:id="rId27"/>
    <sheet name="P12 26" sheetId="55" r:id="rId28"/>
    <sheet name="G12 26" sheetId="54" r:id="rId29"/>
    <sheet name="P05 26" sheetId="53" r:id="rId30"/>
    <sheet name="G05 26" sheetId="52" r:id="rId31"/>
    <sheet name="G08 26" sheetId="51" r:id="rId32"/>
    <sheet name="G09 26" sheetId="50" r:id="rId33"/>
    <sheet name="P09 26" sheetId="49" r:id="rId34"/>
    <sheet name="H57 26" sheetId="48" r:id="rId35"/>
    <sheet name="P08 26" sheetId="47" r:id="rId36"/>
    <sheet name="H64 26" sheetId="46" r:id="rId37"/>
    <sheet name="P57 26" sheetId="45" r:id="rId38"/>
    <sheet name="P59 26" sheetId="44" r:id="rId39"/>
    <sheet name="H61 26" sheetId="43" r:id="rId40"/>
    <sheet name="P61 26" sheetId="42" r:id="rId41"/>
    <sheet name="H59 26" sheetId="41" r:id="rId42"/>
    <sheet name="H17 26" sheetId="40" r:id="rId43"/>
    <sheet name="HL 26" sheetId="39" r:id="rId44"/>
    <sheet name="P16 26" sheetId="38" r:id="rId45"/>
    <sheet name="H16 26" sheetId="37" r:id="rId46"/>
    <sheet name="MIG10 26" sheetId="36" r:id="rId47"/>
    <sheet name="MIG09 26" sheetId="35" r:id="rId48"/>
    <sheet name="MOP61 25" sheetId="34" r:id="rId49"/>
    <sheet name="MOG61 25" sheetId="33" r:id="rId50"/>
    <sheet name="MOG59P 25" sheetId="32" r:id="rId51"/>
    <sheet name="MOG59 25" sheetId="31" r:id="rId52"/>
    <sheet name="MOG64 25" sheetId="30" r:id="rId53"/>
    <sheet name="MOP57 25" sheetId="29" r:id="rId54"/>
    <sheet name="OTP08 25" sheetId="28" r:id="rId55"/>
    <sheet name="OTF08 25" sheetId="27" r:id="rId56"/>
    <sheet name="OTP06-01 25" sheetId="26" r:id="rId57"/>
    <sheet name="OTP06 25" sheetId="25" r:id="rId58"/>
    <sheet name="OTF06 25" sheetId="24" r:id="rId59"/>
    <sheet name="OTP03 25" sheetId="23" r:id="rId60"/>
    <sheet name="OTF03 25" sheetId="22" r:id="rId61"/>
    <sheet name="XC 25" sheetId="21" r:id="rId62"/>
    <sheet name="XPMLP-01 25" sheetId="20" r:id="rId63"/>
    <sheet name="XPMLP 25" sheetId="19" r:id="rId64"/>
    <sheet name="XPHL 25" sheetId="18" r:id="rId65"/>
    <sheet name="XPML 25" sheetId="17" r:id="rId66"/>
    <sheet name="ECG43 25" sheetId="16" r:id="rId67"/>
    <sheet name="ECG40 25" sheetId="15" r:id="rId68"/>
    <sheet name="ECG37 25" sheetId="14" r:id="rId69"/>
    <sheet name="ECG38 25" sheetId="13" r:id="rId70"/>
    <sheet name="ASG45 25" sheetId="12" r:id="rId71"/>
    <sheet name="ASG44 25" sheetId="11" r:id="rId72"/>
    <sheet name="ASG42 25" sheetId="10" r:id="rId73"/>
    <sheet name="ASG40 25" sheetId="9" r:id="rId74"/>
    <sheet name="ASG43 25" sheetId="8" r:id="rId75"/>
    <sheet name="ASG48 25" sheetId="7" r:id="rId76"/>
    <sheet name="ATG17 25" sheetId="6" r:id="rId77"/>
    <sheet name="ATG16 25" sheetId="5" r:id="rId78"/>
    <sheet name="MIG10 25" sheetId="4" r:id="rId79"/>
    <sheet name="MIG09 25" sheetId="3" r:id="rId80"/>
  </sheets>
  <definedNames>
    <definedName name="_xlnm.Print_Area" localSheetId="73">'ASG40 25'!$B$5:$N$34</definedName>
    <definedName name="_xlnm.Print_Area" localSheetId="72">'ASG42 25'!$B$5:$N$34</definedName>
    <definedName name="_xlnm.Print_Area" localSheetId="74">'ASG43 25'!$B$5:$N$34</definedName>
    <definedName name="_xlnm.Print_Area" localSheetId="71">'ASG44 25'!$B$5:$N$34</definedName>
    <definedName name="_xlnm.Print_Area" localSheetId="70">'ASG45 25'!$B$5:$N$34</definedName>
    <definedName name="_xlnm.Print_Area" localSheetId="75">'ASG48 25'!$B$5:$N$34</definedName>
    <definedName name="_xlnm.Print_Area" localSheetId="77">'ATG16 25'!$B$5:$N$34</definedName>
    <definedName name="_xlnm.Print_Area" localSheetId="76">'ATG17 25'!$B$5:$N$34</definedName>
    <definedName name="_xlnm.Print_Area" localSheetId="68">'ECG37 25'!$B$5:$N$34</definedName>
    <definedName name="_xlnm.Print_Area" localSheetId="69">'ECG38 25'!$B$5:$N$34</definedName>
    <definedName name="_xlnm.Print_Area" localSheetId="67">'ECG40 25'!$B$5:$N$34</definedName>
    <definedName name="_xlnm.Print_Area" localSheetId="66">'ECG43 25'!$B$5:$N$34</definedName>
    <definedName name="_xlnm.Print_Area" localSheetId="4">'EH40 26'!$B$5:$N$49</definedName>
    <definedName name="_xlnm.Print_Area" localSheetId="3">'EH43 26'!$B$5:$N$49</definedName>
    <definedName name="_xlnm.Print_Area" localSheetId="22">'G03 26'!$B$5:$N$49</definedName>
    <definedName name="_xlnm.Print_Area" localSheetId="30">'G05 26'!$B$5:$N$49</definedName>
    <definedName name="_xlnm.Print_Area" localSheetId="23">'G06 26'!$B$5:$N$49</definedName>
    <definedName name="_xlnm.Print_Area" localSheetId="31">'G08 26'!$B$5:$N$49</definedName>
    <definedName name="_xlnm.Print_Area" localSheetId="32">'G09 26'!$B$5:$N$49</definedName>
    <definedName name="_xlnm.Print_Area" localSheetId="21">'G10 26'!$B$5:$N$49</definedName>
    <definedName name="_xlnm.Print_Area" localSheetId="28">'G12 26'!$B$5:$N$49</definedName>
    <definedName name="_xlnm.Print_Area" localSheetId="45">'H16 26'!$B$5:$N$49</definedName>
    <definedName name="_xlnm.Print_Area" localSheetId="42">'H17 26'!$B$5:$N$49</definedName>
    <definedName name="_xlnm.Print_Area" localSheetId="13">'H37 26'!$B$5:$N$49</definedName>
    <definedName name="_xlnm.Print_Area" localSheetId="11">'H38 26'!$B$5:$N$49</definedName>
    <definedName name="_xlnm.Print_Area" localSheetId="6">'H40 26'!$B$5:$N$49</definedName>
    <definedName name="_xlnm.Print_Area" localSheetId="8">'H42 26'!$B$5:$N$49</definedName>
    <definedName name="_xlnm.Print_Area" localSheetId="5">'H43 26'!$B$5:$N$49</definedName>
    <definedName name="_xlnm.Print_Area" localSheetId="7">'H44 26'!$B$5:$N$49</definedName>
    <definedName name="_xlnm.Print_Area" localSheetId="10">'H45 26'!$B$5:$N$49</definedName>
    <definedName name="_xlnm.Print_Area" localSheetId="9">'H48 26'!$B$5:$N$49</definedName>
    <definedName name="_xlnm.Print_Area" localSheetId="34">'H57 26'!$B$5:$N$49</definedName>
    <definedName name="_xlnm.Print_Area" localSheetId="41">'H59 26'!$B$5:$N$49</definedName>
    <definedName name="_xlnm.Print_Area" localSheetId="39">'H61 26'!$B$5:$N$49</definedName>
    <definedName name="_xlnm.Print_Area" localSheetId="36">'H64 26'!$B$5:$N$49</definedName>
    <definedName name="_xlnm.Print_Area" localSheetId="43">'HL 26'!$B$5:$N$49</definedName>
    <definedName name="_xlnm.Print_Area" localSheetId="12">'HLP 26'!$B$5:$N$49</definedName>
    <definedName name="_xlnm.Print_Area" localSheetId="79">'MIG09 25'!$B$5:$N$34</definedName>
    <definedName name="_xlnm.Print_Area" localSheetId="47">'MIG09 26'!$B$5:$N$49</definedName>
    <definedName name="_xlnm.Print_Area" localSheetId="78">'MIG10 25'!$B$5:$N$34</definedName>
    <definedName name="_xlnm.Print_Area" localSheetId="46">'MIG10 26'!$B$5:$N$49</definedName>
    <definedName name="_xlnm.Print_Area" localSheetId="2">'ML 26'!$B$5:$N$49</definedName>
    <definedName name="_xlnm.Print_Area" localSheetId="0">'MLP 26'!$B$5:$N$49</definedName>
    <definedName name="_xlnm.Print_Area" localSheetId="51">'MOG59 25'!$B$5:$N$34</definedName>
    <definedName name="_xlnm.Print_Area" localSheetId="50">'MOG59P 25'!$B$5:$N$34</definedName>
    <definedName name="_xlnm.Print_Area" localSheetId="49">'MOG61 25'!$B$5:$N$34</definedName>
    <definedName name="_xlnm.Print_Area" localSheetId="52">'MOG64 25'!$B$5:$N$34</definedName>
    <definedName name="_xlnm.Print_Area" localSheetId="53">'MOP57 25'!$B$5:$N$34</definedName>
    <definedName name="_xlnm.Print_Area" localSheetId="48">'MOP61 25'!$B$5:$N$34</definedName>
    <definedName name="_xlnm.Print_Area" localSheetId="60">'OTF03 25'!$B$5:$N$34</definedName>
    <definedName name="_xlnm.Print_Area" localSheetId="58">'OTF06 25'!$B$5:$N$34</definedName>
    <definedName name="_xlnm.Print_Area" localSheetId="55">'OTF08 25'!$B$5:$N$34</definedName>
    <definedName name="_xlnm.Print_Area" localSheetId="59">'OTP03 25'!$B$5:$N$34</definedName>
    <definedName name="_xlnm.Print_Area" localSheetId="57">'OTP06 25'!$B$5:$N$34</definedName>
    <definedName name="_xlnm.Print_Area" localSheetId="56">'OTP06-01 25'!$B$5:$N$34</definedName>
    <definedName name="_xlnm.Print_Area" localSheetId="54">'OTP08 25'!$B$5:$N$34</definedName>
    <definedName name="_xlnm.Print_Area" localSheetId="24">'P03 26'!$B$5:$N$49</definedName>
    <definedName name="_xlnm.Print_Area" localSheetId="29">'P05 26'!$B$5:$N$49</definedName>
    <definedName name="_xlnm.Print_Area" localSheetId="25">'P06 26'!$B$5:$N$49</definedName>
    <definedName name="_xlnm.Print_Area" localSheetId="35">'P08 26'!$B$5:$N$49</definedName>
    <definedName name="_xlnm.Print_Area" localSheetId="33">'P09 26'!$B$5:$N$49</definedName>
    <definedName name="_xlnm.Print_Area" localSheetId="20">'P10 26'!$B$5:$N$49</definedName>
    <definedName name="_xlnm.Print_Area" localSheetId="27">'P12 26'!$B$5:$N$49</definedName>
    <definedName name="_xlnm.Print_Area" localSheetId="26">'P12 26 (2)'!$B$5:$N$49</definedName>
    <definedName name="_xlnm.Print_Area" localSheetId="44">'P16 26'!$B$5:$N$49</definedName>
    <definedName name="_xlnm.Print_Area" localSheetId="37">'P57 26'!$B$5:$N$49</definedName>
    <definedName name="_xlnm.Print_Area" localSheetId="38">'P59 26'!$B$5:$N$49</definedName>
    <definedName name="_xlnm.Print_Area" localSheetId="40">'P61 26'!$B$5:$N$49</definedName>
    <definedName name="_xlnm.Print_Area" localSheetId="1">'PR 26'!$B$5:$N$49</definedName>
    <definedName name="_xlnm.Print_Area" localSheetId="14">'PRP 26'!$B$5:$N$49</definedName>
    <definedName name="_xlnm.Print_Area" localSheetId="61">'XC 25'!$B$5:$N$34</definedName>
    <definedName name="_xlnm.Print_Area" localSheetId="19">'XC 26'!$B$5:$N$49</definedName>
    <definedName name="_xlnm.Print_Area" localSheetId="64">'XPHL 25'!$B$5:$N$34</definedName>
    <definedName name="_xlnm.Print_Area" localSheetId="15">'XPHL 26'!$B$5:$N$49</definedName>
    <definedName name="_xlnm.Print_Area" localSheetId="65">'XPML 25'!$B$5:$N$34</definedName>
    <definedName name="_xlnm.Print_Area" localSheetId="17">'XPML 26'!$B$5:$N$49</definedName>
    <definedName name="_xlnm.Print_Area" localSheetId="63">'XPMLP 25'!$B$5:$N$34</definedName>
    <definedName name="_xlnm.Print_Area" localSheetId="16">'XPMLP 26'!$B$5:$N$49</definedName>
    <definedName name="_xlnm.Print_Area" localSheetId="62">'XPMLP-01 25'!$B$5:$N$34</definedName>
    <definedName name="_xlnm.Print_Area" localSheetId="18">'XPMLP-01 26'!$B$5:$N$49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A3" i="82" l="1"/>
  <c r="C5" i="82"/>
  <c r="A7" i="82"/>
  <c r="B7" i="82"/>
  <c r="C7" i="82" s="1"/>
  <c r="T7" i="82"/>
  <c r="B8" i="82"/>
  <c r="A13" i="82" s="1"/>
  <c r="T8" i="82"/>
  <c r="T9" i="82" s="1"/>
  <c r="A9" i="82"/>
  <c r="D10" i="82"/>
  <c r="K10" i="82"/>
  <c r="O10" i="82"/>
  <c r="Q10" i="82"/>
  <c r="Z10" i="82"/>
  <c r="O11" i="82"/>
  <c r="U11" i="82"/>
  <c r="V11" i="82"/>
  <c r="W11" i="82"/>
  <c r="X11" i="82"/>
  <c r="Y11" i="82"/>
  <c r="D12" i="82"/>
  <c r="O12" i="82"/>
  <c r="D13" i="82"/>
  <c r="O13" i="82"/>
  <c r="U13" i="82"/>
  <c r="Z13" i="82"/>
  <c r="AA13" i="82"/>
  <c r="O14" i="82"/>
  <c r="D15" i="82"/>
  <c r="H15" i="82"/>
  <c r="O15" i="82"/>
  <c r="D16" i="82"/>
  <c r="O16" i="82"/>
  <c r="O17" i="82"/>
  <c r="D11" i="82" s="1"/>
  <c r="T17" i="82"/>
  <c r="O18" i="82"/>
  <c r="A19" i="82"/>
  <c r="A21" i="82" s="1"/>
  <c r="D19" i="82"/>
  <c r="O19" i="82"/>
  <c r="P19" i="82"/>
  <c r="M20" i="82"/>
  <c r="N20" i="82" s="1"/>
  <c r="C8" i="82" s="1"/>
  <c r="T20" i="82"/>
  <c r="T21" i="82"/>
  <c r="P24" i="82"/>
  <c r="T24" i="82"/>
  <c r="Q25" i="82"/>
  <c r="R25" i="82" s="1"/>
  <c r="R26" i="82" s="1"/>
  <c r="W25" i="82"/>
  <c r="O27" i="82"/>
  <c r="O28" i="82"/>
  <c r="AA3" i="81"/>
  <c r="C5" i="81"/>
  <c r="A7" i="81"/>
  <c r="B7" i="81"/>
  <c r="C7" i="81" s="1"/>
  <c r="F7" i="81" s="1"/>
  <c r="T7" i="81"/>
  <c r="B8" i="81"/>
  <c r="A13" i="81" s="1"/>
  <c r="T8" i="81"/>
  <c r="T9" i="81" s="1"/>
  <c r="A9" i="81"/>
  <c r="D10" i="81"/>
  <c r="Q10" i="81"/>
  <c r="Z10" i="81"/>
  <c r="K10" i="81" s="1"/>
  <c r="D11" i="81"/>
  <c r="O11" i="81"/>
  <c r="U11" i="81"/>
  <c r="V11" i="81"/>
  <c r="W11" i="81"/>
  <c r="X11" i="81"/>
  <c r="Y11" i="81"/>
  <c r="D12" i="81"/>
  <c r="O12" i="81"/>
  <c r="D13" i="81"/>
  <c r="O13" i="81"/>
  <c r="U13" i="81"/>
  <c r="Z13" i="81"/>
  <c r="AA13" i="81"/>
  <c r="O14" i="81"/>
  <c r="H15" i="81"/>
  <c r="O15" i="81"/>
  <c r="D16" i="81"/>
  <c r="O16" i="81"/>
  <c r="O17" i="81"/>
  <c r="T17" i="81"/>
  <c r="O18" i="81"/>
  <c r="D19" i="81"/>
  <c r="O19" i="81"/>
  <c r="P19" i="81"/>
  <c r="M20" i="81"/>
  <c r="T20" i="81"/>
  <c r="T21" i="81"/>
  <c r="P24" i="81"/>
  <c r="T24" i="81"/>
  <c r="Q25" i="81"/>
  <c r="R25" i="81"/>
  <c r="R26" i="81" s="1"/>
  <c r="W25" i="81"/>
  <c r="O27" i="81"/>
  <c r="O28" i="81"/>
  <c r="AA3" i="80"/>
  <c r="C5" i="80"/>
  <c r="A7" i="80"/>
  <c r="B7" i="80"/>
  <c r="D7" i="80" s="1"/>
  <c r="N19" i="80" s="1"/>
  <c r="C7" i="80"/>
  <c r="T7" i="80"/>
  <c r="B8" i="80"/>
  <c r="A13" i="80" s="1"/>
  <c r="T8" i="80"/>
  <c r="T9" i="80" s="1"/>
  <c r="A9" i="80"/>
  <c r="B9" i="80"/>
  <c r="D10" i="80"/>
  <c r="K10" i="80"/>
  <c r="O10" i="80"/>
  <c r="D15" i="80" s="1"/>
  <c r="Q10" i="80"/>
  <c r="Z10" i="80"/>
  <c r="O11" i="80"/>
  <c r="O16" i="80" s="1"/>
  <c r="D16" i="80" s="1"/>
  <c r="U11" i="80"/>
  <c r="V11" i="80"/>
  <c r="W11" i="80"/>
  <c r="X11" i="80"/>
  <c r="Y11" i="80"/>
  <c r="D12" i="80"/>
  <c r="O12" i="80"/>
  <c r="D13" i="80"/>
  <c r="O13" i="80"/>
  <c r="U13" i="80"/>
  <c r="Z13" i="80"/>
  <c r="AA13" i="80"/>
  <c r="O14" i="80"/>
  <c r="H15" i="80"/>
  <c r="O15" i="80"/>
  <c r="O17" i="80"/>
  <c r="D11" i="80" s="1"/>
  <c r="T17" i="80"/>
  <c r="O18" i="80"/>
  <c r="A19" i="80"/>
  <c r="A21" i="80" s="1"/>
  <c r="D19" i="80"/>
  <c r="O19" i="80"/>
  <c r="P19" i="80"/>
  <c r="M20" i="80"/>
  <c r="N20" i="80"/>
  <c r="C8" i="80" s="1"/>
  <c r="T20" i="80"/>
  <c r="T21" i="80"/>
  <c r="P24" i="80"/>
  <c r="T24" i="80"/>
  <c r="Q25" i="80"/>
  <c r="R25" i="80"/>
  <c r="W25" i="80"/>
  <c r="R26" i="80"/>
  <c r="O27" i="80"/>
  <c r="O28" i="80"/>
  <c r="AA3" i="79"/>
  <c r="C5" i="79"/>
  <c r="A7" i="79"/>
  <c r="B7" i="79"/>
  <c r="C7" i="79" s="1"/>
  <c r="F7" i="79" s="1"/>
  <c r="T7" i="79"/>
  <c r="B8" i="79"/>
  <c r="A13" i="79" s="1"/>
  <c r="T8" i="79"/>
  <c r="T9" i="79" s="1"/>
  <c r="A9" i="79"/>
  <c r="D10" i="79"/>
  <c r="K10" i="79"/>
  <c r="Q10" i="79"/>
  <c r="Z10" i="79"/>
  <c r="D11" i="79"/>
  <c r="O11" i="79"/>
  <c r="O16" i="79" s="1"/>
  <c r="D16" i="79" s="1"/>
  <c r="U11" i="79"/>
  <c r="V11" i="79"/>
  <c r="W11" i="79"/>
  <c r="X11" i="79"/>
  <c r="Y11" i="79"/>
  <c r="D12" i="79"/>
  <c r="O12" i="79"/>
  <c r="D13" i="79"/>
  <c r="O13" i="79"/>
  <c r="U13" i="79"/>
  <c r="Z13" i="79"/>
  <c r="AA13" i="79"/>
  <c r="O14" i="79"/>
  <c r="H15" i="79"/>
  <c r="O15" i="79"/>
  <c r="O17" i="79"/>
  <c r="T17" i="79"/>
  <c r="O18" i="79"/>
  <c r="A19" i="79"/>
  <c r="A21" i="79" s="1"/>
  <c r="D19" i="79"/>
  <c r="O19" i="79"/>
  <c r="P19" i="79"/>
  <c r="M20" i="79"/>
  <c r="T20" i="79"/>
  <c r="T21" i="79"/>
  <c r="P24" i="79"/>
  <c r="T24" i="79"/>
  <c r="Q25" i="79"/>
  <c r="R25" i="79"/>
  <c r="R26" i="79" s="1"/>
  <c r="W25" i="79"/>
  <c r="O27" i="79"/>
  <c r="O28" i="79"/>
  <c r="AA3" i="78"/>
  <c r="C5" i="78"/>
  <c r="A7" i="78"/>
  <c r="B7" i="78"/>
  <c r="C7" i="78" s="1"/>
  <c r="T7" i="78"/>
  <c r="B8" i="78"/>
  <c r="A13" i="78" s="1"/>
  <c r="T8" i="78"/>
  <c r="T9" i="78" s="1"/>
  <c r="A9" i="78"/>
  <c r="D10" i="78"/>
  <c r="K10" i="78"/>
  <c r="Q10" i="78"/>
  <c r="Z10" i="78"/>
  <c r="O11" i="78"/>
  <c r="O16" i="78" s="1"/>
  <c r="D16" i="78" s="1"/>
  <c r="U11" i="78"/>
  <c r="V11" i="78"/>
  <c r="W11" i="78"/>
  <c r="X11" i="78"/>
  <c r="Y11" i="78"/>
  <c r="D12" i="78"/>
  <c r="O12" i="78"/>
  <c r="D13" i="78"/>
  <c r="O13" i="78"/>
  <c r="U13" i="78"/>
  <c r="Z13" i="78"/>
  <c r="AA13" i="78"/>
  <c r="O14" i="78"/>
  <c r="H15" i="78"/>
  <c r="O15" i="78"/>
  <c r="O17" i="78"/>
  <c r="D11" i="78" s="1"/>
  <c r="T17" i="78"/>
  <c r="O18" i="78"/>
  <c r="A19" i="78"/>
  <c r="A21" i="78" s="1"/>
  <c r="D19" i="78"/>
  <c r="O19" i="78"/>
  <c r="P19" i="78"/>
  <c r="M20" i="78"/>
  <c r="N20" i="78"/>
  <c r="C8" i="78" s="1"/>
  <c r="T20" i="78"/>
  <c r="T21" i="78"/>
  <c r="P24" i="78"/>
  <c r="T24" i="78"/>
  <c r="Q25" i="78"/>
  <c r="R25" i="78"/>
  <c r="W25" i="78"/>
  <c r="R26" i="78"/>
  <c r="O27" i="78"/>
  <c r="O28" i="78"/>
  <c r="AA3" i="77"/>
  <c r="C5" i="77"/>
  <c r="A7" i="77"/>
  <c r="B7" i="77"/>
  <c r="C7" i="77" s="1"/>
  <c r="T7" i="77"/>
  <c r="B8" i="77"/>
  <c r="A13" i="77" s="1"/>
  <c r="T8" i="77"/>
  <c r="T9" i="77" s="1"/>
  <c r="A9" i="77"/>
  <c r="D10" i="77"/>
  <c r="K10" i="77"/>
  <c r="O10" i="77"/>
  <c r="Q10" i="77"/>
  <c r="Z10" i="77"/>
  <c r="O11" i="77"/>
  <c r="O16" i="77" s="1"/>
  <c r="D16" i="77" s="1"/>
  <c r="U11" i="77"/>
  <c r="V11" i="77"/>
  <c r="W11" i="77"/>
  <c r="X11" i="77"/>
  <c r="Y11" i="77"/>
  <c r="D12" i="77"/>
  <c r="O12" i="77"/>
  <c r="D13" i="77"/>
  <c r="O13" i="77"/>
  <c r="U13" i="77"/>
  <c r="Z13" i="77"/>
  <c r="AA13" i="77"/>
  <c r="O14" i="77"/>
  <c r="D15" i="77"/>
  <c r="H15" i="77"/>
  <c r="O15" i="77"/>
  <c r="O17" i="77"/>
  <c r="D11" i="77" s="1"/>
  <c r="T17" i="77"/>
  <c r="O18" i="77"/>
  <c r="A19" i="77"/>
  <c r="A21" i="77" s="1"/>
  <c r="D19" i="77"/>
  <c r="O19" i="77"/>
  <c r="P19" i="77"/>
  <c r="M20" i="77"/>
  <c r="N20" i="77"/>
  <c r="C8" i="77" s="1"/>
  <c r="T20" i="77"/>
  <c r="T21" i="77"/>
  <c r="P24" i="77"/>
  <c r="T24" i="77"/>
  <c r="Q25" i="77"/>
  <c r="R25" i="77"/>
  <c r="W25" i="77"/>
  <c r="R26" i="77"/>
  <c r="O27" i="77"/>
  <c r="O28" i="77"/>
  <c r="AA3" i="76"/>
  <c r="C5" i="76"/>
  <c r="A7" i="76"/>
  <c r="B7" i="76"/>
  <c r="C7" i="76" s="1"/>
  <c r="F7" i="76" s="1"/>
  <c r="T7" i="76"/>
  <c r="B8" i="76"/>
  <c r="A13" i="76" s="1"/>
  <c r="T8" i="76"/>
  <c r="T9" i="76" s="1"/>
  <c r="A9" i="76"/>
  <c r="D10" i="76"/>
  <c r="O10" i="76"/>
  <c r="Q10" i="76"/>
  <c r="Z10" i="76"/>
  <c r="K10" i="76" s="1"/>
  <c r="D11" i="76"/>
  <c r="O11" i="76"/>
  <c r="U11" i="76"/>
  <c r="V11" i="76"/>
  <c r="W11" i="76"/>
  <c r="X11" i="76"/>
  <c r="Y11" i="76"/>
  <c r="D12" i="76"/>
  <c r="O12" i="76"/>
  <c r="D13" i="76"/>
  <c r="O13" i="76"/>
  <c r="U13" i="76"/>
  <c r="Z13" i="76"/>
  <c r="AA13" i="76"/>
  <c r="O14" i="76"/>
  <c r="D15" i="76"/>
  <c r="H15" i="76"/>
  <c r="O15" i="76"/>
  <c r="D16" i="76"/>
  <c r="O16" i="76"/>
  <c r="O17" i="76"/>
  <c r="T17" i="76"/>
  <c r="O18" i="76"/>
  <c r="D19" i="76"/>
  <c r="O19" i="76"/>
  <c r="P19" i="76"/>
  <c r="M20" i="76"/>
  <c r="T20" i="76"/>
  <c r="T21" i="76"/>
  <c r="P24" i="76"/>
  <c r="T24" i="76"/>
  <c r="Q25" i="76"/>
  <c r="R25" i="76"/>
  <c r="R26" i="76" s="1"/>
  <c r="W25" i="76"/>
  <c r="O27" i="76"/>
  <c r="O28" i="76"/>
  <c r="AA3" i="75"/>
  <c r="C5" i="75"/>
  <c r="A7" i="75"/>
  <c r="B7" i="75"/>
  <c r="C7" i="75" s="1"/>
  <c r="T7" i="75"/>
  <c r="B8" i="75"/>
  <c r="T8" i="75"/>
  <c r="T9" i="75" s="1"/>
  <c r="A9" i="75"/>
  <c r="D10" i="75"/>
  <c r="K10" i="75"/>
  <c r="O10" i="75"/>
  <c r="Q10" i="75"/>
  <c r="Z10" i="75"/>
  <c r="O11" i="75"/>
  <c r="O16" i="75" s="1"/>
  <c r="D16" i="75" s="1"/>
  <c r="U11" i="75"/>
  <c r="V11" i="75"/>
  <c r="W11" i="75"/>
  <c r="X11" i="75"/>
  <c r="Y11" i="75"/>
  <c r="D12" i="75"/>
  <c r="O12" i="75"/>
  <c r="A13" i="75"/>
  <c r="D13" i="75"/>
  <c r="O13" i="75"/>
  <c r="U13" i="75"/>
  <c r="Z13" i="75"/>
  <c r="AA13" i="75"/>
  <c r="O14" i="75"/>
  <c r="D15" i="75"/>
  <c r="H15" i="75"/>
  <c r="O15" i="75"/>
  <c r="O17" i="75"/>
  <c r="D11" i="75" s="1"/>
  <c r="T17" i="75"/>
  <c r="O18" i="75"/>
  <c r="A19" i="75"/>
  <c r="A21" i="75" s="1"/>
  <c r="D19" i="75"/>
  <c r="O19" i="75"/>
  <c r="P19" i="75"/>
  <c r="M20" i="75"/>
  <c r="N20" i="75"/>
  <c r="C8" i="75" s="1"/>
  <c r="T20" i="75"/>
  <c r="T21" i="75"/>
  <c r="P24" i="75"/>
  <c r="T24" i="75"/>
  <c r="Q25" i="75"/>
  <c r="R25" i="75"/>
  <c r="W25" i="75"/>
  <c r="R26" i="75"/>
  <c r="O27" i="75"/>
  <c r="O28" i="75"/>
  <c r="AA3" i="74"/>
  <c r="C5" i="74"/>
  <c r="A7" i="74"/>
  <c r="B7" i="74"/>
  <c r="C7" i="74" s="1"/>
  <c r="T7" i="74"/>
  <c r="B8" i="74"/>
  <c r="A13" i="74" s="1"/>
  <c r="T8" i="74"/>
  <c r="T9" i="74" s="1"/>
  <c r="A9" i="74"/>
  <c r="D10" i="74"/>
  <c r="K10" i="74"/>
  <c r="O10" i="74"/>
  <c r="Q10" i="74"/>
  <c r="Z10" i="74"/>
  <c r="O11" i="74"/>
  <c r="O16" i="74" s="1"/>
  <c r="D16" i="74" s="1"/>
  <c r="U11" i="74"/>
  <c r="V11" i="74"/>
  <c r="W11" i="74"/>
  <c r="X11" i="74"/>
  <c r="Y11" i="74"/>
  <c r="D12" i="74"/>
  <c r="O12" i="74"/>
  <c r="D13" i="74"/>
  <c r="O13" i="74"/>
  <c r="U13" i="74"/>
  <c r="Z13" i="74"/>
  <c r="AA13" i="74"/>
  <c r="O14" i="74"/>
  <c r="D15" i="74"/>
  <c r="H15" i="74"/>
  <c r="O15" i="74"/>
  <c r="O17" i="74"/>
  <c r="D11" i="74" s="1"/>
  <c r="T17" i="74"/>
  <c r="O18" i="74"/>
  <c r="A19" i="74"/>
  <c r="A21" i="74" s="1"/>
  <c r="D19" i="74"/>
  <c r="O19" i="74"/>
  <c r="P19" i="74"/>
  <c r="M20" i="74"/>
  <c r="N20" i="74"/>
  <c r="C8" i="74" s="1"/>
  <c r="T20" i="74"/>
  <c r="T21" i="74"/>
  <c r="P24" i="74"/>
  <c r="T24" i="74"/>
  <c r="Q25" i="74"/>
  <c r="R25" i="74"/>
  <c r="W25" i="74"/>
  <c r="R26" i="74"/>
  <c r="O27" i="74"/>
  <c r="O28" i="74"/>
  <c r="AA3" i="73"/>
  <c r="C5" i="73"/>
  <c r="A7" i="73"/>
  <c r="B7" i="73"/>
  <c r="C7" i="73" s="1"/>
  <c r="T7" i="73"/>
  <c r="B8" i="73"/>
  <c r="A13" i="73" s="1"/>
  <c r="T8" i="73"/>
  <c r="T9" i="73" s="1"/>
  <c r="A9" i="73"/>
  <c r="D10" i="73"/>
  <c r="K10" i="73"/>
  <c r="O10" i="73"/>
  <c r="D15" i="73" s="1"/>
  <c r="Q10" i="73"/>
  <c r="Z10" i="73"/>
  <c r="O11" i="73"/>
  <c r="O16" i="73" s="1"/>
  <c r="D16" i="73" s="1"/>
  <c r="U11" i="73"/>
  <c r="V11" i="73"/>
  <c r="W11" i="73"/>
  <c r="X11" i="73"/>
  <c r="Y11" i="73"/>
  <c r="D12" i="73"/>
  <c r="O12" i="73"/>
  <c r="D13" i="73"/>
  <c r="O13" i="73"/>
  <c r="U13" i="73"/>
  <c r="Z13" i="73"/>
  <c r="AA13" i="73"/>
  <c r="O14" i="73"/>
  <c r="H15" i="73"/>
  <c r="O15" i="73"/>
  <c r="O17" i="73"/>
  <c r="D11" i="73" s="1"/>
  <c r="T17" i="73"/>
  <c r="O18" i="73"/>
  <c r="A19" i="73"/>
  <c r="A21" i="73" s="1"/>
  <c r="D19" i="73"/>
  <c r="O19" i="73"/>
  <c r="P19" i="73"/>
  <c r="M20" i="73"/>
  <c r="N20" i="73"/>
  <c r="C8" i="73" s="1"/>
  <c r="T20" i="73"/>
  <c r="T21" i="73"/>
  <c r="P24" i="73"/>
  <c r="T24" i="73"/>
  <c r="Q25" i="73"/>
  <c r="R25" i="73" s="1"/>
  <c r="R26" i="73" s="1"/>
  <c r="W25" i="73"/>
  <c r="O27" i="73"/>
  <c r="O28" i="73"/>
  <c r="AA3" i="72"/>
  <c r="C5" i="72"/>
  <c r="A7" i="72"/>
  <c r="B7" i="72"/>
  <c r="C7" i="72" s="1"/>
  <c r="T7" i="72"/>
  <c r="B8" i="72"/>
  <c r="A13" i="72" s="1"/>
  <c r="T8" i="72"/>
  <c r="T9" i="72" s="1"/>
  <c r="A9" i="72"/>
  <c r="D10" i="72"/>
  <c r="K10" i="72"/>
  <c r="O10" i="72"/>
  <c r="Q10" i="72"/>
  <c r="Z10" i="72"/>
  <c r="O11" i="72"/>
  <c r="O16" i="72" s="1"/>
  <c r="D16" i="72" s="1"/>
  <c r="U11" i="72"/>
  <c r="V11" i="72"/>
  <c r="W11" i="72"/>
  <c r="X11" i="72"/>
  <c r="Y11" i="72"/>
  <c r="D12" i="72"/>
  <c r="O12" i="72"/>
  <c r="D13" i="72"/>
  <c r="O13" i="72"/>
  <c r="U13" i="72"/>
  <c r="Z13" i="72"/>
  <c r="AA13" i="72"/>
  <c r="O14" i="72"/>
  <c r="D15" i="72"/>
  <c r="H15" i="72"/>
  <c r="O15" i="72"/>
  <c r="O17" i="72"/>
  <c r="D11" i="72" s="1"/>
  <c r="T17" i="72"/>
  <c r="O18" i="72"/>
  <c r="A19" i="72"/>
  <c r="A21" i="72" s="1"/>
  <c r="D19" i="72"/>
  <c r="O19" i="72"/>
  <c r="P19" i="72"/>
  <c r="M20" i="72"/>
  <c r="N20" i="72"/>
  <c r="C8" i="72" s="1"/>
  <c r="T20" i="72"/>
  <c r="T21" i="72"/>
  <c r="P24" i="72"/>
  <c r="T24" i="72"/>
  <c r="Q25" i="72"/>
  <c r="R25" i="72"/>
  <c r="W25" i="72"/>
  <c r="R26" i="72"/>
  <c r="O27" i="72"/>
  <c r="O28" i="72"/>
  <c r="AA3" i="71"/>
  <c r="C5" i="71"/>
  <c r="A7" i="71"/>
  <c r="B7" i="71"/>
  <c r="C7" i="71" s="1"/>
  <c r="T7" i="71"/>
  <c r="B8" i="71"/>
  <c r="N20" i="71" s="1"/>
  <c r="C8" i="71" s="1"/>
  <c r="T8" i="71"/>
  <c r="T9" i="71" s="1"/>
  <c r="A9" i="71"/>
  <c r="D10" i="71"/>
  <c r="K10" i="71"/>
  <c r="O10" i="71"/>
  <c r="Q10" i="71"/>
  <c r="Z10" i="71"/>
  <c r="O11" i="71"/>
  <c r="U11" i="71"/>
  <c r="V11" i="71"/>
  <c r="W11" i="71"/>
  <c r="X11" i="71"/>
  <c r="Y11" i="71"/>
  <c r="D12" i="71"/>
  <c r="O12" i="71"/>
  <c r="A13" i="71"/>
  <c r="D13" i="71"/>
  <c r="O13" i="71"/>
  <c r="U13" i="71"/>
  <c r="Z13" i="71"/>
  <c r="AA13" i="71"/>
  <c r="O14" i="71"/>
  <c r="D15" i="71"/>
  <c r="H15" i="71"/>
  <c r="O15" i="71"/>
  <c r="D16" i="71"/>
  <c r="O16" i="71"/>
  <c r="O17" i="71"/>
  <c r="D11" i="71" s="1"/>
  <c r="T17" i="71"/>
  <c r="O18" i="71"/>
  <c r="A19" i="71"/>
  <c r="A21" i="71" s="1"/>
  <c r="D19" i="71"/>
  <c r="O19" i="71"/>
  <c r="P19" i="71"/>
  <c r="M20" i="71"/>
  <c r="T20" i="71"/>
  <c r="T21" i="71"/>
  <c r="P24" i="71"/>
  <c r="T24" i="71"/>
  <c r="Q25" i="71"/>
  <c r="R25" i="71" s="1"/>
  <c r="R26" i="71" s="1"/>
  <c r="W25" i="71"/>
  <c r="O27" i="71"/>
  <c r="O28" i="71"/>
  <c r="AA3" i="70"/>
  <c r="C5" i="70"/>
  <c r="A7" i="70"/>
  <c r="B7" i="70"/>
  <c r="C7" i="70" s="1"/>
  <c r="T7" i="70"/>
  <c r="B8" i="70"/>
  <c r="A13" i="70" s="1"/>
  <c r="T8" i="70"/>
  <c r="T9" i="70" s="1"/>
  <c r="A9" i="70"/>
  <c r="D10" i="70"/>
  <c r="K10" i="70"/>
  <c r="Q10" i="70"/>
  <c r="Z10" i="70"/>
  <c r="O11" i="70"/>
  <c r="O16" i="70" s="1"/>
  <c r="D16" i="70" s="1"/>
  <c r="U11" i="70"/>
  <c r="V11" i="70"/>
  <c r="W11" i="70"/>
  <c r="X11" i="70"/>
  <c r="Y11" i="70"/>
  <c r="D12" i="70"/>
  <c r="O12" i="70"/>
  <c r="D13" i="70"/>
  <c r="O13" i="70"/>
  <c r="U13" i="70"/>
  <c r="Z13" i="70"/>
  <c r="AA13" i="70"/>
  <c r="O14" i="70"/>
  <c r="H15" i="70"/>
  <c r="O15" i="70"/>
  <c r="O17" i="70"/>
  <c r="D11" i="70" s="1"/>
  <c r="T17" i="70"/>
  <c r="O18" i="70"/>
  <c r="A19" i="70"/>
  <c r="A21" i="70" s="1"/>
  <c r="D19" i="70"/>
  <c r="O19" i="70"/>
  <c r="P19" i="70"/>
  <c r="M20" i="70"/>
  <c r="N20" i="70"/>
  <c r="C8" i="70" s="1"/>
  <c r="T20" i="70"/>
  <c r="T21" i="70"/>
  <c r="P24" i="70"/>
  <c r="T24" i="70"/>
  <c r="Q25" i="70"/>
  <c r="R25" i="70" s="1"/>
  <c r="R26" i="70" s="1"/>
  <c r="W25" i="70"/>
  <c r="O27" i="70"/>
  <c r="O28" i="70"/>
  <c r="AA3" i="69"/>
  <c r="C5" i="69"/>
  <c r="T7" i="69"/>
  <c r="B8" i="69"/>
  <c r="A13" i="69" s="1"/>
  <c r="T8" i="69"/>
  <c r="T9" i="69" s="1"/>
  <c r="D10" i="69"/>
  <c r="O10" i="69"/>
  <c r="Q10" i="69"/>
  <c r="Z10" i="69"/>
  <c r="K10" i="69" s="1"/>
  <c r="D11" i="69"/>
  <c r="O11" i="69"/>
  <c r="U11" i="69"/>
  <c r="V11" i="69"/>
  <c r="W11" i="69"/>
  <c r="X11" i="69"/>
  <c r="Y11" i="69"/>
  <c r="D12" i="69"/>
  <c r="O12" i="69"/>
  <c r="D13" i="69"/>
  <c r="O13" i="69"/>
  <c r="U13" i="69"/>
  <c r="Z13" i="69"/>
  <c r="AA13" i="69"/>
  <c r="O14" i="69"/>
  <c r="D19" i="69" s="1"/>
  <c r="D15" i="69"/>
  <c r="H15" i="69"/>
  <c r="O15" i="69"/>
  <c r="O16" i="69"/>
  <c r="D16" i="69" s="1"/>
  <c r="O17" i="69"/>
  <c r="T17" i="69"/>
  <c r="O18" i="69"/>
  <c r="O19" i="69"/>
  <c r="P19" i="69"/>
  <c r="M20" i="69"/>
  <c r="T20" i="69"/>
  <c r="T21" i="69"/>
  <c r="P24" i="69"/>
  <c r="T24" i="69"/>
  <c r="Q25" i="69"/>
  <c r="R25" i="69"/>
  <c r="R26" i="69" s="1"/>
  <c r="W25" i="69"/>
  <c r="O27" i="69"/>
  <c r="O28" i="69"/>
  <c r="AA3" i="68"/>
  <c r="C5" i="68"/>
  <c r="A7" i="68"/>
  <c r="B7" i="68"/>
  <c r="C7" i="68" s="1"/>
  <c r="F7" i="68" s="1"/>
  <c r="T7" i="68"/>
  <c r="B8" i="68"/>
  <c r="N20" i="68" s="1"/>
  <c r="C8" i="68" s="1"/>
  <c r="T8" i="68"/>
  <c r="T9" i="68" s="1"/>
  <c r="A9" i="68"/>
  <c r="D10" i="68"/>
  <c r="K10" i="68"/>
  <c r="Q10" i="68"/>
  <c r="Z10" i="68"/>
  <c r="D11" i="68"/>
  <c r="O11" i="68"/>
  <c r="U11" i="68"/>
  <c r="V11" i="68"/>
  <c r="W11" i="68"/>
  <c r="X11" i="68"/>
  <c r="Y11" i="68"/>
  <c r="D12" i="68"/>
  <c r="O12" i="68"/>
  <c r="A13" i="68"/>
  <c r="D13" i="68"/>
  <c r="O13" i="68"/>
  <c r="U13" i="68"/>
  <c r="Z13" i="68"/>
  <c r="AA13" i="68"/>
  <c r="O14" i="68"/>
  <c r="H15" i="68"/>
  <c r="O15" i="68"/>
  <c r="D16" i="68"/>
  <c r="O16" i="68"/>
  <c r="O17" i="68"/>
  <c r="T17" i="68"/>
  <c r="O18" i="68"/>
  <c r="A19" i="68"/>
  <c r="A21" i="68" s="1"/>
  <c r="D19" i="68"/>
  <c r="O19" i="68"/>
  <c r="P19" i="68"/>
  <c r="M20" i="68"/>
  <c r="T20" i="68"/>
  <c r="T21" i="68"/>
  <c r="P24" i="68"/>
  <c r="T24" i="68"/>
  <c r="Q25" i="68"/>
  <c r="R25" i="68"/>
  <c r="R26" i="68" s="1"/>
  <c r="W25" i="68"/>
  <c r="O27" i="68"/>
  <c r="O28" i="68"/>
  <c r="AA3" i="67"/>
  <c r="C5" i="67"/>
  <c r="A7" i="67"/>
  <c r="B7" i="67"/>
  <c r="C7" i="67" s="1"/>
  <c r="F7" i="67" s="1"/>
  <c r="T7" i="67"/>
  <c r="B8" i="67"/>
  <c r="A13" i="67" s="1"/>
  <c r="T8" i="67"/>
  <c r="T9" i="67" s="1"/>
  <c r="A9" i="67"/>
  <c r="D10" i="67"/>
  <c r="K10" i="67"/>
  <c r="O10" i="67"/>
  <c r="Q10" i="67"/>
  <c r="Z10" i="67"/>
  <c r="D11" i="67"/>
  <c r="O11" i="67"/>
  <c r="U11" i="67"/>
  <c r="V11" i="67"/>
  <c r="W11" i="67"/>
  <c r="X11" i="67"/>
  <c r="Y11" i="67"/>
  <c r="D12" i="67"/>
  <c r="O12" i="67"/>
  <c r="D13" i="67"/>
  <c r="O13" i="67"/>
  <c r="U13" i="67"/>
  <c r="Z13" i="67"/>
  <c r="AA13" i="67"/>
  <c r="O14" i="67"/>
  <c r="D15" i="67"/>
  <c r="H15" i="67"/>
  <c r="O15" i="67"/>
  <c r="D16" i="67"/>
  <c r="O16" i="67"/>
  <c r="O17" i="67"/>
  <c r="T17" i="67"/>
  <c r="O18" i="67"/>
  <c r="A19" i="67"/>
  <c r="A21" i="67" s="1"/>
  <c r="D19" i="67"/>
  <c r="O19" i="67"/>
  <c r="P19" i="67"/>
  <c r="M20" i="67"/>
  <c r="T20" i="67"/>
  <c r="T21" i="67"/>
  <c r="P24" i="67"/>
  <c r="T24" i="67"/>
  <c r="Q25" i="67"/>
  <c r="R25" i="67" s="1"/>
  <c r="R26" i="67" s="1"/>
  <c r="W25" i="67"/>
  <c r="O27" i="67"/>
  <c r="O28" i="67"/>
  <c r="AA3" i="66"/>
  <c r="C5" i="66"/>
  <c r="A7" i="66"/>
  <c r="B7" i="66"/>
  <c r="C7" i="66" s="1"/>
  <c r="F7" i="66" s="1"/>
  <c r="T7" i="66"/>
  <c r="B8" i="66"/>
  <c r="N20" i="66" s="1"/>
  <c r="C8" i="66" s="1"/>
  <c r="T8" i="66"/>
  <c r="T9" i="66" s="1"/>
  <c r="A9" i="66"/>
  <c r="D10" i="66"/>
  <c r="K10" i="66"/>
  <c r="O10" i="66"/>
  <c r="Q10" i="66"/>
  <c r="Z10" i="66"/>
  <c r="D11" i="66"/>
  <c r="O11" i="66"/>
  <c r="U11" i="66"/>
  <c r="V11" i="66"/>
  <c r="W11" i="66"/>
  <c r="X11" i="66"/>
  <c r="Y11" i="66"/>
  <c r="D12" i="66"/>
  <c r="O12" i="66"/>
  <c r="A13" i="66"/>
  <c r="D13" i="66"/>
  <c r="O13" i="66"/>
  <c r="U13" i="66"/>
  <c r="Z13" i="66"/>
  <c r="AA13" i="66"/>
  <c r="O14" i="66"/>
  <c r="D15" i="66"/>
  <c r="H15" i="66"/>
  <c r="O15" i="66"/>
  <c r="D16" i="66"/>
  <c r="O16" i="66"/>
  <c r="O17" i="66"/>
  <c r="T17" i="66"/>
  <c r="O18" i="66"/>
  <c r="A19" i="66"/>
  <c r="A21" i="66" s="1"/>
  <c r="D19" i="66"/>
  <c r="O19" i="66"/>
  <c r="P19" i="66"/>
  <c r="M20" i="66"/>
  <c r="T20" i="66"/>
  <c r="T21" i="66"/>
  <c r="P24" i="66"/>
  <c r="T24" i="66"/>
  <c r="Q25" i="66"/>
  <c r="R25" i="66"/>
  <c r="R26" i="66" s="1"/>
  <c r="W25" i="66"/>
  <c r="O27" i="66"/>
  <c r="O28" i="66"/>
  <c r="AA3" i="65"/>
  <c r="C5" i="65"/>
  <c r="A7" i="65"/>
  <c r="B7" i="65"/>
  <c r="C7" i="65" s="1"/>
  <c r="F7" i="65" s="1"/>
  <c r="T7" i="65"/>
  <c r="B8" i="65"/>
  <c r="A13" i="65" s="1"/>
  <c r="T8" i="65"/>
  <c r="T9" i="65" s="1"/>
  <c r="A9" i="65"/>
  <c r="D10" i="65"/>
  <c r="K10" i="65"/>
  <c r="O10" i="65"/>
  <c r="Q10" i="65"/>
  <c r="Z10" i="65"/>
  <c r="D11" i="65"/>
  <c r="O11" i="65"/>
  <c r="U11" i="65"/>
  <c r="V11" i="65"/>
  <c r="W11" i="65"/>
  <c r="X11" i="65"/>
  <c r="Y11" i="65"/>
  <c r="D12" i="65"/>
  <c r="O12" i="65"/>
  <c r="D13" i="65"/>
  <c r="O13" i="65"/>
  <c r="U13" i="65"/>
  <c r="Z13" i="65"/>
  <c r="AA13" i="65"/>
  <c r="O14" i="65"/>
  <c r="D15" i="65"/>
  <c r="H15" i="65"/>
  <c r="O15" i="65"/>
  <c r="D16" i="65"/>
  <c r="O16" i="65"/>
  <c r="O17" i="65"/>
  <c r="T17" i="65"/>
  <c r="O18" i="65"/>
  <c r="A19" i="65"/>
  <c r="A21" i="65" s="1"/>
  <c r="D19" i="65"/>
  <c r="O19" i="65"/>
  <c r="P19" i="65"/>
  <c r="M20" i="65"/>
  <c r="T20" i="65"/>
  <c r="T21" i="65"/>
  <c r="P24" i="65"/>
  <c r="T24" i="65"/>
  <c r="Q25" i="65"/>
  <c r="R25" i="65"/>
  <c r="R26" i="65" s="1"/>
  <c r="W25" i="65"/>
  <c r="O27" i="65"/>
  <c r="O28" i="65"/>
  <c r="AA3" i="64"/>
  <c r="C5" i="64"/>
  <c r="A7" i="64"/>
  <c r="B7" i="64"/>
  <c r="C7" i="64" s="1"/>
  <c r="F7" i="64" s="1"/>
  <c r="T7" i="64"/>
  <c r="B8" i="64"/>
  <c r="A13" i="64" s="1"/>
  <c r="T8" i="64"/>
  <c r="T9" i="64" s="1"/>
  <c r="A9" i="64"/>
  <c r="D10" i="64"/>
  <c r="K10" i="64"/>
  <c r="O10" i="64"/>
  <c r="Q10" i="64"/>
  <c r="Z10" i="64"/>
  <c r="O11" i="64"/>
  <c r="O16" i="64" s="1"/>
  <c r="D16" i="64" s="1"/>
  <c r="U11" i="64"/>
  <c r="V11" i="64"/>
  <c r="W11" i="64"/>
  <c r="X11" i="64"/>
  <c r="Y11" i="64"/>
  <c r="D12" i="64"/>
  <c r="O12" i="64"/>
  <c r="D13" i="64"/>
  <c r="O13" i="64"/>
  <c r="U13" i="64"/>
  <c r="Z13" i="64"/>
  <c r="AA13" i="64"/>
  <c r="O14" i="64"/>
  <c r="D15" i="64"/>
  <c r="H15" i="64"/>
  <c r="O15" i="64"/>
  <c r="O17" i="64"/>
  <c r="D11" i="64" s="1"/>
  <c r="T17" i="64"/>
  <c r="O18" i="64"/>
  <c r="A19" i="64"/>
  <c r="A21" i="64" s="1"/>
  <c r="D19" i="64"/>
  <c r="O19" i="64"/>
  <c r="P19" i="64"/>
  <c r="M20" i="64"/>
  <c r="N20" i="64"/>
  <c r="C8" i="64" s="1"/>
  <c r="T20" i="64"/>
  <c r="T21" i="64"/>
  <c r="P24" i="64"/>
  <c r="T24" i="64"/>
  <c r="Q25" i="64"/>
  <c r="R25" i="64"/>
  <c r="W25" i="64"/>
  <c r="R26" i="64"/>
  <c r="O27" i="64"/>
  <c r="O28" i="64"/>
  <c r="AA3" i="63"/>
  <c r="C5" i="63"/>
  <c r="A7" i="63"/>
  <c r="B7" i="63"/>
  <c r="C7" i="63" s="1"/>
  <c r="T7" i="63"/>
  <c r="B8" i="63"/>
  <c r="A13" i="63" s="1"/>
  <c r="T8" i="63"/>
  <c r="T9" i="63" s="1"/>
  <c r="A9" i="63"/>
  <c r="D10" i="63"/>
  <c r="K10" i="63"/>
  <c r="O10" i="63"/>
  <c r="Q10" i="63"/>
  <c r="Z10" i="63"/>
  <c r="O11" i="63"/>
  <c r="O16" i="63" s="1"/>
  <c r="D16" i="63" s="1"/>
  <c r="U11" i="63"/>
  <c r="V11" i="63"/>
  <c r="W11" i="63"/>
  <c r="X11" i="63"/>
  <c r="Y11" i="63"/>
  <c r="D12" i="63"/>
  <c r="O12" i="63"/>
  <c r="D13" i="63"/>
  <c r="O13" i="63"/>
  <c r="U13" i="63"/>
  <c r="Z13" i="63"/>
  <c r="AA13" i="63"/>
  <c r="O14" i="63"/>
  <c r="D15" i="63"/>
  <c r="H15" i="63"/>
  <c r="O15" i="63"/>
  <c r="O17" i="63"/>
  <c r="D11" i="63" s="1"/>
  <c r="T17" i="63"/>
  <c r="O18" i="63"/>
  <c r="A19" i="63"/>
  <c r="A21" i="63" s="1"/>
  <c r="D19" i="63"/>
  <c r="O19" i="63"/>
  <c r="P19" i="63"/>
  <c r="M20" i="63"/>
  <c r="N20" i="63"/>
  <c r="C8" i="63" s="1"/>
  <c r="T20" i="63"/>
  <c r="T21" i="63"/>
  <c r="P24" i="63"/>
  <c r="T24" i="63"/>
  <c r="Q25" i="63"/>
  <c r="R25" i="63" s="1"/>
  <c r="R26" i="63" s="1"/>
  <c r="W25" i="63"/>
  <c r="O27" i="63"/>
  <c r="O28" i="63"/>
  <c r="AA3" i="62"/>
  <c r="C5" i="62"/>
  <c r="A7" i="62"/>
  <c r="B7" i="62"/>
  <c r="C7" i="62" s="1"/>
  <c r="T7" i="62"/>
  <c r="B8" i="62"/>
  <c r="A13" i="62" s="1"/>
  <c r="C8" i="62"/>
  <c r="T8" i="62"/>
  <c r="T9" i="62" s="1"/>
  <c r="A9" i="62"/>
  <c r="D10" i="62"/>
  <c r="K10" i="62"/>
  <c r="Q10" i="62"/>
  <c r="Z10" i="62"/>
  <c r="O11" i="62"/>
  <c r="O16" i="62" s="1"/>
  <c r="D16" i="62" s="1"/>
  <c r="U11" i="62"/>
  <c r="V11" i="62"/>
  <c r="W11" i="62"/>
  <c r="X11" i="62"/>
  <c r="Y11" i="62"/>
  <c r="D12" i="62"/>
  <c r="O12" i="62"/>
  <c r="D13" i="62"/>
  <c r="O13" i="62"/>
  <c r="U13" i="62"/>
  <c r="Z13" i="62"/>
  <c r="AA13" i="62"/>
  <c r="O14" i="62"/>
  <c r="H15" i="62"/>
  <c r="O15" i="62"/>
  <c r="O17" i="62"/>
  <c r="D11" i="62" s="1"/>
  <c r="T17" i="62"/>
  <c r="O18" i="62"/>
  <c r="A19" i="62"/>
  <c r="A21" i="62" s="1"/>
  <c r="D19" i="62"/>
  <c r="O19" i="62"/>
  <c r="P19" i="62"/>
  <c r="M20" i="62"/>
  <c r="N20" i="62"/>
  <c r="T20" i="62"/>
  <c r="T21" i="62"/>
  <c r="P24" i="62"/>
  <c r="T24" i="62"/>
  <c r="Q25" i="62"/>
  <c r="R25" i="62"/>
  <c r="W25" i="62"/>
  <c r="R26" i="62"/>
  <c r="O27" i="62"/>
  <c r="O28" i="62"/>
  <c r="AA3" i="61"/>
  <c r="C5" i="61"/>
  <c r="A7" i="61"/>
  <c r="B7" i="61"/>
  <c r="C7" i="61" s="1"/>
  <c r="T7" i="61"/>
  <c r="B8" i="61"/>
  <c r="A13" i="61" s="1"/>
  <c r="T8" i="61"/>
  <c r="T9" i="61" s="1"/>
  <c r="A9" i="61"/>
  <c r="D10" i="61"/>
  <c r="K10" i="61"/>
  <c r="Q10" i="61"/>
  <c r="Z10" i="61"/>
  <c r="D11" i="61"/>
  <c r="O11" i="61"/>
  <c r="O16" i="61" s="1"/>
  <c r="D16" i="61" s="1"/>
  <c r="U11" i="61"/>
  <c r="V11" i="61"/>
  <c r="W11" i="61"/>
  <c r="X11" i="61"/>
  <c r="Y11" i="61"/>
  <c r="D12" i="61"/>
  <c r="O12" i="61"/>
  <c r="D13" i="61"/>
  <c r="O13" i="61"/>
  <c r="U13" i="61"/>
  <c r="Z13" i="61"/>
  <c r="AA13" i="61"/>
  <c r="O14" i="61"/>
  <c r="H15" i="61"/>
  <c r="O15" i="61"/>
  <c r="O17" i="61"/>
  <c r="T17" i="61"/>
  <c r="O18" i="61"/>
  <c r="A19" i="61"/>
  <c r="A21" i="61" s="1"/>
  <c r="D19" i="61"/>
  <c r="O19" i="61"/>
  <c r="P19" i="61"/>
  <c r="M20" i="61"/>
  <c r="T20" i="61"/>
  <c r="T21" i="61"/>
  <c r="P24" i="61"/>
  <c r="T24" i="61"/>
  <c r="Q25" i="61"/>
  <c r="R25" i="61"/>
  <c r="R26" i="61" s="1"/>
  <c r="W25" i="61"/>
  <c r="O27" i="61"/>
  <c r="O28" i="61"/>
  <c r="AA3" i="60"/>
  <c r="C5" i="60"/>
  <c r="A7" i="60"/>
  <c r="B7" i="60"/>
  <c r="C7" i="60" s="1"/>
  <c r="T7" i="60"/>
  <c r="B8" i="60"/>
  <c r="A13" i="60" s="1"/>
  <c r="T8" i="60"/>
  <c r="T9" i="60" s="1"/>
  <c r="A9" i="60"/>
  <c r="D10" i="60"/>
  <c r="K10" i="60"/>
  <c r="Q10" i="60"/>
  <c r="Z10" i="60"/>
  <c r="O11" i="60"/>
  <c r="O16" i="60" s="1"/>
  <c r="D16" i="60" s="1"/>
  <c r="U11" i="60"/>
  <c r="V11" i="60"/>
  <c r="W11" i="60"/>
  <c r="X11" i="60"/>
  <c r="Y11" i="60"/>
  <c r="D12" i="60"/>
  <c r="O12" i="60"/>
  <c r="D13" i="60"/>
  <c r="O13" i="60"/>
  <c r="U13" i="60"/>
  <c r="Z13" i="60"/>
  <c r="AA13" i="60"/>
  <c r="O14" i="60"/>
  <c r="H15" i="60"/>
  <c r="O15" i="60"/>
  <c r="O17" i="60"/>
  <c r="D11" i="60" s="1"/>
  <c r="T17" i="60"/>
  <c r="O18" i="60"/>
  <c r="A19" i="60"/>
  <c r="A21" i="60" s="1"/>
  <c r="D19" i="60"/>
  <c r="O19" i="60"/>
  <c r="P19" i="60"/>
  <c r="M20" i="60"/>
  <c r="N20" i="60"/>
  <c r="C8" i="60" s="1"/>
  <c r="T20" i="60"/>
  <c r="T21" i="60"/>
  <c r="P24" i="60"/>
  <c r="T24" i="60"/>
  <c r="Q25" i="60"/>
  <c r="R25" i="60"/>
  <c r="W25" i="60"/>
  <c r="R26" i="60"/>
  <c r="O27" i="60"/>
  <c r="O28" i="60"/>
  <c r="AA3" i="59"/>
  <c r="C5" i="59"/>
  <c r="A7" i="59"/>
  <c r="B7" i="59"/>
  <c r="C7" i="59" s="1"/>
  <c r="T7" i="59"/>
  <c r="B8" i="59"/>
  <c r="A13" i="59" s="1"/>
  <c r="T8" i="59"/>
  <c r="T9" i="59" s="1"/>
  <c r="A9" i="59"/>
  <c r="D10" i="59"/>
  <c r="K10" i="59"/>
  <c r="Q10" i="59"/>
  <c r="Z10" i="59"/>
  <c r="O11" i="59"/>
  <c r="O16" i="59" s="1"/>
  <c r="D16" i="59" s="1"/>
  <c r="U11" i="59"/>
  <c r="V11" i="59"/>
  <c r="W11" i="59"/>
  <c r="X11" i="59"/>
  <c r="Y11" i="59"/>
  <c r="D12" i="59"/>
  <c r="O12" i="59"/>
  <c r="D13" i="59"/>
  <c r="O13" i="59"/>
  <c r="U13" i="59"/>
  <c r="Z13" i="59"/>
  <c r="AA13" i="59"/>
  <c r="O14" i="59"/>
  <c r="H15" i="59"/>
  <c r="O15" i="59"/>
  <c r="O17" i="59"/>
  <c r="D11" i="59" s="1"/>
  <c r="T17" i="59"/>
  <c r="O18" i="59"/>
  <c r="A19" i="59"/>
  <c r="A21" i="59" s="1"/>
  <c r="D19" i="59"/>
  <c r="O19" i="59"/>
  <c r="P19" i="59"/>
  <c r="M20" i="59"/>
  <c r="N20" i="59" s="1"/>
  <c r="C8" i="59" s="1"/>
  <c r="T20" i="59"/>
  <c r="T21" i="59"/>
  <c r="P24" i="59"/>
  <c r="T24" i="59"/>
  <c r="Q25" i="59"/>
  <c r="R25" i="59" s="1"/>
  <c r="R26" i="59" s="1"/>
  <c r="W25" i="59"/>
  <c r="O27" i="59"/>
  <c r="O28" i="59"/>
  <c r="AA3" i="58"/>
  <c r="C5" i="58"/>
  <c r="A7" i="58"/>
  <c r="B7" i="58"/>
  <c r="C7" i="58" s="1"/>
  <c r="T7" i="58"/>
  <c r="B8" i="58"/>
  <c r="A13" i="58" s="1"/>
  <c r="T8" i="58"/>
  <c r="T9" i="58" s="1"/>
  <c r="A9" i="58"/>
  <c r="D10" i="58"/>
  <c r="K10" i="58"/>
  <c r="Q10" i="58"/>
  <c r="Z10" i="58"/>
  <c r="O11" i="58"/>
  <c r="O16" i="58" s="1"/>
  <c r="D16" i="58" s="1"/>
  <c r="U11" i="58"/>
  <c r="V11" i="58"/>
  <c r="W11" i="58"/>
  <c r="X11" i="58"/>
  <c r="Y11" i="58"/>
  <c r="D12" i="58"/>
  <c r="O12" i="58"/>
  <c r="D13" i="58"/>
  <c r="O13" i="58"/>
  <c r="U13" i="58"/>
  <c r="Z13" i="58"/>
  <c r="AA13" i="58"/>
  <c r="O14" i="58"/>
  <c r="H15" i="58"/>
  <c r="O15" i="58"/>
  <c r="O17" i="58"/>
  <c r="D11" i="58" s="1"/>
  <c r="T17" i="58"/>
  <c r="O18" i="58"/>
  <c r="A19" i="58"/>
  <c r="A21" i="58" s="1"/>
  <c r="D19" i="58"/>
  <c r="O19" i="58"/>
  <c r="P19" i="58"/>
  <c r="M20" i="58"/>
  <c r="N20" i="58"/>
  <c r="C8" i="58" s="1"/>
  <c r="T20" i="58"/>
  <c r="T21" i="58"/>
  <c r="P24" i="58"/>
  <c r="T24" i="58"/>
  <c r="Q25" i="58"/>
  <c r="R25" i="58"/>
  <c r="W25" i="58"/>
  <c r="R26" i="58"/>
  <c r="O27" i="58"/>
  <c r="O28" i="58"/>
  <c r="AA3" i="57"/>
  <c r="C5" i="57"/>
  <c r="A7" i="57"/>
  <c r="B7" i="57"/>
  <c r="C7" i="57" s="1"/>
  <c r="F7" i="57" s="1"/>
  <c r="T7" i="57"/>
  <c r="B8" i="57"/>
  <c r="A13" i="57" s="1"/>
  <c r="T8" i="57"/>
  <c r="T9" i="57" s="1"/>
  <c r="A9" i="57"/>
  <c r="D10" i="57"/>
  <c r="K10" i="57"/>
  <c r="Q10" i="57"/>
  <c r="Z10" i="57"/>
  <c r="D11" i="57"/>
  <c r="O11" i="57"/>
  <c r="O16" i="57" s="1"/>
  <c r="D16" i="57" s="1"/>
  <c r="U11" i="57"/>
  <c r="V11" i="57"/>
  <c r="W11" i="57"/>
  <c r="X11" i="57"/>
  <c r="Y11" i="57"/>
  <c r="D12" i="57"/>
  <c r="O12" i="57"/>
  <c r="D13" i="57"/>
  <c r="O13" i="57"/>
  <c r="U13" i="57"/>
  <c r="Z13" i="57"/>
  <c r="AA13" i="57"/>
  <c r="O14" i="57"/>
  <c r="H15" i="57"/>
  <c r="O15" i="57"/>
  <c r="O17" i="57"/>
  <c r="T17" i="57"/>
  <c r="O18" i="57"/>
  <c r="A19" i="57"/>
  <c r="A21" i="57" s="1"/>
  <c r="D19" i="57"/>
  <c r="O19" i="57"/>
  <c r="P19" i="57"/>
  <c r="M20" i="57"/>
  <c r="T20" i="57"/>
  <c r="T21" i="57"/>
  <c r="P24" i="57"/>
  <c r="T24" i="57"/>
  <c r="Q25" i="57"/>
  <c r="R25" i="57"/>
  <c r="R26" i="57" s="1"/>
  <c r="W25" i="57"/>
  <c r="O27" i="57"/>
  <c r="O28" i="57"/>
  <c r="AA3" i="56"/>
  <c r="C5" i="56"/>
  <c r="A7" i="56"/>
  <c r="B7" i="56"/>
  <c r="C7" i="56" s="1"/>
  <c r="F7" i="56" s="1"/>
  <c r="T7" i="56"/>
  <c r="B8" i="56"/>
  <c r="A13" i="56" s="1"/>
  <c r="T8" i="56"/>
  <c r="T9" i="56" s="1"/>
  <c r="A9" i="56"/>
  <c r="D10" i="56"/>
  <c r="K10" i="56"/>
  <c r="Q10" i="56"/>
  <c r="Z10" i="56"/>
  <c r="O11" i="56"/>
  <c r="O16" i="56" s="1"/>
  <c r="D16" i="56" s="1"/>
  <c r="U11" i="56"/>
  <c r="V11" i="56"/>
  <c r="W11" i="56"/>
  <c r="X11" i="56"/>
  <c r="Y11" i="56"/>
  <c r="D12" i="56"/>
  <c r="O12" i="56"/>
  <c r="D13" i="56"/>
  <c r="O13" i="56"/>
  <c r="U13" i="56"/>
  <c r="Z13" i="56"/>
  <c r="AA13" i="56"/>
  <c r="O14" i="56"/>
  <c r="H15" i="56"/>
  <c r="O15" i="56"/>
  <c r="O17" i="56"/>
  <c r="D11" i="56" s="1"/>
  <c r="T17" i="56"/>
  <c r="O18" i="56"/>
  <c r="A19" i="56"/>
  <c r="A21" i="56" s="1"/>
  <c r="D19" i="56"/>
  <c r="O19" i="56"/>
  <c r="P19" i="56"/>
  <c r="M20" i="56"/>
  <c r="N20" i="56"/>
  <c r="C8" i="56" s="1"/>
  <c r="T20" i="56"/>
  <c r="T21" i="56"/>
  <c r="P24" i="56"/>
  <c r="T24" i="56"/>
  <c r="Q25" i="56"/>
  <c r="R25" i="56"/>
  <c r="W25" i="56"/>
  <c r="R26" i="56"/>
  <c r="O27" i="56"/>
  <c r="O28" i="56"/>
  <c r="O28" i="55"/>
  <c r="O27" i="55"/>
  <c r="W25" i="55"/>
  <c r="Q25" i="55"/>
  <c r="R25" i="55" s="1"/>
  <c r="R26" i="55" s="1"/>
  <c r="T24" i="55"/>
  <c r="P24" i="55"/>
  <c r="T21" i="55"/>
  <c r="T20" i="55"/>
  <c r="M20" i="55"/>
  <c r="P19" i="55"/>
  <c r="O19" i="55"/>
  <c r="D19" i="55"/>
  <c r="O18" i="55"/>
  <c r="T17" i="55"/>
  <c r="O17" i="55"/>
  <c r="D11" i="55" s="1"/>
  <c r="O16" i="55"/>
  <c r="D16" i="55" s="1"/>
  <c r="O15" i="55"/>
  <c r="H15" i="55"/>
  <c r="O14" i="55"/>
  <c r="AA13" i="55"/>
  <c r="Z13" i="55"/>
  <c r="U13" i="55"/>
  <c r="O13" i="55"/>
  <c r="D13" i="55"/>
  <c r="A13" i="55"/>
  <c r="O12" i="55"/>
  <c r="D12" i="55"/>
  <c r="Y11" i="55"/>
  <c r="X11" i="55"/>
  <c r="W11" i="55"/>
  <c r="V11" i="55"/>
  <c r="U11" i="55"/>
  <c r="O11" i="55"/>
  <c r="Z10" i="55"/>
  <c r="K10" i="55" s="1"/>
  <c r="Q10" i="55"/>
  <c r="D10" i="55"/>
  <c r="A9" i="55"/>
  <c r="T8" i="55"/>
  <c r="T9" i="55" s="1"/>
  <c r="B8" i="55"/>
  <c r="A19" i="55" s="1"/>
  <c r="A21" i="55" s="1"/>
  <c r="T7" i="55"/>
  <c r="B7" i="55"/>
  <c r="A16" i="55" s="1"/>
  <c r="A7" i="55"/>
  <c r="C5" i="55"/>
  <c r="AA3" i="55"/>
  <c r="AA3" i="54"/>
  <c r="C5" i="54"/>
  <c r="A7" i="54"/>
  <c r="B7" i="54"/>
  <c r="C7" i="54" s="1"/>
  <c r="F7" i="54" s="1"/>
  <c r="T7" i="54"/>
  <c r="B8" i="54"/>
  <c r="A13" i="54" s="1"/>
  <c r="T8" i="54"/>
  <c r="T9" i="54" s="1"/>
  <c r="A9" i="54"/>
  <c r="D10" i="54"/>
  <c r="K10" i="54"/>
  <c r="Q10" i="54"/>
  <c r="Z10" i="54"/>
  <c r="D11" i="54"/>
  <c r="O11" i="54"/>
  <c r="O16" i="54" s="1"/>
  <c r="D16" i="54" s="1"/>
  <c r="U11" i="54"/>
  <c r="V11" i="54"/>
  <c r="W11" i="54"/>
  <c r="X11" i="54"/>
  <c r="Y11" i="54"/>
  <c r="D12" i="54"/>
  <c r="O12" i="54"/>
  <c r="D13" i="54"/>
  <c r="O13" i="54"/>
  <c r="U13" i="54"/>
  <c r="Z13" i="54"/>
  <c r="AA13" i="54"/>
  <c r="O14" i="54"/>
  <c r="H15" i="54"/>
  <c r="O15" i="54"/>
  <c r="O17" i="54"/>
  <c r="T17" i="54"/>
  <c r="O18" i="54"/>
  <c r="A19" i="54"/>
  <c r="A21" i="54" s="1"/>
  <c r="D19" i="54"/>
  <c r="O19" i="54"/>
  <c r="P19" i="54"/>
  <c r="M20" i="54"/>
  <c r="T20" i="54"/>
  <c r="T21" i="54"/>
  <c r="P24" i="54"/>
  <c r="T24" i="54"/>
  <c r="Q25" i="54"/>
  <c r="R25" i="54"/>
  <c r="R26" i="54" s="1"/>
  <c r="W25" i="54"/>
  <c r="O27" i="54"/>
  <c r="O28" i="54"/>
  <c r="AA3" i="53"/>
  <c r="C5" i="53"/>
  <c r="A7" i="53"/>
  <c r="B7" i="53"/>
  <c r="C7" i="53" s="1"/>
  <c r="T7" i="53"/>
  <c r="B8" i="53"/>
  <c r="A13" i="53" s="1"/>
  <c r="T8" i="53"/>
  <c r="T9" i="53" s="1"/>
  <c r="A9" i="53"/>
  <c r="D10" i="53"/>
  <c r="K10" i="53"/>
  <c r="Q10" i="53"/>
  <c r="Z10" i="53"/>
  <c r="O11" i="53"/>
  <c r="O16" i="53" s="1"/>
  <c r="D16" i="53" s="1"/>
  <c r="U11" i="53"/>
  <c r="V11" i="53"/>
  <c r="W11" i="53"/>
  <c r="X11" i="53"/>
  <c r="Y11" i="53"/>
  <c r="D12" i="53"/>
  <c r="O12" i="53"/>
  <c r="D13" i="53"/>
  <c r="O13" i="53"/>
  <c r="U13" i="53"/>
  <c r="Z13" i="53"/>
  <c r="AA13" i="53"/>
  <c r="O14" i="53"/>
  <c r="H15" i="53"/>
  <c r="O15" i="53"/>
  <c r="O17" i="53"/>
  <c r="D11" i="53" s="1"/>
  <c r="T17" i="53"/>
  <c r="O18" i="53"/>
  <c r="A19" i="53"/>
  <c r="A21" i="53" s="1"/>
  <c r="D19" i="53"/>
  <c r="O19" i="53"/>
  <c r="P19" i="53"/>
  <c r="M20" i="53"/>
  <c r="T20" i="53"/>
  <c r="T21" i="53"/>
  <c r="P24" i="53"/>
  <c r="T24" i="53"/>
  <c r="Q25" i="53"/>
  <c r="R25" i="53" s="1"/>
  <c r="R26" i="53" s="1"/>
  <c r="W25" i="53"/>
  <c r="O27" i="53"/>
  <c r="O28" i="53"/>
  <c r="AA3" i="52"/>
  <c r="C5" i="52"/>
  <c r="A7" i="52"/>
  <c r="B7" i="52"/>
  <c r="C7" i="52" s="1"/>
  <c r="F7" i="52" s="1"/>
  <c r="T7" i="52"/>
  <c r="B8" i="52"/>
  <c r="T8" i="52"/>
  <c r="T9" i="52" s="1"/>
  <c r="A9" i="52"/>
  <c r="D10" i="52"/>
  <c r="K10" i="52"/>
  <c r="Q10" i="52"/>
  <c r="Z10" i="52"/>
  <c r="D11" i="52"/>
  <c r="O11" i="52"/>
  <c r="U11" i="52"/>
  <c r="V11" i="52"/>
  <c r="W11" i="52"/>
  <c r="X11" i="52"/>
  <c r="Y11" i="52"/>
  <c r="D12" i="52"/>
  <c r="O12" i="52"/>
  <c r="A13" i="52"/>
  <c r="D13" i="52"/>
  <c r="O13" i="52"/>
  <c r="U13" i="52"/>
  <c r="Z13" i="52"/>
  <c r="AA13" i="52"/>
  <c r="O14" i="52"/>
  <c r="H15" i="52"/>
  <c r="O15" i="52"/>
  <c r="D16" i="52"/>
  <c r="O16" i="52"/>
  <c r="O17" i="52"/>
  <c r="T17" i="52"/>
  <c r="O18" i="52"/>
  <c r="A19" i="52"/>
  <c r="A21" i="52" s="1"/>
  <c r="D19" i="52"/>
  <c r="O19" i="52"/>
  <c r="P19" i="52"/>
  <c r="M20" i="52"/>
  <c r="N20" i="52" s="1"/>
  <c r="C8" i="52" s="1"/>
  <c r="T20" i="52"/>
  <c r="T21" i="52"/>
  <c r="P24" i="52"/>
  <c r="T24" i="52"/>
  <c r="Q25" i="52"/>
  <c r="R25" i="52"/>
  <c r="R26" i="52" s="1"/>
  <c r="W25" i="52"/>
  <c r="O27" i="52"/>
  <c r="O28" i="52"/>
  <c r="AA3" i="51"/>
  <c r="C5" i="51"/>
  <c r="A7" i="51"/>
  <c r="B7" i="51"/>
  <c r="C7" i="51" s="1"/>
  <c r="F7" i="51" s="1"/>
  <c r="T7" i="51"/>
  <c r="B8" i="51"/>
  <c r="A13" i="51" s="1"/>
  <c r="T8" i="51"/>
  <c r="T9" i="51" s="1"/>
  <c r="A9" i="51"/>
  <c r="D10" i="51"/>
  <c r="K10" i="51"/>
  <c r="Q10" i="51"/>
  <c r="Z10" i="51"/>
  <c r="D11" i="51"/>
  <c r="O11" i="51"/>
  <c r="U11" i="51"/>
  <c r="V11" i="51"/>
  <c r="W11" i="51"/>
  <c r="X11" i="51"/>
  <c r="Y11" i="51"/>
  <c r="D12" i="51"/>
  <c r="O12" i="51"/>
  <c r="D13" i="51"/>
  <c r="O13" i="51"/>
  <c r="U13" i="51"/>
  <c r="Z13" i="51"/>
  <c r="AA13" i="51"/>
  <c r="O14" i="51"/>
  <c r="H15" i="51"/>
  <c r="O15" i="51"/>
  <c r="D16" i="51"/>
  <c r="O16" i="51"/>
  <c r="O17" i="51"/>
  <c r="T17" i="51"/>
  <c r="O18" i="51"/>
  <c r="A19" i="51"/>
  <c r="A21" i="51" s="1"/>
  <c r="D19" i="51"/>
  <c r="O19" i="51"/>
  <c r="P19" i="51"/>
  <c r="M20" i="51"/>
  <c r="T20" i="51"/>
  <c r="T21" i="51"/>
  <c r="P24" i="51"/>
  <c r="T24" i="51"/>
  <c r="Q25" i="51"/>
  <c r="R25" i="51"/>
  <c r="R26" i="51" s="1"/>
  <c r="W25" i="51"/>
  <c r="O27" i="51"/>
  <c r="O28" i="51"/>
  <c r="AA3" i="50"/>
  <c r="C5" i="50"/>
  <c r="A7" i="50"/>
  <c r="B7" i="50"/>
  <c r="C7" i="50" s="1"/>
  <c r="T7" i="50"/>
  <c r="B8" i="50"/>
  <c r="A13" i="50" s="1"/>
  <c r="T8" i="50"/>
  <c r="A9" i="50"/>
  <c r="T9" i="50"/>
  <c r="D10" i="50"/>
  <c r="K10" i="50"/>
  <c r="Q10" i="50"/>
  <c r="Z10" i="50"/>
  <c r="O11" i="50"/>
  <c r="O16" i="50" s="1"/>
  <c r="D16" i="50" s="1"/>
  <c r="U11" i="50"/>
  <c r="V11" i="50"/>
  <c r="W11" i="50"/>
  <c r="X11" i="50"/>
  <c r="Y11" i="50"/>
  <c r="D12" i="50"/>
  <c r="O12" i="50"/>
  <c r="D13" i="50"/>
  <c r="O13" i="50"/>
  <c r="U13" i="50"/>
  <c r="Z13" i="50"/>
  <c r="AA13" i="50"/>
  <c r="O14" i="50"/>
  <c r="H15" i="50"/>
  <c r="O15" i="50"/>
  <c r="A16" i="50"/>
  <c r="O17" i="50"/>
  <c r="D11" i="50" s="1"/>
  <c r="T17" i="50"/>
  <c r="O18" i="50"/>
  <c r="A19" i="50"/>
  <c r="A21" i="50" s="1"/>
  <c r="D19" i="50"/>
  <c r="O19" i="50"/>
  <c r="P19" i="50"/>
  <c r="M20" i="50"/>
  <c r="N20" i="50"/>
  <c r="C8" i="50" s="1"/>
  <c r="T20" i="50"/>
  <c r="T21" i="50"/>
  <c r="P24" i="50"/>
  <c r="T24" i="50"/>
  <c r="Q25" i="50"/>
  <c r="R25" i="50"/>
  <c r="W25" i="50"/>
  <c r="R26" i="50"/>
  <c r="O27" i="50"/>
  <c r="O28" i="50"/>
  <c r="AA3" i="49"/>
  <c r="C5" i="49"/>
  <c r="A7" i="49"/>
  <c r="B7" i="49"/>
  <c r="C7" i="49" s="1"/>
  <c r="T7" i="49"/>
  <c r="B8" i="49"/>
  <c r="A13" i="49" s="1"/>
  <c r="T8" i="49"/>
  <c r="T9" i="49" s="1"/>
  <c r="A9" i="49"/>
  <c r="D10" i="49"/>
  <c r="K10" i="49"/>
  <c r="Q10" i="49"/>
  <c r="Z10" i="49"/>
  <c r="O11" i="49"/>
  <c r="O16" i="49" s="1"/>
  <c r="D16" i="49" s="1"/>
  <c r="U11" i="49"/>
  <c r="V11" i="49"/>
  <c r="W11" i="49"/>
  <c r="X11" i="49"/>
  <c r="Y11" i="49"/>
  <c r="D12" i="49"/>
  <c r="O12" i="49"/>
  <c r="D13" i="49"/>
  <c r="O13" i="49"/>
  <c r="U13" i="49"/>
  <c r="Z13" i="49"/>
  <c r="AA13" i="49"/>
  <c r="O14" i="49"/>
  <c r="H15" i="49"/>
  <c r="O15" i="49"/>
  <c r="O17" i="49"/>
  <c r="D11" i="49" s="1"/>
  <c r="T17" i="49"/>
  <c r="O18" i="49"/>
  <c r="A19" i="49"/>
  <c r="A21" i="49" s="1"/>
  <c r="D19" i="49"/>
  <c r="O19" i="49"/>
  <c r="P19" i="49"/>
  <c r="M20" i="49"/>
  <c r="N20" i="49"/>
  <c r="C8" i="49" s="1"/>
  <c r="T20" i="49"/>
  <c r="T21" i="49"/>
  <c r="P24" i="49"/>
  <c r="T24" i="49"/>
  <c r="Q25" i="49"/>
  <c r="R25" i="49"/>
  <c r="W25" i="49"/>
  <c r="R26" i="49"/>
  <c r="O27" i="49"/>
  <c r="O28" i="49"/>
  <c r="AA3" i="48"/>
  <c r="C5" i="48"/>
  <c r="A7" i="48"/>
  <c r="B7" i="48"/>
  <c r="C7" i="48" s="1"/>
  <c r="T7" i="48"/>
  <c r="B8" i="48"/>
  <c r="A13" i="48" s="1"/>
  <c r="T8" i="48"/>
  <c r="T9" i="48" s="1"/>
  <c r="A9" i="48"/>
  <c r="D10" i="48"/>
  <c r="K10" i="48"/>
  <c r="Q10" i="48"/>
  <c r="Z10" i="48"/>
  <c r="O11" i="48"/>
  <c r="O16" i="48" s="1"/>
  <c r="D16" i="48" s="1"/>
  <c r="U11" i="48"/>
  <c r="V11" i="48"/>
  <c r="W11" i="48"/>
  <c r="X11" i="48"/>
  <c r="Y11" i="48"/>
  <c r="D12" i="48"/>
  <c r="O12" i="48"/>
  <c r="D13" i="48"/>
  <c r="O13" i="48"/>
  <c r="U13" i="48"/>
  <c r="Z13" i="48"/>
  <c r="AA13" i="48"/>
  <c r="O14" i="48"/>
  <c r="H15" i="48"/>
  <c r="O15" i="48"/>
  <c r="O17" i="48"/>
  <c r="D11" i="48" s="1"/>
  <c r="T17" i="48"/>
  <c r="O18" i="48"/>
  <c r="A19" i="48"/>
  <c r="A21" i="48" s="1"/>
  <c r="D19" i="48"/>
  <c r="O19" i="48"/>
  <c r="P19" i="48"/>
  <c r="M20" i="48"/>
  <c r="N20" i="48"/>
  <c r="C8" i="48" s="1"/>
  <c r="T20" i="48"/>
  <c r="T21" i="48"/>
  <c r="P24" i="48"/>
  <c r="T24" i="48"/>
  <c r="Q25" i="48"/>
  <c r="R25" i="48" s="1"/>
  <c r="R26" i="48" s="1"/>
  <c r="W25" i="48"/>
  <c r="O27" i="48"/>
  <c r="O28" i="48"/>
  <c r="AA3" i="47"/>
  <c r="C5" i="47"/>
  <c r="A7" i="47"/>
  <c r="B7" i="47"/>
  <c r="C7" i="47" s="1"/>
  <c r="T7" i="47"/>
  <c r="B8" i="47"/>
  <c r="A13" i="47" s="1"/>
  <c r="T8" i="47"/>
  <c r="T9" i="47" s="1"/>
  <c r="A9" i="47"/>
  <c r="D10" i="47"/>
  <c r="K10" i="47"/>
  <c r="Q10" i="47"/>
  <c r="Z10" i="47"/>
  <c r="O11" i="47"/>
  <c r="O16" i="47" s="1"/>
  <c r="D16" i="47" s="1"/>
  <c r="U11" i="47"/>
  <c r="V11" i="47"/>
  <c r="W11" i="47"/>
  <c r="X11" i="47"/>
  <c r="Y11" i="47"/>
  <c r="D12" i="47"/>
  <c r="O12" i="47"/>
  <c r="D13" i="47"/>
  <c r="O13" i="47"/>
  <c r="U13" i="47"/>
  <c r="Z13" i="47"/>
  <c r="AA13" i="47"/>
  <c r="O14" i="47"/>
  <c r="H15" i="47"/>
  <c r="O15" i="47"/>
  <c r="O17" i="47"/>
  <c r="D11" i="47" s="1"/>
  <c r="T17" i="47"/>
  <c r="O18" i="47"/>
  <c r="A19" i="47"/>
  <c r="A21" i="47" s="1"/>
  <c r="D19" i="47"/>
  <c r="O19" i="47"/>
  <c r="P19" i="47"/>
  <c r="M20" i="47"/>
  <c r="N20" i="47"/>
  <c r="C8" i="47" s="1"/>
  <c r="T20" i="47"/>
  <c r="T21" i="47"/>
  <c r="P24" i="47"/>
  <c r="T24" i="47"/>
  <c r="Q25" i="47"/>
  <c r="R25" i="47" s="1"/>
  <c r="R26" i="47" s="1"/>
  <c r="W25" i="47"/>
  <c r="O27" i="47"/>
  <c r="O28" i="47"/>
  <c r="AA3" i="46"/>
  <c r="C5" i="46"/>
  <c r="A7" i="46"/>
  <c r="B7" i="46"/>
  <c r="C7" i="46" s="1"/>
  <c r="F7" i="46" s="1"/>
  <c r="T7" i="46"/>
  <c r="B8" i="46"/>
  <c r="N20" i="46" s="1"/>
  <c r="C8" i="46" s="1"/>
  <c r="T8" i="46"/>
  <c r="T9" i="46" s="1"/>
  <c r="A9" i="46"/>
  <c r="D10" i="46"/>
  <c r="K10" i="46"/>
  <c r="Q10" i="46"/>
  <c r="Z10" i="46"/>
  <c r="D11" i="46"/>
  <c r="O11" i="46"/>
  <c r="U11" i="46"/>
  <c r="V11" i="46"/>
  <c r="W11" i="46"/>
  <c r="X11" i="46"/>
  <c r="Y11" i="46"/>
  <c r="D12" i="46"/>
  <c r="O12" i="46"/>
  <c r="A13" i="46"/>
  <c r="D13" i="46"/>
  <c r="O13" i="46"/>
  <c r="U13" i="46"/>
  <c r="Z13" i="46"/>
  <c r="AA13" i="46"/>
  <c r="O14" i="46"/>
  <c r="H15" i="46"/>
  <c r="O15" i="46"/>
  <c r="D16" i="46"/>
  <c r="O16" i="46"/>
  <c r="O17" i="46"/>
  <c r="T17" i="46"/>
  <c r="O18" i="46"/>
  <c r="A19" i="46"/>
  <c r="A21" i="46" s="1"/>
  <c r="D19" i="46"/>
  <c r="O19" i="46"/>
  <c r="P19" i="46"/>
  <c r="M20" i="46"/>
  <c r="T20" i="46"/>
  <c r="T21" i="46"/>
  <c r="P24" i="46"/>
  <c r="T24" i="46"/>
  <c r="Q25" i="46"/>
  <c r="R25" i="46"/>
  <c r="R26" i="46" s="1"/>
  <c r="W25" i="46"/>
  <c r="O27" i="46"/>
  <c r="O28" i="46"/>
  <c r="AA3" i="45"/>
  <c r="C5" i="45"/>
  <c r="A7" i="45"/>
  <c r="B7" i="45"/>
  <c r="C7" i="45" s="1"/>
  <c r="T7" i="45"/>
  <c r="B8" i="45"/>
  <c r="A13" i="45" s="1"/>
  <c r="T8" i="45"/>
  <c r="A9" i="45"/>
  <c r="T9" i="45"/>
  <c r="D10" i="45"/>
  <c r="K10" i="45"/>
  <c r="Q10" i="45"/>
  <c r="Z10" i="45"/>
  <c r="O11" i="45"/>
  <c r="O16" i="45" s="1"/>
  <c r="D16" i="45" s="1"/>
  <c r="U11" i="45"/>
  <c r="V11" i="45"/>
  <c r="W11" i="45"/>
  <c r="X11" i="45"/>
  <c r="Y11" i="45"/>
  <c r="D12" i="45"/>
  <c r="O12" i="45"/>
  <c r="D13" i="45"/>
  <c r="O13" i="45"/>
  <c r="U13" i="45"/>
  <c r="Z13" i="45"/>
  <c r="AA13" i="45"/>
  <c r="O14" i="45"/>
  <c r="H15" i="45"/>
  <c r="O15" i="45"/>
  <c r="A16" i="45"/>
  <c r="O17" i="45"/>
  <c r="D11" i="45" s="1"/>
  <c r="T17" i="45"/>
  <c r="O18" i="45"/>
  <c r="A19" i="45"/>
  <c r="A21" i="45" s="1"/>
  <c r="D19" i="45"/>
  <c r="O19" i="45"/>
  <c r="P19" i="45"/>
  <c r="M20" i="45"/>
  <c r="N20" i="45"/>
  <c r="C8" i="45" s="1"/>
  <c r="T20" i="45"/>
  <c r="T21" i="45"/>
  <c r="P24" i="45"/>
  <c r="T24" i="45"/>
  <c r="Q25" i="45"/>
  <c r="R25" i="45"/>
  <c r="W25" i="45"/>
  <c r="R26" i="45"/>
  <c r="O27" i="45"/>
  <c r="O28" i="45"/>
  <c r="AA3" i="44"/>
  <c r="C5" i="44"/>
  <c r="A7" i="44"/>
  <c r="B7" i="44"/>
  <c r="C7" i="44" s="1"/>
  <c r="T7" i="44"/>
  <c r="B8" i="44"/>
  <c r="A13" i="44" s="1"/>
  <c r="T8" i="44"/>
  <c r="T9" i="44" s="1"/>
  <c r="A9" i="44"/>
  <c r="D10" i="44"/>
  <c r="K10" i="44"/>
  <c r="Q10" i="44"/>
  <c r="Z10" i="44"/>
  <c r="O11" i="44"/>
  <c r="O16" i="44" s="1"/>
  <c r="D16" i="44" s="1"/>
  <c r="U11" i="44"/>
  <c r="V11" i="44"/>
  <c r="W11" i="44"/>
  <c r="X11" i="44"/>
  <c r="Y11" i="44"/>
  <c r="D12" i="44"/>
  <c r="O12" i="44"/>
  <c r="D13" i="44"/>
  <c r="O13" i="44"/>
  <c r="U13" i="44"/>
  <c r="Z13" i="44"/>
  <c r="AA13" i="44"/>
  <c r="O14" i="44"/>
  <c r="H15" i="44"/>
  <c r="O15" i="44"/>
  <c r="O17" i="44"/>
  <c r="D11" i="44" s="1"/>
  <c r="T17" i="44"/>
  <c r="O18" i="44"/>
  <c r="A19" i="44"/>
  <c r="A21" i="44" s="1"/>
  <c r="D19" i="44"/>
  <c r="O19" i="44"/>
  <c r="P19" i="44"/>
  <c r="M20" i="44"/>
  <c r="N20" i="44"/>
  <c r="C8" i="44" s="1"/>
  <c r="T20" i="44"/>
  <c r="T21" i="44"/>
  <c r="P24" i="44"/>
  <c r="T24" i="44"/>
  <c r="Q25" i="44"/>
  <c r="R25" i="44" s="1"/>
  <c r="R26" i="44" s="1"/>
  <c r="W25" i="44"/>
  <c r="O27" i="44"/>
  <c r="O28" i="44"/>
  <c r="AA3" i="43"/>
  <c r="C5" i="43"/>
  <c r="A7" i="43"/>
  <c r="B7" i="43"/>
  <c r="C7" i="43" s="1"/>
  <c r="T7" i="43"/>
  <c r="B8" i="43"/>
  <c r="A13" i="43" s="1"/>
  <c r="T8" i="43"/>
  <c r="T9" i="43" s="1"/>
  <c r="A9" i="43"/>
  <c r="D10" i="43"/>
  <c r="K10" i="43"/>
  <c r="Q10" i="43"/>
  <c r="Z10" i="43"/>
  <c r="O11" i="43"/>
  <c r="O16" i="43" s="1"/>
  <c r="D16" i="43" s="1"/>
  <c r="U11" i="43"/>
  <c r="V11" i="43"/>
  <c r="W11" i="43"/>
  <c r="X11" i="43"/>
  <c r="Y11" i="43"/>
  <c r="D12" i="43"/>
  <c r="O12" i="43"/>
  <c r="D13" i="43"/>
  <c r="O13" i="43"/>
  <c r="U13" i="43"/>
  <c r="Z13" i="43"/>
  <c r="AA13" i="43"/>
  <c r="O14" i="43"/>
  <c r="H15" i="43"/>
  <c r="O15" i="43"/>
  <c r="O17" i="43"/>
  <c r="D11" i="43" s="1"/>
  <c r="T17" i="43"/>
  <c r="O18" i="43"/>
  <c r="A19" i="43"/>
  <c r="A21" i="43" s="1"/>
  <c r="D19" i="43"/>
  <c r="O19" i="43"/>
  <c r="P19" i="43"/>
  <c r="M20" i="43"/>
  <c r="N20" i="43"/>
  <c r="C8" i="43" s="1"/>
  <c r="T20" i="43"/>
  <c r="T21" i="43"/>
  <c r="P24" i="43"/>
  <c r="T24" i="43"/>
  <c r="Q25" i="43"/>
  <c r="R25" i="43"/>
  <c r="W25" i="43"/>
  <c r="R26" i="43"/>
  <c r="O27" i="43"/>
  <c r="O28" i="43"/>
  <c r="AA3" i="42"/>
  <c r="C5" i="42"/>
  <c r="A7" i="42"/>
  <c r="B7" i="42"/>
  <c r="C7" i="42" s="1"/>
  <c r="F7" i="42" s="1"/>
  <c r="T7" i="42"/>
  <c r="B8" i="42"/>
  <c r="A13" i="42" s="1"/>
  <c r="T8" i="42"/>
  <c r="T9" i="42" s="1"/>
  <c r="A9" i="42"/>
  <c r="D10" i="42"/>
  <c r="K10" i="42"/>
  <c r="Q10" i="42"/>
  <c r="Z10" i="42"/>
  <c r="D11" i="42"/>
  <c r="O11" i="42"/>
  <c r="U11" i="42"/>
  <c r="V11" i="42"/>
  <c r="W11" i="42"/>
  <c r="X11" i="42"/>
  <c r="Y11" i="42"/>
  <c r="D12" i="42"/>
  <c r="O12" i="42"/>
  <c r="D13" i="42"/>
  <c r="O13" i="42"/>
  <c r="U13" i="42"/>
  <c r="Z13" i="42"/>
  <c r="AA13" i="42"/>
  <c r="O14" i="42"/>
  <c r="H15" i="42"/>
  <c r="O15" i="42"/>
  <c r="D16" i="42"/>
  <c r="O16" i="42"/>
  <c r="O17" i="42"/>
  <c r="T17" i="42"/>
  <c r="O18" i="42"/>
  <c r="A19" i="42"/>
  <c r="A21" i="42" s="1"/>
  <c r="D19" i="42"/>
  <c r="O19" i="42"/>
  <c r="P19" i="42"/>
  <c r="M20" i="42"/>
  <c r="T20" i="42"/>
  <c r="T21" i="42"/>
  <c r="P24" i="42"/>
  <c r="T24" i="42"/>
  <c r="Q25" i="42"/>
  <c r="R25" i="42"/>
  <c r="R26" i="42" s="1"/>
  <c r="W25" i="42"/>
  <c r="O27" i="42"/>
  <c r="O28" i="42"/>
  <c r="AA3" i="41"/>
  <c r="C5" i="41"/>
  <c r="A7" i="41"/>
  <c r="B7" i="41"/>
  <c r="C7" i="41" s="1"/>
  <c r="T7" i="41"/>
  <c r="B8" i="41"/>
  <c r="A13" i="41" s="1"/>
  <c r="T8" i="41"/>
  <c r="T9" i="41" s="1"/>
  <c r="A9" i="41"/>
  <c r="D10" i="41"/>
  <c r="K10" i="41"/>
  <c r="Q10" i="41"/>
  <c r="Z10" i="41"/>
  <c r="O11" i="41"/>
  <c r="O16" i="41" s="1"/>
  <c r="D16" i="41" s="1"/>
  <c r="U11" i="41"/>
  <c r="V11" i="41"/>
  <c r="W11" i="41"/>
  <c r="X11" i="41"/>
  <c r="Y11" i="41"/>
  <c r="D12" i="41"/>
  <c r="O12" i="41"/>
  <c r="D13" i="41"/>
  <c r="O13" i="41"/>
  <c r="U13" i="41"/>
  <c r="Z13" i="41"/>
  <c r="AA13" i="41"/>
  <c r="O14" i="41"/>
  <c r="H15" i="41"/>
  <c r="O15" i="41"/>
  <c r="O17" i="41"/>
  <c r="D11" i="41" s="1"/>
  <c r="T17" i="41"/>
  <c r="O18" i="41"/>
  <c r="A19" i="41"/>
  <c r="A21" i="41" s="1"/>
  <c r="D19" i="41"/>
  <c r="O19" i="41"/>
  <c r="P19" i="41"/>
  <c r="M20" i="41"/>
  <c r="N20" i="41"/>
  <c r="C8" i="41" s="1"/>
  <c r="T20" i="41"/>
  <c r="T21" i="41"/>
  <c r="P24" i="41"/>
  <c r="T24" i="41"/>
  <c r="Q25" i="41"/>
  <c r="R25" i="41"/>
  <c r="W25" i="41"/>
  <c r="R26" i="41"/>
  <c r="O27" i="41"/>
  <c r="O28" i="41"/>
  <c r="AA3" i="40"/>
  <c r="C5" i="40"/>
  <c r="A7" i="40"/>
  <c r="B7" i="40"/>
  <c r="C7" i="40" s="1"/>
  <c r="T7" i="40"/>
  <c r="B8" i="40"/>
  <c r="T8" i="40"/>
  <c r="T9" i="40" s="1"/>
  <c r="A9" i="40"/>
  <c r="D10" i="40"/>
  <c r="K10" i="40"/>
  <c r="O10" i="40"/>
  <c r="D15" i="40" s="1"/>
  <c r="Q10" i="40"/>
  <c r="Z10" i="40"/>
  <c r="O11" i="40"/>
  <c r="O16" i="40" s="1"/>
  <c r="D16" i="40" s="1"/>
  <c r="U11" i="40"/>
  <c r="V11" i="40"/>
  <c r="W11" i="40"/>
  <c r="X11" i="40"/>
  <c r="Y11" i="40"/>
  <c r="D12" i="40"/>
  <c r="O12" i="40"/>
  <c r="A13" i="40"/>
  <c r="D13" i="40"/>
  <c r="O13" i="40"/>
  <c r="U13" i="40"/>
  <c r="Z13" i="40"/>
  <c r="AA13" i="40"/>
  <c r="O14" i="40"/>
  <c r="H15" i="40"/>
  <c r="O15" i="40"/>
  <c r="O17" i="40"/>
  <c r="D11" i="40" s="1"/>
  <c r="T17" i="40"/>
  <c r="O18" i="40"/>
  <c r="A19" i="40"/>
  <c r="A21" i="40" s="1"/>
  <c r="D19" i="40"/>
  <c r="O19" i="40"/>
  <c r="P19" i="40"/>
  <c r="M20" i="40"/>
  <c r="N20" i="40"/>
  <c r="C8" i="40" s="1"/>
  <c r="T20" i="40"/>
  <c r="T21" i="40"/>
  <c r="P24" i="40"/>
  <c r="T24" i="40"/>
  <c r="Q25" i="40"/>
  <c r="R25" i="40"/>
  <c r="W25" i="40"/>
  <c r="R26" i="40"/>
  <c r="O27" i="40"/>
  <c r="O28" i="40"/>
  <c r="AA3" i="39"/>
  <c r="C5" i="39"/>
  <c r="A7" i="39"/>
  <c r="B7" i="39"/>
  <c r="C7" i="39" s="1"/>
  <c r="T7" i="39"/>
  <c r="B8" i="39"/>
  <c r="A13" i="39" s="1"/>
  <c r="T8" i="39"/>
  <c r="T9" i="39" s="1"/>
  <c r="A9" i="39"/>
  <c r="D10" i="39"/>
  <c r="K10" i="39"/>
  <c r="O10" i="39"/>
  <c r="Q10" i="39"/>
  <c r="Z10" i="39"/>
  <c r="O11" i="39"/>
  <c r="O16" i="39" s="1"/>
  <c r="D16" i="39" s="1"/>
  <c r="U11" i="39"/>
  <c r="V11" i="39"/>
  <c r="W11" i="39"/>
  <c r="X11" i="39"/>
  <c r="Y11" i="39"/>
  <c r="D12" i="39"/>
  <c r="O12" i="39"/>
  <c r="D13" i="39"/>
  <c r="O13" i="39"/>
  <c r="U13" i="39"/>
  <c r="Z13" i="39"/>
  <c r="AA13" i="39"/>
  <c r="O14" i="39"/>
  <c r="D15" i="39"/>
  <c r="H15" i="39"/>
  <c r="O15" i="39"/>
  <c r="O17" i="39"/>
  <c r="D11" i="39" s="1"/>
  <c r="T17" i="39"/>
  <c r="O18" i="39"/>
  <c r="A19" i="39"/>
  <c r="A21" i="39" s="1"/>
  <c r="D19" i="39"/>
  <c r="O19" i="39"/>
  <c r="P19" i="39"/>
  <c r="M20" i="39"/>
  <c r="N20" i="39"/>
  <c r="C8" i="39" s="1"/>
  <c r="T20" i="39"/>
  <c r="T21" i="39"/>
  <c r="P24" i="39"/>
  <c r="T24" i="39"/>
  <c r="Q25" i="39"/>
  <c r="R25" i="39"/>
  <c r="W25" i="39"/>
  <c r="R26" i="39"/>
  <c r="O27" i="39"/>
  <c r="O28" i="39"/>
  <c r="AA3" i="38"/>
  <c r="C5" i="38"/>
  <c r="A7" i="38"/>
  <c r="B7" i="38"/>
  <c r="C7" i="38" s="1"/>
  <c r="T7" i="38"/>
  <c r="B8" i="38"/>
  <c r="A13" i="38" s="1"/>
  <c r="T8" i="38"/>
  <c r="A9" i="38"/>
  <c r="T9" i="38"/>
  <c r="D10" i="38"/>
  <c r="K10" i="38"/>
  <c r="O10" i="38"/>
  <c r="Q10" i="38"/>
  <c r="Z10" i="38"/>
  <c r="O11" i="38"/>
  <c r="O16" i="38" s="1"/>
  <c r="D16" i="38" s="1"/>
  <c r="U11" i="38"/>
  <c r="V11" i="38"/>
  <c r="W11" i="38"/>
  <c r="X11" i="38"/>
  <c r="Y11" i="38"/>
  <c r="D12" i="38"/>
  <c r="O12" i="38"/>
  <c r="D13" i="38"/>
  <c r="O13" i="38"/>
  <c r="U13" i="38"/>
  <c r="Z13" i="38"/>
  <c r="AA13" i="38"/>
  <c r="O14" i="38"/>
  <c r="D15" i="38"/>
  <c r="H15" i="38"/>
  <c r="O15" i="38"/>
  <c r="A16" i="38"/>
  <c r="O17" i="38"/>
  <c r="D11" i="38" s="1"/>
  <c r="T17" i="38"/>
  <c r="O18" i="38"/>
  <c r="A19" i="38"/>
  <c r="A21" i="38" s="1"/>
  <c r="D19" i="38"/>
  <c r="O19" i="38"/>
  <c r="P19" i="38"/>
  <c r="M20" i="38"/>
  <c r="N20" i="38"/>
  <c r="C8" i="38" s="1"/>
  <c r="T20" i="38"/>
  <c r="T21" i="38"/>
  <c r="P24" i="38"/>
  <c r="T24" i="38"/>
  <c r="Q25" i="38"/>
  <c r="R25" i="38"/>
  <c r="W25" i="38"/>
  <c r="R26" i="38"/>
  <c r="O27" i="38"/>
  <c r="O28" i="38"/>
  <c r="AA3" i="37"/>
  <c r="C5" i="37"/>
  <c r="A7" i="37"/>
  <c r="B7" i="37"/>
  <c r="C7" i="37" s="1"/>
  <c r="F7" i="37" s="1"/>
  <c r="T7" i="37"/>
  <c r="B8" i="37"/>
  <c r="T8" i="37"/>
  <c r="T9" i="37" s="1"/>
  <c r="A9" i="37"/>
  <c r="D10" i="37"/>
  <c r="K10" i="37"/>
  <c r="O10" i="37"/>
  <c r="Q10" i="37"/>
  <c r="Z10" i="37"/>
  <c r="D11" i="37"/>
  <c r="O11" i="37"/>
  <c r="U11" i="37"/>
  <c r="V11" i="37"/>
  <c r="W11" i="37"/>
  <c r="X11" i="37"/>
  <c r="Y11" i="37"/>
  <c r="D12" i="37"/>
  <c r="O12" i="37"/>
  <c r="A13" i="37"/>
  <c r="D13" i="37"/>
  <c r="O13" i="37"/>
  <c r="U13" i="37"/>
  <c r="Z13" i="37"/>
  <c r="AA13" i="37"/>
  <c r="O14" i="37"/>
  <c r="D15" i="37"/>
  <c r="H15" i="37"/>
  <c r="O15" i="37"/>
  <c r="D16" i="37"/>
  <c r="O16" i="37"/>
  <c r="O17" i="37"/>
  <c r="T17" i="37"/>
  <c r="O18" i="37"/>
  <c r="A19" i="37"/>
  <c r="A21" i="37" s="1"/>
  <c r="D19" i="37"/>
  <c r="O19" i="37"/>
  <c r="P19" i="37"/>
  <c r="M20" i="37"/>
  <c r="N20" i="37" s="1"/>
  <c r="C8" i="37" s="1"/>
  <c r="T20" i="37"/>
  <c r="T21" i="37"/>
  <c r="P24" i="37"/>
  <c r="T24" i="37"/>
  <c r="Q25" i="37"/>
  <c r="R25" i="37"/>
  <c r="R26" i="37" s="1"/>
  <c r="W25" i="37"/>
  <c r="O27" i="37"/>
  <c r="O28" i="37"/>
  <c r="AA3" i="36"/>
  <c r="C5" i="36"/>
  <c r="A7" i="36"/>
  <c r="B7" i="36"/>
  <c r="C7" i="36" s="1"/>
  <c r="F7" i="36" s="1"/>
  <c r="T7" i="36"/>
  <c r="B8" i="36"/>
  <c r="A13" i="36" s="1"/>
  <c r="T8" i="36"/>
  <c r="T9" i="36" s="1"/>
  <c r="A9" i="36"/>
  <c r="D10" i="36"/>
  <c r="K10" i="36"/>
  <c r="O10" i="36"/>
  <c r="Q10" i="36"/>
  <c r="Z10" i="36"/>
  <c r="D11" i="36"/>
  <c r="O11" i="36"/>
  <c r="U11" i="36"/>
  <c r="V11" i="36"/>
  <c r="W11" i="36"/>
  <c r="X11" i="36"/>
  <c r="Y11" i="36"/>
  <c r="D12" i="36"/>
  <c r="O12" i="36"/>
  <c r="D13" i="36"/>
  <c r="O13" i="36"/>
  <c r="U13" i="36"/>
  <c r="Z13" i="36"/>
  <c r="AA13" i="36"/>
  <c r="O14" i="36"/>
  <c r="D15" i="36"/>
  <c r="H15" i="36"/>
  <c r="O15" i="36"/>
  <c r="D16" i="36"/>
  <c r="O16" i="36"/>
  <c r="O17" i="36"/>
  <c r="T17" i="36"/>
  <c r="O18" i="36"/>
  <c r="A19" i="36"/>
  <c r="A21" i="36" s="1"/>
  <c r="D19" i="36"/>
  <c r="O19" i="36"/>
  <c r="P19" i="36"/>
  <c r="M20" i="36"/>
  <c r="T20" i="36"/>
  <c r="T21" i="36"/>
  <c r="P24" i="36"/>
  <c r="T24" i="36"/>
  <c r="Q25" i="36"/>
  <c r="R25" i="36"/>
  <c r="R26" i="36" s="1"/>
  <c r="W25" i="36"/>
  <c r="O27" i="36"/>
  <c r="O28" i="36"/>
  <c r="AA3" i="35"/>
  <c r="C5" i="35"/>
  <c r="T7" i="35"/>
  <c r="B8" i="35"/>
  <c r="A13" i="35" s="1"/>
  <c r="T8" i="35"/>
  <c r="T9" i="35" s="1"/>
  <c r="D10" i="35"/>
  <c r="O10" i="35"/>
  <c r="D15" i="35" s="1"/>
  <c r="Q10" i="35"/>
  <c r="Z10" i="35"/>
  <c r="K10" i="35" s="1"/>
  <c r="O11" i="35"/>
  <c r="O16" i="35" s="1"/>
  <c r="D16" i="35" s="1"/>
  <c r="U11" i="35"/>
  <c r="V11" i="35"/>
  <c r="W11" i="35"/>
  <c r="X11" i="35"/>
  <c r="Y11" i="35"/>
  <c r="D12" i="35"/>
  <c r="O12" i="35"/>
  <c r="D13" i="35"/>
  <c r="O13" i="35"/>
  <c r="U13" i="35"/>
  <c r="Z13" i="35"/>
  <c r="AA13" i="35"/>
  <c r="O14" i="35"/>
  <c r="D19" i="35" s="1"/>
  <c r="H15" i="35"/>
  <c r="O15" i="35"/>
  <c r="O17" i="35"/>
  <c r="D11" i="35" s="1"/>
  <c r="T17" i="35"/>
  <c r="O18" i="35"/>
  <c r="O19" i="35"/>
  <c r="P19" i="35"/>
  <c r="M20" i="35"/>
  <c r="T20" i="35"/>
  <c r="T21" i="35"/>
  <c r="P24" i="35"/>
  <c r="T24" i="35"/>
  <c r="Q25" i="35"/>
  <c r="R25" i="35" s="1"/>
  <c r="R26" i="35" s="1"/>
  <c r="W25" i="35"/>
  <c r="O27" i="35"/>
  <c r="O28" i="35"/>
  <c r="F7" i="82" l="1"/>
  <c r="V19" i="82"/>
  <c r="U19" i="82" s="1"/>
  <c r="A15" i="82"/>
  <c r="D7" i="82"/>
  <c r="N19" i="82" s="1"/>
  <c r="A16" i="82"/>
  <c r="B9" i="82"/>
  <c r="A19" i="81"/>
  <c r="A21" i="81" s="1"/>
  <c r="A16" i="81"/>
  <c r="N20" i="81"/>
  <c r="C8" i="81" s="1"/>
  <c r="A15" i="81"/>
  <c r="A17" i="81" s="1"/>
  <c r="D7" i="81"/>
  <c r="N19" i="81" s="1"/>
  <c r="V19" i="81"/>
  <c r="U19" i="81" s="1"/>
  <c r="B9" i="81"/>
  <c r="F7" i="80"/>
  <c r="V19" i="80"/>
  <c r="U19" i="80" s="1"/>
  <c r="A15" i="80"/>
  <c r="A16" i="80"/>
  <c r="A16" i="79"/>
  <c r="N20" i="79"/>
  <c r="C8" i="79" s="1"/>
  <c r="A15" i="79"/>
  <c r="A17" i="79" s="1"/>
  <c r="D7" i="79"/>
  <c r="N19" i="79" s="1"/>
  <c r="V19" i="79"/>
  <c r="U19" i="79" s="1"/>
  <c r="B9" i="79"/>
  <c r="F7" i="78"/>
  <c r="V19" i="78"/>
  <c r="U19" i="78" s="1"/>
  <c r="A15" i="78"/>
  <c r="A16" i="78"/>
  <c r="D7" i="78"/>
  <c r="N19" i="78" s="1"/>
  <c r="B9" i="78"/>
  <c r="F7" i="77"/>
  <c r="V19" i="77"/>
  <c r="U19" i="77" s="1"/>
  <c r="A15" i="77"/>
  <c r="A16" i="77"/>
  <c r="D7" i="77"/>
  <c r="N19" i="77" s="1"/>
  <c r="B9" i="77"/>
  <c r="A16" i="76"/>
  <c r="A19" i="76"/>
  <c r="A21" i="76" s="1"/>
  <c r="N20" i="76"/>
  <c r="C8" i="76" s="1"/>
  <c r="A15" i="76"/>
  <c r="D7" i="76"/>
  <c r="N19" i="76" s="1"/>
  <c r="V19" i="76"/>
  <c r="U19" i="76" s="1"/>
  <c r="B9" i="76"/>
  <c r="F7" i="75"/>
  <c r="A16" i="75"/>
  <c r="V19" i="75"/>
  <c r="U19" i="75" s="1"/>
  <c r="A15" i="75"/>
  <c r="A17" i="75" s="1"/>
  <c r="D7" i="75"/>
  <c r="N19" i="75" s="1"/>
  <c r="B9" i="75"/>
  <c r="F7" i="74"/>
  <c r="A15" i="74"/>
  <c r="D7" i="74"/>
  <c r="N19" i="74" s="1"/>
  <c r="A16" i="74"/>
  <c r="V19" i="74"/>
  <c r="U19" i="74" s="1"/>
  <c r="B9" i="74"/>
  <c r="F7" i="73"/>
  <c r="V19" i="73"/>
  <c r="U19" i="73" s="1"/>
  <c r="A15" i="73"/>
  <c r="A16" i="73"/>
  <c r="D7" i="73"/>
  <c r="N19" i="73" s="1"/>
  <c r="B9" i="73"/>
  <c r="F7" i="72"/>
  <c r="A16" i="72"/>
  <c r="D7" i="72"/>
  <c r="N19" i="72" s="1"/>
  <c r="V19" i="72"/>
  <c r="U19" i="72" s="1"/>
  <c r="A15" i="72"/>
  <c r="B9" i="72"/>
  <c r="F7" i="71"/>
  <c r="A16" i="71"/>
  <c r="V19" i="71"/>
  <c r="U19" i="71" s="1"/>
  <c r="A15" i="71"/>
  <c r="A17" i="71" s="1"/>
  <c r="D7" i="71"/>
  <c r="N19" i="71" s="1"/>
  <c r="B9" i="71"/>
  <c r="F7" i="70"/>
  <c r="V19" i="70"/>
  <c r="U19" i="70" s="1"/>
  <c r="A15" i="70"/>
  <c r="A16" i="70"/>
  <c r="D7" i="70"/>
  <c r="N19" i="70" s="1"/>
  <c r="B9" i="70"/>
  <c r="A9" i="69"/>
  <c r="B7" i="69"/>
  <c r="A7" i="69"/>
  <c r="A19" i="69"/>
  <c r="A21" i="69" s="1"/>
  <c r="N20" i="69"/>
  <c r="C8" i="69" s="1"/>
  <c r="V19" i="68"/>
  <c r="U19" i="68" s="1"/>
  <c r="A15" i="68"/>
  <c r="D7" i="68"/>
  <c r="N19" i="68" s="1"/>
  <c r="A16" i="68"/>
  <c r="B9" i="68"/>
  <c r="A16" i="67"/>
  <c r="N20" i="67"/>
  <c r="C8" i="67" s="1"/>
  <c r="V19" i="67"/>
  <c r="U19" i="67" s="1"/>
  <c r="A15" i="67"/>
  <c r="A17" i="67" s="1"/>
  <c r="D7" i="67"/>
  <c r="N19" i="67" s="1"/>
  <c r="B9" i="67"/>
  <c r="A16" i="66"/>
  <c r="V19" i="66"/>
  <c r="U19" i="66" s="1"/>
  <c r="D7" i="66"/>
  <c r="N19" i="66" s="1"/>
  <c r="A15" i="66"/>
  <c r="A17" i="66" s="1"/>
  <c r="B9" i="66"/>
  <c r="A16" i="65"/>
  <c r="N20" i="65"/>
  <c r="C8" i="65" s="1"/>
  <c r="A15" i="65"/>
  <c r="A17" i="65" s="1"/>
  <c r="V19" i="65"/>
  <c r="U19" i="65" s="1"/>
  <c r="D7" i="65"/>
  <c r="N19" i="65" s="1"/>
  <c r="B9" i="65"/>
  <c r="A16" i="64"/>
  <c r="V19" i="64"/>
  <c r="U19" i="64" s="1"/>
  <c r="A15" i="64"/>
  <c r="A17" i="64" s="1"/>
  <c r="D7" i="64"/>
  <c r="N19" i="64" s="1"/>
  <c r="B9" i="64"/>
  <c r="F7" i="63"/>
  <c r="A16" i="63"/>
  <c r="V19" i="63"/>
  <c r="U19" i="63" s="1"/>
  <c r="A15" i="63"/>
  <c r="A17" i="63" s="1"/>
  <c r="D7" i="63"/>
  <c r="N19" i="63" s="1"/>
  <c r="B9" i="63"/>
  <c r="F7" i="62"/>
  <c r="A16" i="62"/>
  <c r="V19" i="62"/>
  <c r="U19" i="62" s="1"/>
  <c r="A15" i="62"/>
  <c r="A17" i="62" s="1"/>
  <c r="D7" i="62"/>
  <c r="N19" i="62" s="1"/>
  <c r="B9" i="62"/>
  <c r="F7" i="61"/>
  <c r="A16" i="61"/>
  <c r="N20" i="61"/>
  <c r="C8" i="61" s="1"/>
  <c r="V19" i="61"/>
  <c r="U19" i="61" s="1"/>
  <c r="A15" i="61"/>
  <c r="D7" i="61"/>
  <c r="N19" i="61" s="1"/>
  <c r="B9" i="61"/>
  <c r="F7" i="60"/>
  <c r="V19" i="60"/>
  <c r="U19" i="60" s="1"/>
  <c r="A15" i="60"/>
  <c r="A16" i="60"/>
  <c r="D7" i="60"/>
  <c r="N19" i="60" s="1"/>
  <c r="B9" i="60"/>
  <c r="F7" i="59"/>
  <c r="A16" i="59"/>
  <c r="V19" i="59"/>
  <c r="U19" i="59" s="1"/>
  <c r="A15" i="59"/>
  <c r="D7" i="59"/>
  <c r="N19" i="59" s="1"/>
  <c r="B9" i="59"/>
  <c r="F7" i="58"/>
  <c r="A16" i="58"/>
  <c r="V19" i="58"/>
  <c r="U19" i="58" s="1"/>
  <c r="A15" i="58"/>
  <c r="A17" i="58" s="1"/>
  <c r="D7" i="58"/>
  <c r="N19" i="58" s="1"/>
  <c r="B9" i="58"/>
  <c r="A16" i="57"/>
  <c r="N20" i="57"/>
  <c r="C8" i="57" s="1"/>
  <c r="A15" i="57"/>
  <c r="A17" i="57" s="1"/>
  <c r="D7" i="57"/>
  <c r="N19" i="57" s="1"/>
  <c r="V19" i="57"/>
  <c r="U19" i="57" s="1"/>
  <c r="B9" i="57"/>
  <c r="V19" i="56"/>
  <c r="U19" i="56" s="1"/>
  <c r="D7" i="56"/>
  <c r="N19" i="56" s="1"/>
  <c r="A16" i="56"/>
  <c r="A15" i="56"/>
  <c r="A17" i="56" s="1"/>
  <c r="B9" i="56"/>
  <c r="C7" i="55"/>
  <c r="F7" i="55" s="1"/>
  <c r="B9" i="55"/>
  <c r="A15" i="55"/>
  <c r="A17" i="55" s="1"/>
  <c r="V19" i="55"/>
  <c r="U19" i="55" s="1"/>
  <c r="N20" i="55"/>
  <c r="C8" i="55" s="1"/>
  <c r="A16" i="54"/>
  <c r="N20" i="54"/>
  <c r="C8" i="54" s="1"/>
  <c r="A15" i="54"/>
  <c r="A17" i="54" s="1"/>
  <c r="V19" i="54"/>
  <c r="U19" i="54" s="1"/>
  <c r="D7" i="54"/>
  <c r="N19" i="54" s="1"/>
  <c r="B9" i="54"/>
  <c r="F7" i="53"/>
  <c r="N20" i="53"/>
  <c r="C8" i="53" s="1"/>
  <c r="A16" i="53"/>
  <c r="V19" i="53"/>
  <c r="U19" i="53" s="1"/>
  <c r="A15" i="53"/>
  <c r="A17" i="53" s="1"/>
  <c r="D7" i="53"/>
  <c r="N19" i="53" s="1"/>
  <c r="B9" i="53"/>
  <c r="A16" i="52"/>
  <c r="V19" i="52"/>
  <c r="U19" i="52" s="1"/>
  <c r="A15" i="52"/>
  <c r="D7" i="52"/>
  <c r="N19" i="52" s="1"/>
  <c r="B9" i="52"/>
  <c r="A16" i="51"/>
  <c r="N20" i="51"/>
  <c r="C8" i="51" s="1"/>
  <c r="V19" i="51"/>
  <c r="U19" i="51" s="1"/>
  <c r="A15" i="51"/>
  <c r="D7" i="51"/>
  <c r="N19" i="51" s="1"/>
  <c r="B9" i="51"/>
  <c r="F7" i="50"/>
  <c r="A15" i="50"/>
  <c r="A17" i="50" s="1"/>
  <c r="D7" i="50"/>
  <c r="N19" i="50" s="1"/>
  <c r="V19" i="50"/>
  <c r="U19" i="50" s="1"/>
  <c r="B9" i="50"/>
  <c r="F7" i="49"/>
  <c r="A16" i="49"/>
  <c r="A15" i="49"/>
  <c r="A17" i="49" s="1"/>
  <c r="V19" i="49"/>
  <c r="U19" i="49" s="1"/>
  <c r="D7" i="49"/>
  <c r="N19" i="49" s="1"/>
  <c r="B9" i="49"/>
  <c r="F7" i="48"/>
  <c r="A16" i="48"/>
  <c r="V19" i="48"/>
  <c r="U19" i="48" s="1"/>
  <c r="A15" i="48"/>
  <c r="A17" i="48" s="1"/>
  <c r="D7" i="48"/>
  <c r="N19" i="48" s="1"/>
  <c r="B9" i="48"/>
  <c r="F7" i="47"/>
  <c r="V19" i="47"/>
  <c r="U19" i="47" s="1"/>
  <c r="A15" i="47"/>
  <c r="A16" i="47"/>
  <c r="D7" i="47"/>
  <c r="N19" i="47" s="1"/>
  <c r="B9" i="47"/>
  <c r="A16" i="46"/>
  <c r="A15" i="46"/>
  <c r="A17" i="46" s="1"/>
  <c r="D7" i="46"/>
  <c r="N19" i="46" s="1"/>
  <c r="V19" i="46"/>
  <c r="U19" i="46" s="1"/>
  <c r="B9" i="46"/>
  <c r="F7" i="45"/>
  <c r="V19" i="45"/>
  <c r="U19" i="45" s="1"/>
  <c r="A15" i="45"/>
  <c r="A17" i="45" s="1"/>
  <c r="D7" i="45"/>
  <c r="N19" i="45" s="1"/>
  <c r="B9" i="45"/>
  <c r="F7" i="44"/>
  <c r="A16" i="44"/>
  <c r="V19" i="44"/>
  <c r="U19" i="44" s="1"/>
  <c r="A15" i="44"/>
  <c r="A17" i="44" s="1"/>
  <c r="D7" i="44"/>
  <c r="N19" i="44" s="1"/>
  <c r="B9" i="44"/>
  <c r="F7" i="43"/>
  <c r="V19" i="43"/>
  <c r="U19" i="43" s="1"/>
  <c r="A15" i="43"/>
  <c r="A16" i="43"/>
  <c r="D7" i="43"/>
  <c r="N19" i="43" s="1"/>
  <c r="B9" i="43"/>
  <c r="A16" i="42"/>
  <c r="N20" i="42"/>
  <c r="C8" i="42" s="1"/>
  <c r="A15" i="42"/>
  <c r="A17" i="42" s="1"/>
  <c r="D7" i="42"/>
  <c r="N19" i="42" s="1"/>
  <c r="V19" i="42"/>
  <c r="U19" i="42" s="1"/>
  <c r="B9" i="42"/>
  <c r="F7" i="41"/>
  <c r="A16" i="41"/>
  <c r="A15" i="41"/>
  <c r="A17" i="41" s="1"/>
  <c r="D7" i="41"/>
  <c r="N19" i="41" s="1"/>
  <c r="V19" i="41"/>
  <c r="U19" i="41" s="1"/>
  <c r="B9" i="41"/>
  <c r="F7" i="40"/>
  <c r="A16" i="40"/>
  <c r="V19" i="40"/>
  <c r="U19" i="40" s="1"/>
  <c r="A15" i="40"/>
  <c r="A17" i="40" s="1"/>
  <c r="D7" i="40"/>
  <c r="N19" i="40" s="1"/>
  <c r="B9" i="40"/>
  <c r="F7" i="39"/>
  <c r="V19" i="39"/>
  <c r="U19" i="39" s="1"/>
  <c r="D7" i="39"/>
  <c r="N19" i="39" s="1"/>
  <c r="A16" i="39"/>
  <c r="A15" i="39"/>
  <c r="A17" i="39" s="1"/>
  <c r="B9" i="39"/>
  <c r="F7" i="38"/>
  <c r="V19" i="38"/>
  <c r="U19" i="38" s="1"/>
  <c r="A15" i="38"/>
  <c r="A17" i="38" s="1"/>
  <c r="D7" i="38"/>
  <c r="N19" i="38" s="1"/>
  <c r="B9" i="38"/>
  <c r="V19" i="37"/>
  <c r="U19" i="37" s="1"/>
  <c r="A15" i="37"/>
  <c r="A17" i="37" s="1"/>
  <c r="D7" i="37"/>
  <c r="N19" i="37" s="1"/>
  <c r="A16" i="37"/>
  <c r="B9" i="37"/>
  <c r="A16" i="36"/>
  <c r="N20" i="36"/>
  <c r="C8" i="36" s="1"/>
  <c r="D7" i="36"/>
  <c r="N19" i="36" s="1"/>
  <c r="V19" i="36"/>
  <c r="U19" i="36" s="1"/>
  <c r="A15" i="36"/>
  <c r="A17" i="36" s="1"/>
  <c r="B9" i="36"/>
  <c r="A7" i="35"/>
  <c r="A9" i="35"/>
  <c r="B7" i="35"/>
  <c r="A19" i="35"/>
  <c r="A21" i="35" s="1"/>
  <c r="N20" i="35"/>
  <c r="C8" i="35" s="1"/>
  <c r="A17" i="82" l="1"/>
  <c r="D14" i="82"/>
  <c r="D17" i="82" s="1"/>
  <c r="E7" i="82" s="1"/>
  <c r="G7" i="82" s="1"/>
  <c r="J19" i="82"/>
  <c r="H14" i="82"/>
  <c r="O10" i="81"/>
  <c r="D15" i="81" s="1"/>
  <c r="D14" i="81"/>
  <c r="H14" i="81"/>
  <c r="J19" i="81"/>
  <c r="A17" i="80"/>
  <c r="J19" i="80"/>
  <c r="D14" i="80"/>
  <c r="D17" i="80" s="1"/>
  <c r="E7" i="80" s="1"/>
  <c r="G7" i="80" s="1"/>
  <c r="H14" i="80"/>
  <c r="O10" i="79"/>
  <c r="D15" i="79" s="1"/>
  <c r="D14" i="79"/>
  <c r="H14" i="79"/>
  <c r="J19" i="79"/>
  <c r="A17" i="78"/>
  <c r="O10" i="78"/>
  <c r="D15" i="78" s="1"/>
  <c r="J19" i="78"/>
  <c r="D14" i="78"/>
  <c r="D17" i="78" s="1"/>
  <c r="E7" i="78" s="1"/>
  <c r="G7" i="78" s="1"/>
  <c r="H14" i="78"/>
  <c r="J19" i="77"/>
  <c r="D14" i="77"/>
  <c r="D17" i="77" s="1"/>
  <c r="E7" i="77" s="1"/>
  <c r="G7" i="77" s="1"/>
  <c r="H14" i="77"/>
  <c r="A17" i="77"/>
  <c r="H14" i="76"/>
  <c r="J19" i="76"/>
  <c r="D14" i="76"/>
  <c r="D17" i="76" s="1"/>
  <c r="E7" i="76" s="1"/>
  <c r="G7" i="76" s="1"/>
  <c r="A17" i="76"/>
  <c r="D14" i="75"/>
  <c r="D17" i="75" s="1"/>
  <c r="E7" i="75" s="1"/>
  <c r="G7" i="75" s="1"/>
  <c r="H14" i="75"/>
  <c r="J19" i="75"/>
  <c r="A17" i="74"/>
  <c r="D14" i="74"/>
  <c r="D17" i="74" s="1"/>
  <c r="E7" i="74" s="1"/>
  <c r="G7" i="74" s="1"/>
  <c r="H14" i="74"/>
  <c r="J19" i="74"/>
  <c r="A17" i="73"/>
  <c r="H14" i="73"/>
  <c r="J19" i="73"/>
  <c r="D14" i="73"/>
  <c r="D17" i="73" s="1"/>
  <c r="E7" i="73" s="1"/>
  <c r="G7" i="73" s="1"/>
  <c r="A17" i="72"/>
  <c r="H14" i="72"/>
  <c r="D14" i="72"/>
  <c r="D17" i="72" s="1"/>
  <c r="E7" i="72" s="1"/>
  <c r="G7" i="72" s="1"/>
  <c r="J19" i="72"/>
  <c r="H14" i="71"/>
  <c r="D14" i="71"/>
  <c r="D17" i="71" s="1"/>
  <c r="E7" i="71" s="1"/>
  <c r="G7" i="71" s="1"/>
  <c r="J19" i="71"/>
  <c r="A17" i="70"/>
  <c r="O10" i="70"/>
  <c r="D15" i="70" s="1"/>
  <c r="D14" i="70"/>
  <c r="D17" i="70" s="1"/>
  <c r="E7" i="70" s="1"/>
  <c r="G7" i="70" s="1"/>
  <c r="J19" i="70"/>
  <c r="H14" i="70"/>
  <c r="C7" i="69"/>
  <c r="F7" i="69" s="1"/>
  <c r="B9" i="69"/>
  <c r="D7" i="69"/>
  <c r="N19" i="69" s="1"/>
  <c r="A15" i="69"/>
  <c r="A17" i="69" s="1"/>
  <c r="V19" i="69"/>
  <c r="U19" i="69" s="1"/>
  <c r="A16" i="69"/>
  <c r="A17" i="68"/>
  <c r="O10" i="68"/>
  <c r="D15" i="68" s="1"/>
  <c r="D14" i="68"/>
  <c r="H14" i="68"/>
  <c r="J19" i="68"/>
  <c r="H14" i="67"/>
  <c r="D14" i="67"/>
  <c r="D17" i="67" s="1"/>
  <c r="E7" i="67" s="1"/>
  <c r="G7" i="67" s="1"/>
  <c r="J19" i="67"/>
  <c r="D14" i="66"/>
  <c r="D17" i="66" s="1"/>
  <c r="E7" i="66" s="1"/>
  <c r="G7" i="66" s="1"/>
  <c r="H14" i="66"/>
  <c r="J19" i="66"/>
  <c r="D14" i="65"/>
  <c r="D17" i="65" s="1"/>
  <c r="E7" i="65" s="1"/>
  <c r="G7" i="65" s="1"/>
  <c r="H14" i="65"/>
  <c r="J19" i="65"/>
  <c r="D14" i="64"/>
  <c r="D17" i="64" s="1"/>
  <c r="E7" i="64" s="1"/>
  <c r="G7" i="64" s="1"/>
  <c r="H14" i="64"/>
  <c r="J19" i="64"/>
  <c r="D14" i="63"/>
  <c r="D17" i="63" s="1"/>
  <c r="E7" i="63" s="1"/>
  <c r="G7" i="63" s="1"/>
  <c r="J19" i="63"/>
  <c r="H14" i="63"/>
  <c r="O10" i="62"/>
  <c r="D15" i="62" s="1"/>
  <c r="J19" i="62"/>
  <c r="D14" i="62"/>
  <c r="H14" i="62"/>
  <c r="O10" i="61"/>
  <c r="D15" i="61" s="1"/>
  <c r="J19" i="61"/>
  <c r="H14" i="61"/>
  <c r="D14" i="61"/>
  <c r="D17" i="61" s="1"/>
  <c r="E7" i="61" s="1"/>
  <c r="G7" i="61" s="1"/>
  <c r="A17" i="61"/>
  <c r="A17" i="60"/>
  <c r="O10" i="60"/>
  <c r="D15" i="60" s="1"/>
  <c r="D14" i="60"/>
  <c r="D17" i="60" s="1"/>
  <c r="E7" i="60" s="1"/>
  <c r="G7" i="60" s="1"/>
  <c r="H14" i="60"/>
  <c r="J19" i="60"/>
  <c r="A17" i="59"/>
  <c r="O10" i="59"/>
  <c r="D15" i="59" s="1"/>
  <c r="H14" i="59"/>
  <c r="J19" i="59"/>
  <c r="D14" i="59"/>
  <c r="D17" i="59" s="1"/>
  <c r="E7" i="59" s="1"/>
  <c r="G7" i="59" s="1"/>
  <c r="O10" i="58"/>
  <c r="D15" i="58" s="1"/>
  <c r="D14" i="58"/>
  <c r="H14" i="58"/>
  <c r="J19" i="58"/>
  <c r="O10" i="57"/>
  <c r="D15" i="57" s="1"/>
  <c r="D14" i="57"/>
  <c r="D17" i="57" s="1"/>
  <c r="E7" i="57" s="1"/>
  <c r="G7" i="57" s="1"/>
  <c r="H14" i="57"/>
  <c r="J19" i="57"/>
  <c r="O10" i="56"/>
  <c r="D15" i="56" s="1"/>
  <c r="H14" i="56"/>
  <c r="D14" i="56"/>
  <c r="D17" i="56" s="1"/>
  <c r="E7" i="56" s="1"/>
  <c r="G7" i="56" s="1"/>
  <c r="J19" i="56"/>
  <c r="D14" i="55"/>
  <c r="D17" i="55" s="1"/>
  <c r="E7" i="55" s="1"/>
  <c r="G7" i="55" s="1"/>
  <c r="H14" i="55"/>
  <c r="J19" i="55"/>
  <c r="O10" i="55"/>
  <c r="D15" i="55" s="1"/>
  <c r="D7" i="55"/>
  <c r="N19" i="55" s="1"/>
  <c r="O10" i="54"/>
  <c r="D15" i="54" s="1"/>
  <c r="H14" i="54"/>
  <c r="J19" i="54"/>
  <c r="D14" i="54"/>
  <c r="D17" i="54" s="1"/>
  <c r="E7" i="54" s="1"/>
  <c r="G7" i="54" s="1"/>
  <c r="O10" i="53"/>
  <c r="D15" i="53" s="1"/>
  <c r="H14" i="53"/>
  <c r="D14" i="53"/>
  <c r="D17" i="53" s="1"/>
  <c r="E7" i="53" s="1"/>
  <c r="G7" i="53" s="1"/>
  <c r="J19" i="53"/>
  <c r="A17" i="52"/>
  <c r="O10" i="52"/>
  <c r="D15" i="52" s="1"/>
  <c r="D14" i="52"/>
  <c r="D17" i="52" s="1"/>
  <c r="E7" i="52" s="1"/>
  <c r="G7" i="52" s="1"/>
  <c r="H14" i="52"/>
  <c r="J19" i="52"/>
  <c r="A17" i="51"/>
  <c r="O10" i="51"/>
  <c r="D15" i="51" s="1"/>
  <c r="D14" i="51"/>
  <c r="H14" i="51"/>
  <c r="J19" i="51"/>
  <c r="O10" i="50"/>
  <c r="D15" i="50" s="1"/>
  <c r="D14" i="50"/>
  <c r="D17" i="50" s="1"/>
  <c r="E7" i="50" s="1"/>
  <c r="G7" i="50" s="1"/>
  <c r="H14" i="50"/>
  <c r="J19" i="50"/>
  <c r="O10" i="49"/>
  <c r="D15" i="49" s="1"/>
  <c r="H14" i="49"/>
  <c r="J19" i="49"/>
  <c r="D14" i="49"/>
  <c r="D17" i="49" s="1"/>
  <c r="E7" i="49" s="1"/>
  <c r="G7" i="49" s="1"/>
  <c r="O10" i="48"/>
  <c r="D15" i="48" s="1"/>
  <c r="D14" i="48"/>
  <c r="H14" i="48"/>
  <c r="J19" i="48"/>
  <c r="A17" i="47"/>
  <c r="O10" i="47"/>
  <c r="D15" i="47" s="1"/>
  <c r="D14" i="47"/>
  <c r="D17" i="47" s="1"/>
  <c r="E7" i="47" s="1"/>
  <c r="G7" i="47" s="1"/>
  <c r="H14" i="47"/>
  <c r="J19" i="47"/>
  <c r="O10" i="46"/>
  <c r="D15" i="46" s="1"/>
  <c r="D14" i="46"/>
  <c r="H14" i="46"/>
  <c r="J19" i="46"/>
  <c r="O10" i="45"/>
  <c r="D15" i="45" s="1"/>
  <c r="D14" i="45"/>
  <c r="H14" i="45"/>
  <c r="J19" i="45"/>
  <c r="O10" i="44"/>
  <c r="D15" i="44" s="1"/>
  <c r="D14" i="44"/>
  <c r="H14" i="44"/>
  <c r="J19" i="44"/>
  <c r="A17" i="43"/>
  <c r="O10" i="43"/>
  <c r="D15" i="43" s="1"/>
  <c r="H14" i="43"/>
  <c r="D14" i="43"/>
  <c r="J19" i="43"/>
  <c r="O10" i="42"/>
  <c r="D15" i="42" s="1"/>
  <c r="D14" i="42"/>
  <c r="H14" i="42"/>
  <c r="J19" i="42"/>
  <c r="O10" i="41"/>
  <c r="D15" i="41" s="1"/>
  <c r="D14" i="41"/>
  <c r="J19" i="41"/>
  <c r="H14" i="41"/>
  <c r="D14" i="40"/>
  <c r="D17" i="40" s="1"/>
  <c r="E7" i="40" s="1"/>
  <c r="G7" i="40" s="1"/>
  <c r="J19" i="40"/>
  <c r="H14" i="40"/>
  <c r="D14" i="39"/>
  <c r="D17" i="39" s="1"/>
  <c r="E7" i="39" s="1"/>
  <c r="G7" i="39" s="1"/>
  <c r="H14" i="39"/>
  <c r="J19" i="39"/>
  <c r="D14" i="38"/>
  <c r="D17" i="38" s="1"/>
  <c r="E7" i="38" s="1"/>
  <c r="G7" i="38" s="1"/>
  <c r="H14" i="38"/>
  <c r="J19" i="38"/>
  <c r="D14" i="37"/>
  <c r="D17" i="37" s="1"/>
  <c r="E7" i="37" s="1"/>
  <c r="G7" i="37" s="1"/>
  <c r="H14" i="37"/>
  <c r="J19" i="37"/>
  <c r="D14" i="36"/>
  <c r="D17" i="36" s="1"/>
  <c r="E7" i="36" s="1"/>
  <c r="G7" i="36" s="1"/>
  <c r="H14" i="36"/>
  <c r="J19" i="36"/>
  <c r="C7" i="35"/>
  <c r="F7" i="35" s="1"/>
  <c r="B9" i="35"/>
  <c r="D7" i="35"/>
  <c r="N19" i="35" s="1"/>
  <c r="A15" i="35"/>
  <c r="A17" i="35" s="1"/>
  <c r="V19" i="35"/>
  <c r="U19" i="35" s="1"/>
  <c r="A16" i="35"/>
  <c r="H8" i="82" l="1"/>
  <c r="H7" i="82"/>
  <c r="D17" i="81"/>
  <c r="E7" i="81" s="1"/>
  <c r="G7" i="81" s="1"/>
  <c r="H8" i="80"/>
  <c r="H7" i="80"/>
  <c r="I7" i="80"/>
  <c r="D17" i="79"/>
  <c r="E7" i="79" s="1"/>
  <c r="G7" i="79" s="1"/>
  <c r="H7" i="78"/>
  <c r="H8" i="78"/>
  <c r="I7" i="78"/>
  <c r="H8" i="77"/>
  <c r="H7" i="77"/>
  <c r="H8" i="76"/>
  <c r="H7" i="76"/>
  <c r="I7" i="76"/>
  <c r="H8" i="75"/>
  <c r="H7" i="75"/>
  <c r="I7" i="75"/>
  <c r="H8" i="74"/>
  <c r="H7" i="74"/>
  <c r="H7" i="73"/>
  <c r="I7" i="73"/>
  <c r="H8" i="73"/>
  <c r="H8" i="72"/>
  <c r="H7" i="72"/>
  <c r="H8" i="71"/>
  <c r="H7" i="71"/>
  <c r="I7" i="71"/>
  <c r="H8" i="70"/>
  <c r="H7" i="70"/>
  <c r="I7" i="70"/>
  <c r="H14" i="69"/>
  <c r="D14" i="69"/>
  <c r="D17" i="69" s="1"/>
  <c r="E7" i="69" s="1"/>
  <c r="G7" i="69" s="1"/>
  <c r="J19" i="69"/>
  <c r="D17" i="68"/>
  <c r="E7" i="68" s="1"/>
  <c r="G7" i="68" s="1"/>
  <c r="H8" i="67"/>
  <c r="H7" i="67"/>
  <c r="I7" i="67"/>
  <c r="H8" i="66"/>
  <c r="H7" i="66"/>
  <c r="I7" i="66"/>
  <c r="H8" i="65"/>
  <c r="H7" i="65"/>
  <c r="H8" i="64"/>
  <c r="H7" i="64"/>
  <c r="I7" i="64"/>
  <c r="H7" i="63"/>
  <c r="H8" i="63"/>
  <c r="I7" i="63"/>
  <c r="D17" i="62"/>
  <c r="E7" i="62" s="1"/>
  <c r="G7" i="62" s="1"/>
  <c r="H8" i="61"/>
  <c r="H7" i="61"/>
  <c r="I7" i="61"/>
  <c r="H8" i="60"/>
  <c r="H7" i="60"/>
  <c r="H8" i="59"/>
  <c r="H7" i="59"/>
  <c r="I7" i="59"/>
  <c r="D17" i="58"/>
  <c r="E7" i="58" s="1"/>
  <c r="G7" i="58" s="1"/>
  <c r="H8" i="57"/>
  <c r="H7" i="57"/>
  <c r="I7" i="57"/>
  <c r="I7" i="56"/>
  <c r="H8" i="56"/>
  <c r="H7" i="56"/>
  <c r="H8" i="55"/>
  <c r="H7" i="55"/>
  <c r="I7" i="55" s="1"/>
  <c r="H8" i="54"/>
  <c r="H7" i="54"/>
  <c r="H8" i="53"/>
  <c r="H7" i="53"/>
  <c r="I7" i="53"/>
  <c r="H8" i="52"/>
  <c r="H7" i="52"/>
  <c r="I7" i="52"/>
  <c r="D17" i="51"/>
  <c r="E7" i="51" s="1"/>
  <c r="G7" i="51" s="1"/>
  <c r="H8" i="50"/>
  <c r="H7" i="50"/>
  <c r="H8" i="49"/>
  <c r="H7" i="49"/>
  <c r="I7" i="49"/>
  <c r="D17" i="48"/>
  <c r="E7" i="48" s="1"/>
  <c r="G7" i="48" s="1"/>
  <c r="H8" i="47"/>
  <c r="H7" i="47"/>
  <c r="I7" i="47"/>
  <c r="D17" i="46"/>
  <c r="E7" i="46" s="1"/>
  <c r="G7" i="46" s="1"/>
  <c r="D17" i="45"/>
  <c r="E7" i="45" s="1"/>
  <c r="G7" i="45" s="1"/>
  <c r="D17" i="44"/>
  <c r="E7" i="44" s="1"/>
  <c r="G7" i="44" s="1"/>
  <c r="D17" i="43"/>
  <c r="E7" i="43" s="1"/>
  <c r="G7" i="43" s="1"/>
  <c r="D17" i="42"/>
  <c r="E7" i="42" s="1"/>
  <c r="G7" i="42" s="1"/>
  <c r="D17" i="41"/>
  <c r="E7" i="41" s="1"/>
  <c r="G7" i="41" s="1"/>
  <c r="H7" i="40"/>
  <c r="I7" i="40" s="1"/>
  <c r="H8" i="40"/>
  <c r="H7" i="39"/>
  <c r="I7" i="39"/>
  <c r="H8" i="39"/>
  <c r="H8" i="38"/>
  <c r="H7" i="38"/>
  <c r="H8" i="37"/>
  <c r="H7" i="37"/>
  <c r="I7" i="37"/>
  <c r="H8" i="36"/>
  <c r="H7" i="36"/>
  <c r="I7" i="36"/>
  <c r="D14" i="35"/>
  <c r="D17" i="35" s="1"/>
  <c r="E7" i="35" s="1"/>
  <c r="G7" i="35" s="1"/>
  <c r="H14" i="35"/>
  <c r="J19" i="35"/>
  <c r="H24" i="82" l="1"/>
  <c r="N14" i="82"/>
  <c r="Q13" i="82"/>
  <c r="M14" i="82"/>
  <c r="K11" i="82"/>
  <c r="K14" i="82"/>
  <c r="K16" i="82" s="1"/>
  <c r="L14" i="82"/>
  <c r="L16" i="82" s="1"/>
  <c r="I7" i="82"/>
  <c r="H8" i="81"/>
  <c r="H7" i="81"/>
  <c r="I7" i="81"/>
  <c r="K8" i="80"/>
  <c r="L8" i="80"/>
  <c r="L10" i="80" s="1"/>
  <c r="M8" i="80"/>
  <c r="M10" i="80" s="1"/>
  <c r="N8" i="80"/>
  <c r="N10" i="80" s="1"/>
  <c r="J7" i="80"/>
  <c r="J9" i="80" s="1"/>
  <c r="L7" i="80"/>
  <c r="M7" i="80"/>
  <c r="K7" i="80"/>
  <c r="H16" i="80"/>
  <c r="I24" i="80" s="1"/>
  <c r="N7" i="80"/>
  <c r="N14" i="80"/>
  <c r="P7" i="80"/>
  <c r="P8" i="80" s="1"/>
  <c r="H17" i="80"/>
  <c r="H24" i="80"/>
  <c r="Q13" i="80"/>
  <c r="K11" i="80"/>
  <c r="K14" i="80"/>
  <c r="K16" i="80" s="1"/>
  <c r="L14" i="80"/>
  <c r="L16" i="80" s="1"/>
  <c r="M14" i="80"/>
  <c r="H8" i="79"/>
  <c r="H7" i="79"/>
  <c r="I7" i="79"/>
  <c r="M14" i="78"/>
  <c r="K11" i="78"/>
  <c r="K14" i="78"/>
  <c r="K16" i="78" s="1"/>
  <c r="L14" i="78"/>
  <c r="L16" i="78" s="1"/>
  <c r="J7" i="78"/>
  <c r="J9" i="78" s="1"/>
  <c r="K7" i="78"/>
  <c r="L7" i="78"/>
  <c r="K8" i="78"/>
  <c r="L8" i="78"/>
  <c r="L10" i="78" s="1"/>
  <c r="M8" i="78"/>
  <c r="M10" i="78" s="1"/>
  <c r="N8" i="78"/>
  <c r="N10" i="78" s="1"/>
  <c r="H16" i="78"/>
  <c r="I24" i="78" s="1"/>
  <c r="M7" i="78"/>
  <c r="N7" i="78"/>
  <c r="H24" i="78"/>
  <c r="N14" i="78"/>
  <c r="Q13" i="78"/>
  <c r="H24" i="77"/>
  <c r="N14" i="77"/>
  <c r="Q13" i="77"/>
  <c r="I7" i="77"/>
  <c r="M14" i="77"/>
  <c r="K14" i="77"/>
  <c r="K16" i="77" s="1"/>
  <c r="K11" i="77"/>
  <c r="L14" i="77"/>
  <c r="L16" i="77" s="1"/>
  <c r="K8" i="76"/>
  <c r="N8" i="76"/>
  <c r="N10" i="76" s="1"/>
  <c r="H16" i="76"/>
  <c r="H17" i="76" s="1"/>
  <c r="L8" i="76"/>
  <c r="L10" i="76" s="1"/>
  <c r="J7" i="76"/>
  <c r="J9" i="76" s="1"/>
  <c r="M8" i="76"/>
  <c r="M10" i="76" s="1"/>
  <c r="K7" i="76"/>
  <c r="L7" i="76"/>
  <c r="M7" i="76"/>
  <c r="N7" i="76"/>
  <c r="P7" i="76"/>
  <c r="P8" i="76" s="1"/>
  <c r="N14" i="76"/>
  <c r="Q13" i="76"/>
  <c r="H24" i="76"/>
  <c r="I24" i="76"/>
  <c r="M14" i="76"/>
  <c r="K11" i="76"/>
  <c r="K14" i="76"/>
  <c r="K16" i="76" s="1"/>
  <c r="L14" i="76"/>
  <c r="L16" i="76" s="1"/>
  <c r="K8" i="75"/>
  <c r="J7" i="75"/>
  <c r="J9" i="75" s="1"/>
  <c r="N8" i="75"/>
  <c r="N10" i="75" s="1"/>
  <c r="N7" i="75"/>
  <c r="L8" i="75"/>
  <c r="L10" i="75" s="1"/>
  <c r="K7" i="75"/>
  <c r="H16" i="75"/>
  <c r="H17" i="75" s="1"/>
  <c r="M7" i="75"/>
  <c r="M8" i="75"/>
  <c r="M10" i="75" s="1"/>
  <c r="L7" i="75"/>
  <c r="P7" i="75"/>
  <c r="P8" i="75" s="1"/>
  <c r="N14" i="75"/>
  <c r="Q13" i="75"/>
  <c r="H24" i="75"/>
  <c r="M14" i="75"/>
  <c r="L14" i="75"/>
  <c r="L16" i="75" s="1"/>
  <c r="K11" i="75"/>
  <c r="K14" i="75"/>
  <c r="K16" i="75" s="1"/>
  <c r="Q13" i="74"/>
  <c r="N14" i="74"/>
  <c r="H24" i="74"/>
  <c r="M14" i="74"/>
  <c r="K11" i="74"/>
  <c r="K14" i="74"/>
  <c r="K16" i="74" s="1"/>
  <c r="L14" i="74"/>
  <c r="L16" i="74" s="1"/>
  <c r="I7" i="74"/>
  <c r="M8" i="73"/>
  <c r="M10" i="73" s="1"/>
  <c r="N8" i="73"/>
  <c r="N10" i="73" s="1"/>
  <c r="J7" i="73"/>
  <c r="J9" i="73" s="1"/>
  <c r="K7" i="73"/>
  <c r="L7" i="73"/>
  <c r="H16" i="73"/>
  <c r="K8" i="73"/>
  <c r="L8" i="73"/>
  <c r="L10" i="73" s="1"/>
  <c r="M7" i="73"/>
  <c r="N7" i="73"/>
  <c r="M14" i="73"/>
  <c r="K14" i="73"/>
  <c r="K16" i="73" s="1"/>
  <c r="L14" i="73"/>
  <c r="L16" i="73" s="1"/>
  <c r="K11" i="73"/>
  <c r="P7" i="73"/>
  <c r="P8" i="73" s="1"/>
  <c r="N14" i="73"/>
  <c r="H24" i="73"/>
  <c r="I24" i="73"/>
  <c r="Q13" i="73"/>
  <c r="H17" i="73"/>
  <c r="Q13" i="72"/>
  <c r="N14" i="72"/>
  <c r="H24" i="72"/>
  <c r="M14" i="72"/>
  <c r="K11" i="72"/>
  <c r="K14" i="72"/>
  <c r="K16" i="72" s="1"/>
  <c r="L14" i="72"/>
  <c r="L16" i="72" s="1"/>
  <c r="I7" i="72"/>
  <c r="J7" i="71"/>
  <c r="J9" i="71" s="1"/>
  <c r="N8" i="71"/>
  <c r="N10" i="71" s="1"/>
  <c r="L7" i="71"/>
  <c r="H16" i="71"/>
  <c r="H17" i="71" s="1"/>
  <c r="N7" i="71"/>
  <c r="M8" i="71"/>
  <c r="M10" i="71" s="1"/>
  <c r="K7" i="71"/>
  <c r="M7" i="71"/>
  <c r="K8" i="71"/>
  <c r="L8" i="71"/>
  <c r="L10" i="71" s="1"/>
  <c r="N14" i="71"/>
  <c r="Q13" i="71"/>
  <c r="H24" i="71"/>
  <c r="I24" i="71"/>
  <c r="M14" i="71"/>
  <c r="K11" i="71"/>
  <c r="K14" i="71"/>
  <c r="K16" i="71" s="1"/>
  <c r="L14" i="71"/>
  <c r="L16" i="71" s="1"/>
  <c r="N14" i="70"/>
  <c r="H24" i="70"/>
  <c r="H17" i="70"/>
  <c r="I24" i="70"/>
  <c r="Q13" i="70"/>
  <c r="K8" i="70"/>
  <c r="L8" i="70"/>
  <c r="L10" i="70" s="1"/>
  <c r="M8" i="70"/>
  <c r="M10" i="70" s="1"/>
  <c r="N8" i="70"/>
  <c r="N10" i="70" s="1"/>
  <c r="J7" i="70"/>
  <c r="J9" i="70" s="1"/>
  <c r="K7" i="70"/>
  <c r="L7" i="70"/>
  <c r="H16" i="70"/>
  <c r="P7" i="70" s="1"/>
  <c r="P8" i="70" s="1"/>
  <c r="M7" i="70"/>
  <c r="N7" i="70"/>
  <c r="M14" i="70"/>
  <c r="K11" i="70"/>
  <c r="K14" i="70"/>
  <c r="K16" i="70" s="1"/>
  <c r="L14" i="70"/>
  <c r="L16" i="70" s="1"/>
  <c r="H7" i="69"/>
  <c r="H8" i="69"/>
  <c r="I7" i="69"/>
  <c r="H8" i="68"/>
  <c r="H7" i="68"/>
  <c r="I7" i="68" s="1"/>
  <c r="M8" i="67"/>
  <c r="M10" i="67" s="1"/>
  <c r="N8" i="67"/>
  <c r="N10" i="67" s="1"/>
  <c r="J7" i="67"/>
  <c r="J9" i="67" s="1"/>
  <c r="K7" i="67"/>
  <c r="K8" i="67"/>
  <c r="L8" i="67"/>
  <c r="L10" i="67" s="1"/>
  <c r="L7" i="67"/>
  <c r="H16" i="67"/>
  <c r="H17" i="67" s="1"/>
  <c r="M7" i="67"/>
  <c r="N7" i="67"/>
  <c r="P7" i="67"/>
  <c r="P8" i="67" s="1"/>
  <c r="N14" i="67"/>
  <c r="Q13" i="67"/>
  <c r="H24" i="67"/>
  <c r="M14" i="67"/>
  <c r="K11" i="67"/>
  <c r="K14" i="67"/>
  <c r="K16" i="67" s="1"/>
  <c r="L14" i="67"/>
  <c r="L16" i="67" s="1"/>
  <c r="N8" i="66"/>
  <c r="N10" i="66" s="1"/>
  <c r="N7" i="66"/>
  <c r="K7" i="66"/>
  <c r="H16" i="66"/>
  <c r="H17" i="66" s="1"/>
  <c r="K8" i="66"/>
  <c r="L8" i="66"/>
  <c r="L10" i="66" s="1"/>
  <c r="J7" i="66"/>
  <c r="J9" i="66" s="1"/>
  <c r="M8" i="66"/>
  <c r="M10" i="66" s="1"/>
  <c r="L7" i="66"/>
  <c r="M7" i="66"/>
  <c r="P7" i="66"/>
  <c r="P8" i="66" s="1"/>
  <c r="I24" i="66"/>
  <c r="N14" i="66"/>
  <c r="Q13" i="66"/>
  <c r="H24" i="66"/>
  <c r="M14" i="66"/>
  <c r="L14" i="66"/>
  <c r="L16" i="66" s="1"/>
  <c r="K11" i="66"/>
  <c r="K14" i="66"/>
  <c r="K16" i="66" s="1"/>
  <c r="N14" i="65"/>
  <c r="Q13" i="65"/>
  <c r="H24" i="65"/>
  <c r="I7" i="65"/>
  <c r="M14" i="65"/>
  <c r="K11" i="65"/>
  <c r="K14" i="65"/>
  <c r="K16" i="65" s="1"/>
  <c r="L14" i="65"/>
  <c r="L16" i="65" s="1"/>
  <c r="P7" i="64"/>
  <c r="P8" i="64" s="1"/>
  <c r="N14" i="64"/>
  <c r="Q13" i="64"/>
  <c r="H17" i="64"/>
  <c r="H24" i="64"/>
  <c r="K8" i="64"/>
  <c r="L8" i="64"/>
  <c r="L10" i="64" s="1"/>
  <c r="J7" i="64"/>
  <c r="J9" i="64" s="1"/>
  <c r="K7" i="64"/>
  <c r="L7" i="64"/>
  <c r="H16" i="64"/>
  <c r="I24" i="64" s="1"/>
  <c r="M7" i="64"/>
  <c r="N7" i="64"/>
  <c r="M8" i="64"/>
  <c r="M10" i="64" s="1"/>
  <c r="N8" i="64"/>
  <c r="N10" i="64" s="1"/>
  <c r="M14" i="64"/>
  <c r="K11" i="64"/>
  <c r="K14" i="64"/>
  <c r="K16" i="64" s="1"/>
  <c r="L14" i="64"/>
  <c r="L16" i="64" s="1"/>
  <c r="K8" i="63"/>
  <c r="L8" i="63"/>
  <c r="L10" i="63" s="1"/>
  <c r="M8" i="63"/>
  <c r="M10" i="63" s="1"/>
  <c r="N8" i="63"/>
  <c r="N10" i="63" s="1"/>
  <c r="J7" i="63"/>
  <c r="J9" i="63" s="1"/>
  <c r="L7" i="63"/>
  <c r="H16" i="63"/>
  <c r="P7" i="63" s="1"/>
  <c r="P8" i="63" s="1"/>
  <c r="M7" i="63"/>
  <c r="N7" i="63"/>
  <c r="K7" i="63"/>
  <c r="M14" i="63"/>
  <c r="K14" i="63"/>
  <c r="K16" i="63" s="1"/>
  <c r="K11" i="63"/>
  <c r="L14" i="63"/>
  <c r="L16" i="63" s="1"/>
  <c r="H24" i="63"/>
  <c r="N14" i="63"/>
  <c r="Q13" i="63"/>
  <c r="H17" i="63"/>
  <c r="H8" i="62"/>
  <c r="H7" i="62"/>
  <c r="M7" i="61"/>
  <c r="K7" i="61"/>
  <c r="L7" i="61"/>
  <c r="K8" i="61"/>
  <c r="L8" i="61"/>
  <c r="L10" i="61" s="1"/>
  <c r="J7" i="61"/>
  <c r="J9" i="61" s="1"/>
  <c r="M8" i="61"/>
  <c r="M10" i="61" s="1"/>
  <c r="N8" i="61"/>
  <c r="N10" i="61" s="1"/>
  <c r="H16" i="61"/>
  <c r="H17" i="61" s="1"/>
  <c r="N7" i="61"/>
  <c r="H24" i="61"/>
  <c r="N14" i="61"/>
  <c r="Q13" i="61"/>
  <c r="M14" i="61"/>
  <c r="K14" i="61"/>
  <c r="K16" i="61" s="1"/>
  <c r="K11" i="61"/>
  <c r="L14" i="61"/>
  <c r="L16" i="61" s="1"/>
  <c r="N14" i="60"/>
  <c r="H24" i="60"/>
  <c r="Q13" i="60"/>
  <c r="M14" i="60"/>
  <c r="K14" i="60"/>
  <c r="K16" i="60" s="1"/>
  <c r="L14" i="60"/>
  <c r="L16" i="60" s="1"/>
  <c r="K11" i="60"/>
  <c r="I7" i="60"/>
  <c r="K7" i="59"/>
  <c r="M7" i="59"/>
  <c r="K8" i="59"/>
  <c r="N8" i="59"/>
  <c r="N10" i="59" s="1"/>
  <c r="L7" i="59"/>
  <c r="H16" i="59"/>
  <c r="H17" i="59" s="1"/>
  <c r="N7" i="59"/>
  <c r="L8" i="59"/>
  <c r="L10" i="59" s="1"/>
  <c r="J7" i="59"/>
  <c r="J9" i="59" s="1"/>
  <c r="M8" i="59"/>
  <c r="M10" i="59" s="1"/>
  <c r="P7" i="59"/>
  <c r="P8" i="59" s="1"/>
  <c r="N14" i="59"/>
  <c r="Q13" i="59"/>
  <c r="H24" i="59"/>
  <c r="M14" i="59"/>
  <c r="K11" i="59"/>
  <c r="K14" i="59"/>
  <c r="K16" i="59" s="1"/>
  <c r="L14" i="59"/>
  <c r="L16" i="59" s="1"/>
  <c r="H7" i="58"/>
  <c r="I7" i="58"/>
  <c r="H8" i="58"/>
  <c r="M14" i="57"/>
  <c r="K11" i="57"/>
  <c r="L14" i="57"/>
  <c r="L16" i="57" s="1"/>
  <c r="K14" i="57"/>
  <c r="K16" i="57" s="1"/>
  <c r="L7" i="57"/>
  <c r="N7" i="57"/>
  <c r="K8" i="57"/>
  <c r="L8" i="57"/>
  <c r="L10" i="57" s="1"/>
  <c r="J7" i="57"/>
  <c r="J9" i="57" s="1"/>
  <c r="M8" i="57"/>
  <c r="M10" i="57" s="1"/>
  <c r="K7" i="57"/>
  <c r="N8" i="57"/>
  <c r="N10" i="57" s="1"/>
  <c r="H16" i="57"/>
  <c r="M7" i="57"/>
  <c r="P7" i="57"/>
  <c r="P8" i="57" s="1"/>
  <c r="N14" i="57"/>
  <c r="Q13" i="57"/>
  <c r="H17" i="57"/>
  <c r="H24" i="57"/>
  <c r="I24" i="57"/>
  <c r="K7" i="56"/>
  <c r="L7" i="56"/>
  <c r="H16" i="56"/>
  <c r="H17" i="56" s="1"/>
  <c r="L8" i="56"/>
  <c r="L10" i="56" s="1"/>
  <c r="M8" i="56"/>
  <c r="M10" i="56" s="1"/>
  <c r="N8" i="56"/>
  <c r="N10" i="56" s="1"/>
  <c r="K8" i="56"/>
  <c r="J7" i="56"/>
  <c r="J9" i="56" s="1"/>
  <c r="M7" i="56"/>
  <c r="N7" i="56"/>
  <c r="P7" i="56"/>
  <c r="P8" i="56" s="1"/>
  <c r="N14" i="56"/>
  <c r="Q13" i="56"/>
  <c r="H24" i="56"/>
  <c r="I24" i="56"/>
  <c r="M14" i="56"/>
  <c r="L14" i="56"/>
  <c r="L16" i="56" s="1"/>
  <c r="K11" i="56"/>
  <c r="K14" i="56"/>
  <c r="K16" i="56" s="1"/>
  <c r="N8" i="55"/>
  <c r="N10" i="55" s="1"/>
  <c r="K7" i="55"/>
  <c r="M8" i="55"/>
  <c r="M10" i="55" s="1"/>
  <c r="J7" i="55"/>
  <c r="J9" i="55" s="1"/>
  <c r="L7" i="55"/>
  <c r="L8" i="55"/>
  <c r="L10" i="55" s="1"/>
  <c r="K8" i="55"/>
  <c r="H16" i="55"/>
  <c r="P7" i="55" s="1"/>
  <c r="P8" i="55" s="1"/>
  <c r="N7" i="55"/>
  <c r="M7" i="55"/>
  <c r="H17" i="55"/>
  <c r="I24" i="55"/>
  <c r="Q13" i="55"/>
  <c r="N14" i="55"/>
  <c r="H24" i="55"/>
  <c r="K14" i="55"/>
  <c r="K16" i="55" s="1"/>
  <c r="M14" i="55"/>
  <c r="K11" i="55"/>
  <c r="L14" i="55"/>
  <c r="L16" i="55" s="1"/>
  <c r="N14" i="54"/>
  <c r="Q13" i="54"/>
  <c r="H24" i="54"/>
  <c r="M14" i="54"/>
  <c r="K11" i="54"/>
  <c r="K14" i="54"/>
  <c r="K16" i="54" s="1"/>
  <c r="L14" i="54"/>
  <c r="L16" i="54" s="1"/>
  <c r="I7" i="54"/>
  <c r="M8" i="53"/>
  <c r="M10" i="53" s="1"/>
  <c r="N8" i="53"/>
  <c r="N10" i="53" s="1"/>
  <c r="L7" i="53"/>
  <c r="N7" i="53"/>
  <c r="J7" i="53"/>
  <c r="J9" i="53" s="1"/>
  <c r="K7" i="53"/>
  <c r="H16" i="53"/>
  <c r="K8" i="53"/>
  <c r="L8" i="53"/>
  <c r="L10" i="53" s="1"/>
  <c r="M7" i="53"/>
  <c r="P7" i="53"/>
  <c r="P8" i="53" s="1"/>
  <c r="I24" i="53"/>
  <c r="N14" i="53"/>
  <c r="Q13" i="53"/>
  <c r="H17" i="53"/>
  <c r="H24" i="53"/>
  <c r="M14" i="53"/>
  <c r="L14" i="53"/>
  <c r="L16" i="53" s="1"/>
  <c r="K11" i="53"/>
  <c r="K14" i="53"/>
  <c r="K16" i="53" s="1"/>
  <c r="M8" i="52"/>
  <c r="M10" i="52" s="1"/>
  <c r="N8" i="52"/>
  <c r="N10" i="52" s="1"/>
  <c r="K7" i="52"/>
  <c r="N7" i="52"/>
  <c r="K8" i="52"/>
  <c r="L8" i="52"/>
  <c r="L10" i="52" s="1"/>
  <c r="J7" i="52"/>
  <c r="J9" i="52" s="1"/>
  <c r="L7" i="52"/>
  <c r="H16" i="52"/>
  <c r="H17" i="52" s="1"/>
  <c r="M7" i="52"/>
  <c r="P7" i="52"/>
  <c r="P8" i="52" s="1"/>
  <c r="N14" i="52"/>
  <c r="Q13" i="52"/>
  <c r="H24" i="52"/>
  <c r="M14" i="52"/>
  <c r="K11" i="52"/>
  <c r="K14" i="52"/>
  <c r="K16" i="52" s="1"/>
  <c r="L14" i="52"/>
  <c r="L16" i="52" s="1"/>
  <c r="H8" i="51"/>
  <c r="H7" i="51"/>
  <c r="I7" i="51" s="1"/>
  <c r="M14" i="50"/>
  <c r="K11" i="50"/>
  <c r="K14" i="50"/>
  <c r="K16" i="50" s="1"/>
  <c r="L14" i="50"/>
  <c r="L16" i="50" s="1"/>
  <c r="N14" i="50"/>
  <c r="Q13" i="50"/>
  <c r="H24" i="50"/>
  <c r="I7" i="50"/>
  <c r="K8" i="49"/>
  <c r="J7" i="49"/>
  <c r="J9" i="49" s="1"/>
  <c r="K7" i="49"/>
  <c r="N8" i="49"/>
  <c r="N10" i="49" s="1"/>
  <c r="L7" i="49"/>
  <c r="H16" i="49"/>
  <c r="H17" i="49" s="1"/>
  <c r="L8" i="49"/>
  <c r="L10" i="49" s="1"/>
  <c r="M8" i="49"/>
  <c r="M10" i="49" s="1"/>
  <c r="M7" i="49"/>
  <c r="N7" i="49"/>
  <c r="P7" i="49"/>
  <c r="P8" i="49" s="1"/>
  <c r="N14" i="49"/>
  <c r="H24" i="49"/>
  <c r="Q13" i="49"/>
  <c r="M14" i="49"/>
  <c r="K11" i="49"/>
  <c r="K14" i="49"/>
  <c r="K16" i="49" s="1"/>
  <c r="L14" i="49"/>
  <c r="L16" i="49" s="1"/>
  <c r="H8" i="48"/>
  <c r="H7" i="48"/>
  <c r="K8" i="47"/>
  <c r="L8" i="47"/>
  <c r="L10" i="47" s="1"/>
  <c r="M8" i="47"/>
  <c r="M10" i="47" s="1"/>
  <c r="N8" i="47"/>
  <c r="N10" i="47" s="1"/>
  <c r="N7" i="47"/>
  <c r="J7" i="47"/>
  <c r="J9" i="47" s="1"/>
  <c r="K7" i="47"/>
  <c r="L7" i="47"/>
  <c r="H16" i="47"/>
  <c r="I24" i="47" s="1"/>
  <c r="M7" i="47"/>
  <c r="P7" i="47"/>
  <c r="P8" i="47" s="1"/>
  <c r="N14" i="47"/>
  <c r="Q13" i="47"/>
  <c r="H24" i="47"/>
  <c r="M14" i="47"/>
  <c r="K11" i="47"/>
  <c r="K14" i="47"/>
  <c r="K16" i="47" s="1"/>
  <c r="L14" i="47"/>
  <c r="L16" i="47" s="1"/>
  <c r="H8" i="46"/>
  <c r="H7" i="46"/>
  <c r="I7" i="46"/>
  <c r="H8" i="45"/>
  <c r="H7" i="45"/>
  <c r="H8" i="44"/>
  <c r="H7" i="44"/>
  <c r="I7" i="44" s="1"/>
  <c r="H7" i="43"/>
  <c r="I7" i="43"/>
  <c r="H8" i="43"/>
  <c r="H8" i="42"/>
  <c r="H7" i="42"/>
  <c r="I7" i="42"/>
  <c r="H7" i="41"/>
  <c r="I7" i="41" s="1"/>
  <c r="H8" i="41"/>
  <c r="K8" i="40"/>
  <c r="L8" i="40"/>
  <c r="L10" i="40" s="1"/>
  <c r="J7" i="40"/>
  <c r="J9" i="40" s="1"/>
  <c r="N8" i="40"/>
  <c r="N10" i="40" s="1"/>
  <c r="M8" i="40"/>
  <c r="M10" i="40" s="1"/>
  <c r="N7" i="40"/>
  <c r="K7" i="40"/>
  <c r="M7" i="40"/>
  <c r="L7" i="40"/>
  <c r="H16" i="40"/>
  <c r="H17" i="40" s="1"/>
  <c r="M14" i="40"/>
  <c r="K14" i="40"/>
  <c r="K16" i="40" s="1"/>
  <c r="L14" i="40"/>
  <c r="L16" i="40" s="1"/>
  <c r="K11" i="40"/>
  <c r="N14" i="40"/>
  <c r="H24" i="40"/>
  <c r="Q13" i="40"/>
  <c r="M14" i="39"/>
  <c r="L14" i="39"/>
  <c r="L16" i="39" s="1"/>
  <c r="K11" i="39"/>
  <c r="K14" i="39"/>
  <c r="K16" i="39" s="1"/>
  <c r="L8" i="39"/>
  <c r="L10" i="39" s="1"/>
  <c r="J7" i="39"/>
  <c r="J9" i="39" s="1"/>
  <c r="N8" i="39"/>
  <c r="N10" i="39" s="1"/>
  <c r="L7" i="39"/>
  <c r="M7" i="39"/>
  <c r="N7" i="39"/>
  <c r="K8" i="39"/>
  <c r="M8" i="39"/>
  <c r="M10" i="39" s="1"/>
  <c r="K7" i="39"/>
  <c r="H16" i="39"/>
  <c r="P7" i="39"/>
  <c r="P8" i="39" s="1"/>
  <c r="Q13" i="39"/>
  <c r="I24" i="39"/>
  <c r="N14" i="39"/>
  <c r="H17" i="39"/>
  <c r="H24" i="39"/>
  <c r="N14" i="38"/>
  <c r="Q13" i="38"/>
  <c r="H24" i="38"/>
  <c r="I7" i="38"/>
  <c r="M14" i="38"/>
  <c r="K11" i="38"/>
  <c r="K14" i="38"/>
  <c r="K16" i="38" s="1"/>
  <c r="L14" i="38"/>
  <c r="L16" i="38" s="1"/>
  <c r="M8" i="37"/>
  <c r="M10" i="37" s="1"/>
  <c r="N8" i="37"/>
  <c r="N10" i="37" s="1"/>
  <c r="N7" i="37"/>
  <c r="J7" i="37"/>
  <c r="J9" i="37" s="1"/>
  <c r="H16" i="37"/>
  <c r="I24" i="37" s="1"/>
  <c r="K8" i="37"/>
  <c r="L8" i="37"/>
  <c r="L10" i="37" s="1"/>
  <c r="K7" i="37"/>
  <c r="L7" i="37"/>
  <c r="M7" i="37"/>
  <c r="P7" i="37"/>
  <c r="P8" i="37" s="1"/>
  <c r="N14" i="37"/>
  <c r="H17" i="37"/>
  <c r="Q13" i="37"/>
  <c r="H24" i="37"/>
  <c r="M14" i="37"/>
  <c r="K11" i="37"/>
  <c r="K14" i="37"/>
  <c r="K16" i="37" s="1"/>
  <c r="L14" i="37"/>
  <c r="L16" i="37" s="1"/>
  <c r="L7" i="36"/>
  <c r="H16" i="36"/>
  <c r="H17" i="36" s="1"/>
  <c r="M7" i="36"/>
  <c r="K8" i="36"/>
  <c r="L8" i="36"/>
  <c r="L10" i="36" s="1"/>
  <c r="J7" i="36"/>
  <c r="J9" i="36" s="1"/>
  <c r="M8" i="36"/>
  <c r="M10" i="36" s="1"/>
  <c r="K7" i="36"/>
  <c r="N8" i="36"/>
  <c r="N10" i="36" s="1"/>
  <c r="N7" i="36"/>
  <c r="P7" i="36"/>
  <c r="P8" i="36" s="1"/>
  <c r="Q13" i="36"/>
  <c r="N14" i="36"/>
  <c r="H24" i="36"/>
  <c r="I24" i="36"/>
  <c r="M14" i="36"/>
  <c r="K11" i="36"/>
  <c r="K14" i="36"/>
  <c r="K16" i="36" s="1"/>
  <c r="L14" i="36"/>
  <c r="L16" i="36" s="1"/>
  <c r="H8" i="35"/>
  <c r="H7" i="35"/>
  <c r="I7" i="35"/>
  <c r="J7" i="82" l="1"/>
  <c r="J9" i="82" s="1"/>
  <c r="K7" i="82"/>
  <c r="L7" i="82"/>
  <c r="H16" i="82"/>
  <c r="N7" i="82"/>
  <c r="M8" i="82"/>
  <c r="M10" i="82" s="1"/>
  <c r="N8" i="82"/>
  <c r="N10" i="82" s="1"/>
  <c r="L8" i="82"/>
  <c r="L10" i="82" s="1"/>
  <c r="M7" i="82"/>
  <c r="K8" i="82"/>
  <c r="M16" i="82"/>
  <c r="U21" i="82"/>
  <c r="N14" i="81"/>
  <c r="Q13" i="81"/>
  <c r="H17" i="81"/>
  <c r="H24" i="81"/>
  <c r="K8" i="81"/>
  <c r="H16" i="81"/>
  <c r="P7" i="81" s="1"/>
  <c r="P8" i="81" s="1"/>
  <c r="L8" i="81"/>
  <c r="L10" i="81" s="1"/>
  <c r="N8" i="81"/>
  <c r="N10" i="81" s="1"/>
  <c r="L7" i="81"/>
  <c r="J7" i="81"/>
  <c r="J9" i="81" s="1"/>
  <c r="M8" i="81"/>
  <c r="M10" i="81" s="1"/>
  <c r="K7" i="81"/>
  <c r="M7" i="81"/>
  <c r="N7" i="81"/>
  <c r="M14" i="81"/>
  <c r="L14" i="81"/>
  <c r="L16" i="81" s="1"/>
  <c r="K11" i="81"/>
  <c r="K14" i="81"/>
  <c r="K16" i="81" s="1"/>
  <c r="W27" i="80"/>
  <c r="W5" i="80"/>
  <c r="V6" i="80"/>
  <c r="N9" i="80"/>
  <c r="U6" i="80"/>
  <c r="W6" i="80"/>
  <c r="S3" i="80"/>
  <c r="U21" i="80"/>
  <c r="M16" i="80"/>
  <c r="K9" i="80"/>
  <c r="O5" i="80"/>
  <c r="V5" i="80"/>
  <c r="M9" i="80"/>
  <c r="L9" i="80"/>
  <c r="U5" i="80"/>
  <c r="N7" i="79"/>
  <c r="K8" i="79"/>
  <c r="J7" i="79"/>
  <c r="J9" i="79" s="1"/>
  <c r="L7" i="79"/>
  <c r="M7" i="79"/>
  <c r="L8" i="79"/>
  <c r="L10" i="79" s="1"/>
  <c r="M8" i="79"/>
  <c r="M10" i="79" s="1"/>
  <c r="K7" i="79"/>
  <c r="N8" i="79"/>
  <c r="N10" i="79" s="1"/>
  <c r="H16" i="79"/>
  <c r="H17" i="79" s="1"/>
  <c r="N14" i="79"/>
  <c r="Q13" i="79"/>
  <c r="H24" i="79"/>
  <c r="M14" i="79"/>
  <c r="K11" i="79"/>
  <c r="K14" i="79"/>
  <c r="K16" i="79" s="1"/>
  <c r="L14" i="79"/>
  <c r="L16" i="79" s="1"/>
  <c r="M16" i="78"/>
  <c r="U21" i="78"/>
  <c r="H17" i="78"/>
  <c r="L9" i="78"/>
  <c r="U5" i="78"/>
  <c r="K9" i="78"/>
  <c r="O5" i="78"/>
  <c r="M9" i="78"/>
  <c r="V5" i="78"/>
  <c r="P7" i="78"/>
  <c r="P8" i="78" s="1"/>
  <c r="S3" i="78"/>
  <c r="W5" i="78"/>
  <c r="N9" i="78"/>
  <c r="U6" i="78"/>
  <c r="W27" i="78"/>
  <c r="V6" i="78"/>
  <c r="W6" i="78"/>
  <c r="K8" i="77"/>
  <c r="M8" i="77"/>
  <c r="M10" i="77" s="1"/>
  <c r="N8" i="77"/>
  <c r="N10" i="77" s="1"/>
  <c r="N7" i="77"/>
  <c r="J7" i="77"/>
  <c r="J9" i="77" s="1"/>
  <c r="L8" i="77"/>
  <c r="L10" i="77" s="1"/>
  <c r="K7" i="77"/>
  <c r="L7" i="77"/>
  <c r="H16" i="77"/>
  <c r="M7" i="77"/>
  <c r="M16" i="77"/>
  <c r="U21" i="77"/>
  <c r="S3" i="76"/>
  <c r="N9" i="76"/>
  <c r="W6" i="76"/>
  <c r="W5" i="76"/>
  <c r="V6" i="76"/>
  <c r="U6" i="76"/>
  <c r="W27" i="76"/>
  <c r="U5" i="76"/>
  <c r="L9" i="76"/>
  <c r="K9" i="76"/>
  <c r="O5" i="76"/>
  <c r="M9" i="76"/>
  <c r="V5" i="76"/>
  <c r="M16" i="76"/>
  <c r="U21" i="76"/>
  <c r="M9" i="75"/>
  <c r="V5" i="75"/>
  <c r="K9" i="75"/>
  <c r="O5" i="75"/>
  <c r="M16" i="75"/>
  <c r="U21" i="75"/>
  <c r="I24" i="75"/>
  <c r="S3" i="75"/>
  <c r="W5" i="75"/>
  <c r="W27" i="75"/>
  <c r="N9" i="75"/>
  <c r="U6" i="75"/>
  <c r="W6" i="75"/>
  <c r="V6" i="75"/>
  <c r="L9" i="75"/>
  <c r="U5" i="75"/>
  <c r="K8" i="74"/>
  <c r="L8" i="74"/>
  <c r="L10" i="74" s="1"/>
  <c r="J7" i="74"/>
  <c r="J9" i="74" s="1"/>
  <c r="M8" i="74"/>
  <c r="M10" i="74" s="1"/>
  <c r="K7" i="74"/>
  <c r="N8" i="74"/>
  <c r="N10" i="74" s="1"/>
  <c r="H16" i="74"/>
  <c r="M7" i="74"/>
  <c r="N7" i="74"/>
  <c r="L7" i="74"/>
  <c r="M16" i="74"/>
  <c r="U21" i="74"/>
  <c r="M16" i="73"/>
  <c r="U21" i="73"/>
  <c r="S3" i="73"/>
  <c r="W5" i="73"/>
  <c r="W27" i="73"/>
  <c r="N9" i="73"/>
  <c r="U6" i="73"/>
  <c r="V6" i="73"/>
  <c r="W6" i="73"/>
  <c r="L9" i="73"/>
  <c r="U5" i="73"/>
  <c r="K9" i="73"/>
  <c r="O5" i="73"/>
  <c r="M9" i="73"/>
  <c r="V5" i="73"/>
  <c r="K8" i="72"/>
  <c r="M8" i="72"/>
  <c r="M10" i="72" s="1"/>
  <c r="N7" i="72"/>
  <c r="L8" i="72"/>
  <c r="L10" i="72" s="1"/>
  <c r="J7" i="72"/>
  <c r="J9" i="72" s="1"/>
  <c r="K7" i="72"/>
  <c r="L7" i="72"/>
  <c r="N8" i="72"/>
  <c r="N10" i="72" s="1"/>
  <c r="H16" i="72"/>
  <c r="M7" i="72"/>
  <c r="M16" i="72"/>
  <c r="U21" i="72"/>
  <c r="P7" i="71"/>
  <c r="P8" i="71" s="1"/>
  <c r="K9" i="71"/>
  <c r="O5" i="71"/>
  <c r="M16" i="71"/>
  <c r="U21" i="71"/>
  <c r="M9" i="71"/>
  <c r="V5" i="71"/>
  <c r="S3" i="71"/>
  <c r="W27" i="71"/>
  <c r="V6" i="71"/>
  <c r="W6" i="71"/>
  <c r="N9" i="71"/>
  <c r="W5" i="71"/>
  <c r="U6" i="71"/>
  <c r="L9" i="71"/>
  <c r="U5" i="71"/>
  <c r="K9" i="70"/>
  <c r="O5" i="70"/>
  <c r="M9" i="70"/>
  <c r="V5" i="70"/>
  <c r="M16" i="70"/>
  <c r="U21" i="70"/>
  <c r="S3" i="70"/>
  <c r="N9" i="70"/>
  <c r="W5" i="70"/>
  <c r="W27" i="70"/>
  <c r="U6" i="70"/>
  <c r="V6" i="70"/>
  <c r="W6" i="70"/>
  <c r="L9" i="70"/>
  <c r="U5" i="70"/>
  <c r="P7" i="69"/>
  <c r="P8" i="69" s="1"/>
  <c r="N14" i="69"/>
  <c r="H24" i="69"/>
  <c r="I24" i="69"/>
  <c r="Q13" i="69"/>
  <c r="K8" i="69"/>
  <c r="J7" i="69"/>
  <c r="J9" i="69" s="1"/>
  <c r="K7" i="69"/>
  <c r="N8" i="69"/>
  <c r="N10" i="69" s="1"/>
  <c r="L7" i="69"/>
  <c r="H16" i="69"/>
  <c r="H17" i="69" s="1"/>
  <c r="M7" i="69"/>
  <c r="N7" i="69"/>
  <c r="L8" i="69"/>
  <c r="L10" i="69" s="1"/>
  <c r="M8" i="69"/>
  <c r="M10" i="69" s="1"/>
  <c r="M14" i="69"/>
  <c r="K14" i="69"/>
  <c r="K16" i="69" s="1"/>
  <c r="L14" i="69"/>
  <c r="L16" i="69" s="1"/>
  <c r="K11" i="69"/>
  <c r="M8" i="68"/>
  <c r="M10" i="68" s="1"/>
  <c r="H16" i="68"/>
  <c r="J7" i="68"/>
  <c r="J9" i="68" s="1"/>
  <c r="N8" i="68"/>
  <c r="N10" i="68" s="1"/>
  <c r="K8" i="68"/>
  <c r="L8" i="68"/>
  <c r="L10" i="68" s="1"/>
  <c r="K7" i="68"/>
  <c r="L7" i="68"/>
  <c r="M7" i="68"/>
  <c r="N7" i="68"/>
  <c r="P7" i="68"/>
  <c r="P8" i="68" s="1"/>
  <c r="N14" i="68"/>
  <c r="Q13" i="68"/>
  <c r="H17" i="68"/>
  <c r="H24" i="68"/>
  <c r="I24" i="68"/>
  <c r="M14" i="68"/>
  <c r="K11" i="68"/>
  <c r="L14" i="68"/>
  <c r="L16" i="68" s="1"/>
  <c r="K14" i="68"/>
  <c r="K16" i="68" s="1"/>
  <c r="M9" i="67"/>
  <c r="V5" i="67"/>
  <c r="I24" i="67"/>
  <c r="K9" i="67"/>
  <c r="O5" i="67"/>
  <c r="S3" i="67"/>
  <c r="W6" i="67"/>
  <c r="N9" i="67"/>
  <c r="W5" i="67"/>
  <c r="U6" i="67"/>
  <c r="W27" i="67"/>
  <c r="V6" i="67"/>
  <c r="U5" i="67"/>
  <c r="L9" i="67"/>
  <c r="M16" i="67"/>
  <c r="U21" i="67"/>
  <c r="L9" i="66"/>
  <c r="U5" i="66"/>
  <c r="K9" i="66"/>
  <c r="O5" i="66"/>
  <c r="M9" i="66"/>
  <c r="V5" i="66"/>
  <c r="M16" i="66"/>
  <c r="U21" i="66"/>
  <c r="S3" i="66"/>
  <c r="W6" i="66"/>
  <c r="N9" i="66"/>
  <c r="W5" i="66"/>
  <c r="U6" i="66"/>
  <c r="W27" i="66"/>
  <c r="V6" i="66"/>
  <c r="J7" i="65"/>
  <c r="J9" i="65" s="1"/>
  <c r="K7" i="65"/>
  <c r="H16" i="65"/>
  <c r="M7" i="65"/>
  <c r="M8" i="65"/>
  <c r="M10" i="65" s="1"/>
  <c r="N8" i="65"/>
  <c r="N10" i="65" s="1"/>
  <c r="L7" i="65"/>
  <c r="K8" i="65"/>
  <c r="L8" i="65"/>
  <c r="L10" i="65" s="1"/>
  <c r="N7" i="65"/>
  <c r="M16" i="65"/>
  <c r="U21" i="65"/>
  <c r="L9" i="64"/>
  <c r="U5" i="64"/>
  <c r="M16" i="64"/>
  <c r="U21" i="64"/>
  <c r="S3" i="64"/>
  <c r="N9" i="64"/>
  <c r="W5" i="64"/>
  <c r="U6" i="64"/>
  <c r="W27" i="64"/>
  <c r="V6" i="64"/>
  <c r="W6" i="64"/>
  <c r="M9" i="64"/>
  <c r="V5" i="64"/>
  <c r="K9" i="64"/>
  <c r="O5" i="64"/>
  <c r="L9" i="63"/>
  <c r="U5" i="63"/>
  <c r="M16" i="63"/>
  <c r="U21" i="63"/>
  <c r="M9" i="63"/>
  <c r="V5" i="63"/>
  <c r="I24" i="63"/>
  <c r="S3" i="63"/>
  <c r="N9" i="63"/>
  <c r="W5" i="63"/>
  <c r="W27" i="63"/>
  <c r="V6" i="63"/>
  <c r="U6" i="63"/>
  <c r="W6" i="63"/>
  <c r="K9" i="63"/>
  <c r="O5" i="63"/>
  <c r="N14" i="62"/>
  <c r="H24" i="62"/>
  <c r="Q13" i="62"/>
  <c r="M14" i="62"/>
  <c r="K14" i="62"/>
  <c r="K16" i="62" s="1"/>
  <c r="L14" i="62"/>
  <c r="L16" i="62" s="1"/>
  <c r="K11" i="62"/>
  <c r="I7" i="62"/>
  <c r="P7" i="61"/>
  <c r="P8" i="61" s="1"/>
  <c r="M16" i="61"/>
  <c r="U21" i="61"/>
  <c r="I24" i="61"/>
  <c r="S3" i="61"/>
  <c r="N9" i="61"/>
  <c r="W5" i="61"/>
  <c r="U6" i="61"/>
  <c r="W27" i="61"/>
  <c r="V6" i="61"/>
  <c r="W6" i="61"/>
  <c r="L9" i="61"/>
  <c r="U5" i="61"/>
  <c r="O5" i="61"/>
  <c r="K9" i="61"/>
  <c r="M9" i="61"/>
  <c r="V5" i="61"/>
  <c r="H16" i="60"/>
  <c r="K8" i="60"/>
  <c r="L8" i="60"/>
  <c r="L10" i="60" s="1"/>
  <c r="M8" i="60"/>
  <c r="M10" i="60" s="1"/>
  <c r="N8" i="60"/>
  <c r="N10" i="60" s="1"/>
  <c r="M7" i="60"/>
  <c r="N7" i="60"/>
  <c r="J7" i="60"/>
  <c r="J9" i="60" s="1"/>
  <c r="K7" i="60"/>
  <c r="L7" i="60"/>
  <c r="M16" i="60"/>
  <c r="U21" i="60"/>
  <c r="S3" i="59"/>
  <c r="V6" i="59"/>
  <c r="W6" i="59"/>
  <c r="N9" i="59"/>
  <c r="W5" i="59"/>
  <c r="U6" i="59"/>
  <c r="W27" i="59"/>
  <c r="M16" i="59"/>
  <c r="U21" i="59"/>
  <c r="U5" i="59"/>
  <c r="L9" i="59"/>
  <c r="I24" i="59"/>
  <c r="M9" i="59"/>
  <c r="V5" i="59"/>
  <c r="K9" i="59"/>
  <c r="O5" i="59"/>
  <c r="M14" i="58"/>
  <c r="K14" i="58"/>
  <c r="K16" i="58" s="1"/>
  <c r="K11" i="58"/>
  <c r="L14" i="58"/>
  <c r="L16" i="58" s="1"/>
  <c r="K8" i="58"/>
  <c r="L8" i="58"/>
  <c r="L10" i="58" s="1"/>
  <c r="M8" i="58"/>
  <c r="M10" i="58" s="1"/>
  <c r="N8" i="58"/>
  <c r="N10" i="58" s="1"/>
  <c r="N7" i="58"/>
  <c r="J7" i="58"/>
  <c r="J9" i="58" s="1"/>
  <c r="K7" i="58"/>
  <c r="H16" i="58"/>
  <c r="H17" i="58" s="1"/>
  <c r="L7" i="58"/>
  <c r="M7" i="58"/>
  <c r="N14" i="58"/>
  <c r="H24" i="58"/>
  <c r="Q13" i="58"/>
  <c r="S3" i="57"/>
  <c r="N9" i="57"/>
  <c r="W5" i="57"/>
  <c r="U6" i="57"/>
  <c r="W27" i="57"/>
  <c r="V6" i="57"/>
  <c r="W6" i="57"/>
  <c r="K9" i="57"/>
  <c r="O5" i="57"/>
  <c r="L9" i="57"/>
  <c r="U5" i="57"/>
  <c r="M9" i="57"/>
  <c r="V5" i="57"/>
  <c r="M16" i="57"/>
  <c r="U21" i="57"/>
  <c r="M9" i="56"/>
  <c r="V5" i="56"/>
  <c r="M16" i="56"/>
  <c r="U21" i="56"/>
  <c r="S3" i="56"/>
  <c r="U6" i="56"/>
  <c r="N9" i="56"/>
  <c r="W5" i="56"/>
  <c r="W27" i="56"/>
  <c r="V6" i="56"/>
  <c r="W6" i="56"/>
  <c r="L9" i="56"/>
  <c r="U5" i="56"/>
  <c r="K9" i="56"/>
  <c r="O5" i="56"/>
  <c r="M16" i="55"/>
  <c r="U21" i="55"/>
  <c r="V5" i="55"/>
  <c r="M9" i="55"/>
  <c r="O5" i="55"/>
  <c r="K9" i="55"/>
  <c r="V6" i="55"/>
  <c r="W27" i="55"/>
  <c r="U6" i="55"/>
  <c r="W6" i="55"/>
  <c r="W5" i="55"/>
  <c r="N9" i="55"/>
  <c r="S3" i="55"/>
  <c r="U5" i="55"/>
  <c r="L9" i="55"/>
  <c r="N8" i="54"/>
  <c r="N10" i="54" s="1"/>
  <c r="N7" i="54"/>
  <c r="U21" i="54" s="1"/>
  <c r="L7" i="54"/>
  <c r="H16" i="54"/>
  <c r="K8" i="54"/>
  <c r="L8" i="54"/>
  <c r="L10" i="54" s="1"/>
  <c r="J7" i="54"/>
  <c r="J9" i="54" s="1"/>
  <c r="M8" i="54"/>
  <c r="M10" i="54" s="1"/>
  <c r="K7" i="54"/>
  <c r="M7" i="54"/>
  <c r="M16" i="54"/>
  <c r="M9" i="53"/>
  <c r="V5" i="53"/>
  <c r="K9" i="53"/>
  <c r="O5" i="53"/>
  <c r="M16" i="53"/>
  <c r="U21" i="53"/>
  <c r="S3" i="53"/>
  <c r="W27" i="53"/>
  <c r="W6" i="53"/>
  <c r="N9" i="53"/>
  <c r="W5" i="53"/>
  <c r="U6" i="53"/>
  <c r="V6" i="53"/>
  <c r="L9" i="53"/>
  <c r="U5" i="53"/>
  <c r="M16" i="52"/>
  <c r="U21" i="52"/>
  <c r="M9" i="52"/>
  <c r="V5" i="52"/>
  <c r="I24" i="52"/>
  <c r="S3" i="52"/>
  <c r="U6" i="52"/>
  <c r="W6" i="52"/>
  <c r="N9" i="52"/>
  <c r="W5" i="52"/>
  <c r="W27" i="52"/>
  <c r="V6" i="52"/>
  <c r="U5" i="52"/>
  <c r="L9" i="52"/>
  <c r="K9" i="52"/>
  <c r="O5" i="52"/>
  <c r="N8" i="51"/>
  <c r="N10" i="51" s="1"/>
  <c r="L7" i="51"/>
  <c r="M7" i="51"/>
  <c r="K8" i="51"/>
  <c r="L8" i="51"/>
  <c r="L10" i="51" s="1"/>
  <c r="J7" i="51"/>
  <c r="J9" i="51" s="1"/>
  <c r="M8" i="51"/>
  <c r="M10" i="51" s="1"/>
  <c r="K7" i="51"/>
  <c r="H16" i="51"/>
  <c r="P7" i="51" s="1"/>
  <c r="P8" i="51" s="1"/>
  <c r="N7" i="51"/>
  <c r="M14" i="51"/>
  <c r="K11" i="51"/>
  <c r="K14" i="51"/>
  <c r="K16" i="51" s="1"/>
  <c r="L14" i="51"/>
  <c r="L16" i="51" s="1"/>
  <c r="N14" i="51"/>
  <c r="Q13" i="51"/>
  <c r="H24" i="51"/>
  <c r="M16" i="50"/>
  <c r="M8" i="50"/>
  <c r="M10" i="50" s="1"/>
  <c r="L8" i="50"/>
  <c r="L10" i="50" s="1"/>
  <c r="K8" i="50"/>
  <c r="J7" i="50"/>
  <c r="J9" i="50" s="1"/>
  <c r="K7" i="50"/>
  <c r="N8" i="50"/>
  <c r="N10" i="50" s="1"/>
  <c r="L7" i="50"/>
  <c r="H16" i="50"/>
  <c r="M7" i="50"/>
  <c r="N7" i="50"/>
  <c r="S3" i="49"/>
  <c r="N9" i="49"/>
  <c r="W5" i="49"/>
  <c r="U6" i="49"/>
  <c r="W27" i="49"/>
  <c r="V6" i="49"/>
  <c r="W6" i="49"/>
  <c r="M9" i="49"/>
  <c r="V5" i="49"/>
  <c r="M16" i="49"/>
  <c r="U21" i="49"/>
  <c r="U5" i="49"/>
  <c r="L9" i="49"/>
  <c r="I24" i="49"/>
  <c r="K9" i="49"/>
  <c r="O5" i="49"/>
  <c r="H24" i="48"/>
  <c r="N14" i="48"/>
  <c r="Q13" i="48"/>
  <c r="I7" i="48"/>
  <c r="M14" i="48"/>
  <c r="K11" i="48"/>
  <c r="K14" i="48"/>
  <c r="K16" i="48" s="1"/>
  <c r="L14" i="48"/>
  <c r="L16" i="48" s="1"/>
  <c r="S3" i="47"/>
  <c r="W5" i="47"/>
  <c r="U6" i="47"/>
  <c r="W27" i="47"/>
  <c r="V6" i="47"/>
  <c r="W6" i="47"/>
  <c r="N9" i="47"/>
  <c r="M9" i="47"/>
  <c r="V5" i="47"/>
  <c r="L9" i="47"/>
  <c r="U5" i="47"/>
  <c r="K9" i="47"/>
  <c r="O5" i="47"/>
  <c r="M16" i="47"/>
  <c r="U21" i="47"/>
  <c r="H17" i="47"/>
  <c r="Q13" i="46"/>
  <c r="N14" i="46"/>
  <c r="H24" i="46"/>
  <c r="I24" i="46"/>
  <c r="K7" i="46"/>
  <c r="N7" i="46"/>
  <c r="N8" i="46"/>
  <c r="N10" i="46" s="1"/>
  <c r="K8" i="46"/>
  <c r="L8" i="46"/>
  <c r="L10" i="46" s="1"/>
  <c r="J7" i="46"/>
  <c r="J9" i="46" s="1"/>
  <c r="M8" i="46"/>
  <c r="M10" i="46" s="1"/>
  <c r="L7" i="46"/>
  <c r="H16" i="46"/>
  <c r="P7" i="46" s="1"/>
  <c r="P8" i="46" s="1"/>
  <c r="M7" i="46"/>
  <c r="M14" i="46"/>
  <c r="K11" i="46"/>
  <c r="K14" i="46"/>
  <c r="K16" i="46" s="1"/>
  <c r="L14" i="46"/>
  <c r="L16" i="46" s="1"/>
  <c r="N14" i="45"/>
  <c r="Q13" i="45"/>
  <c r="H24" i="45"/>
  <c r="I7" i="45"/>
  <c r="M14" i="45"/>
  <c r="K11" i="45"/>
  <c r="K14" i="45"/>
  <c r="K16" i="45" s="1"/>
  <c r="L14" i="45"/>
  <c r="L16" i="45" s="1"/>
  <c r="K8" i="44"/>
  <c r="L8" i="44"/>
  <c r="L10" i="44" s="1"/>
  <c r="M8" i="44"/>
  <c r="M10" i="44" s="1"/>
  <c r="N8" i="44"/>
  <c r="N10" i="44" s="1"/>
  <c r="J7" i="44"/>
  <c r="J9" i="44" s="1"/>
  <c r="M7" i="44"/>
  <c r="N7" i="44"/>
  <c r="K7" i="44"/>
  <c r="L7" i="44"/>
  <c r="H16" i="44"/>
  <c r="H17" i="44" s="1"/>
  <c r="P7" i="44"/>
  <c r="P8" i="44" s="1"/>
  <c r="N14" i="44"/>
  <c r="Q13" i="44"/>
  <c r="H24" i="44"/>
  <c r="I24" i="44"/>
  <c r="M14" i="44"/>
  <c r="K11" i="44"/>
  <c r="K14" i="44"/>
  <c r="K16" i="44" s="1"/>
  <c r="L14" i="44"/>
  <c r="L16" i="44" s="1"/>
  <c r="M14" i="43"/>
  <c r="K11" i="43"/>
  <c r="K14" i="43"/>
  <c r="K16" i="43" s="1"/>
  <c r="L14" i="43"/>
  <c r="L16" i="43" s="1"/>
  <c r="L8" i="43"/>
  <c r="L10" i="43" s="1"/>
  <c r="M8" i="43"/>
  <c r="M10" i="43" s="1"/>
  <c r="N8" i="43"/>
  <c r="N10" i="43" s="1"/>
  <c r="K8" i="43"/>
  <c r="J7" i="43"/>
  <c r="J9" i="43" s="1"/>
  <c r="L7" i="43"/>
  <c r="H16" i="43"/>
  <c r="P7" i="43" s="1"/>
  <c r="P8" i="43" s="1"/>
  <c r="K7" i="43"/>
  <c r="M7" i="43"/>
  <c r="N7" i="43"/>
  <c r="N14" i="43"/>
  <c r="H24" i="43"/>
  <c r="Q13" i="43"/>
  <c r="N14" i="42"/>
  <c r="Q13" i="42"/>
  <c r="I24" i="42"/>
  <c r="H24" i="42"/>
  <c r="N8" i="42"/>
  <c r="N10" i="42" s="1"/>
  <c r="M7" i="42"/>
  <c r="N7" i="42"/>
  <c r="K8" i="42"/>
  <c r="L8" i="42"/>
  <c r="L10" i="42" s="1"/>
  <c r="J7" i="42"/>
  <c r="J9" i="42" s="1"/>
  <c r="M8" i="42"/>
  <c r="M10" i="42" s="1"/>
  <c r="K7" i="42"/>
  <c r="L7" i="42"/>
  <c r="H16" i="42"/>
  <c r="P7" i="42" s="1"/>
  <c r="P8" i="42" s="1"/>
  <c r="M14" i="42"/>
  <c r="K11" i="42"/>
  <c r="K14" i="42"/>
  <c r="K16" i="42" s="1"/>
  <c r="L14" i="42"/>
  <c r="L16" i="42" s="1"/>
  <c r="J7" i="41"/>
  <c r="J9" i="41" s="1"/>
  <c r="N7" i="41"/>
  <c r="K8" i="41"/>
  <c r="L8" i="41"/>
  <c r="L10" i="41" s="1"/>
  <c r="M8" i="41"/>
  <c r="M10" i="41" s="1"/>
  <c r="N8" i="41"/>
  <c r="N10" i="41" s="1"/>
  <c r="K7" i="41"/>
  <c r="M7" i="41"/>
  <c r="L7" i="41"/>
  <c r="H16" i="41"/>
  <c r="I24" i="41" s="1"/>
  <c r="M14" i="41"/>
  <c r="K11" i="41"/>
  <c r="K14" i="41"/>
  <c r="K16" i="41" s="1"/>
  <c r="L14" i="41"/>
  <c r="L16" i="41" s="1"/>
  <c r="H24" i="41"/>
  <c r="N14" i="41"/>
  <c r="Q13" i="41"/>
  <c r="M16" i="40"/>
  <c r="U21" i="40"/>
  <c r="M9" i="40"/>
  <c r="V5" i="40"/>
  <c r="I24" i="40"/>
  <c r="K9" i="40"/>
  <c r="O5" i="40"/>
  <c r="L9" i="40"/>
  <c r="U5" i="40"/>
  <c r="P7" i="40"/>
  <c r="P8" i="40" s="1"/>
  <c r="S3" i="40"/>
  <c r="N9" i="40"/>
  <c r="W5" i="40"/>
  <c r="W6" i="40"/>
  <c r="U6" i="40"/>
  <c r="W27" i="40"/>
  <c r="V6" i="40"/>
  <c r="S3" i="39"/>
  <c r="N9" i="39"/>
  <c r="W27" i="39"/>
  <c r="V6" i="39"/>
  <c r="W5" i="39"/>
  <c r="U6" i="39"/>
  <c r="W6" i="39"/>
  <c r="M9" i="39"/>
  <c r="V5" i="39"/>
  <c r="L9" i="39"/>
  <c r="U5" i="39"/>
  <c r="K9" i="39"/>
  <c r="O5" i="39"/>
  <c r="M16" i="39"/>
  <c r="U21" i="39"/>
  <c r="M16" i="38"/>
  <c r="K8" i="38"/>
  <c r="N8" i="38"/>
  <c r="N10" i="38" s="1"/>
  <c r="L8" i="38"/>
  <c r="L10" i="38" s="1"/>
  <c r="J7" i="38"/>
  <c r="J9" i="38" s="1"/>
  <c r="M8" i="38"/>
  <c r="M10" i="38" s="1"/>
  <c r="K7" i="38"/>
  <c r="L7" i="38"/>
  <c r="H16" i="38"/>
  <c r="M7" i="38"/>
  <c r="N7" i="38"/>
  <c r="K9" i="37"/>
  <c r="O5" i="37"/>
  <c r="M9" i="37"/>
  <c r="V5" i="37"/>
  <c r="U5" i="37"/>
  <c r="L9" i="37"/>
  <c r="M16" i="37"/>
  <c r="U21" i="37"/>
  <c r="S3" i="37"/>
  <c r="W27" i="37"/>
  <c r="V6" i="37"/>
  <c r="W6" i="37"/>
  <c r="N9" i="37"/>
  <c r="W5" i="37"/>
  <c r="U6" i="37"/>
  <c r="M16" i="36"/>
  <c r="U21" i="36"/>
  <c r="M9" i="36"/>
  <c r="V5" i="36"/>
  <c r="S3" i="36"/>
  <c r="N9" i="36"/>
  <c r="W5" i="36"/>
  <c r="U6" i="36"/>
  <c r="W27" i="36"/>
  <c r="V6" i="36"/>
  <c r="W6" i="36"/>
  <c r="O5" i="36"/>
  <c r="K9" i="36"/>
  <c r="L9" i="36"/>
  <c r="U5" i="36"/>
  <c r="M7" i="35"/>
  <c r="H16" i="35"/>
  <c r="K8" i="35"/>
  <c r="L8" i="35"/>
  <c r="L10" i="35" s="1"/>
  <c r="J7" i="35"/>
  <c r="J9" i="35" s="1"/>
  <c r="M8" i="35"/>
  <c r="M10" i="35" s="1"/>
  <c r="K7" i="35"/>
  <c r="N8" i="35"/>
  <c r="N10" i="35" s="1"/>
  <c r="L7" i="35"/>
  <c r="N7" i="35"/>
  <c r="P7" i="35"/>
  <c r="P8" i="35" s="1"/>
  <c r="N14" i="35"/>
  <c r="Q13" i="35"/>
  <c r="H17" i="35"/>
  <c r="H24" i="35"/>
  <c r="I24" i="35"/>
  <c r="K11" i="35"/>
  <c r="K14" i="35"/>
  <c r="K16" i="35" s="1"/>
  <c r="L14" i="35"/>
  <c r="L16" i="35" s="1"/>
  <c r="M14" i="35"/>
  <c r="M9" i="82" l="1"/>
  <c r="V5" i="82"/>
  <c r="P7" i="82"/>
  <c r="P8" i="82" s="1"/>
  <c r="H17" i="82"/>
  <c r="I24" i="82"/>
  <c r="L9" i="82"/>
  <c r="U5" i="82"/>
  <c r="K9" i="82"/>
  <c r="O5" i="82"/>
  <c r="S3" i="82"/>
  <c r="W27" i="82"/>
  <c r="U6" i="82"/>
  <c r="V6" i="82"/>
  <c r="W6" i="82"/>
  <c r="N9" i="82"/>
  <c r="W5" i="82"/>
  <c r="L9" i="81"/>
  <c r="U5" i="81"/>
  <c r="I24" i="81"/>
  <c r="S3" i="81"/>
  <c r="N9" i="81"/>
  <c r="V6" i="81"/>
  <c r="W6" i="81"/>
  <c r="W5" i="81"/>
  <c r="U6" i="81"/>
  <c r="W27" i="81"/>
  <c r="K9" i="81"/>
  <c r="O5" i="81"/>
  <c r="M16" i="81"/>
  <c r="U21" i="81"/>
  <c r="M9" i="81"/>
  <c r="V5" i="81"/>
  <c r="P7" i="79"/>
  <c r="P8" i="79" s="1"/>
  <c r="K9" i="79"/>
  <c r="O5" i="79"/>
  <c r="M16" i="79"/>
  <c r="U21" i="79"/>
  <c r="I24" i="79"/>
  <c r="M9" i="79"/>
  <c r="V5" i="79"/>
  <c r="L9" i="79"/>
  <c r="U5" i="79"/>
  <c r="S3" i="79"/>
  <c r="N9" i="79"/>
  <c r="W27" i="79"/>
  <c r="V6" i="79"/>
  <c r="W5" i="79"/>
  <c r="U6" i="79"/>
  <c r="W6" i="79"/>
  <c r="M9" i="77"/>
  <c r="V5" i="77"/>
  <c r="P7" i="77"/>
  <c r="P8" i="77" s="1"/>
  <c r="H17" i="77"/>
  <c r="I24" i="77"/>
  <c r="L9" i="77"/>
  <c r="U5" i="77"/>
  <c r="K9" i="77"/>
  <c r="O5" i="77"/>
  <c r="S3" i="77"/>
  <c r="N9" i="77"/>
  <c r="W5" i="77"/>
  <c r="W27" i="77"/>
  <c r="V6" i="77"/>
  <c r="W6" i="77"/>
  <c r="U6" i="77"/>
  <c r="L9" i="74"/>
  <c r="U5" i="74"/>
  <c r="S3" i="74"/>
  <c r="W5" i="74"/>
  <c r="U6" i="74"/>
  <c r="W27" i="74"/>
  <c r="V6" i="74"/>
  <c r="W6" i="74"/>
  <c r="N9" i="74"/>
  <c r="M9" i="74"/>
  <c r="V5" i="74"/>
  <c r="P7" i="74"/>
  <c r="P8" i="74" s="1"/>
  <c r="H17" i="74"/>
  <c r="I24" i="74"/>
  <c r="K9" i="74"/>
  <c r="O5" i="74"/>
  <c r="M9" i="72"/>
  <c r="V5" i="72"/>
  <c r="L9" i="72"/>
  <c r="U5" i="72"/>
  <c r="P7" i="72"/>
  <c r="P8" i="72" s="1"/>
  <c r="I24" i="72"/>
  <c r="H17" i="72"/>
  <c r="K9" i="72"/>
  <c r="O5" i="72"/>
  <c r="S3" i="72"/>
  <c r="N9" i="72"/>
  <c r="V6" i="72"/>
  <c r="W5" i="72"/>
  <c r="U6" i="72"/>
  <c r="W27" i="72"/>
  <c r="W6" i="72"/>
  <c r="S3" i="69"/>
  <c r="N9" i="69"/>
  <c r="W27" i="69"/>
  <c r="W5" i="69"/>
  <c r="U6" i="69"/>
  <c r="V6" i="69"/>
  <c r="W6" i="69"/>
  <c r="V5" i="69"/>
  <c r="M9" i="69"/>
  <c r="U5" i="69"/>
  <c r="L9" i="69"/>
  <c r="K9" i="69"/>
  <c r="O5" i="69"/>
  <c r="M16" i="69"/>
  <c r="U21" i="69"/>
  <c r="L9" i="68"/>
  <c r="U5" i="68"/>
  <c r="K9" i="68"/>
  <c r="O5" i="68"/>
  <c r="M9" i="68"/>
  <c r="V5" i="68"/>
  <c r="S3" i="68"/>
  <c r="U6" i="68"/>
  <c r="V6" i="68"/>
  <c r="W6" i="68"/>
  <c r="W27" i="68"/>
  <c r="N9" i="68"/>
  <c r="W5" i="68"/>
  <c r="M16" i="68"/>
  <c r="U21" i="68"/>
  <c r="M9" i="65"/>
  <c r="V5" i="65"/>
  <c r="S3" i="65"/>
  <c r="W6" i="65"/>
  <c r="N9" i="65"/>
  <c r="W5" i="65"/>
  <c r="U6" i="65"/>
  <c r="W27" i="65"/>
  <c r="V6" i="65"/>
  <c r="P7" i="65"/>
  <c r="P8" i="65" s="1"/>
  <c r="H17" i="65"/>
  <c r="I24" i="65"/>
  <c r="K9" i="65"/>
  <c r="O5" i="65"/>
  <c r="U5" i="65"/>
  <c r="L9" i="65"/>
  <c r="M16" i="62"/>
  <c r="M8" i="62"/>
  <c r="M10" i="62" s="1"/>
  <c r="N8" i="62"/>
  <c r="N10" i="62" s="1"/>
  <c r="H16" i="62"/>
  <c r="J7" i="62"/>
  <c r="J9" i="62" s="1"/>
  <c r="K7" i="62"/>
  <c r="L7" i="62"/>
  <c r="K8" i="62"/>
  <c r="L8" i="62"/>
  <c r="L10" i="62" s="1"/>
  <c r="M7" i="62"/>
  <c r="N7" i="62"/>
  <c r="K9" i="60"/>
  <c r="O5" i="60"/>
  <c r="L9" i="60"/>
  <c r="U5" i="60"/>
  <c r="M9" i="60"/>
  <c r="V5" i="60"/>
  <c r="S3" i="60"/>
  <c r="U6" i="60"/>
  <c r="W27" i="60"/>
  <c r="V6" i="60"/>
  <c r="W6" i="60"/>
  <c r="N9" i="60"/>
  <c r="W5" i="60"/>
  <c r="H17" i="60"/>
  <c r="P7" i="60"/>
  <c r="P8" i="60" s="1"/>
  <c r="I24" i="60"/>
  <c r="S3" i="58"/>
  <c r="W6" i="58"/>
  <c r="N9" i="58"/>
  <c r="W5" i="58"/>
  <c r="U6" i="58"/>
  <c r="W27" i="58"/>
  <c r="V6" i="58"/>
  <c r="K9" i="58"/>
  <c r="O5" i="58"/>
  <c r="I24" i="58"/>
  <c r="P7" i="58"/>
  <c r="P8" i="58" s="1"/>
  <c r="M9" i="58"/>
  <c r="V5" i="58"/>
  <c r="L9" i="58"/>
  <c r="U5" i="58"/>
  <c r="M16" i="58"/>
  <c r="U21" i="58"/>
  <c r="K9" i="54"/>
  <c r="O5" i="54"/>
  <c r="P7" i="54"/>
  <c r="P8" i="54" s="1"/>
  <c r="H17" i="54"/>
  <c r="I24" i="54"/>
  <c r="S3" i="54"/>
  <c r="V6" i="54"/>
  <c r="N9" i="54"/>
  <c r="W5" i="54"/>
  <c r="U6" i="54"/>
  <c r="W27" i="54"/>
  <c r="W6" i="54"/>
  <c r="M9" i="54"/>
  <c r="V5" i="54"/>
  <c r="L9" i="54"/>
  <c r="U5" i="54"/>
  <c r="S3" i="51"/>
  <c r="V6" i="51"/>
  <c r="N9" i="51"/>
  <c r="W5" i="51"/>
  <c r="U6" i="51"/>
  <c r="W27" i="51"/>
  <c r="W6" i="51"/>
  <c r="K9" i="51"/>
  <c r="O5" i="51"/>
  <c r="I24" i="51"/>
  <c r="M9" i="51"/>
  <c r="V5" i="51"/>
  <c r="M16" i="51"/>
  <c r="U21" i="51"/>
  <c r="L9" i="51"/>
  <c r="U5" i="51"/>
  <c r="H17" i="51"/>
  <c r="S3" i="50"/>
  <c r="N9" i="50"/>
  <c r="U6" i="50"/>
  <c r="V6" i="50"/>
  <c r="W5" i="50"/>
  <c r="W27" i="50"/>
  <c r="W6" i="50"/>
  <c r="V5" i="50"/>
  <c r="M9" i="50"/>
  <c r="P7" i="50"/>
  <c r="P8" i="50" s="1"/>
  <c r="I24" i="50"/>
  <c r="H17" i="50"/>
  <c r="U5" i="50"/>
  <c r="L9" i="50"/>
  <c r="K9" i="50"/>
  <c r="O5" i="50"/>
  <c r="U21" i="50"/>
  <c r="M16" i="48"/>
  <c r="K8" i="48"/>
  <c r="L8" i="48"/>
  <c r="L10" i="48" s="1"/>
  <c r="M8" i="48"/>
  <c r="M10" i="48" s="1"/>
  <c r="N8" i="48"/>
  <c r="N10" i="48" s="1"/>
  <c r="J7" i="48"/>
  <c r="J9" i="48" s="1"/>
  <c r="H16" i="48"/>
  <c r="M7" i="48"/>
  <c r="K7" i="48"/>
  <c r="L7" i="48"/>
  <c r="N7" i="48"/>
  <c r="K9" i="46"/>
  <c r="O5" i="46"/>
  <c r="M9" i="46"/>
  <c r="V5" i="46"/>
  <c r="H17" i="46"/>
  <c r="S3" i="46"/>
  <c r="W6" i="46"/>
  <c r="N9" i="46"/>
  <c r="W5" i="46"/>
  <c r="U6" i="46"/>
  <c r="W27" i="46"/>
  <c r="V6" i="46"/>
  <c r="M16" i="46"/>
  <c r="U21" i="46"/>
  <c r="U5" i="46"/>
  <c r="L9" i="46"/>
  <c r="M16" i="45"/>
  <c r="K8" i="45"/>
  <c r="J7" i="45"/>
  <c r="J9" i="45" s="1"/>
  <c r="K7" i="45"/>
  <c r="L7" i="45"/>
  <c r="H16" i="45"/>
  <c r="M7" i="45"/>
  <c r="N7" i="45"/>
  <c r="L8" i="45"/>
  <c r="L10" i="45" s="1"/>
  <c r="M8" i="45"/>
  <c r="M10" i="45" s="1"/>
  <c r="N8" i="45"/>
  <c r="N10" i="45" s="1"/>
  <c r="L9" i="44"/>
  <c r="U5" i="44"/>
  <c r="K9" i="44"/>
  <c r="O5" i="44"/>
  <c r="S3" i="44"/>
  <c r="N9" i="44"/>
  <c r="W27" i="44"/>
  <c r="V6" i="44"/>
  <c r="W6" i="44"/>
  <c r="W5" i="44"/>
  <c r="U6" i="44"/>
  <c r="M9" i="44"/>
  <c r="V5" i="44"/>
  <c r="M16" i="44"/>
  <c r="U21" i="44"/>
  <c r="L9" i="43"/>
  <c r="U5" i="43"/>
  <c r="I24" i="43"/>
  <c r="H17" i="43"/>
  <c r="K9" i="43"/>
  <c r="O5" i="43"/>
  <c r="S3" i="43"/>
  <c r="N9" i="43"/>
  <c r="W27" i="43"/>
  <c r="V6" i="43"/>
  <c r="W5" i="43"/>
  <c r="U6" i="43"/>
  <c r="W6" i="43"/>
  <c r="M9" i="43"/>
  <c r="V5" i="43"/>
  <c r="M16" i="43"/>
  <c r="U21" i="43"/>
  <c r="S3" i="42"/>
  <c r="V6" i="42"/>
  <c r="W6" i="42"/>
  <c r="N9" i="42"/>
  <c r="W5" i="42"/>
  <c r="U6" i="42"/>
  <c r="W27" i="42"/>
  <c r="M9" i="42"/>
  <c r="V5" i="42"/>
  <c r="H17" i="42"/>
  <c r="L9" i="42"/>
  <c r="U5" i="42"/>
  <c r="K9" i="42"/>
  <c r="O5" i="42"/>
  <c r="M16" i="42"/>
  <c r="U21" i="42"/>
  <c r="U5" i="41"/>
  <c r="L9" i="41"/>
  <c r="M9" i="41"/>
  <c r="V5" i="41"/>
  <c r="K9" i="41"/>
  <c r="O5" i="41"/>
  <c r="P7" i="41"/>
  <c r="P8" i="41" s="1"/>
  <c r="M16" i="41"/>
  <c r="U21" i="41"/>
  <c r="H17" i="41"/>
  <c r="S3" i="41"/>
  <c r="W27" i="41"/>
  <c r="V6" i="41"/>
  <c r="N9" i="41"/>
  <c r="W5" i="41"/>
  <c r="U6" i="41"/>
  <c r="W6" i="41"/>
  <c r="M9" i="38"/>
  <c r="V5" i="38"/>
  <c r="L9" i="38"/>
  <c r="U5" i="38"/>
  <c r="S3" i="38"/>
  <c r="U6" i="38"/>
  <c r="N9" i="38"/>
  <c r="W5" i="38"/>
  <c r="V6" i="38"/>
  <c r="W27" i="38"/>
  <c r="W6" i="38"/>
  <c r="P7" i="38"/>
  <c r="P8" i="38" s="1"/>
  <c r="I24" i="38"/>
  <c r="H17" i="38"/>
  <c r="K9" i="38"/>
  <c r="O5" i="38"/>
  <c r="U21" i="38"/>
  <c r="O5" i="35"/>
  <c r="K9" i="35"/>
  <c r="S3" i="35"/>
  <c r="V6" i="35"/>
  <c r="W6" i="35"/>
  <c r="N9" i="35"/>
  <c r="W5" i="35"/>
  <c r="U6" i="35"/>
  <c r="W27" i="35"/>
  <c r="L9" i="35"/>
  <c r="U5" i="35"/>
  <c r="M16" i="35"/>
  <c r="U21" i="35"/>
  <c r="M9" i="35"/>
  <c r="V5" i="35"/>
  <c r="K9" i="62" l="1"/>
  <c r="O5" i="62"/>
  <c r="S3" i="62"/>
  <c r="W5" i="62"/>
  <c r="N9" i="62"/>
  <c r="U6" i="62"/>
  <c r="W27" i="62"/>
  <c r="V6" i="62"/>
  <c r="W6" i="62"/>
  <c r="L9" i="62"/>
  <c r="U5" i="62"/>
  <c r="P7" i="62"/>
  <c r="P8" i="62" s="1"/>
  <c r="H17" i="62"/>
  <c r="I24" i="62"/>
  <c r="M9" i="62"/>
  <c r="V5" i="62"/>
  <c r="U21" i="62"/>
  <c r="S3" i="48"/>
  <c r="V6" i="48"/>
  <c r="W6" i="48"/>
  <c r="N9" i="48"/>
  <c r="W5" i="48"/>
  <c r="U6" i="48"/>
  <c r="W27" i="48"/>
  <c r="K9" i="48"/>
  <c r="O5" i="48"/>
  <c r="M9" i="48"/>
  <c r="V5" i="48"/>
  <c r="P7" i="48"/>
  <c r="P8" i="48" s="1"/>
  <c r="I24" i="48"/>
  <c r="H17" i="48"/>
  <c r="U21" i="48"/>
  <c r="L9" i="48"/>
  <c r="U5" i="48"/>
  <c r="S3" i="45"/>
  <c r="V6" i="45"/>
  <c r="N9" i="45"/>
  <c r="W5" i="45"/>
  <c r="U6" i="45"/>
  <c r="W27" i="45"/>
  <c r="W6" i="45"/>
  <c r="L9" i="45"/>
  <c r="U5" i="45"/>
  <c r="V5" i="45"/>
  <c r="M9" i="45"/>
  <c r="O5" i="45"/>
  <c r="K9" i="45"/>
  <c r="P7" i="45"/>
  <c r="P8" i="45" s="1"/>
  <c r="H17" i="45"/>
  <c r="I24" i="45"/>
  <c r="U21" i="45"/>
  <c r="N34" i="34" l="1"/>
  <c r="O27" i="34"/>
  <c r="Q25" i="34"/>
  <c r="R25" i="34" s="1"/>
  <c r="R26" i="34" s="1"/>
  <c r="T24" i="34"/>
  <c r="P24" i="34"/>
  <c r="T21" i="34"/>
  <c r="T20" i="34"/>
  <c r="M20" i="34"/>
  <c r="P19" i="34"/>
  <c r="O19" i="34"/>
  <c r="T17" i="34"/>
  <c r="O17" i="34"/>
  <c r="O15" i="34"/>
  <c r="H15" i="34"/>
  <c r="O14" i="34"/>
  <c r="AA13" i="34"/>
  <c r="Z13" i="34"/>
  <c r="D19" i="34" s="1"/>
  <c r="U13" i="34"/>
  <c r="O13" i="34"/>
  <c r="D13" i="34"/>
  <c r="O12" i="34"/>
  <c r="D12" i="34"/>
  <c r="Y11" i="34"/>
  <c r="X11" i="34"/>
  <c r="W11" i="34"/>
  <c r="V11" i="34"/>
  <c r="U11" i="34"/>
  <c r="O11" i="34"/>
  <c r="O16" i="34" s="1"/>
  <c r="D16" i="34" s="1"/>
  <c r="D11" i="34"/>
  <c r="Z10" i="34"/>
  <c r="Q10" i="34"/>
  <c r="K10" i="34"/>
  <c r="D10" i="34"/>
  <c r="T9" i="34"/>
  <c r="T8" i="34"/>
  <c r="B8" i="34"/>
  <c r="A19" i="34" s="1"/>
  <c r="A21" i="34" s="1"/>
  <c r="T7" i="34"/>
  <c r="C5" i="34"/>
  <c r="B5" i="34"/>
  <c r="AA3" i="34"/>
  <c r="N34" i="33"/>
  <c r="O27" i="33"/>
  <c r="Q25" i="33"/>
  <c r="R25" i="33" s="1"/>
  <c r="R26" i="33" s="1"/>
  <c r="T24" i="33"/>
  <c r="P24" i="33"/>
  <c r="T21" i="33"/>
  <c r="T20" i="33"/>
  <c r="M20" i="33"/>
  <c r="P19" i="33"/>
  <c r="O19" i="33"/>
  <c r="T17" i="33"/>
  <c r="O17" i="33"/>
  <c r="O15" i="33"/>
  <c r="H15" i="33"/>
  <c r="O14" i="33"/>
  <c r="AA13" i="33"/>
  <c r="Z13" i="33"/>
  <c r="D19" i="33" s="1"/>
  <c r="U13" i="33"/>
  <c r="O13" i="33"/>
  <c r="D13" i="33"/>
  <c r="O12" i="33"/>
  <c r="D12" i="33"/>
  <c r="Y11" i="33"/>
  <c r="X11" i="33"/>
  <c r="W11" i="33"/>
  <c r="V11" i="33"/>
  <c r="U11" i="33"/>
  <c r="O11" i="33"/>
  <c r="O16" i="33" s="1"/>
  <c r="D16" i="33" s="1"/>
  <c r="D11" i="33"/>
  <c r="Z10" i="33"/>
  <c r="Q10" i="33"/>
  <c r="K10" i="33"/>
  <c r="D10" i="33"/>
  <c r="T9" i="33"/>
  <c r="T8" i="33"/>
  <c r="B8" i="33"/>
  <c r="A19" i="33" s="1"/>
  <c r="A21" i="33" s="1"/>
  <c r="T7" i="33"/>
  <c r="C5" i="33"/>
  <c r="B5" i="33"/>
  <c r="AA3" i="33"/>
  <c r="N34" i="32"/>
  <c r="O27" i="32"/>
  <c r="Q25" i="32"/>
  <c r="R25" i="32" s="1"/>
  <c r="R26" i="32" s="1"/>
  <c r="T24" i="32"/>
  <c r="P24" i="32"/>
  <c r="T21" i="32"/>
  <c r="T20" i="32"/>
  <c r="M20" i="32"/>
  <c r="P19" i="32"/>
  <c r="O19" i="32"/>
  <c r="T17" i="32"/>
  <c r="O17" i="32"/>
  <c r="O15" i="32"/>
  <c r="H15" i="32"/>
  <c r="O14" i="32"/>
  <c r="AA13" i="32"/>
  <c r="Z13" i="32"/>
  <c r="D19" i="32" s="1"/>
  <c r="U13" i="32"/>
  <c r="O13" i="32"/>
  <c r="D13" i="32"/>
  <c r="O12" i="32"/>
  <c r="D12" i="32"/>
  <c r="Y11" i="32"/>
  <c r="X11" i="32"/>
  <c r="W11" i="32"/>
  <c r="V11" i="32"/>
  <c r="U11" i="32"/>
  <c r="O11" i="32"/>
  <c r="O16" i="32" s="1"/>
  <c r="D16" i="32" s="1"/>
  <c r="D11" i="32"/>
  <c r="Z10" i="32"/>
  <c r="Q10" i="32"/>
  <c r="K10" i="32"/>
  <c r="D10" i="32"/>
  <c r="T9" i="32"/>
  <c r="T8" i="32"/>
  <c r="B8" i="32"/>
  <c r="A13" i="32" s="1"/>
  <c r="T7" i="32"/>
  <c r="C5" i="32"/>
  <c r="B5" i="32"/>
  <c r="AA3" i="32"/>
  <c r="N34" i="31"/>
  <c r="O27" i="31"/>
  <c r="Q25" i="31"/>
  <c r="R25" i="31" s="1"/>
  <c r="R26" i="31" s="1"/>
  <c r="T24" i="31"/>
  <c r="P24" i="31"/>
  <c r="T21" i="31"/>
  <c r="T20" i="31"/>
  <c r="M20" i="31"/>
  <c r="P19" i="31"/>
  <c r="O19" i="31"/>
  <c r="T17" i="31"/>
  <c r="O17" i="31"/>
  <c r="O15" i="31"/>
  <c r="H15" i="31"/>
  <c r="O14" i="31"/>
  <c r="AA13" i="31"/>
  <c r="Z13" i="31"/>
  <c r="D19" i="31" s="1"/>
  <c r="U13" i="31"/>
  <c r="O13" i="31"/>
  <c r="D13" i="31"/>
  <c r="O12" i="31"/>
  <c r="D12" i="31"/>
  <c r="Y11" i="31"/>
  <c r="X11" i="31"/>
  <c r="W11" i="31"/>
  <c r="V11" i="31"/>
  <c r="U11" i="31"/>
  <c r="O11" i="31"/>
  <c r="O16" i="31" s="1"/>
  <c r="D16" i="31" s="1"/>
  <c r="D11" i="31"/>
  <c r="Z10" i="31"/>
  <c r="Q10" i="31"/>
  <c r="K10" i="31"/>
  <c r="D10" i="31"/>
  <c r="T9" i="31"/>
  <c r="T8" i="31"/>
  <c r="B8" i="31"/>
  <c r="A13" i="31" s="1"/>
  <c r="T7" i="31"/>
  <c r="C5" i="31"/>
  <c r="B5" i="31"/>
  <c r="AA3" i="31"/>
  <c r="N34" i="30"/>
  <c r="O27" i="30"/>
  <c r="R25" i="30"/>
  <c r="R26" i="30" s="1"/>
  <c r="Q25" i="30"/>
  <c r="T24" i="30"/>
  <c r="P24" i="30"/>
  <c r="T21" i="30"/>
  <c r="T20" i="30"/>
  <c r="M20" i="30"/>
  <c r="P19" i="30"/>
  <c r="O19" i="30"/>
  <c r="T17" i="30"/>
  <c r="O17" i="30"/>
  <c r="O15" i="30"/>
  <c r="H15" i="30"/>
  <c r="O14" i="30"/>
  <c r="AA13" i="30"/>
  <c r="Z13" i="30"/>
  <c r="D19" i="30" s="1"/>
  <c r="U13" i="30"/>
  <c r="O13" i="30"/>
  <c r="D13" i="30"/>
  <c r="O12" i="30"/>
  <c r="D12" i="30"/>
  <c r="Y11" i="30"/>
  <c r="X11" i="30"/>
  <c r="W11" i="30"/>
  <c r="V11" i="30"/>
  <c r="U11" i="30"/>
  <c r="O11" i="30"/>
  <c r="O16" i="30" s="1"/>
  <c r="D16" i="30" s="1"/>
  <c r="D11" i="30"/>
  <c r="Z10" i="30"/>
  <c r="K10" i="30" s="1"/>
  <c r="Q10" i="30"/>
  <c r="D10" i="30"/>
  <c r="T9" i="30"/>
  <c r="T8" i="30"/>
  <c r="B8" i="30"/>
  <c r="A19" i="30" s="1"/>
  <c r="A21" i="30" s="1"/>
  <c r="T7" i="30"/>
  <c r="C5" i="30"/>
  <c r="B5" i="30"/>
  <c r="AA3" i="30"/>
  <c r="N34" i="29"/>
  <c r="O27" i="29"/>
  <c r="Q25" i="29"/>
  <c r="R25" i="29" s="1"/>
  <c r="R26" i="29" s="1"/>
  <c r="T24" i="29"/>
  <c r="P24" i="29"/>
  <c r="T21" i="29"/>
  <c r="T20" i="29"/>
  <c r="M20" i="29"/>
  <c r="P19" i="29"/>
  <c r="O19" i="29"/>
  <c r="T17" i="29"/>
  <c r="O17" i="29"/>
  <c r="O15" i="29"/>
  <c r="H15" i="29"/>
  <c r="O14" i="29"/>
  <c r="AA13" i="29"/>
  <c r="Z13" i="29"/>
  <c r="D19" i="29" s="1"/>
  <c r="U13" i="29"/>
  <c r="O13" i="29"/>
  <c r="D13" i="29"/>
  <c r="O12" i="29"/>
  <c r="D12" i="29"/>
  <c r="Y11" i="29"/>
  <c r="X11" i="29"/>
  <c r="W11" i="29"/>
  <c r="V11" i="29"/>
  <c r="U11" i="29"/>
  <c r="O11" i="29"/>
  <c r="O16" i="29" s="1"/>
  <c r="D16" i="29" s="1"/>
  <c r="D11" i="29"/>
  <c r="Z10" i="29"/>
  <c r="Q10" i="29"/>
  <c r="K10" i="29"/>
  <c r="D10" i="29"/>
  <c r="T9" i="29"/>
  <c r="T8" i="29"/>
  <c r="B8" i="29"/>
  <c r="A13" i="29" s="1"/>
  <c r="T7" i="29"/>
  <c r="C5" i="29"/>
  <c r="B5" i="29"/>
  <c r="AA3" i="29"/>
  <c r="N34" i="28"/>
  <c r="O27" i="28"/>
  <c r="R25" i="28"/>
  <c r="R26" i="28" s="1"/>
  <c r="Q25" i="28"/>
  <c r="T24" i="28"/>
  <c r="P24" i="28"/>
  <c r="T21" i="28"/>
  <c r="T20" i="28"/>
  <c r="M20" i="28"/>
  <c r="P19" i="28"/>
  <c r="O19" i="28"/>
  <c r="T17" i="28"/>
  <c r="O17" i="28"/>
  <c r="O15" i="28"/>
  <c r="H15" i="28"/>
  <c r="O14" i="28"/>
  <c r="AA13" i="28"/>
  <c r="Z13" i="28"/>
  <c r="D19" i="28" s="1"/>
  <c r="U13" i="28"/>
  <c r="O13" i="28"/>
  <c r="D13" i="28"/>
  <c r="O12" i="28"/>
  <c r="D12" i="28"/>
  <c r="Y11" i="28"/>
  <c r="X11" i="28"/>
  <c r="W11" i="28"/>
  <c r="V11" i="28"/>
  <c r="U11" i="28"/>
  <c r="O11" i="28"/>
  <c r="O16" i="28" s="1"/>
  <c r="D16" i="28" s="1"/>
  <c r="D11" i="28"/>
  <c r="Z10" i="28"/>
  <c r="Q10" i="28"/>
  <c r="K10" i="28"/>
  <c r="D10" i="28"/>
  <c r="T9" i="28"/>
  <c r="T8" i="28"/>
  <c r="B8" i="28"/>
  <c r="A7" i="28" s="1"/>
  <c r="T7" i="28"/>
  <c r="C5" i="28"/>
  <c r="B5" i="28"/>
  <c r="AA3" i="28"/>
  <c r="N34" i="27"/>
  <c r="O27" i="27"/>
  <c r="Q25" i="27"/>
  <c r="R25" i="27" s="1"/>
  <c r="R26" i="27" s="1"/>
  <c r="T24" i="27"/>
  <c r="P24" i="27"/>
  <c r="T21" i="27"/>
  <c r="T20" i="27"/>
  <c r="M20" i="27"/>
  <c r="P19" i="27"/>
  <c r="O19" i="27"/>
  <c r="T17" i="27"/>
  <c r="O17" i="27"/>
  <c r="O15" i="27"/>
  <c r="H15" i="27"/>
  <c r="O14" i="27"/>
  <c r="AA13" i="27"/>
  <c r="Z13" i="27"/>
  <c r="D19" i="27" s="1"/>
  <c r="U13" i="27"/>
  <c r="O13" i="27"/>
  <c r="D13" i="27"/>
  <c r="O12" i="27"/>
  <c r="D12" i="27"/>
  <c r="Y11" i="27"/>
  <c r="X11" i="27"/>
  <c r="W11" i="27"/>
  <c r="V11" i="27"/>
  <c r="U11" i="27"/>
  <c r="O11" i="27"/>
  <c r="O16" i="27" s="1"/>
  <c r="D16" i="27" s="1"/>
  <c r="D11" i="27"/>
  <c r="Z10" i="27"/>
  <c r="Q10" i="27"/>
  <c r="K10" i="27"/>
  <c r="D10" i="27"/>
  <c r="T9" i="27"/>
  <c r="T8" i="27"/>
  <c r="B8" i="27"/>
  <c r="A19" i="27" s="1"/>
  <c r="A21" i="27" s="1"/>
  <c r="T7" i="27"/>
  <c r="C5" i="27"/>
  <c r="B5" i="27"/>
  <c r="AA3" i="27"/>
  <c r="N34" i="26"/>
  <c r="O27" i="26"/>
  <c r="Q25" i="26"/>
  <c r="R25" i="26" s="1"/>
  <c r="R26" i="26" s="1"/>
  <c r="T24" i="26"/>
  <c r="P24" i="26"/>
  <c r="T21" i="26"/>
  <c r="T20" i="26"/>
  <c r="M20" i="26"/>
  <c r="P19" i="26"/>
  <c r="O19" i="26"/>
  <c r="T17" i="26"/>
  <c r="O17" i="26"/>
  <c r="O15" i="26"/>
  <c r="H15" i="26"/>
  <c r="O14" i="26"/>
  <c r="AA13" i="26"/>
  <c r="Z13" i="26"/>
  <c r="D19" i="26" s="1"/>
  <c r="U13" i="26"/>
  <c r="O13" i="26"/>
  <c r="D13" i="26"/>
  <c r="O12" i="26"/>
  <c r="D12" i="26"/>
  <c r="Y11" i="26"/>
  <c r="X11" i="26"/>
  <c r="W11" i="26"/>
  <c r="V11" i="26"/>
  <c r="U11" i="26"/>
  <c r="O11" i="26"/>
  <c r="O16" i="26" s="1"/>
  <c r="D16" i="26" s="1"/>
  <c r="D11" i="26"/>
  <c r="Z10" i="26"/>
  <c r="K10" i="26" s="1"/>
  <c r="Q10" i="26"/>
  <c r="D10" i="26"/>
  <c r="T9" i="26"/>
  <c r="T8" i="26"/>
  <c r="B8" i="26"/>
  <c r="A13" i="26" s="1"/>
  <c r="T7" i="26"/>
  <c r="C5" i="26"/>
  <c r="B5" i="26"/>
  <c r="AA3" i="26"/>
  <c r="N34" i="25"/>
  <c r="O27" i="25"/>
  <c r="Q25" i="25"/>
  <c r="R25" i="25" s="1"/>
  <c r="R26" i="25" s="1"/>
  <c r="T24" i="25"/>
  <c r="P24" i="25"/>
  <c r="T21" i="25"/>
  <c r="T20" i="25"/>
  <c r="M20" i="25"/>
  <c r="P19" i="25"/>
  <c r="O19" i="25"/>
  <c r="T17" i="25"/>
  <c r="O17" i="25"/>
  <c r="O15" i="25"/>
  <c r="H15" i="25"/>
  <c r="O14" i="25"/>
  <c r="AA13" i="25"/>
  <c r="Z13" i="25"/>
  <c r="D19" i="25" s="1"/>
  <c r="U13" i="25"/>
  <c r="O13" i="25"/>
  <c r="D13" i="25"/>
  <c r="O12" i="25"/>
  <c r="D12" i="25"/>
  <c r="Y11" i="25"/>
  <c r="X11" i="25"/>
  <c r="W11" i="25"/>
  <c r="V11" i="25"/>
  <c r="U11" i="25"/>
  <c r="O11" i="25"/>
  <c r="O16" i="25" s="1"/>
  <c r="D16" i="25" s="1"/>
  <c r="D11" i="25"/>
  <c r="Z10" i="25"/>
  <c r="Q10" i="25"/>
  <c r="K10" i="25"/>
  <c r="D10" i="25"/>
  <c r="T9" i="25"/>
  <c r="T8" i="25"/>
  <c r="B8" i="25"/>
  <c r="A13" i="25" s="1"/>
  <c r="T7" i="25"/>
  <c r="C5" i="25"/>
  <c r="B5" i="25"/>
  <c r="AA3" i="25"/>
  <c r="N34" i="24"/>
  <c r="O27" i="24"/>
  <c r="Q25" i="24"/>
  <c r="R25" i="24" s="1"/>
  <c r="R26" i="24" s="1"/>
  <c r="T24" i="24"/>
  <c r="P24" i="24"/>
  <c r="T21" i="24"/>
  <c r="T20" i="24"/>
  <c r="M20" i="24"/>
  <c r="P19" i="24"/>
  <c r="O19" i="24"/>
  <c r="T17" i="24"/>
  <c r="O17" i="24"/>
  <c r="O15" i="24"/>
  <c r="H15" i="24"/>
  <c r="O14" i="24"/>
  <c r="AA13" i="24"/>
  <c r="Z13" i="24"/>
  <c r="D19" i="24" s="1"/>
  <c r="U13" i="24"/>
  <c r="O13" i="24"/>
  <c r="D13" i="24"/>
  <c r="O12" i="24"/>
  <c r="D12" i="24"/>
  <c r="Y11" i="24"/>
  <c r="X11" i="24"/>
  <c r="W11" i="24"/>
  <c r="V11" i="24"/>
  <c r="U11" i="24"/>
  <c r="O11" i="24"/>
  <c r="O16" i="24" s="1"/>
  <c r="D16" i="24" s="1"/>
  <c r="D11" i="24"/>
  <c r="Z10" i="24"/>
  <c r="Q10" i="24"/>
  <c r="K10" i="24"/>
  <c r="D10" i="24"/>
  <c r="T9" i="24"/>
  <c r="T8" i="24"/>
  <c r="B8" i="24"/>
  <c r="A19" i="24" s="1"/>
  <c r="A21" i="24" s="1"/>
  <c r="T7" i="24"/>
  <c r="C5" i="24"/>
  <c r="B5" i="24"/>
  <c r="AA3" i="24"/>
  <c r="N34" i="23"/>
  <c r="O27" i="23"/>
  <c r="Q25" i="23"/>
  <c r="R25" i="23" s="1"/>
  <c r="R26" i="23" s="1"/>
  <c r="T24" i="23"/>
  <c r="P24" i="23"/>
  <c r="T21" i="23"/>
  <c r="T20" i="23"/>
  <c r="M20" i="23"/>
  <c r="P19" i="23"/>
  <c r="O19" i="23"/>
  <c r="D19" i="23"/>
  <c r="A19" i="23"/>
  <c r="A21" i="23" s="1"/>
  <c r="T17" i="23"/>
  <c r="O17" i="23"/>
  <c r="O15" i="23"/>
  <c r="H15" i="23"/>
  <c r="O14" i="23"/>
  <c r="AA13" i="23"/>
  <c r="Z13" i="23"/>
  <c r="U13" i="23"/>
  <c r="O13" i="23"/>
  <c r="D13" i="23"/>
  <c r="O12" i="23"/>
  <c r="D12" i="23"/>
  <c r="Y11" i="23"/>
  <c r="X11" i="23"/>
  <c r="W11" i="23"/>
  <c r="V11" i="23"/>
  <c r="U11" i="23"/>
  <c r="O11" i="23"/>
  <c r="O16" i="23" s="1"/>
  <c r="D16" i="23" s="1"/>
  <c r="D11" i="23"/>
  <c r="Z10" i="23"/>
  <c r="Q10" i="23"/>
  <c r="K10" i="23"/>
  <c r="D10" i="23"/>
  <c r="T9" i="23"/>
  <c r="T8" i="23"/>
  <c r="B8" i="23"/>
  <c r="A13" i="23" s="1"/>
  <c r="T7" i="23"/>
  <c r="C5" i="23"/>
  <c r="B5" i="23"/>
  <c r="AA3" i="23"/>
  <c r="N34" i="22"/>
  <c r="O27" i="22"/>
  <c r="R25" i="22"/>
  <c r="R26" i="22" s="1"/>
  <c r="Q25" i="22"/>
  <c r="T24" i="22"/>
  <c r="P24" i="22"/>
  <c r="T21" i="22"/>
  <c r="T20" i="22"/>
  <c r="M20" i="22"/>
  <c r="P19" i="22"/>
  <c r="O19" i="22"/>
  <c r="T17" i="22"/>
  <c r="O17" i="22"/>
  <c r="O15" i="22"/>
  <c r="H15" i="22"/>
  <c r="O14" i="22"/>
  <c r="AA13" i="22"/>
  <c r="Z13" i="22"/>
  <c r="D19" i="22" s="1"/>
  <c r="U13" i="22"/>
  <c r="O13" i="22"/>
  <c r="D13" i="22"/>
  <c r="O12" i="22"/>
  <c r="D12" i="22"/>
  <c r="Y11" i="22"/>
  <c r="X11" i="22"/>
  <c r="W11" i="22"/>
  <c r="V11" i="22"/>
  <c r="U11" i="22"/>
  <c r="O11" i="22"/>
  <c r="O16" i="22" s="1"/>
  <c r="D16" i="22" s="1"/>
  <c r="D11" i="22"/>
  <c r="Z10" i="22"/>
  <c r="Q10" i="22"/>
  <c r="K10" i="22"/>
  <c r="D10" i="22"/>
  <c r="T9" i="22"/>
  <c r="T8" i="22"/>
  <c r="B8" i="22"/>
  <c r="A13" i="22" s="1"/>
  <c r="T7" i="22"/>
  <c r="C5" i="22"/>
  <c r="B5" i="22"/>
  <c r="AA3" i="22"/>
  <c r="N34" i="21"/>
  <c r="O27" i="21"/>
  <c r="Q25" i="21"/>
  <c r="R25" i="21" s="1"/>
  <c r="R26" i="21" s="1"/>
  <c r="T24" i="21"/>
  <c r="P24" i="21"/>
  <c r="T21" i="21"/>
  <c r="T20" i="21"/>
  <c r="M20" i="21"/>
  <c r="P19" i="21"/>
  <c r="O19" i="21"/>
  <c r="T17" i="21"/>
  <c r="O17" i="21"/>
  <c r="O15" i="21"/>
  <c r="H15" i="21"/>
  <c r="D15" i="21"/>
  <c r="O14" i="21"/>
  <c r="AA13" i="21"/>
  <c r="Z13" i="21"/>
  <c r="D19" i="21" s="1"/>
  <c r="U13" i="21"/>
  <c r="O13" i="21"/>
  <c r="D13" i="21"/>
  <c r="O12" i="21"/>
  <c r="D12" i="21"/>
  <c r="Y11" i="21"/>
  <c r="X11" i="21"/>
  <c r="W11" i="21"/>
  <c r="V11" i="21"/>
  <c r="U11" i="21"/>
  <c r="O11" i="21"/>
  <c r="O16" i="21" s="1"/>
  <c r="D16" i="21" s="1"/>
  <c r="D11" i="21"/>
  <c r="Z10" i="21"/>
  <c r="Q10" i="21"/>
  <c r="O10" i="21"/>
  <c r="K10" i="21"/>
  <c r="D10" i="21"/>
  <c r="T9" i="21"/>
  <c r="T8" i="21"/>
  <c r="B8" i="21"/>
  <c r="A19" i="21" s="1"/>
  <c r="A21" i="21" s="1"/>
  <c r="T7" i="21"/>
  <c r="C5" i="21"/>
  <c r="B5" i="21"/>
  <c r="AA3" i="21"/>
  <c r="N34" i="20"/>
  <c r="O27" i="20"/>
  <c r="Q25" i="20"/>
  <c r="R25" i="20" s="1"/>
  <c r="R26" i="20" s="1"/>
  <c r="T24" i="20"/>
  <c r="P24" i="20"/>
  <c r="T21" i="20"/>
  <c r="T20" i="20"/>
  <c r="M20" i="20"/>
  <c r="P19" i="20"/>
  <c r="O19" i="20"/>
  <c r="T17" i="20"/>
  <c r="O17" i="20"/>
  <c r="O15" i="20"/>
  <c r="H15" i="20"/>
  <c r="D15" i="20"/>
  <c r="O14" i="20"/>
  <c r="AA13" i="20"/>
  <c r="Z13" i="20"/>
  <c r="D19" i="20" s="1"/>
  <c r="U13" i="20"/>
  <c r="O13" i="20"/>
  <c r="D13" i="20"/>
  <c r="O12" i="20"/>
  <c r="D12" i="20"/>
  <c r="Y11" i="20"/>
  <c r="X11" i="20"/>
  <c r="W11" i="20"/>
  <c r="V11" i="20"/>
  <c r="U11" i="20"/>
  <c r="O11" i="20"/>
  <c r="O16" i="20" s="1"/>
  <c r="D16" i="20" s="1"/>
  <c r="D11" i="20"/>
  <c r="Z10" i="20"/>
  <c r="Q10" i="20"/>
  <c r="O10" i="20"/>
  <c r="K10" i="20"/>
  <c r="D10" i="20"/>
  <c r="T9" i="20"/>
  <c r="T8" i="20"/>
  <c r="B8" i="20"/>
  <c r="A19" i="20" s="1"/>
  <c r="A21" i="20" s="1"/>
  <c r="T7" i="20"/>
  <c r="C5" i="20"/>
  <c r="B5" i="20"/>
  <c r="AA3" i="20"/>
  <c r="N34" i="19"/>
  <c r="O27" i="19"/>
  <c r="Q25" i="19"/>
  <c r="R25" i="19" s="1"/>
  <c r="R26" i="19" s="1"/>
  <c r="T24" i="19"/>
  <c r="P24" i="19"/>
  <c r="T21" i="19"/>
  <c r="T20" i="19"/>
  <c r="M20" i="19"/>
  <c r="P19" i="19"/>
  <c r="O19" i="19"/>
  <c r="T17" i="19"/>
  <c r="O17" i="19"/>
  <c r="O15" i="19"/>
  <c r="H15" i="19"/>
  <c r="D15" i="19"/>
  <c r="O14" i="19"/>
  <c r="AA13" i="19"/>
  <c r="Z13" i="19"/>
  <c r="D19" i="19" s="1"/>
  <c r="U13" i="19"/>
  <c r="O13" i="19"/>
  <c r="D13" i="19"/>
  <c r="O12" i="19"/>
  <c r="D12" i="19"/>
  <c r="Y11" i="19"/>
  <c r="X11" i="19"/>
  <c r="W11" i="19"/>
  <c r="V11" i="19"/>
  <c r="U11" i="19"/>
  <c r="O11" i="19"/>
  <c r="O16" i="19" s="1"/>
  <c r="D16" i="19" s="1"/>
  <c r="D11" i="19"/>
  <c r="Z10" i="19"/>
  <c r="Q10" i="19"/>
  <c r="O10" i="19"/>
  <c r="K10" i="19"/>
  <c r="D10" i="19"/>
  <c r="T9" i="19"/>
  <c r="T8" i="19"/>
  <c r="B8" i="19"/>
  <c r="A13" i="19" s="1"/>
  <c r="T7" i="19"/>
  <c r="C5" i="19"/>
  <c r="B5" i="19"/>
  <c r="AA3" i="19"/>
  <c r="N34" i="18"/>
  <c r="O27" i="18"/>
  <c r="R25" i="18"/>
  <c r="R26" i="18" s="1"/>
  <c r="Q25" i="18"/>
  <c r="T24" i="18"/>
  <c r="P24" i="18"/>
  <c r="T21" i="18"/>
  <c r="T20" i="18"/>
  <c r="M20" i="18"/>
  <c r="P19" i="18"/>
  <c r="O19" i="18"/>
  <c r="T17" i="18"/>
  <c r="O17" i="18"/>
  <c r="O15" i="18"/>
  <c r="H15" i="18"/>
  <c r="D15" i="18"/>
  <c r="O14" i="18"/>
  <c r="AA13" i="18"/>
  <c r="Z13" i="18"/>
  <c r="D19" i="18" s="1"/>
  <c r="U13" i="18"/>
  <c r="O13" i="18"/>
  <c r="D13" i="18"/>
  <c r="O12" i="18"/>
  <c r="D12" i="18"/>
  <c r="Y11" i="18"/>
  <c r="X11" i="18"/>
  <c r="W11" i="18"/>
  <c r="V11" i="18"/>
  <c r="U11" i="18"/>
  <c r="O11" i="18"/>
  <c r="O16" i="18" s="1"/>
  <c r="D16" i="18" s="1"/>
  <c r="D11" i="18"/>
  <c r="Z10" i="18"/>
  <c r="K10" i="18" s="1"/>
  <c r="Q10" i="18"/>
  <c r="O10" i="18"/>
  <c r="D10" i="18"/>
  <c r="T9" i="18"/>
  <c r="T8" i="18"/>
  <c r="B8" i="18"/>
  <c r="A13" i="18" s="1"/>
  <c r="T7" i="18"/>
  <c r="C5" i="18"/>
  <c r="B5" i="18"/>
  <c r="AA3" i="18"/>
  <c r="N34" i="17"/>
  <c r="O27" i="17"/>
  <c r="R25" i="17"/>
  <c r="R26" i="17" s="1"/>
  <c r="Q25" i="17"/>
  <c r="T24" i="17"/>
  <c r="P24" i="17"/>
  <c r="T21" i="17"/>
  <c r="T20" i="17"/>
  <c r="M20" i="17"/>
  <c r="P19" i="17"/>
  <c r="O19" i="17"/>
  <c r="T17" i="17"/>
  <c r="O17" i="17"/>
  <c r="O15" i="17"/>
  <c r="H15" i="17"/>
  <c r="D15" i="17"/>
  <c r="O14" i="17"/>
  <c r="AA13" i="17"/>
  <c r="Z13" i="17"/>
  <c r="D19" i="17" s="1"/>
  <c r="U13" i="17"/>
  <c r="O13" i="17"/>
  <c r="D13" i="17"/>
  <c r="O12" i="17"/>
  <c r="D12" i="17"/>
  <c r="Y11" i="17"/>
  <c r="X11" i="17"/>
  <c r="W11" i="17"/>
  <c r="V11" i="17"/>
  <c r="U11" i="17"/>
  <c r="O11" i="17"/>
  <c r="O16" i="17" s="1"/>
  <c r="D16" i="17" s="1"/>
  <c r="D11" i="17"/>
  <c r="Z10" i="17"/>
  <c r="K10" i="17" s="1"/>
  <c r="Q10" i="17"/>
  <c r="O10" i="17"/>
  <c r="D10" i="17"/>
  <c r="T9" i="17"/>
  <c r="T8" i="17"/>
  <c r="B8" i="17"/>
  <c r="A13" i="17" s="1"/>
  <c r="T7" i="17"/>
  <c r="C5" i="17"/>
  <c r="B5" i="17"/>
  <c r="AA3" i="17"/>
  <c r="N34" i="16"/>
  <c r="O27" i="16"/>
  <c r="Q25" i="16"/>
  <c r="R25" i="16" s="1"/>
  <c r="R26" i="16" s="1"/>
  <c r="T24" i="16"/>
  <c r="P24" i="16"/>
  <c r="T21" i="16"/>
  <c r="T20" i="16"/>
  <c r="M20" i="16"/>
  <c r="P19" i="16"/>
  <c r="O19" i="16"/>
  <c r="T17" i="16"/>
  <c r="O17" i="16"/>
  <c r="O15" i="16"/>
  <c r="H15" i="16"/>
  <c r="O14" i="16"/>
  <c r="AA13" i="16"/>
  <c r="Z13" i="16"/>
  <c r="D19" i="16" s="1"/>
  <c r="U13" i="16"/>
  <c r="O13" i="16"/>
  <c r="D13" i="16"/>
  <c r="O12" i="16"/>
  <c r="D12" i="16"/>
  <c r="Y11" i="16"/>
  <c r="X11" i="16"/>
  <c r="W11" i="16"/>
  <c r="V11" i="16"/>
  <c r="U11" i="16"/>
  <c r="O11" i="16"/>
  <c r="O16" i="16" s="1"/>
  <c r="D16" i="16" s="1"/>
  <c r="D11" i="16"/>
  <c r="Z10" i="16"/>
  <c r="K10" i="16" s="1"/>
  <c r="Q10" i="16"/>
  <c r="D10" i="16"/>
  <c r="T9" i="16"/>
  <c r="T8" i="16"/>
  <c r="B8" i="16"/>
  <c r="A13" i="16" s="1"/>
  <c r="T7" i="16"/>
  <c r="C5" i="16"/>
  <c r="B5" i="16"/>
  <c r="AA3" i="16"/>
  <c r="N34" i="15"/>
  <c r="O27" i="15"/>
  <c r="Q25" i="15"/>
  <c r="R25" i="15" s="1"/>
  <c r="R26" i="15" s="1"/>
  <c r="T24" i="15"/>
  <c r="P24" i="15"/>
  <c r="T21" i="15"/>
  <c r="T20" i="15"/>
  <c r="M20" i="15"/>
  <c r="P19" i="15"/>
  <c r="O19" i="15"/>
  <c r="T17" i="15"/>
  <c r="O17" i="15"/>
  <c r="O15" i="15"/>
  <c r="H15" i="15"/>
  <c r="O14" i="15"/>
  <c r="AA13" i="15"/>
  <c r="Z13" i="15"/>
  <c r="D19" i="15" s="1"/>
  <c r="U13" i="15"/>
  <c r="O13" i="15"/>
  <c r="D13" i="15"/>
  <c r="O12" i="15"/>
  <c r="D12" i="15"/>
  <c r="Y11" i="15"/>
  <c r="X11" i="15"/>
  <c r="W11" i="15"/>
  <c r="V11" i="15"/>
  <c r="U11" i="15"/>
  <c r="O11" i="15"/>
  <c r="O16" i="15" s="1"/>
  <c r="D16" i="15" s="1"/>
  <c r="D11" i="15"/>
  <c r="Z10" i="15"/>
  <c r="Q10" i="15"/>
  <c r="K10" i="15"/>
  <c r="D10" i="15"/>
  <c r="T9" i="15"/>
  <c r="T8" i="15"/>
  <c r="B8" i="15"/>
  <c r="A13" i="15" s="1"/>
  <c r="T7" i="15"/>
  <c r="C5" i="15"/>
  <c r="B5" i="15"/>
  <c r="AA3" i="15"/>
  <c r="N34" i="14"/>
  <c r="O27" i="14"/>
  <c r="Q25" i="14"/>
  <c r="R25" i="14" s="1"/>
  <c r="R26" i="14" s="1"/>
  <c r="T24" i="14"/>
  <c r="P24" i="14"/>
  <c r="T21" i="14"/>
  <c r="T20" i="14"/>
  <c r="M20" i="14"/>
  <c r="P19" i="14"/>
  <c r="O19" i="14"/>
  <c r="T17" i="14"/>
  <c r="O17" i="14"/>
  <c r="O15" i="14"/>
  <c r="H15" i="14"/>
  <c r="D15" i="14"/>
  <c r="O14" i="14"/>
  <c r="AA13" i="14"/>
  <c r="Z13" i="14"/>
  <c r="D19" i="14" s="1"/>
  <c r="U13" i="14"/>
  <c r="O13" i="14"/>
  <c r="D13" i="14"/>
  <c r="O12" i="14"/>
  <c r="D12" i="14"/>
  <c r="Y11" i="14"/>
  <c r="X11" i="14"/>
  <c r="W11" i="14"/>
  <c r="V11" i="14"/>
  <c r="U11" i="14"/>
  <c r="O11" i="14"/>
  <c r="O16" i="14" s="1"/>
  <c r="D16" i="14" s="1"/>
  <c r="D11" i="14"/>
  <c r="Z10" i="14"/>
  <c r="K10" i="14" s="1"/>
  <c r="Q10" i="14"/>
  <c r="O10" i="14"/>
  <c r="D10" i="14"/>
  <c r="T9" i="14"/>
  <c r="T8" i="14"/>
  <c r="B8" i="14"/>
  <c r="A13" i="14" s="1"/>
  <c r="T7" i="14"/>
  <c r="C5" i="14"/>
  <c r="B5" i="14"/>
  <c r="AA3" i="14"/>
  <c r="N34" i="13"/>
  <c r="O27" i="13"/>
  <c r="Q25" i="13"/>
  <c r="R25" i="13" s="1"/>
  <c r="R26" i="13" s="1"/>
  <c r="T24" i="13"/>
  <c r="P24" i="13"/>
  <c r="T21" i="13"/>
  <c r="T20" i="13"/>
  <c r="M20" i="13"/>
  <c r="P19" i="13"/>
  <c r="O19" i="13"/>
  <c r="T17" i="13"/>
  <c r="O17" i="13"/>
  <c r="O15" i="13"/>
  <c r="H15" i="13"/>
  <c r="D15" i="13"/>
  <c r="O14" i="13"/>
  <c r="AA13" i="13"/>
  <c r="Z13" i="13"/>
  <c r="D19" i="13" s="1"/>
  <c r="U13" i="13"/>
  <c r="O13" i="13"/>
  <c r="D13" i="13"/>
  <c r="O12" i="13"/>
  <c r="D12" i="13"/>
  <c r="Y11" i="13"/>
  <c r="X11" i="13"/>
  <c r="W11" i="13"/>
  <c r="V11" i="13"/>
  <c r="U11" i="13"/>
  <c r="O11" i="13"/>
  <c r="O16" i="13" s="1"/>
  <c r="D16" i="13" s="1"/>
  <c r="D11" i="13"/>
  <c r="Z10" i="13"/>
  <c r="K10" i="13" s="1"/>
  <c r="Q10" i="13"/>
  <c r="O10" i="13"/>
  <c r="D10" i="13"/>
  <c r="T9" i="13"/>
  <c r="T8" i="13"/>
  <c r="B8" i="13"/>
  <c r="A13" i="13" s="1"/>
  <c r="T7" i="13"/>
  <c r="C5" i="13"/>
  <c r="B5" i="13"/>
  <c r="AA3" i="13"/>
  <c r="N34" i="12"/>
  <c r="O27" i="12"/>
  <c r="Q25" i="12"/>
  <c r="R25" i="12" s="1"/>
  <c r="R26" i="12" s="1"/>
  <c r="T24" i="12"/>
  <c r="P24" i="12"/>
  <c r="T21" i="12"/>
  <c r="T20" i="12"/>
  <c r="M20" i="12"/>
  <c r="P19" i="12"/>
  <c r="O19" i="12"/>
  <c r="T17" i="12"/>
  <c r="O17" i="12"/>
  <c r="O15" i="12"/>
  <c r="H15" i="12"/>
  <c r="D15" i="12"/>
  <c r="O14" i="12"/>
  <c r="AA13" i="12"/>
  <c r="Z13" i="12"/>
  <c r="D19" i="12" s="1"/>
  <c r="U13" i="12"/>
  <c r="O13" i="12"/>
  <c r="D13" i="12"/>
  <c r="O12" i="12"/>
  <c r="D12" i="12"/>
  <c r="Y11" i="12"/>
  <c r="X11" i="12"/>
  <c r="W11" i="12"/>
  <c r="V11" i="12"/>
  <c r="U11" i="12"/>
  <c r="O11" i="12"/>
  <c r="O16" i="12" s="1"/>
  <c r="D16" i="12" s="1"/>
  <c r="D11" i="12"/>
  <c r="Z10" i="12"/>
  <c r="K10" i="12" s="1"/>
  <c r="Q10" i="12"/>
  <c r="O10" i="12"/>
  <c r="D10" i="12"/>
  <c r="T9" i="12"/>
  <c r="T8" i="12"/>
  <c r="B8" i="12"/>
  <c r="A13" i="12" s="1"/>
  <c r="T7" i="12"/>
  <c r="C5" i="12"/>
  <c r="B5" i="12"/>
  <c r="AA3" i="12"/>
  <c r="N34" i="11"/>
  <c r="O27" i="11"/>
  <c r="Q25" i="11"/>
  <c r="R25" i="11" s="1"/>
  <c r="R26" i="11" s="1"/>
  <c r="T24" i="11"/>
  <c r="P24" i="11"/>
  <c r="T21" i="11"/>
  <c r="T20" i="11"/>
  <c r="M20" i="11"/>
  <c r="P19" i="11"/>
  <c r="O19" i="11"/>
  <c r="T17" i="11"/>
  <c r="O17" i="11"/>
  <c r="O16" i="11"/>
  <c r="D16" i="11" s="1"/>
  <c r="O15" i="11"/>
  <c r="H15" i="11"/>
  <c r="D15" i="11"/>
  <c r="A15" i="11"/>
  <c r="O14" i="11"/>
  <c r="AA13" i="11"/>
  <c r="Z13" i="11"/>
  <c r="D19" i="11" s="1"/>
  <c r="U13" i="11"/>
  <c r="O13" i="11"/>
  <c r="D13" i="11"/>
  <c r="O12" i="11"/>
  <c r="D12" i="11"/>
  <c r="Y11" i="11"/>
  <c r="X11" i="11"/>
  <c r="W11" i="11"/>
  <c r="V11" i="11"/>
  <c r="U11" i="11"/>
  <c r="O11" i="11"/>
  <c r="D11" i="11"/>
  <c r="Z10" i="11"/>
  <c r="K10" i="11" s="1"/>
  <c r="Q10" i="11"/>
  <c r="O10" i="11"/>
  <c r="D10" i="11"/>
  <c r="T9" i="11"/>
  <c r="B9" i="11"/>
  <c r="A9" i="11"/>
  <c r="T8" i="11"/>
  <c r="B8" i="11"/>
  <c r="A13" i="11" s="1"/>
  <c r="T7" i="11"/>
  <c r="C7" i="11"/>
  <c r="B7" i="11"/>
  <c r="C5" i="11"/>
  <c r="B5" i="11"/>
  <c r="AA3" i="11"/>
  <c r="N34" i="10"/>
  <c r="O27" i="10"/>
  <c r="Q25" i="10"/>
  <c r="R25" i="10" s="1"/>
  <c r="R26" i="10" s="1"/>
  <c r="T24" i="10"/>
  <c r="P24" i="10"/>
  <c r="T21" i="10"/>
  <c r="T20" i="10"/>
  <c r="M20" i="10"/>
  <c r="P19" i="10"/>
  <c r="O19" i="10"/>
  <c r="T17" i="10"/>
  <c r="O17" i="10"/>
  <c r="O15" i="10"/>
  <c r="H15" i="10"/>
  <c r="D15" i="10"/>
  <c r="O14" i="10"/>
  <c r="AA13" i="10"/>
  <c r="Z13" i="10"/>
  <c r="D19" i="10" s="1"/>
  <c r="U13" i="10"/>
  <c r="O13" i="10"/>
  <c r="D13" i="10"/>
  <c r="O12" i="10"/>
  <c r="D12" i="10"/>
  <c r="Y11" i="10"/>
  <c r="X11" i="10"/>
  <c r="W11" i="10"/>
  <c r="V11" i="10"/>
  <c r="U11" i="10"/>
  <c r="O11" i="10"/>
  <c r="O16" i="10" s="1"/>
  <c r="D16" i="10" s="1"/>
  <c r="D11" i="10"/>
  <c r="Z10" i="10"/>
  <c r="Q10" i="10"/>
  <c r="O10" i="10"/>
  <c r="K10" i="10"/>
  <c r="D10" i="10"/>
  <c r="T9" i="10"/>
  <c r="T8" i="10"/>
  <c r="B8" i="10"/>
  <c r="A7" i="10" s="1"/>
  <c r="T7" i="10"/>
  <c r="C5" i="10"/>
  <c r="B5" i="10"/>
  <c r="AA3" i="10"/>
  <c r="N34" i="9"/>
  <c r="O27" i="9"/>
  <c r="Q25" i="9"/>
  <c r="R25" i="9" s="1"/>
  <c r="R26" i="9" s="1"/>
  <c r="T24" i="9"/>
  <c r="P24" i="9"/>
  <c r="T21" i="9"/>
  <c r="T20" i="9"/>
  <c r="M20" i="9"/>
  <c r="P19" i="9"/>
  <c r="O19" i="9"/>
  <c r="D19" i="9"/>
  <c r="A19" i="9"/>
  <c r="A21" i="9" s="1"/>
  <c r="T17" i="9"/>
  <c r="O17" i="9"/>
  <c r="O15" i="9"/>
  <c r="H15" i="9"/>
  <c r="D15" i="9"/>
  <c r="O14" i="9"/>
  <c r="AA13" i="9"/>
  <c r="Z13" i="9"/>
  <c r="U13" i="9"/>
  <c r="O13" i="9"/>
  <c r="D13" i="9"/>
  <c r="O12" i="9"/>
  <c r="D12" i="9"/>
  <c r="Y11" i="9"/>
  <c r="X11" i="9"/>
  <c r="W11" i="9"/>
  <c r="V11" i="9"/>
  <c r="U11" i="9"/>
  <c r="O11" i="9"/>
  <c r="O16" i="9" s="1"/>
  <c r="D16" i="9" s="1"/>
  <c r="D11" i="9"/>
  <c r="Z10" i="9"/>
  <c r="Q10" i="9"/>
  <c r="O10" i="9"/>
  <c r="K10" i="9"/>
  <c r="D10" i="9"/>
  <c r="T9" i="9"/>
  <c r="T8" i="9"/>
  <c r="B8" i="9"/>
  <c r="A13" i="9" s="1"/>
  <c r="T7" i="9"/>
  <c r="C5" i="9"/>
  <c r="B5" i="9"/>
  <c r="AA3" i="9"/>
  <c r="N34" i="8"/>
  <c r="O27" i="8"/>
  <c r="Q25" i="8"/>
  <c r="R25" i="8" s="1"/>
  <c r="R26" i="8" s="1"/>
  <c r="T24" i="8"/>
  <c r="P24" i="8"/>
  <c r="T21" i="8"/>
  <c r="T20" i="8"/>
  <c r="M20" i="8"/>
  <c r="P19" i="8"/>
  <c r="O19" i="8"/>
  <c r="D19" i="8"/>
  <c r="T17" i="8"/>
  <c r="O17" i="8"/>
  <c r="O15" i="8"/>
  <c r="H15" i="8"/>
  <c r="D15" i="8"/>
  <c r="O14" i="8"/>
  <c r="AA13" i="8"/>
  <c r="Z13" i="8"/>
  <c r="U13" i="8"/>
  <c r="O13" i="8"/>
  <c r="D13" i="8"/>
  <c r="O12" i="8"/>
  <c r="D12" i="8"/>
  <c r="Y11" i="8"/>
  <c r="X11" i="8"/>
  <c r="W11" i="8"/>
  <c r="V11" i="8"/>
  <c r="U11" i="8"/>
  <c r="O11" i="8"/>
  <c r="O16" i="8" s="1"/>
  <c r="D16" i="8" s="1"/>
  <c r="D11" i="8"/>
  <c r="Z10" i="8"/>
  <c r="K10" i="8" s="1"/>
  <c r="Q10" i="8"/>
  <c r="O10" i="8"/>
  <c r="D10" i="8"/>
  <c r="T9" i="8"/>
  <c r="T8" i="8"/>
  <c r="B8" i="8"/>
  <c r="A13" i="8" s="1"/>
  <c r="T7" i="8"/>
  <c r="C5" i="8"/>
  <c r="B5" i="8"/>
  <c r="AA3" i="8"/>
  <c r="N34" i="7"/>
  <c r="O27" i="7"/>
  <c r="Q25" i="7"/>
  <c r="R25" i="7" s="1"/>
  <c r="R26" i="7" s="1"/>
  <c r="T24" i="7"/>
  <c r="P24" i="7"/>
  <c r="T21" i="7"/>
  <c r="T20" i="7"/>
  <c r="M20" i="7"/>
  <c r="P19" i="7"/>
  <c r="O19" i="7"/>
  <c r="T17" i="7"/>
  <c r="O17" i="7"/>
  <c r="O16" i="7"/>
  <c r="D16" i="7" s="1"/>
  <c r="O15" i="7"/>
  <c r="H15" i="7"/>
  <c r="D15" i="7"/>
  <c r="O14" i="7"/>
  <c r="AA13" i="7"/>
  <c r="Z13" i="7"/>
  <c r="D19" i="7" s="1"/>
  <c r="U13" i="7"/>
  <c r="O13" i="7"/>
  <c r="D13" i="7"/>
  <c r="A13" i="7"/>
  <c r="O12" i="7"/>
  <c r="D12" i="7"/>
  <c r="Y11" i="7"/>
  <c r="X11" i="7"/>
  <c r="W11" i="7"/>
  <c r="V11" i="7"/>
  <c r="U11" i="7"/>
  <c r="O11" i="7"/>
  <c r="D11" i="7"/>
  <c r="Z10" i="7"/>
  <c r="K10" i="7" s="1"/>
  <c r="Q10" i="7"/>
  <c r="O10" i="7"/>
  <c r="D10" i="7"/>
  <c r="T9" i="7"/>
  <c r="A9" i="7"/>
  <c r="T8" i="7"/>
  <c r="B8" i="7"/>
  <c r="A7" i="7" s="1"/>
  <c r="T7" i="7"/>
  <c r="B7" i="7"/>
  <c r="A16" i="7" s="1"/>
  <c r="C5" i="7"/>
  <c r="B5" i="7"/>
  <c r="AA3" i="7"/>
  <c r="N34" i="6"/>
  <c r="O27" i="6"/>
  <c r="Q25" i="6"/>
  <c r="R25" i="6" s="1"/>
  <c r="R26" i="6" s="1"/>
  <c r="T24" i="6"/>
  <c r="P24" i="6"/>
  <c r="T21" i="6"/>
  <c r="T20" i="6"/>
  <c r="M20" i="6"/>
  <c r="P19" i="6"/>
  <c r="O19" i="6"/>
  <c r="T17" i="6"/>
  <c r="O17" i="6"/>
  <c r="O16" i="6"/>
  <c r="D16" i="6" s="1"/>
  <c r="O15" i="6"/>
  <c r="H15" i="6"/>
  <c r="D15" i="6"/>
  <c r="O14" i="6"/>
  <c r="AA13" i="6"/>
  <c r="Z13" i="6"/>
  <c r="D19" i="6" s="1"/>
  <c r="U13" i="6"/>
  <c r="O13" i="6"/>
  <c r="D13" i="6"/>
  <c r="A13" i="6"/>
  <c r="O12" i="6"/>
  <c r="D12" i="6"/>
  <c r="Y11" i="6"/>
  <c r="X11" i="6"/>
  <c r="W11" i="6"/>
  <c r="V11" i="6"/>
  <c r="U11" i="6"/>
  <c r="O11" i="6"/>
  <c r="D11" i="6"/>
  <c r="Z10" i="6"/>
  <c r="K10" i="6" s="1"/>
  <c r="Q10" i="6"/>
  <c r="O10" i="6"/>
  <c r="D10" i="6"/>
  <c r="T9" i="6"/>
  <c r="A9" i="6"/>
  <c r="T8" i="6"/>
  <c r="B8" i="6"/>
  <c r="A7" i="6" s="1"/>
  <c r="T7" i="6"/>
  <c r="B7" i="6"/>
  <c r="C5" i="6"/>
  <c r="B5" i="6"/>
  <c r="AA3" i="6"/>
  <c r="N34" i="5"/>
  <c r="O27" i="5"/>
  <c r="Q25" i="5"/>
  <c r="R25" i="5" s="1"/>
  <c r="R26" i="5" s="1"/>
  <c r="T24" i="5"/>
  <c r="P24" i="5"/>
  <c r="T21" i="5"/>
  <c r="T20" i="5"/>
  <c r="M20" i="5"/>
  <c r="P19" i="5"/>
  <c r="O19" i="5"/>
  <c r="T17" i="5"/>
  <c r="O17" i="5"/>
  <c r="O16" i="5"/>
  <c r="D16" i="5" s="1"/>
  <c r="O15" i="5"/>
  <c r="H15" i="5"/>
  <c r="D15" i="5"/>
  <c r="O14" i="5"/>
  <c r="AA13" i="5"/>
  <c r="Z13" i="5"/>
  <c r="D19" i="5" s="1"/>
  <c r="U13" i="5"/>
  <c r="O13" i="5"/>
  <c r="D13" i="5"/>
  <c r="A13" i="5"/>
  <c r="O12" i="5"/>
  <c r="D12" i="5"/>
  <c r="Y11" i="5"/>
  <c r="X11" i="5"/>
  <c r="W11" i="5"/>
  <c r="V11" i="5"/>
  <c r="U11" i="5"/>
  <c r="O11" i="5"/>
  <c r="D11" i="5"/>
  <c r="Z10" i="5"/>
  <c r="K10" i="5" s="1"/>
  <c r="Q10" i="5"/>
  <c r="O10" i="5"/>
  <c r="D10" i="5"/>
  <c r="T9" i="5"/>
  <c r="A9" i="5"/>
  <c r="T8" i="5"/>
  <c r="B8" i="5"/>
  <c r="A7" i="5" s="1"/>
  <c r="T7" i="5"/>
  <c r="B7" i="5"/>
  <c r="A15" i="5" s="1"/>
  <c r="C5" i="5"/>
  <c r="B5" i="5"/>
  <c r="AA3" i="5"/>
  <c r="N34" i="4"/>
  <c r="O27" i="4"/>
  <c r="R25" i="4"/>
  <c r="R26" i="4" s="1"/>
  <c r="Q25" i="4"/>
  <c r="T24" i="4"/>
  <c r="P24" i="4"/>
  <c r="T21" i="4"/>
  <c r="T20" i="4"/>
  <c r="M20" i="4"/>
  <c r="P19" i="4"/>
  <c r="O19" i="4"/>
  <c r="T17" i="4"/>
  <c r="O17" i="4"/>
  <c r="O16" i="4"/>
  <c r="D16" i="4" s="1"/>
  <c r="O15" i="4"/>
  <c r="H15" i="4"/>
  <c r="D15" i="4"/>
  <c r="O14" i="4"/>
  <c r="AA13" i="4"/>
  <c r="Z13" i="4"/>
  <c r="D19" i="4" s="1"/>
  <c r="U13" i="4"/>
  <c r="O13" i="4"/>
  <c r="D13" i="4"/>
  <c r="A13" i="4"/>
  <c r="O12" i="4"/>
  <c r="D12" i="4"/>
  <c r="Y11" i="4"/>
  <c r="X11" i="4"/>
  <c r="W11" i="4"/>
  <c r="V11" i="4"/>
  <c r="U11" i="4"/>
  <c r="O11" i="4"/>
  <c r="D11" i="4"/>
  <c r="Z10" i="4"/>
  <c r="K10" i="4" s="1"/>
  <c r="Q10" i="4"/>
  <c r="O10" i="4"/>
  <c r="D10" i="4"/>
  <c r="T9" i="4"/>
  <c r="A9" i="4"/>
  <c r="T8" i="4"/>
  <c r="B8" i="4"/>
  <c r="A7" i="4" s="1"/>
  <c r="T7" i="4"/>
  <c r="B7" i="4"/>
  <c r="A15" i="4" s="1"/>
  <c r="C5" i="4"/>
  <c r="B5" i="4"/>
  <c r="AA3" i="4"/>
  <c r="N34" i="3"/>
  <c r="O27" i="3"/>
  <c r="Q25" i="3"/>
  <c r="R25" i="3" s="1"/>
  <c r="R26" i="3" s="1"/>
  <c r="T24" i="3"/>
  <c r="P24" i="3"/>
  <c r="T21" i="3"/>
  <c r="T20" i="3"/>
  <c r="M20" i="3"/>
  <c r="P19" i="3"/>
  <c r="O19" i="3"/>
  <c r="T17" i="3"/>
  <c r="O17" i="3"/>
  <c r="O16" i="3"/>
  <c r="D16" i="3" s="1"/>
  <c r="O15" i="3"/>
  <c r="H15" i="3"/>
  <c r="D15" i="3"/>
  <c r="O14" i="3"/>
  <c r="AA13" i="3"/>
  <c r="Z13" i="3"/>
  <c r="D19" i="3" s="1"/>
  <c r="U13" i="3"/>
  <c r="O13" i="3"/>
  <c r="D13" i="3"/>
  <c r="A13" i="3"/>
  <c r="O12" i="3"/>
  <c r="D12" i="3"/>
  <c r="Y11" i="3"/>
  <c r="X11" i="3"/>
  <c r="W11" i="3"/>
  <c r="V11" i="3"/>
  <c r="U11" i="3"/>
  <c r="O11" i="3"/>
  <c r="D11" i="3"/>
  <c r="Z10" i="3"/>
  <c r="K10" i="3" s="1"/>
  <c r="Q10" i="3"/>
  <c r="O10" i="3"/>
  <c r="D10" i="3"/>
  <c r="T9" i="3"/>
  <c r="A9" i="3"/>
  <c r="T8" i="3"/>
  <c r="B8" i="3"/>
  <c r="A7" i="3" s="1"/>
  <c r="T7" i="3"/>
  <c r="B7" i="3"/>
  <c r="V19" i="3" s="1"/>
  <c r="U19" i="3" s="1"/>
  <c r="C5" i="3"/>
  <c r="B5" i="3"/>
  <c r="AA3" i="3"/>
  <c r="N20" i="34" l="1"/>
  <c r="C8" i="34" s="1"/>
  <c r="A7" i="34"/>
  <c r="B7" i="34"/>
  <c r="A9" i="34"/>
  <c r="A13" i="34"/>
  <c r="A7" i="33"/>
  <c r="N20" i="33"/>
  <c r="C8" i="33" s="1"/>
  <c r="B7" i="33"/>
  <c r="A9" i="33"/>
  <c r="A13" i="33"/>
  <c r="N20" i="32"/>
  <c r="C8" i="32" s="1"/>
  <c r="A7" i="32"/>
  <c r="A19" i="32"/>
  <c r="A21" i="32" s="1"/>
  <c r="B7" i="32"/>
  <c r="A9" i="32"/>
  <c r="A7" i="31"/>
  <c r="A19" i="31"/>
  <c r="A21" i="31" s="1"/>
  <c r="N20" i="31"/>
  <c r="C8" i="31" s="1"/>
  <c r="B7" i="31"/>
  <c r="A9" i="31"/>
  <c r="N20" i="30"/>
  <c r="C8" i="30" s="1"/>
  <c r="A7" i="30"/>
  <c r="B7" i="30"/>
  <c r="A9" i="30"/>
  <c r="A13" i="30"/>
  <c r="A19" i="29"/>
  <c r="A21" i="29" s="1"/>
  <c r="N20" i="29"/>
  <c r="C8" i="29" s="1"/>
  <c r="A7" i="29"/>
  <c r="B7" i="29"/>
  <c r="A9" i="29"/>
  <c r="N20" i="28"/>
  <c r="C8" i="28" s="1"/>
  <c r="B7" i="28"/>
  <c r="A9" i="28"/>
  <c r="A13" i="28"/>
  <c r="A19" i="28"/>
  <c r="A21" i="28" s="1"/>
  <c r="N20" i="27"/>
  <c r="C8" i="27" s="1"/>
  <c r="A7" i="27"/>
  <c r="B7" i="27"/>
  <c r="A9" i="27"/>
  <c r="A13" i="27"/>
  <c r="N20" i="26"/>
  <c r="C8" i="26" s="1"/>
  <c r="A7" i="26"/>
  <c r="A19" i="26"/>
  <c r="A21" i="26" s="1"/>
  <c r="B7" i="26"/>
  <c r="A9" i="26"/>
  <c r="N20" i="25"/>
  <c r="C8" i="25" s="1"/>
  <c r="A7" i="25"/>
  <c r="A19" i="25"/>
  <c r="A21" i="25" s="1"/>
  <c r="B7" i="25"/>
  <c r="A9" i="25"/>
  <c r="N20" i="24"/>
  <c r="C8" i="24" s="1"/>
  <c r="A7" i="24"/>
  <c r="B7" i="24"/>
  <c r="A9" i="24"/>
  <c r="A13" i="24"/>
  <c r="N20" i="23"/>
  <c r="C8" i="23" s="1"/>
  <c r="A7" i="23"/>
  <c r="B7" i="23"/>
  <c r="A9" i="23"/>
  <c r="A19" i="22"/>
  <c r="A21" i="22" s="1"/>
  <c r="N20" i="22"/>
  <c r="C8" i="22" s="1"/>
  <c r="A7" i="22"/>
  <c r="B7" i="22"/>
  <c r="A9" i="22"/>
  <c r="N20" i="21"/>
  <c r="C8" i="21" s="1"/>
  <c r="A7" i="21"/>
  <c r="B7" i="21"/>
  <c r="A9" i="21"/>
  <c r="A13" i="21"/>
  <c r="N20" i="20"/>
  <c r="C8" i="20" s="1"/>
  <c r="A7" i="20"/>
  <c r="B7" i="20"/>
  <c r="A9" i="20"/>
  <c r="A13" i="20"/>
  <c r="A19" i="19"/>
  <c r="A21" i="19" s="1"/>
  <c r="A7" i="19"/>
  <c r="N20" i="19"/>
  <c r="C8" i="19" s="1"/>
  <c r="B7" i="19"/>
  <c r="A9" i="19"/>
  <c r="A19" i="18"/>
  <c r="A21" i="18" s="1"/>
  <c r="N20" i="18"/>
  <c r="C8" i="18" s="1"/>
  <c r="A7" i="18"/>
  <c r="B7" i="18"/>
  <c r="A9" i="18"/>
  <c r="N20" i="17"/>
  <c r="C8" i="17" s="1"/>
  <c r="A19" i="17"/>
  <c r="A21" i="17" s="1"/>
  <c r="A7" i="17"/>
  <c r="B7" i="17"/>
  <c r="A9" i="17"/>
  <c r="N20" i="16"/>
  <c r="C8" i="16" s="1"/>
  <c r="A7" i="16"/>
  <c r="A19" i="16"/>
  <c r="A21" i="16" s="1"/>
  <c r="B7" i="16"/>
  <c r="A9" i="16"/>
  <c r="A7" i="15"/>
  <c r="A19" i="15"/>
  <c r="A21" i="15" s="1"/>
  <c r="N20" i="15"/>
  <c r="C8" i="15" s="1"/>
  <c r="B7" i="15"/>
  <c r="A9" i="15"/>
  <c r="A19" i="14"/>
  <c r="A21" i="14" s="1"/>
  <c r="A7" i="14"/>
  <c r="N20" i="14"/>
  <c r="C8" i="14" s="1"/>
  <c r="B7" i="14"/>
  <c r="A9" i="14"/>
  <c r="A19" i="13"/>
  <c r="A21" i="13" s="1"/>
  <c r="N20" i="13"/>
  <c r="C8" i="13" s="1"/>
  <c r="A7" i="13"/>
  <c r="B7" i="13"/>
  <c r="A9" i="13"/>
  <c r="A19" i="12"/>
  <c r="A21" i="12" s="1"/>
  <c r="N20" i="12"/>
  <c r="C8" i="12" s="1"/>
  <c r="A7" i="12"/>
  <c r="B7" i="12"/>
  <c r="A9" i="12"/>
  <c r="V19" i="11"/>
  <c r="U19" i="11" s="1"/>
  <c r="F7" i="11"/>
  <c r="N20" i="11"/>
  <c r="C8" i="11" s="1"/>
  <c r="D7" i="11"/>
  <c r="N19" i="11" s="1"/>
  <c r="A16" i="11"/>
  <c r="A17" i="11" s="1"/>
  <c r="A19" i="11"/>
  <c r="A21" i="11" s="1"/>
  <c r="A7" i="11"/>
  <c r="A19" i="10"/>
  <c r="A21" i="10" s="1"/>
  <c r="B7" i="10"/>
  <c r="A9" i="10"/>
  <c r="A13" i="10"/>
  <c r="N20" i="10"/>
  <c r="C8" i="10" s="1"/>
  <c r="N20" i="9"/>
  <c r="C8" i="9" s="1"/>
  <c r="A7" i="9"/>
  <c r="B7" i="9"/>
  <c r="A9" i="9"/>
  <c r="A7" i="8"/>
  <c r="A19" i="8"/>
  <c r="A21" i="8" s="1"/>
  <c r="N20" i="8"/>
  <c r="C8" i="8" s="1"/>
  <c r="B7" i="8"/>
  <c r="A9" i="8"/>
  <c r="V19" i="7"/>
  <c r="U19" i="7" s="1"/>
  <c r="N20" i="7"/>
  <c r="C8" i="7" s="1"/>
  <c r="C7" i="7"/>
  <c r="F7" i="7" s="1"/>
  <c r="B9" i="7"/>
  <c r="D7" i="7"/>
  <c r="N19" i="7" s="1"/>
  <c r="A15" i="7"/>
  <c r="A17" i="7" s="1"/>
  <c r="A19" i="7"/>
  <c r="A21" i="7" s="1"/>
  <c r="V19" i="6"/>
  <c r="U19" i="6" s="1"/>
  <c r="A15" i="6"/>
  <c r="B9" i="6"/>
  <c r="A16" i="6"/>
  <c r="A19" i="6"/>
  <c r="A21" i="6" s="1"/>
  <c r="C7" i="6"/>
  <c r="F7" i="6" s="1"/>
  <c r="N20" i="6"/>
  <c r="C8" i="6" s="1"/>
  <c r="C7" i="5"/>
  <c r="F7" i="5" s="1"/>
  <c r="B9" i="5"/>
  <c r="A16" i="5"/>
  <c r="A17" i="5" s="1"/>
  <c r="V19" i="5"/>
  <c r="U19" i="5" s="1"/>
  <c r="D7" i="5"/>
  <c r="N19" i="5" s="1"/>
  <c r="N20" i="5"/>
  <c r="C8" i="5" s="1"/>
  <c r="A19" i="5"/>
  <c r="A21" i="5" s="1"/>
  <c r="V19" i="4"/>
  <c r="U19" i="4" s="1"/>
  <c r="A16" i="4"/>
  <c r="A17" i="4" s="1"/>
  <c r="A19" i="4"/>
  <c r="A21" i="4" s="1"/>
  <c r="N20" i="4"/>
  <c r="C8" i="4" s="1"/>
  <c r="C7" i="4"/>
  <c r="F7" i="4" s="1"/>
  <c r="B9" i="4"/>
  <c r="H14" i="3"/>
  <c r="D14" i="3"/>
  <c r="D17" i="3" s="1"/>
  <c r="E7" i="3" s="1"/>
  <c r="G7" i="3" s="1"/>
  <c r="A15" i="3"/>
  <c r="A19" i="3"/>
  <c r="A21" i="3" s="1"/>
  <c r="A16" i="3"/>
  <c r="N20" i="3"/>
  <c r="C8" i="3" s="1"/>
  <c r="C7" i="3"/>
  <c r="F7" i="3" s="1"/>
  <c r="B9" i="3"/>
  <c r="V19" i="34" l="1"/>
  <c r="U19" i="34" s="1"/>
  <c r="B9" i="34"/>
  <c r="C7" i="34"/>
  <c r="F7" i="34" s="1"/>
  <c r="A16" i="34"/>
  <c r="D7" i="34"/>
  <c r="N19" i="34" s="1"/>
  <c r="A15" i="34"/>
  <c r="A17" i="34" s="1"/>
  <c r="V19" i="33"/>
  <c r="U19" i="33" s="1"/>
  <c r="B9" i="33"/>
  <c r="C7" i="33"/>
  <c r="F7" i="33" s="1"/>
  <c r="A16" i="33"/>
  <c r="A15" i="33"/>
  <c r="A17" i="33" s="1"/>
  <c r="D7" i="33"/>
  <c r="N19" i="33" s="1"/>
  <c r="V19" i="32"/>
  <c r="U19" i="32" s="1"/>
  <c r="B9" i="32"/>
  <c r="C7" i="32"/>
  <c r="F7" i="32" s="1"/>
  <c r="D7" i="32"/>
  <c r="N19" i="32" s="1"/>
  <c r="A16" i="32"/>
  <c r="A15" i="32"/>
  <c r="A17" i="32" s="1"/>
  <c r="V19" i="31"/>
  <c r="U19" i="31" s="1"/>
  <c r="B9" i="31"/>
  <c r="C7" i="31"/>
  <c r="F7" i="31" s="1"/>
  <c r="A16" i="31"/>
  <c r="A15" i="31"/>
  <c r="A17" i="31" s="1"/>
  <c r="D7" i="31"/>
  <c r="N19" i="31" s="1"/>
  <c r="V19" i="30"/>
  <c r="U19" i="30" s="1"/>
  <c r="B9" i="30"/>
  <c r="C7" i="30"/>
  <c r="F7" i="30" s="1"/>
  <c r="A15" i="30"/>
  <c r="A17" i="30" s="1"/>
  <c r="A16" i="30"/>
  <c r="V19" i="29"/>
  <c r="U19" i="29" s="1"/>
  <c r="B9" i="29"/>
  <c r="C7" i="29"/>
  <c r="F7" i="29" s="1"/>
  <c r="D7" i="29"/>
  <c r="N19" i="29" s="1"/>
  <c r="A16" i="29"/>
  <c r="A15" i="29"/>
  <c r="A17" i="29" s="1"/>
  <c r="V19" i="28"/>
  <c r="U19" i="28" s="1"/>
  <c r="B9" i="28"/>
  <c r="C7" i="28"/>
  <c r="F7" i="28" s="1"/>
  <c r="D7" i="28"/>
  <c r="N19" i="28" s="1"/>
  <c r="A15" i="28"/>
  <c r="A16" i="28"/>
  <c r="V19" i="27"/>
  <c r="U19" i="27" s="1"/>
  <c r="B9" i="27"/>
  <c r="C7" i="27"/>
  <c r="F7" i="27" s="1"/>
  <c r="A16" i="27"/>
  <c r="A15" i="27"/>
  <c r="A17" i="27" s="1"/>
  <c r="D7" i="27"/>
  <c r="N19" i="27" s="1"/>
  <c r="V19" i="26"/>
  <c r="U19" i="26" s="1"/>
  <c r="B9" i="26"/>
  <c r="C7" i="26"/>
  <c r="F7" i="26" s="1"/>
  <c r="A15" i="26"/>
  <c r="D7" i="26"/>
  <c r="N19" i="26" s="1"/>
  <c r="A16" i="26"/>
  <c r="V19" i="25"/>
  <c r="U19" i="25" s="1"/>
  <c r="B9" i="25"/>
  <c r="C7" i="25"/>
  <c r="F7" i="25" s="1"/>
  <c r="A16" i="25"/>
  <c r="A15" i="25"/>
  <c r="A17" i="25" s="1"/>
  <c r="D7" i="25"/>
  <c r="N19" i="25" s="1"/>
  <c r="V19" i="24"/>
  <c r="U19" i="24" s="1"/>
  <c r="B9" i="24"/>
  <c r="C7" i="24"/>
  <c r="F7" i="24" s="1"/>
  <c r="A15" i="24"/>
  <c r="D7" i="24"/>
  <c r="N19" i="24" s="1"/>
  <c r="A16" i="24"/>
  <c r="V19" i="23"/>
  <c r="U19" i="23" s="1"/>
  <c r="B9" i="23"/>
  <c r="C7" i="23"/>
  <c r="F7" i="23" s="1"/>
  <c r="A16" i="23"/>
  <c r="A15" i="23"/>
  <c r="A17" i="23" s="1"/>
  <c r="D7" i="23"/>
  <c r="N19" i="23" s="1"/>
  <c r="V19" i="22"/>
  <c r="U19" i="22" s="1"/>
  <c r="B9" i="22"/>
  <c r="C7" i="22"/>
  <c r="F7" i="22" s="1"/>
  <c r="A15" i="22"/>
  <c r="A16" i="22"/>
  <c r="D7" i="22"/>
  <c r="V19" i="21"/>
  <c r="U19" i="21" s="1"/>
  <c r="B9" i="21"/>
  <c r="C7" i="21"/>
  <c r="F7" i="21" s="1"/>
  <c r="D7" i="21"/>
  <c r="N19" i="21" s="1"/>
  <c r="A16" i="21"/>
  <c r="A15" i="21"/>
  <c r="A17" i="21" s="1"/>
  <c r="V19" i="20"/>
  <c r="U19" i="20" s="1"/>
  <c r="B9" i="20"/>
  <c r="C7" i="20"/>
  <c r="F7" i="20" s="1"/>
  <c r="A16" i="20"/>
  <c r="A15" i="20"/>
  <c r="A17" i="20" s="1"/>
  <c r="D7" i="20"/>
  <c r="N19" i="20" s="1"/>
  <c r="V19" i="19"/>
  <c r="U19" i="19" s="1"/>
  <c r="B9" i="19"/>
  <c r="C7" i="19"/>
  <c r="F7" i="19" s="1"/>
  <c r="A16" i="19"/>
  <c r="A15" i="19"/>
  <c r="A17" i="19" s="1"/>
  <c r="D7" i="19"/>
  <c r="N19" i="19" s="1"/>
  <c r="V19" i="18"/>
  <c r="U19" i="18" s="1"/>
  <c r="B9" i="18"/>
  <c r="C7" i="18"/>
  <c r="F7" i="18" s="1"/>
  <c r="A16" i="18"/>
  <c r="A15" i="18"/>
  <c r="A17" i="18" s="1"/>
  <c r="D7" i="18"/>
  <c r="N19" i="18" s="1"/>
  <c r="V19" i="17"/>
  <c r="U19" i="17" s="1"/>
  <c r="B9" i="17"/>
  <c r="C7" i="17"/>
  <c r="F7" i="17" s="1"/>
  <c r="A16" i="17"/>
  <c r="A15" i="17"/>
  <c r="A17" i="17" s="1"/>
  <c r="D7" i="17"/>
  <c r="N19" i="17" s="1"/>
  <c r="V19" i="16"/>
  <c r="U19" i="16" s="1"/>
  <c r="B9" i="16"/>
  <c r="C7" i="16"/>
  <c r="F7" i="16" s="1"/>
  <c r="A15" i="16"/>
  <c r="A16" i="16"/>
  <c r="D7" i="16"/>
  <c r="V19" i="15"/>
  <c r="U19" i="15" s="1"/>
  <c r="B9" i="15"/>
  <c r="C7" i="15"/>
  <c r="F7" i="15" s="1"/>
  <c r="A16" i="15"/>
  <c r="A15" i="15"/>
  <c r="A17" i="15" s="1"/>
  <c r="D7" i="15"/>
  <c r="V19" i="14"/>
  <c r="U19" i="14" s="1"/>
  <c r="A16" i="14"/>
  <c r="A15" i="14"/>
  <c r="A17" i="14" s="1"/>
  <c r="B9" i="14"/>
  <c r="C7" i="14"/>
  <c r="F7" i="14" s="1"/>
  <c r="V19" i="13"/>
  <c r="U19" i="13" s="1"/>
  <c r="B9" i="13"/>
  <c r="C7" i="13"/>
  <c r="F7" i="13" s="1"/>
  <c r="D7" i="13"/>
  <c r="N19" i="13" s="1"/>
  <c r="A16" i="13"/>
  <c r="A15" i="13"/>
  <c r="A17" i="13" s="1"/>
  <c r="V19" i="12"/>
  <c r="U19" i="12" s="1"/>
  <c r="B9" i="12"/>
  <c r="C7" i="12"/>
  <c r="F7" i="12" s="1"/>
  <c r="A16" i="12"/>
  <c r="A15" i="12"/>
  <c r="A17" i="12" s="1"/>
  <c r="D7" i="12"/>
  <c r="N19" i="12" s="1"/>
  <c r="H14" i="11"/>
  <c r="D14" i="11"/>
  <c r="D17" i="11" s="1"/>
  <c r="E7" i="11" s="1"/>
  <c r="G7" i="11" s="1"/>
  <c r="V19" i="10"/>
  <c r="U19" i="10" s="1"/>
  <c r="B9" i="10"/>
  <c r="C7" i="10"/>
  <c r="F7" i="10" s="1"/>
  <c r="A16" i="10"/>
  <c r="A15" i="10"/>
  <c r="A17" i="10" s="1"/>
  <c r="D7" i="10"/>
  <c r="N19" i="10" s="1"/>
  <c r="V19" i="9"/>
  <c r="U19" i="9" s="1"/>
  <c r="B9" i="9"/>
  <c r="C7" i="9"/>
  <c r="F7" i="9" s="1"/>
  <c r="A16" i="9"/>
  <c r="D7" i="9"/>
  <c r="N19" i="9" s="1"/>
  <c r="A15" i="9"/>
  <c r="A17" i="9" s="1"/>
  <c r="V19" i="8"/>
  <c r="U19" i="8" s="1"/>
  <c r="B9" i="8"/>
  <c r="C7" i="8"/>
  <c r="F7" i="8" s="1"/>
  <c r="A16" i="8"/>
  <c r="A15" i="8"/>
  <c r="A17" i="8" s="1"/>
  <c r="D7" i="8"/>
  <c r="N19" i="8" s="1"/>
  <c r="D14" i="7"/>
  <c r="D17" i="7" s="1"/>
  <c r="E7" i="7" s="1"/>
  <c r="G7" i="7" s="1"/>
  <c r="H14" i="7"/>
  <c r="D7" i="6"/>
  <c r="N19" i="6" s="1"/>
  <c r="A17" i="6"/>
  <c r="D14" i="6"/>
  <c r="D17" i="6" s="1"/>
  <c r="E7" i="6" s="1"/>
  <c r="G7" i="6" s="1"/>
  <c r="H14" i="6"/>
  <c r="D14" i="5"/>
  <c r="D17" i="5" s="1"/>
  <c r="E7" i="5" s="1"/>
  <c r="G7" i="5" s="1"/>
  <c r="H14" i="5"/>
  <c r="D14" i="4"/>
  <c r="D17" i="4" s="1"/>
  <c r="E7" i="4" s="1"/>
  <c r="G7" i="4" s="1"/>
  <c r="H14" i="4"/>
  <c r="D7" i="4"/>
  <c r="N19" i="4" s="1"/>
  <c r="H7" i="3"/>
  <c r="Y19" i="3"/>
  <c r="I7" i="3"/>
  <c r="H8" i="3"/>
  <c r="X19" i="3"/>
  <c r="X20" i="3" s="1"/>
  <c r="A17" i="3"/>
  <c r="D7" i="3"/>
  <c r="N19" i="3" s="1"/>
  <c r="O10" i="34" l="1"/>
  <c r="D15" i="34" s="1"/>
  <c r="H14" i="34"/>
  <c r="D14" i="34"/>
  <c r="D17" i="34" s="1"/>
  <c r="E7" i="34" s="1"/>
  <c r="G7" i="34" s="1"/>
  <c r="H14" i="33"/>
  <c r="D14" i="33"/>
  <c r="O10" i="33"/>
  <c r="D15" i="33" s="1"/>
  <c r="D14" i="32"/>
  <c r="O10" i="32"/>
  <c r="D15" i="32" s="1"/>
  <c r="H14" i="32"/>
  <c r="O10" i="31"/>
  <c r="D15" i="31" s="1"/>
  <c r="H14" i="31"/>
  <c r="D14" i="31"/>
  <c r="D17" i="31" s="1"/>
  <c r="E7" i="31" s="1"/>
  <c r="G7" i="31" s="1"/>
  <c r="D7" i="30"/>
  <c r="N19" i="30" s="1"/>
  <c r="D14" i="30"/>
  <c r="O10" i="30"/>
  <c r="D15" i="30" s="1"/>
  <c r="H14" i="30"/>
  <c r="O10" i="29"/>
  <c r="D15" i="29" s="1"/>
  <c r="H14" i="29"/>
  <c r="D14" i="29"/>
  <c r="D17" i="29" s="1"/>
  <c r="E7" i="29" s="1"/>
  <c r="G7" i="29" s="1"/>
  <c r="O10" i="28"/>
  <c r="D15" i="28" s="1"/>
  <c r="H14" i="28"/>
  <c r="D14" i="28"/>
  <c r="D17" i="28" s="1"/>
  <c r="E7" i="28" s="1"/>
  <c r="G7" i="28" s="1"/>
  <c r="A17" i="28"/>
  <c r="D14" i="27"/>
  <c r="D17" i="27" s="1"/>
  <c r="E7" i="27" s="1"/>
  <c r="G7" i="27" s="1"/>
  <c r="O10" i="27"/>
  <c r="D15" i="27" s="1"/>
  <c r="H14" i="27"/>
  <c r="O10" i="26"/>
  <c r="D15" i="26" s="1"/>
  <c r="H14" i="26"/>
  <c r="D14" i="26"/>
  <c r="D17" i="26" s="1"/>
  <c r="E7" i="26" s="1"/>
  <c r="G7" i="26" s="1"/>
  <c r="A17" i="26"/>
  <c r="D14" i="25"/>
  <c r="O10" i="25"/>
  <c r="D15" i="25" s="1"/>
  <c r="H14" i="25"/>
  <c r="A17" i="24"/>
  <c r="D14" i="24"/>
  <c r="D17" i="24" s="1"/>
  <c r="E7" i="24" s="1"/>
  <c r="G7" i="24" s="1"/>
  <c r="O10" i="24"/>
  <c r="D15" i="24" s="1"/>
  <c r="H14" i="24"/>
  <c r="H14" i="23"/>
  <c r="D14" i="23"/>
  <c r="O10" i="23"/>
  <c r="D15" i="23" s="1"/>
  <c r="O10" i="22"/>
  <c r="D15" i="22" s="1"/>
  <c r="N19" i="22"/>
  <c r="A17" i="22"/>
  <c r="D14" i="22"/>
  <c r="D17" i="22" s="1"/>
  <c r="E7" i="22" s="1"/>
  <c r="G7" i="22" s="1"/>
  <c r="H14" i="22"/>
  <c r="H14" i="21"/>
  <c r="D14" i="21"/>
  <c r="D17" i="21" s="1"/>
  <c r="E7" i="21" s="1"/>
  <c r="G7" i="21" s="1"/>
  <c r="D14" i="20"/>
  <c r="D17" i="20" s="1"/>
  <c r="E7" i="20" s="1"/>
  <c r="G7" i="20" s="1"/>
  <c r="H14" i="20"/>
  <c r="H14" i="19"/>
  <c r="D14" i="19"/>
  <c r="D17" i="19" s="1"/>
  <c r="E7" i="19" s="1"/>
  <c r="G7" i="19" s="1"/>
  <c r="H14" i="18"/>
  <c r="D14" i="18"/>
  <c r="D17" i="18" s="1"/>
  <c r="E7" i="18" s="1"/>
  <c r="G7" i="18" s="1"/>
  <c r="D14" i="17"/>
  <c r="D17" i="17" s="1"/>
  <c r="E7" i="17" s="1"/>
  <c r="G7" i="17" s="1"/>
  <c r="H14" i="17"/>
  <c r="H14" i="16"/>
  <c r="D14" i="16"/>
  <c r="O10" i="16"/>
  <c r="D15" i="16" s="1"/>
  <c r="N19" i="16"/>
  <c r="A17" i="16"/>
  <c r="N19" i="15"/>
  <c r="O10" i="15"/>
  <c r="D15" i="15" s="1"/>
  <c r="H14" i="15"/>
  <c r="D14" i="15"/>
  <c r="D17" i="15" s="1"/>
  <c r="E7" i="15" s="1"/>
  <c r="G7" i="15" s="1"/>
  <c r="H14" i="14"/>
  <c r="D14" i="14"/>
  <c r="D17" i="14" s="1"/>
  <c r="E7" i="14" s="1"/>
  <c r="G7" i="14" s="1"/>
  <c r="D7" i="14"/>
  <c r="N19" i="14" s="1"/>
  <c r="D14" i="13"/>
  <c r="D17" i="13" s="1"/>
  <c r="E7" i="13" s="1"/>
  <c r="G7" i="13" s="1"/>
  <c r="H14" i="13"/>
  <c r="H14" i="12"/>
  <c r="D14" i="12"/>
  <c r="D17" i="12" s="1"/>
  <c r="E7" i="12" s="1"/>
  <c r="G7" i="12" s="1"/>
  <c r="H8" i="11"/>
  <c r="I7" i="11"/>
  <c r="H7" i="11"/>
  <c r="Y19" i="11"/>
  <c r="X19" i="11"/>
  <c r="X20" i="11" s="1"/>
  <c r="H14" i="10"/>
  <c r="D14" i="10"/>
  <c r="D17" i="10" s="1"/>
  <c r="E7" i="10" s="1"/>
  <c r="G7" i="10" s="1"/>
  <c r="H14" i="9"/>
  <c r="D14" i="9"/>
  <c r="D17" i="9" s="1"/>
  <c r="E7" i="9" s="1"/>
  <c r="G7" i="9" s="1"/>
  <c r="H14" i="8"/>
  <c r="D14" i="8"/>
  <c r="D17" i="8" s="1"/>
  <c r="E7" i="8" s="1"/>
  <c r="G7" i="8" s="1"/>
  <c r="H7" i="7"/>
  <c r="I7" i="7" s="1"/>
  <c r="H8" i="7"/>
  <c r="Y19" i="7"/>
  <c r="X19" i="7"/>
  <c r="X20" i="7" s="1"/>
  <c r="I7" i="6"/>
  <c r="H7" i="6"/>
  <c r="Y19" i="6"/>
  <c r="X19" i="6"/>
  <c r="X20" i="6" s="1"/>
  <c r="H8" i="6"/>
  <c r="I7" i="5"/>
  <c r="H7" i="5"/>
  <c r="H8" i="5"/>
  <c r="Y19" i="5"/>
  <c r="X19" i="5"/>
  <c r="X20" i="5" s="1"/>
  <c r="Y19" i="4"/>
  <c r="X19" i="4"/>
  <c r="X20" i="4" s="1"/>
  <c r="H7" i="4"/>
  <c r="I7" i="4" s="1"/>
  <c r="H8" i="4"/>
  <c r="M14" i="3"/>
  <c r="M16" i="3" s="1"/>
  <c r="L14" i="3"/>
  <c r="L16" i="3" s="1"/>
  <c r="K14" i="3"/>
  <c r="K16" i="3" s="1"/>
  <c r="K11" i="3"/>
  <c r="N7" i="3"/>
  <c r="M7" i="3"/>
  <c r="L7" i="3"/>
  <c r="K7" i="3"/>
  <c r="H16" i="3"/>
  <c r="P7" i="3" s="1"/>
  <c r="P8" i="3" s="1"/>
  <c r="J7" i="3"/>
  <c r="Y20" i="3"/>
  <c r="AA20" i="3" s="1"/>
  <c r="Z19" i="3"/>
  <c r="AA19" i="3" s="1"/>
  <c r="AB19" i="3" s="1"/>
  <c r="N14" i="3"/>
  <c r="J19" i="3"/>
  <c r="I24" i="3"/>
  <c r="I25" i="3" s="1"/>
  <c r="H24" i="3"/>
  <c r="Q13" i="3"/>
  <c r="H8" i="34" l="1"/>
  <c r="X19" i="34"/>
  <c r="X20" i="34" s="1"/>
  <c r="H7" i="34"/>
  <c r="Y19" i="34"/>
  <c r="D17" i="33"/>
  <c r="E7" i="33" s="1"/>
  <c r="G7" i="33" s="1"/>
  <c r="D17" i="32"/>
  <c r="E7" i="32" s="1"/>
  <c r="G7" i="32" s="1"/>
  <c r="Y19" i="31"/>
  <c r="X19" i="31"/>
  <c r="X20" i="31" s="1"/>
  <c r="H7" i="31"/>
  <c r="H8" i="31"/>
  <c r="I7" i="31"/>
  <c r="D17" i="30"/>
  <c r="E7" i="30" s="1"/>
  <c r="G7" i="30" s="1"/>
  <c r="X19" i="29"/>
  <c r="X20" i="29" s="1"/>
  <c r="H7" i="29"/>
  <c r="H8" i="29"/>
  <c r="Y19" i="29"/>
  <c r="H8" i="28"/>
  <c r="Y19" i="28"/>
  <c r="X19" i="28"/>
  <c r="X20" i="28" s="1"/>
  <c r="H7" i="28"/>
  <c r="I7" i="28"/>
  <c r="H7" i="27"/>
  <c r="I7" i="27"/>
  <c r="X19" i="27"/>
  <c r="X20" i="27" s="1"/>
  <c r="H8" i="27"/>
  <c r="Y19" i="27"/>
  <c r="H8" i="26"/>
  <c r="Y19" i="26"/>
  <c r="X19" i="26"/>
  <c r="X20" i="26" s="1"/>
  <c r="H7" i="26"/>
  <c r="D17" i="25"/>
  <c r="E7" i="25" s="1"/>
  <c r="G7" i="25" s="1"/>
  <c r="H7" i="24"/>
  <c r="Y19" i="24"/>
  <c r="I7" i="24"/>
  <c r="H8" i="24"/>
  <c r="X19" i="24"/>
  <c r="X20" i="24" s="1"/>
  <c r="D17" i="23"/>
  <c r="E7" i="23" s="1"/>
  <c r="G7" i="23" s="1"/>
  <c r="H8" i="22"/>
  <c r="X19" i="22"/>
  <c r="X20" i="22" s="1"/>
  <c r="H7" i="22"/>
  <c r="Y19" i="22"/>
  <c r="I7" i="22"/>
  <c r="Y19" i="21"/>
  <c r="X19" i="21"/>
  <c r="X20" i="21" s="1"/>
  <c r="H7" i="21"/>
  <c r="H8" i="21"/>
  <c r="H7" i="20"/>
  <c r="Y19" i="20"/>
  <c r="X19" i="20"/>
  <c r="X20" i="20" s="1"/>
  <c r="H8" i="20"/>
  <c r="H7" i="19"/>
  <c r="Y19" i="19"/>
  <c r="H8" i="19"/>
  <c r="I7" i="19"/>
  <c r="X19" i="19"/>
  <c r="X20" i="19" s="1"/>
  <c r="I7" i="18"/>
  <c r="H7" i="18"/>
  <c r="H8" i="18"/>
  <c r="Y19" i="18"/>
  <c r="X19" i="18"/>
  <c r="X20" i="18" s="1"/>
  <c r="X19" i="17"/>
  <c r="X20" i="17" s="1"/>
  <c r="H7" i="17"/>
  <c r="Y19" i="17"/>
  <c r="H8" i="17"/>
  <c r="D17" i="16"/>
  <c r="E7" i="16" s="1"/>
  <c r="G7" i="16" s="1"/>
  <c r="Y19" i="15"/>
  <c r="H8" i="15"/>
  <c r="X19" i="15"/>
  <c r="X20" i="15" s="1"/>
  <c r="H7" i="15"/>
  <c r="H7" i="14"/>
  <c r="X19" i="14"/>
  <c r="X20" i="14" s="1"/>
  <c r="H8" i="14"/>
  <c r="Y19" i="14"/>
  <c r="H8" i="13"/>
  <c r="H7" i="13"/>
  <c r="Y19" i="13"/>
  <c r="X19" i="13"/>
  <c r="X20" i="13" s="1"/>
  <c r="X19" i="12"/>
  <c r="X20" i="12" s="1"/>
  <c r="H7" i="12"/>
  <c r="H8" i="12"/>
  <c r="Y19" i="12"/>
  <c r="Y20" i="11"/>
  <c r="Z19" i="11"/>
  <c r="AA19" i="11" s="1"/>
  <c r="AB19" i="11" s="1"/>
  <c r="N14" i="11"/>
  <c r="J19" i="11"/>
  <c r="I24" i="11"/>
  <c r="I25" i="11" s="1"/>
  <c r="H24" i="11"/>
  <c r="Q13" i="11"/>
  <c r="H17" i="11"/>
  <c r="N7" i="11"/>
  <c r="M7" i="11"/>
  <c r="L7" i="11"/>
  <c r="K7" i="11"/>
  <c r="H16" i="11"/>
  <c r="P7" i="11" s="1"/>
  <c r="P8" i="11" s="1"/>
  <c r="J7" i="11"/>
  <c r="AA20" i="11"/>
  <c r="M14" i="11"/>
  <c r="M16" i="11" s="1"/>
  <c r="K11" i="11"/>
  <c r="L14" i="11"/>
  <c r="L16" i="11" s="1"/>
  <c r="K14" i="11"/>
  <c r="K16" i="11" s="1"/>
  <c r="H7" i="10"/>
  <c r="H8" i="10"/>
  <c r="I7" i="10"/>
  <c r="Y19" i="10"/>
  <c r="X19" i="10"/>
  <c r="X20" i="10" s="1"/>
  <c r="H7" i="9"/>
  <c r="I7" i="9"/>
  <c r="X19" i="9"/>
  <c r="X20" i="9" s="1"/>
  <c r="H8" i="9"/>
  <c r="Y19" i="9"/>
  <c r="H7" i="8"/>
  <c r="X19" i="8"/>
  <c r="X20" i="8" s="1"/>
  <c r="H8" i="8"/>
  <c r="Y19" i="8"/>
  <c r="M7" i="7"/>
  <c r="J7" i="7"/>
  <c r="N7" i="7"/>
  <c r="L7" i="7"/>
  <c r="K7" i="7"/>
  <c r="H16" i="7"/>
  <c r="P7" i="7" s="1"/>
  <c r="P8" i="7" s="1"/>
  <c r="Y20" i="7"/>
  <c r="Z19" i="7"/>
  <c r="AA19" i="7" s="1"/>
  <c r="AB19" i="7" s="1"/>
  <c r="AA20" i="7"/>
  <c r="M14" i="7"/>
  <c r="M16" i="7" s="1"/>
  <c r="L14" i="7"/>
  <c r="L16" i="7" s="1"/>
  <c r="K11" i="7"/>
  <c r="K14" i="7"/>
  <c r="K16" i="7" s="1"/>
  <c r="H24" i="7"/>
  <c r="J19" i="7"/>
  <c r="I24" i="7"/>
  <c r="I25" i="7" s="1"/>
  <c r="Q13" i="7"/>
  <c r="N14" i="7"/>
  <c r="M7" i="6"/>
  <c r="H16" i="6"/>
  <c r="L7" i="6"/>
  <c r="N7" i="6"/>
  <c r="K7" i="6"/>
  <c r="J7" i="6"/>
  <c r="Y20" i="6"/>
  <c r="AA20" i="6" s="1"/>
  <c r="Z19" i="6"/>
  <c r="AA19" i="6" s="1"/>
  <c r="AB19" i="6" s="1"/>
  <c r="M14" i="6"/>
  <c r="M16" i="6" s="1"/>
  <c r="L14" i="6"/>
  <c r="L16" i="6" s="1"/>
  <c r="K14" i="6"/>
  <c r="K16" i="6" s="1"/>
  <c r="K11" i="6"/>
  <c r="H17" i="6"/>
  <c r="P7" i="6"/>
  <c r="P8" i="6" s="1"/>
  <c r="Q13" i="6"/>
  <c r="J19" i="6"/>
  <c r="I24" i="6"/>
  <c r="I25" i="6" s="1"/>
  <c r="H24" i="6"/>
  <c r="N14" i="6"/>
  <c r="M7" i="5"/>
  <c r="L7" i="5"/>
  <c r="H16" i="5"/>
  <c r="K7" i="5"/>
  <c r="J7" i="5"/>
  <c r="N7" i="5"/>
  <c r="Y20" i="5"/>
  <c r="AA20" i="5" s="1"/>
  <c r="Z19" i="5"/>
  <c r="AA19" i="5" s="1"/>
  <c r="AB19" i="5" s="1"/>
  <c r="M14" i="5"/>
  <c r="M16" i="5" s="1"/>
  <c r="L14" i="5"/>
  <c r="L16" i="5" s="1"/>
  <c r="K14" i="5"/>
  <c r="K16" i="5" s="1"/>
  <c r="K11" i="5"/>
  <c r="J19" i="5"/>
  <c r="I24" i="5"/>
  <c r="I25" i="5" s="1"/>
  <c r="H24" i="5"/>
  <c r="H17" i="5"/>
  <c r="Q13" i="5"/>
  <c r="P7" i="5"/>
  <c r="P8" i="5" s="1"/>
  <c r="N14" i="5"/>
  <c r="M7" i="4"/>
  <c r="L7" i="4"/>
  <c r="N7" i="4"/>
  <c r="K7" i="4"/>
  <c r="H16" i="4"/>
  <c r="P7" i="4" s="1"/>
  <c r="P8" i="4" s="1"/>
  <c r="J7" i="4"/>
  <c r="M14" i="4"/>
  <c r="M16" i="4" s="1"/>
  <c r="L14" i="4"/>
  <c r="L16" i="4" s="1"/>
  <c r="K14" i="4"/>
  <c r="K16" i="4" s="1"/>
  <c r="K11" i="4"/>
  <c r="H17" i="4"/>
  <c r="Q13" i="4"/>
  <c r="I24" i="4"/>
  <c r="I25" i="4" s="1"/>
  <c r="H24" i="4"/>
  <c r="J19" i="4"/>
  <c r="N14" i="4"/>
  <c r="Y20" i="4"/>
  <c r="AA20" i="4" s="1"/>
  <c r="Z19" i="4"/>
  <c r="AA19" i="4" s="1"/>
  <c r="AB19" i="4" s="1"/>
  <c r="H17" i="3"/>
  <c r="S3" i="3"/>
  <c r="V6" i="3"/>
  <c r="U6" i="3"/>
  <c r="W5" i="3"/>
  <c r="N9" i="3"/>
  <c r="O23" i="3"/>
  <c r="K9" i="3"/>
  <c r="O5" i="3"/>
  <c r="U5" i="3"/>
  <c r="L9" i="3"/>
  <c r="M9" i="3"/>
  <c r="V5" i="3"/>
  <c r="N8" i="3"/>
  <c r="N10" i="3" s="1"/>
  <c r="M8" i="3"/>
  <c r="L8" i="3"/>
  <c r="K8" i="3"/>
  <c r="J9" i="3"/>
  <c r="J19" i="34" l="1"/>
  <c r="I24" i="34"/>
  <c r="I25" i="34" s="1"/>
  <c r="N14" i="34"/>
  <c r="Q13" i="34"/>
  <c r="H24" i="34"/>
  <c r="I7" i="34"/>
  <c r="Y20" i="34"/>
  <c r="AA20" i="34" s="1"/>
  <c r="Z19" i="34"/>
  <c r="AA19" i="34" s="1"/>
  <c r="AB19" i="34" s="1"/>
  <c r="M14" i="34"/>
  <c r="M16" i="34" s="1"/>
  <c r="K14" i="34"/>
  <c r="K16" i="34" s="1"/>
  <c r="K11" i="34"/>
  <c r="L14" i="34"/>
  <c r="L16" i="34" s="1"/>
  <c r="Y19" i="33"/>
  <c r="X19" i="33"/>
  <c r="X20" i="33" s="1"/>
  <c r="H8" i="33"/>
  <c r="H7" i="33"/>
  <c r="H7" i="32"/>
  <c r="H8" i="32"/>
  <c r="Y19" i="32"/>
  <c r="I7" i="32"/>
  <c r="X19" i="32"/>
  <c r="X20" i="32" s="1"/>
  <c r="H16" i="31"/>
  <c r="N7" i="31"/>
  <c r="K7" i="31"/>
  <c r="J7" i="31"/>
  <c r="M7" i="31"/>
  <c r="L7" i="31"/>
  <c r="P7" i="31"/>
  <c r="P8" i="31" s="1"/>
  <c r="H17" i="31"/>
  <c r="N14" i="31"/>
  <c r="Q13" i="31"/>
  <c r="J19" i="31"/>
  <c r="I24" i="31"/>
  <c r="I25" i="31" s="1"/>
  <c r="H24" i="31"/>
  <c r="K14" i="31"/>
  <c r="K16" i="31" s="1"/>
  <c r="M14" i="31"/>
  <c r="M16" i="31" s="1"/>
  <c r="K11" i="31"/>
  <c r="L14" i="31"/>
  <c r="L16" i="31" s="1"/>
  <c r="Y20" i="31"/>
  <c r="AA20" i="31" s="1"/>
  <c r="Z19" i="31"/>
  <c r="AA19" i="31" s="1"/>
  <c r="AB19" i="31" s="1"/>
  <c r="I7" i="30"/>
  <c r="H8" i="30"/>
  <c r="X19" i="30"/>
  <c r="X20" i="30" s="1"/>
  <c r="Y19" i="30"/>
  <c r="H7" i="30"/>
  <c r="Y20" i="29"/>
  <c r="Z19" i="29"/>
  <c r="AA19" i="29" s="1"/>
  <c r="AB19" i="29" s="1"/>
  <c r="K11" i="29"/>
  <c r="M14" i="29"/>
  <c r="M16" i="29" s="1"/>
  <c r="L14" i="29"/>
  <c r="L16" i="29" s="1"/>
  <c r="K14" i="29"/>
  <c r="K16" i="29" s="1"/>
  <c r="Q13" i="29"/>
  <c r="N14" i="29"/>
  <c r="J19" i="29"/>
  <c r="I24" i="29"/>
  <c r="I25" i="29" s="1"/>
  <c r="H24" i="29"/>
  <c r="I7" i="29"/>
  <c r="AA20" i="29"/>
  <c r="M14" i="28"/>
  <c r="M16" i="28" s="1"/>
  <c r="L14" i="28"/>
  <c r="L16" i="28" s="1"/>
  <c r="K14" i="28"/>
  <c r="K16" i="28" s="1"/>
  <c r="K11" i="28"/>
  <c r="M7" i="28"/>
  <c r="L7" i="28"/>
  <c r="N7" i="28"/>
  <c r="K7" i="28"/>
  <c r="H16" i="28"/>
  <c r="J7" i="28"/>
  <c r="P7" i="28"/>
  <c r="P8" i="28" s="1"/>
  <c r="N14" i="28"/>
  <c r="H17" i="28"/>
  <c r="J19" i="28"/>
  <c r="I24" i="28"/>
  <c r="I25" i="28" s="1"/>
  <c r="H24" i="28"/>
  <c r="Q13" i="28"/>
  <c r="Y20" i="28"/>
  <c r="AA20" i="28" s="1"/>
  <c r="Z19" i="28"/>
  <c r="AA19" i="28" s="1"/>
  <c r="AB19" i="28" s="1"/>
  <c r="Y20" i="27"/>
  <c r="Z19" i="27"/>
  <c r="AA19" i="27" s="1"/>
  <c r="AB19" i="27" s="1"/>
  <c r="M14" i="27"/>
  <c r="M16" i="27" s="1"/>
  <c r="L14" i="27"/>
  <c r="L16" i="27" s="1"/>
  <c r="K14" i="27"/>
  <c r="K16" i="27" s="1"/>
  <c r="K11" i="27"/>
  <c r="AA20" i="27"/>
  <c r="N7" i="27"/>
  <c r="L7" i="27"/>
  <c r="K7" i="27"/>
  <c r="M7" i="27"/>
  <c r="H16" i="27"/>
  <c r="P7" i="27" s="1"/>
  <c r="P8" i="27" s="1"/>
  <c r="J7" i="27"/>
  <c r="H24" i="27"/>
  <c r="N14" i="27"/>
  <c r="J19" i="27"/>
  <c r="I24" i="27"/>
  <c r="I25" i="27" s="1"/>
  <c r="Q13" i="27"/>
  <c r="Y20" i="26"/>
  <c r="Z19" i="26"/>
  <c r="AA19" i="26" s="1"/>
  <c r="AB19" i="26" s="1"/>
  <c r="N14" i="26"/>
  <c r="J19" i="26"/>
  <c r="Q13" i="26"/>
  <c r="H24" i="26"/>
  <c r="I24" i="26"/>
  <c r="I25" i="26" s="1"/>
  <c r="K11" i="26"/>
  <c r="M14" i="26"/>
  <c r="M16" i="26" s="1"/>
  <c r="L14" i="26"/>
  <c r="L16" i="26" s="1"/>
  <c r="K14" i="26"/>
  <c r="K16" i="26" s="1"/>
  <c r="AA20" i="26"/>
  <c r="I7" i="26"/>
  <c r="H8" i="25"/>
  <c r="Y19" i="25"/>
  <c r="H7" i="25"/>
  <c r="I7" i="25" s="1"/>
  <c r="X19" i="25"/>
  <c r="X20" i="25" s="1"/>
  <c r="K14" i="24"/>
  <c r="K16" i="24" s="1"/>
  <c r="M14" i="24"/>
  <c r="M16" i="24" s="1"/>
  <c r="L14" i="24"/>
  <c r="L16" i="24" s="1"/>
  <c r="K11" i="24"/>
  <c r="J7" i="24"/>
  <c r="N7" i="24"/>
  <c r="K7" i="24"/>
  <c r="M7" i="24"/>
  <c r="L7" i="24"/>
  <c r="H16" i="24"/>
  <c r="P7" i="24" s="1"/>
  <c r="P8" i="24" s="1"/>
  <c r="Y20" i="24"/>
  <c r="AA20" i="24" s="1"/>
  <c r="Z19" i="24"/>
  <c r="AA19" i="24" s="1"/>
  <c r="AB19" i="24" s="1"/>
  <c r="J19" i="24"/>
  <c r="N14" i="24"/>
  <c r="I24" i="24"/>
  <c r="I25" i="24" s="1"/>
  <c r="H24" i="24"/>
  <c r="Q13" i="24"/>
  <c r="H7" i="23"/>
  <c r="X19" i="23"/>
  <c r="X20" i="23" s="1"/>
  <c r="I7" i="23"/>
  <c r="H8" i="23"/>
  <c r="Y19" i="23"/>
  <c r="L7" i="22"/>
  <c r="N7" i="22"/>
  <c r="M7" i="22"/>
  <c r="K7" i="22"/>
  <c r="H16" i="22"/>
  <c r="J7" i="22"/>
  <c r="Z19" i="22"/>
  <c r="AA19" i="22" s="1"/>
  <c r="AB19" i="22" s="1"/>
  <c r="Y20" i="22"/>
  <c r="AA20" i="22" s="1"/>
  <c r="P7" i="22"/>
  <c r="P8" i="22" s="1"/>
  <c r="I24" i="22"/>
  <c r="I25" i="22" s="1"/>
  <c r="H17" i="22"/>
  <c r="Q13" i="22"/>
  <c r="N14" i="22"/>
  <c r="H24" i="22"/>
  <c r="J19" i="22"/>
  <c r="K11" i="22"/>
  <c r="M14" i="22"/>
  <c r="M16" i="22" s="1"/>
  <c r="L14" i="22"/>
  <c r="L16" i="22" s="1"/>
  <c r="K14" i="22"/>
  <c r="K16" i="22" s="1"/>
  <c r="L14" i="21"/>
  <c r="L16" i="21" s="1"/>
  <c r="K11" i="21"/>
  <c r="M14" i="21"/>
  <c r="M16" i="21" s="1"/>
  <c r="K14" i="21"/>
  <c r="K16" i="21" s="1"/>
  <c r="J19" i="21"/>
  <c r="N14" i="21"/>
  <c r="H24" i="21"/>
  <c r="Q13" i="21"/>
  <c r="I24" i="21"/>
  <c r="I25" i="21" s="1"/>
  <c r="I7" i="21"/>
  <c r="AA20" i="21"/>
  <c r="Y20" i="21"/>
  <c r="Z19" i="21"/>
  <c r="AA19" i="21" s="1"/>
  <c r="AB19" i="21" s="1"/>
  <c r="AA20" i="20"/>
  <c r="H24" i="20"/>
  <c r="N14" i="20"/>
  <c r="J19" i="20"/>
  <c r="I24" i="20"/>
  <c r="I25" i="20" s="1"/>
  <c r="Q13" i="20"/>
  <c r="K14" i="20"/>
  <c r="K16" i="20" s="1"/>
  <c r="K11" i="20"/>
  <c r="M14" i="20"/>
  <c r="M16" i="20" s="1"/>
  <c r="L14" i="20"/>
  <c r="L16" i="20" s="1"/>
  <c r="I7" i="20"/>
  <c r="Z19" i="20"/>
  <c r="AA19" i="20" s="1"/>
  <c r="AB19" i="20" s="1"/>
  <c r="Y20" i="20"/>
  <c r="K7" i="19"/>
  <c r="H16" i="19"/>
  <c r="N7" i="19"/>
  <c r="M7" i="19"/>
  <c r="J7" i="19"/>
  <c r="L7" i="19"/>
  <c r="K14" i="19"/>
  <c r="K16" i="19" s="1"/>
  <c r="K11" i="19"/>
  <c r="M14" i="19"/>
  <c r="M16" i="19" s="1"/>
  <c r="L14" i="19"/>
  <c r="L16" i="19" s="1"/>
  <c r="Y20" i="19"/>
  <c r="AA20" i="19" s="1"/>
  <c r="Z19" i="19"/>
  <c r="AA19" i="19" s="1"/>
  <c r="AB19" i="19" s="1"/>
  <c r="P7" i="19"/>
  <c r="P8" i="19" s="1"/>
  <c r="N14" i="19"/>
  <c r="I24" i="19"/>
  <c r="I25" i="19" s="1"/>
  <c r="H24" i="19"/>
  <c r="J19" i="19"/>
  <c r="H17" i="19"/>
  <c r="Q13" i="19"/>
  <c r="N7" i="18"/>
  <c r="M7" i="18"/>
  <c r="L7" i="18"/>
  <c r="K7" i="18"/>
  <c r="H16" i="18"/>
  <c r="P7" i="18" s="1"/>
  <c r="P8" i="18" s="1"/>
  <c r="J7" i="18"/>
  <c r="Z19" i="18"/>
  <c r="AA19" i="18" s="1"/>
  <c r="AB19" i="18" s="1"/>
  <c r="Y20" i="18"/>
  <c r="AA20" i="18" s="1"/>
  <c r="L14" i="18"/>
  <c r="L16" i="18" s="1"/>
  <c r="M14" i="18"/>
  <c r="M16" i="18" s="1"/>
  <c r="K14" i="18"/>
  <c r="K16" i="18" s="1"/>
  <c r="K11" i="18"/>
  <c r="N14" i="18"/>
  <c r="J19" i="18"/>
  <c r="I24" i="18"/>
  <c r="I25" i="18" s="1"/>
  <c r="H24" i="18"/>
  <c r="Q13" i="18"/>
  <c r="L14" i="17"/>
  <c r="L16" i="17" s="1"/>
  <c r="M14" i="17"/>
  <c r="M16" i="17" s="1"/>
  <c r="K14" i="17"/>
  <c r="K16" i="17" s="1"/>
  <c r="K11" i="17"/>
  <c r="Z19" i="17"/>
  <c r="AA19" i="17" s="1"/>
  <c r="AB19" i="17" s="1"/>
  <c r="Y20" i="17"/>
  <c r="AA20" i="17" s="1"/>
  <c r="N14" i="17"/>
  <c r="J19" i="17"/>
  <c r="I24" i="17"/>
  <c r="I25" i="17" s="1"/>
  <c r="H24" i="17"/>
  <c r="Q13" i="17"/>
  <c r="I7" i="17"/>
  <c r="H7" i="16"/>
  <c r="H8" i="16"/>
  <c r="Y19" i="16"/>
  <c r="X19" i="16"/>
  <c r="X20" i="16" s="1"/>
  <c r="Q13" i="15"/>
  <c r="N14" i="15"/>
  <c r="J19" i="15"/>
  <c r="H24" i="15"/>
  <c r="I24" i="15"/>
  <c r="I25" i="15" s="1"/>
  <c r="I7" i="15"/>
  <c r="AA20" i="15"/>
  <c r="L14" i="15"/>
  <c r="L16" i="15" s="1"/>
  <c r="K11" i="15"/>
  <c r="K14" i="15"/>
  <c r="K16" i="15" s="1"/>
  <c r="M14" i="15"/>
  <c r="M16" i="15" s="1"/>
  <c r="Z19" i="15"/>
  <c r="AA19" i="15" s="1"/>
  <c r="AB19" i="15" s="1"/>
  <c r="Y20" i="15"/>
  <c r="L14" i="14"/>
  <c r="L16" i="14" s="1"/>
  <c r="K11" i="14"/>
  <c r="M14" i="14"/>
  <c r="M16" i="14" s="1"/>
  <c r="K14" i="14"/>
  <c r="K16" i="14" s="1"/>
  <c r="N14" i="14"/>
  <c r="H24" i="14"/>
  <c r="J19" i="14"/>
  <c r="I24" i="14"/>
  <c r="I25" i="14" s="1"/>
  <c r="Q13" i="14"/>
  <c r="Y20" i="14"/>
  <c r="AA20" i="14" s="1"/>
  <c r="Z19" i="14"/>
  <c r="AA19" i="14" s="1"/>
  <c r="AB19" i="14" s="1"/>
  <c r="I7" i="14"/>
  <c r="M14" i="13"/>
  <c r="M16" i="13" s="1"/>
  <c r="K11" i="13"/>
  <c r="L14" i="13"/>
  <c r="L16" i="13" s="1"/>
  <c r="K14" i="13"/>
  <c r="K16" i="13" s="1"/>
  <c r="Y20" i="13"/>
  <c r="AA20" i="13" s="1"/>
  <c r="Z19" i="13"/>
  <c r="AA19" i="13" s="1"/>
  <c r="AB19" i="13" s="1"/>
  <c r="N14" i="13"/>
  <c r="J19" i="13"/>
  <c r="I24" i="13"/>
  <c r="I25" i="13" s="1"/>
  <c r="H24" i="13"/>
  <c r="Q13" i="13"/>
  <c r="I7" i="13"/>
  <c r="N14" i="12"/>
  <c r="Q13" i="12"/>
  <c r="H24" i="12"/>
  <c r="J19" i="12"/>
  <c r="I24" i="12"/>
  <c r="I25" i="12" s="1"/>
  <c r="I7" i="12"/>
  <c r="Y20" i="12"/>
  <c r="AA20" i="12" s="1"/>
  <c r="Z19" i="12"/>
  <c r="AA19" i="12" s="1"/>
  <c r="AB19" i="12" s="1"/>
  <c r="M14" i="12"/>
  <c r="M16" i="12" s="1"/>
  <c r="L14" i="12"/>
  <c r="L16" i="12" s="1"/>
  <c r="K14" i="12"/>
  <c r="K16" i="12" s="1"/>
  <c r="K11" i="12"/>
  <c r="U5" i="11"/>
  <c r="L9" i="11"/>
  <c r="S3" i="11"/>
  <c r="O23" i="11"/>
  <c r="V6" i="11"/>
  <c r="W5" i="11"/>
  <c r="N9" i="11"/>
  <c r="U6" i="11"/>
  <c r="L8" i="11"/>
  <c r="K8" i="11"/>
  <c r="J9" i="11"/>
  <c r="N8" i="11"/>
  <c r="N10" i="11" s="1"/>
  <c r="M8" i="11"/>
  <c r="V5" i="11"/>
  <c r="M9" i="11"/>
  <c r="O5" i="11"/>
  <c r="K9" i="11"/>
  <c r="Y20" i="10"/>
  <c r="Z19" i="10"/>
  <c r="AA19" i="10" s="1"/>
  <c r="AB19" i="10" s="1"/>
  <c r="AA20" i="10"/>
  <c r="M7" i="10"/>
  <c r="L7" i="10"/>
  <c r="K7" i="10"/>
  <c r="J7" i="10"/>
  <c r="N7" i="10"/>
  <c r="H16" i="10"/>
  <c r="H17" i="10" s="1"/>
  <c r="M14" i="10"/>
  <c r="M16" i="10" s="1"/>
  <c r="L14" i="10"/>
  <c r="L16" i="10" s="1"/>
  <c r="K14" i="10"/>
  <c r="K16" i="10" s="1"/>
  <c r="K11" i="10"/>
  <c r="I24" i="10"/>
  <c r="I25" i="10" s="1"/>
  <c r="H24" i="10"/>
  <c r="N14" i="10"/>
  <c r="J19" i="10"/>
  <c r="Q13" i="10"/>
  <c r="Y20" i="9"/>
  <c r="Z19" i="9"/>
  <c r="AA19" i="9" s="1"/>
  <c r="AB19" i="9" s="1"/>
  <c r="K14" i="9"/>
  <c r="K16" i="9" s="1"/>
  <c r="M14" i="9"/>
  <c r="M16" i="9" s="1"/>
  <c r="L14" i="9"/>
  <c r="L16" i="9" s="1"/>
  <c r="K11" i="9"/>
  <c r="AA20" i="9"/>
  <c r="L7" i="9"/>
  <c r="J7" i="9"/>
  <c r="N7" i="9"/>
  <c r="K7" i="9"/>
  <c r="H16" i="9"/>
  <c r="P7" i="9" s="1"/>
  <c r="P8" i="9" s="1"/>
  <c r="M7" i="9"/>
  <c r="J19" i="9"/>
  <c r="N14" i="9"/>
  <c r="I24" i="9"/>
  <c r="I25" i="9" s="1"/>
  <c r="H24" i="9"/>
  <c r="Q13" i="9"/>
  <c r="Y20" i="8"/>
  <c r="AA20" i="8" s="1"/>
  <c r="Z19" i="8"/>
  <c r="AA19" i="8" s="1"/>
  <c r="AB19" i="8" s="1"/>
  <c r="L14" i="8"/>
  <c r="L16" i="8" s="1"/>
  <c r="K14" i="8"/>
  <c r="K16" i="8" s="1"/>
  <c r="K11" i="8"/>
  <c r="M14" i="8"/>
  <c r="M16" i="8" s="1"/>
  <c r="N14" i="8"/>
  <c r="J19" i="8"/>
  <c r="Q13" i="8"/>
  <c r="I24" i="8"/>
  <c r="I25" i="8" s="1"/>
  <c r="H24" i="8"/>
  <c r="I7" i="8"/>
  <c r="O5" i="7"/>
  <c r="K9" i="7"/>
  <c r="L9" i="7"/>
  <c r="U5" i="7"/>
  <c r="L8" i="7"/>
  <c r="M8" i="7"/>
  <c r="J9" i="7"/>
  <c r="N8" i="7"/>
  <c r="N10" i="7" s="1"/>
  <c r="K8" i="7"/>
  <c r="H17" i="7"/>
  <c r="N9" i="7"/>
  <c r="V6" i="7"/>
  <c r="O23" i="7"/>
  <c r="U6" i="7"/>
  <c r="W5" i="7"/>
  <c r="S3" i="7"/>
  <c r="V5" i="7"/>
  <c r="M9" i="7"/>
  <c r="L8" i="6"/>
  <c r="J9" i="6"/>
  <c r="N8" i="6"/>
  <c r="N10" i="6" s="1"/>
  <c r="M8" i="6"/>
  <c r="K8" i="6"/>
  <c r="O5" i="6"/>
  <c r="K9" i="6"/>
  <c r="N9" i="6"/>
  <c r="O23" i="6"/>
  <c r="V6" i="6"/>
  <c r="S3" i="6"/>
  <c r="U6" i="6"/>
  <c r="W5" i="6"/>
  <c r="U5" i="6"/>
  <c r="L9" i="6"/>
  <c r="V5" i="6"/>
  <c r="M9" i="6"/>
  <c r="W5" i="5"/>
  <c r="N9" i="5"/>
  <c r="V6" i="5"/>
  <c r="S3" i="5"/>
  <c r="U6" i="5"/>
  <c r="O23" i="5"/>
  <c r="M8" i="5"/>
  <c r="K8" i="5"/>
  <c r="L8" i="5"/>
  <c r="J9" i="5"/>
  <c r="N8" i="5"/>
  <c r="N10" i="5" s="1"/>
  <c r="K9" i="5"/>
  <c r="O5" i="5"/>
  <c r="U5" i="5"/>
  <c r="L9" i="5"/>
  <c r="V5" i="5"/>
  <c r="M9" i="5"/>
  <c r="K8" i="4"/>
  <c r="J9" i="4"/>
  <c r="L8" i="4"/>
  <c r="N8" i="4"/>
  <c r="N10" i="4" s="1"/>
  <c r="M8" i="4"/>
  <c r="N9" i="4"/>
  <c r="O23" i="4"/>
  <c r="S3" i="4"/>
  <c r="V6" i="4"/>
  <c r="W5" i="4"/>
  <c r="U6" i="4"/>
  <c r="K9" i="4"/>
  <c r="O5" i="4"/>
  <c r="U5" i="4"/>
  <c r="L9" i="4"/>
  <c r="V5" i="4"/>
  <c r="M9" i="4"/>
  <c r="K7" i="34" l="1"/>
  <c r="J7" i="34"/>
  <c r="N7" i="34"/>
  <c r="H16" i="34"/>
  <c r="M7" i="34"/>
  <c r="L7" i="34"/>
  <c r="M14" i="33"/>
  <c r="M16" i="33" s="1"/>
  <c r="L14" i="33"/>
  <c r="L16" i="33" s="1"/>
  <c r="K14" i="33"/>
  <c r="K16" i="33" s="1"/>
  <c r="K11" i="33"/>
  <c r="N14" i="33"/>
  <c r="J19" i="33"/>
  <c r="I24" i="33"/>
  <c r="I25" i="33" s="1"/>
  <c r="H24" i="33"/>
  <c r="Q13" i="33"/>
  <c r="I7" i="33"/>
  <c r="AA20" i="33"/>
  <c r="Z19" i="33"/>
  <c r="AA19" i="33" s="1"/>
  <c r="AB19" i="33" s="1"/>
  <c r="Y20" i="33"/>
  <c r="L7" i="32"/>
  <c r="K7" i="32"/>
  <c r="J7" i="32"/>
  <c r="N7" i="32"/>
  <c r="M7" i="32"/>
  <c r="H16" i="32"/>
  <c r="P7" i="32" s="1"/>
  <c r="P8" i="32" s="1"/>
  <c r="L14" i="32"/>
  <c r="L16" i="32" s="1"/>
  <c r="K14" i="32"/>
  <c r="K16" i="32" s="1"/>
  <c r="K11" i="32"/>
  <c r="M14" i="32"/>
  <c r="M16" i="32" s="1"/>
  <c r="Z19" i="32"/>
  <c r="AA19" i="32" s="1"/>
  <c r="AB19" i="32" s="1"/>
  <c r="Y20" i="32"/>
  <c r="AA20" i="32" s="1"/>
  <c r="Q13" i="32"/>
  <c r="N14" i="32"/>
  <c r="J19" i="32"/>
  <c r="I24" i="32"/>
  <c r="I25" i="32" s="1"/>
  <c r="H24" i="32"/>
  <c r="H17" i="32"/>
  <c r="V5" i="31"/>
  <c r="M9" i="31"/>
  <c r="N8" i="31"/>
  <c r="N10" i="31" s="1"/>
  <c r="M8" i="31"/>
  <c r="K8" i="31"/>
  <c r="J9" i="31"/>
  <c r="L8" i="31"/>
  <c r="O5" i="31"/>
  <c r="K9" i="31"/>
  <c r="S3" i="31"/>
  <c r="U6" i="31"/>
  <c r="W5" i="31"/>
  <c r="N9" i="31"/>
  <c r="O23" i="31"/>
  <c r="V6" i="31"/>
  <c r="L9" i="31"/>
  <c r="U5" i="31"/>
  <c r="H24" i="30"/>
  <c r="Q13" i="30"/>
  <c r="N14" i="30"/>
  <c r="I24" i="30"/>
  <c r="I25" i="30" s="1"/>
  <c r="J19" i="30"/>
  <c r="AA20" i="30"/>
  <c r="L14" i="30"/>
  <c r="L16" i="30" s="1"/>
  <c r="K11" i="30"/>
  <c r="M14" i="30"/>
  <c r="M16" i="30" s="1"/>
  <c r="K14" i="30"/>
  <c r="K16" i="30" s="1"/>
  <c r="Z19" i="30"/>
  <c r="AA19" i="30" s="1"/>
  <c r="AB19" i="30" s="1"/>
  <c r="Y20" i="30"/>
  <c r="N7" i="30"/>
  <c r="M7" i="30"/>
  <c r="L7" i="30"/>
  <c r="K7" i="30"/>
  <c r="H16" i="30"/>
  <c r="P7" i="30" s="1"/>
  <c r="P8" i="30" s="1"/>
  <c r="J7" i="30"/>
  <c r="N7" i="29"/>
  <c r="M7" i="29"/>
  <c r="L7" i="29"/>
  <c r="K7" i="29"/>
  <c r="H16" i="29"/>
  <c r="J7" i="29"/>
  <c r="V5" i="28"/>
  <c r="M9" i="28"/>
  <c r="N8" i="28"/>
  <c r="N10" i="28" s="1"/>
  <c r="M8" i="28"/>
  <c r="L8" i="28"/>
  <c r="K8" i="28"/>
  <c r="J9" i="28"/>
  <c r="O5" i="28"/>
  <c r="K9" i="28"/>
  <c r="S3" i="28"/>
  <c r="V6" i="28"/>
  <c r="N9" i="28"/>
  <c r="U6" i="28"/>
  <c r="W5" i="28"/>
  <c r="O23" i="28"/>
  <c r="L9" i="28"/>
  <c r="U5" i="28"/>
  <c r="V5" i="27"/>
  <c r="M9" i="27"/>
  <c r="O5" i="27"/>
  <c r="K9" i="27"/>
  <c r="U5" i="27"/>
  <c r="L9" i="27"/>
  <c r="S3" i="27"/>
  <c r="N9" i="27"/>
  <c r="V6" i="27"/>
  <c r="W5" i="27"/>
  <c r="O23" i="27"/>
  <c r="U6" i="27"/>
  <c r="H17" i="27"/>
  <c r="M8" i="27"/>
  <c r="L8" i="27"/>
  <c r="K8" i="27"/>
  <c r="N8" i="27"/>
  <c r="N10" i="27" s="1"/>
  <c r="J9" i="27"/>
  <c r="N7" i="26"/>
  <c r="K7" i="26"/>
  <c r="M7" i="26"/>
  <c r="J7" i="26"/>
  <c r="L7" i="26"/>
  <c r="H16" i="26"/>
  <c r="N7" i="25"/>
  <c r="K7" i="25"/>
  <c r="H16" i="25"/>
  <c r="J7" i="25"/>
  <c r="M7" i="25"/>
  <c r="L7" i="25"/>
  <c r="AA20" i="25"/>
  <c r="P7" i="25"/>
  <c r="P8" i="25" s="1"/>
  <c r="J19" i="25"/>
  <c r="N14" i="25"/>
  <c r="H24" i="25"/>
  <c r="Q13" i="25"/>
  <c r="H17" i="25"/>
  <c r="I24" i="25"/>
  <c r="I25" i="25" s="1"/>
  <c r="Y20" i="25"/>
  <c r="Z19" i="25"/>
  <c r="AA19" i="25" s="1"/>
  <c r="AB19" i="25" s="1"/>
  <c r="K14" i="25"/>
  <c r="K16" i="25" s="1"/>
  <c r="K11" i="25"/>
  <c r="M14" i="25"/>
  <c r="M16" i="25" s="1"/>
  <c r="L14" i="25"/>
  <c r="L16" i="25" s="1"/>
  <c r="V5" i="24"/>
  <c r="M9" i="24"/>
  <c r="S3" i="24"/>
  <c r="V6" i="24"/>
  <c r="U6" i="24"/>
  <c r="N9" i="24"/>
  <c r="W5" i="24"/>
  <c r="O23" i="24"/>
  <c r="H17" i="24"/>
  <c r="N8" i="24"/>
  <c r="N10" i="24" s="1"/>
  <c r="K8" i="24"/>
  <c r="J9" i="24"/>
  <c r="M8" i="24"/>
  <c r="L8" i="24"/>
  <c r="U5" i="24"/>
  <c r="L9" i="24"/>
  <c r="K9" i="24"/>
  <c r="O5" i="24"/>
  <c r="Y20" i="23"/>
  <c r="AA20" i="23" s="1"/>
  <c r="Z19" i="23"/>
  <c r="AA19" i="23" s="1"/>
  <c r="AB19" i="23" s="1"/>
  <c r="L14" i="23"/>
  <c r="L16" i="23" s="1"/>
  <c r="K14" i="23"/>
  <c r="K16" i="23" s="1"/>
  <c r="M14" i="23"/>
  <c r="M16" i="23" s="1"/>
  <c r="K11" i="23"/>
  <c r="L7" i="23"/>
  <c r="K7" i="23"/>
  <c r="H16" i="23"/>
  <c r="P7" i="23" s="1"/>
  <c r="P8" i="23" s="1"/>
  <c r="N7" i="23"/>
  <c r="M7" i="23"/>
  <c r="J7" i="23"/>
  <c r="N14" i="23"/>
  <c r="J19" i="23"/>
  <c r="I24" i="23"/>
  <c r="I25" i="23" s="1"/>
  <c r="H24" i="23"/>
  <c r="Q13" i="23"/>
  <c r="O5" i="22"/>
  <c r="K9" i="22"/>
  <c r="L8" i="22"/>
  <c r="K8" i="22"/>
  <c r="J9" i="22"/>
  <c r="N8" i="22"/>
  <c r="N10" i="22" s="1"/>
  <c r="M8" i="22"/>
  <c r="V5" i="22"/>
  <c r="M9" i="22"/>
  <c r="S3" i="22"/>
  <c r="O23" i="22"/>
  <c r="V6" i="22"/>
  <c r="N9" i="22"/>
  <c r="U6" i="22"/>
  <c r="W5" i="22"/>
  <c r="U5" i="22"/>
  <c r="L9" i="22"/>
  <c r="L7" i="21"/>
  <c r="N7" i="21"/>
  <c r="H16" i="21"/>
  <c r="M7" i="21"/>
  <c r="K7" i="21"/>
  <c r="J7" i="21"/>
  <c r="H16" i="20"/>
  <c r="N7" i="20"/>
  <c r="K7" i="20"/>
  <c r="J7" i="20"/>
  <c r="M7" i="20"/>
  <c r="L7" i="20"/>
  <c r="S3" i="19"/>
  <c r="U6" i="19"/>
  <c r="W5" i="19"/>
  <c r="O23" i="19"/>
  <c r="V6" i="19"/>
  <c r="N9" i="19"/>
  <c r="U5" i="19"/>
  <c r="L9" i="19"/>
  <c r="N8" i="19"/>
  <c r="N10" i="19" s="1"/>
  <c r="M8" i="19"/>
  <c r="L8" i="19"/>
  <c r="K8" i="19"/>
  <c r="J9" i="19"/>
  <c r="M9" i="19"/>
  <c r="V5" i="19"/>
  <c r="K9" i="19"/>
  <c r="O5" i="19"/>
  <c r="L8" i="18"/>
  <c r="K8" i="18"/>
  <c r="N8" i="18"/>
  <c r="N10" i="18" s="1"/>
  <c r="M8" i="18"/>
  <c r="J9" i="18"/>
  <c r="O5" i="18"/>
  <c r="K9" i="18"/>
  <c r="H17" i="18"/>
  <c r="U5" i="18"/>
  <c r="L9" i="18"/>
  <c r="M9" i="18"/>
  <c r="V5" i="18"/>
  <c r="S3" i="18"/>
  <c r="V6" i="18"/>
  <c r="N9" i="18"/>
  <c r="O23" i="18"/>
  <c r="U6" i="18"/>
  <c r="W5" i="18"/>
  <c r="N7" i="17"/>
  <c r="M7" i="17"/>
  <c r="L7" i="17"/>
  <c r="K7" i="17"/>
  <c r="H16" i="17"/>
  <c r="J7" i="17"/>
  <c r="J19" i="16"/>
  <c r="I24" i="16"/>
  <c r="I25" i="16" s="1"/>
  <c r="N14" i="16"/>
  <c r="H24" i="16"/>
  <c r="Q13" i="16"/>
  <c r="Y20" i="16"/>
  <c r="Z19" i="16"/>
  <c r="AA19" i="16" s="1"/>
  <c r="AB19" i="16" s="1"/>
  <c r="I7" i="16"/>
  <c r="AA20" i="16"/>
  <c r="M14" i="16"/>
  <c r="M16" i="16" s="1"/>
  <c r="L14" i="16"/>
  <c r="L16" i="16" s="1"/>
  <c r="K14" i="16"/>
  <c r="K16" i="16" s="1"/>
  <c r="K11" i="16"/>
  <c r="K7" i="15"/>
  <c r="H16" i="15"/>
  <c r="N7" i="15"/>
  <c r="L7" i="15"/>
  <c r="J7" i="15"/>
  <c r="M7" i="15"/>
  <c r="N7" i="14"/>
  <c r="J7" i="14"/>
  <c r="M7" i="14"/>
  <c r="L7" i="14"/>
  <c r="K7" i="14"/>
  <c r="H16" i="14"/>
  <c r="N7" i="13"/>
  <c r="M7" i="13"/>
  <c r="H16" i="13"/>
  <c r="J7" i="13"/>
  <c r="L7" i="13"/>
  <c r="K7" i="13"/>
  <c r="N7" i="12"/>
  <c r="M7" i="12"/>
  <c r="L7" i="12"/>
  <c r="K7" i="12"/>
  <c r="H16" i="12"/>
  <c r="J7" i="12"/>
  <c r="S3" i="10"/>
  <c r="W5" i="10"/>
  <c r="N9" i="10"/>
  <c r="V6" i="10"/>
  <c r="U6" i="10"/>
  <c r="O23" i="10"/>
  <c r="N8" i="10"/>
  <c r="N10" i="10" s="1"/>
  <c r="M8" i="10"/>
  <c r="K8" i="10"/>
  <c r="L8" i="10"/>
  <c r="J9" i="10"/>
  <c r="O5" i="10"/>
  <c r="K9" i="10"/>
  <c r="L9" i="10"/>
  <c r="U5" i="10"/>
  <c r="P7" i="10"/>
  <c r="P8" i="10" s="1"/>
  <c r="M9" i="10"/>
  <c r="V5" i="10"/>
  <c r="S3" i="9"/>
  <c r="N9" i="9"/>
  <c r="U6" i="9"/>
  <c r="W5" i="9"/>
  <c r="V6" i="9"/>
  <c r="O23" i="9"/>
  <c r="K8" i="9"/>
  <c r="N8" i="9"/>
  <c r="N10" i="9" s="1"/>
  <c r="M8" i="9"/>
  <c r="L8" i="9"/>
  <c r="J9" i="9"/>
  <c r="U5" i="9"/>
  <c r="L9" i="9"/>
  <c r="O5" i="9"/>
  <c r="K9" i="9"/>
  <c r="H17" i="9"/>
  <c r="V5" i="9"/>
  <c r="M9" i="9"/>
  <c r="N7" i="8"/>
  <c r="L7" i="8"/>
  <c r="K7" i="8"/>
  <c r="H16" i="8"/>
  <c r="J7" i="8"/>
  <c r="M7" i="8"/>
  <c r="L9" i="34" l="1"/>
  <c r="U5" i="34"/>
  <c r="S3" i="34"/>
  <c r="U6" i="34"/>
  <c r="O23" i="34"/>
  <c r="V6" i="34"/>
  <c r="W5" i="34"/>
  <c r="N9" i="34"/>
  <c r="N8" i="34"/>
  <c r="N10" i="34" s="1"/>
  <c r="M8" i="34"/>
  <c r="K8" i="34"/>
  <c r="J9" i="34"/>
  <c r="L8" i="34"/>
  <c r="M9" i="34"/>
  <c r="V5" i="34"/>
  <c r="H17" i="34"/>
  <c r="P7" i="34"/>
  <c r="P8" i="34" s="1"/>
  <c r="O5" i="34"/>
  <c r="K9" i="34"/>
  <c r="H16" i="33"/>
  <c r="N7" i="33"/>
  <c r="J7" i="33"/>
  <c r="M7" i="33"/>
  <c r="K7" i="33"/>
  <c r="L7" i="33"/>
  <c r="M9" i="32"/>
  <c r="V5" i="32"/>
  <c r="N8" i="32"/>
  <c r="N10" i="32" s="1"/>
  <c r="K8" i="32"/>
  <c r="J9" i="32"/>
  <c r="M8" i="32"/>
  <c r="L8" i="32"/>
  <c r="U5" i="32"/>
  <c r="L9" i="32"/>
  <c r="S3" i="32"/>
  <c r="N9" i="32"/>
  <c r="U6" i="32"/>
  <c r="W5" i="32"/>
  <c r="O23" i="32"/>
  <c r="V6" i="32"/>
  <c r="O5" i="32"/>
  <c r="K9" i="32"/>
  <c r="O5" i="30"/>
  <c r="K9" i="30"/>
  <c r="S3" i="30"/>
  <c r="O23" i="30"/>
  <c r="V6" i="30"/>
  <c r="U6" i="30"/>
  <c r="W5" i="30"/>
  <c r="N9" i="30"/>
  <c r="L8" i="30"/>
  <c r="K8" i="30"/>
  <c r="N8" i="30"/>
  <c r="N10" i="30" s="1"/>
  <c r="M8" i="30"/>
  <c r="J9" i="30"/>
  <c r="H17" i="30"/>
  <c r="L9" i="30"/>
  <c r="U5" i="30"/>
  <c r="V5" i="30"/>
  <c r="M9" i="30"/>
  <c r="P7" i="29"/>
  <c r="P8" i="29" s="1"/>
  <c r="H17" i="29"/>
  <c r="J9" i="29"/>
  <c r="N8" i="29"/>
  <c r="N10" i="29" s="1"/>
  <c r="M8" i="29"/>
  <c r="L8" i="29"/>
  <c r="K8" i="29"/>
  <c r="K9" i="29"/>
  <c r="O5" i="29"/>
  <c r="U5" i="29"/>
  <c r="L9" i="29"/>
  <c r="V5" i="29"/>
  <c r="M9" i="29"/>
  <c r="S3" i="29"/>
  <c r="O23" i="29"/>
  <c r="V6" i="29"/>
  <c r="U6" i="29"/>
  <c r="W5" i="29"/>
  <c r="N9" i="29"/>
  <c r="H17" i="26"/>
  <c r="P7" i="26"/>
  <c r="P8" i="26" s="1"/>
  <c r="M9" i="26"/>
  <c r="V5" i="26"/>
  <c r="O5" i="26"/>
  <c r="K9" i="26"/>
  <c r="U5" i="26"/>
  <c r="L9" i="26"/>
  <c r="N8" i="26"/>
  <c r="N10" i="26" s="1"/>
  <c r="M8" i="26"/>
  <c r="L8" i="26"/>
  <c r="J9" i="26"/>
  <c r="K8" i="26"/>
  <c r="S3" i="26"/>
  <c r="U6" i="26"/>
  <c r="O23" i="26"/>
  <c r="W5" i="26"/>
  <c r="V6" i="26"/>
  <c r="N9" i="26"/>
  <c r="S3" i="25"/>
  <c r="W5" i="25"/>
  <c r="U6" i="25"/>
  <c r="O23" i="25"/>
  <c r="V6" i="25"/>
  <c r="N9" i="25"/>
  <c r="U5" i="25"/>
  <c r="L9" i="25"/>
  <c r="V5" i="25"/>
  <c r="M9" i="25"/>
  <c r="K8" i="25"/>
  <c r="N8" i="25"/>
  <c r="N10" i="25" s="1"/>
  <c r="M8" i="25"/>
  <c r="L8" i="25"/>
  <c r="J9" i="25"/>
  <c r="O5" i="25"/>
  <c r="K9" i="25"/>
  <c r="S3" i="23"/>
  <c r="N9" i="23"/>
  <c r="U6" i="23"/>
  <c r="W5" i="23"/>
  <c r="V6" i="23"/>
  <c r="O23" i="23"/>
  <c r="H17" i="23"/>
  <c r="V5" i="23"/>
  <c r="M9" i="23"/>
  <c r="O5" i="23"/>
  <c r="K9" i="23"/>
  <c r="U5" i="23"/>
  <c r="L9" i="23"/>
  <c r="K8" i="23"/>
  <c r="J9" i="23"/>
  <c r="N8" i="23"/>
  <c r="N10" i="23" s="1"/>
  <c r="M8" i="23"/>
  <c r="L8" i="23"/>
  <c r="N8" i="21"/>
  <c r="N10" i="21" s="1"/>
  <c r="L8" i="21"/>
  <c r="K8" i="21"/>
  <c r="M8" i="21"/>
  <c r="J9" i="21"/>
  <c r="S3" i="21"/>
  <c r="U6" i="21"/>
  <c r="W5" i="21"/>
  <c r="O23" i="21"/>
  <c r="V6" i="21"/>
  <c r="N9" i="21"/>
  <c r="K9" i="21"/>
  <c r="O5" i="21"/>
  <c r="V5" i="21"/>
  <c r="M9" i="21"/>
  <c r="P7" i="21"/>
  <c r="P8" i="21" s="1"/>
  <c r="H17" i="21"/>
  <c r="U5" i="21"/>
  <c r="L9" i="21"/>
  <c r="U5" i="20"/>
  <c r="L9" i="20"/>
  <c r="V5" i="20"/>
  <c r="M9" i="20"/>
  <c r="K8" i="20"/>
  <c r="N8" i="20"/>
  <c r="N10" i="20" s="1"/>
  <c r="M8" i="20"/>
  <c r="J9" i="20"/>
  <c r="L8" i="20"/>
  <c r="K9" i="20"/>
  <c r="O5" i="20"/>
  <c r="S3" i="20"/>
  <c r="N9" i="20"/>
  <c r="V6" i="20"/>
  <c r="U6" i="20"/>
  <c r="W5" i="20"/>
  <c r="O23" i="20"/>
  <c r="P7" i="20"/>
  <c r="P8" i="20" s="1"/>
  <c r="H17" i="20"/>
  <c r="H17" i="17"/>
  <c r="P7" i="17"/>
  <c r="P8" i="17" s="1"/>
  <c r="V5" i="17"/>
  <c r="M9" i="17"/>
  <c r="J9" i="17"/>
  <c r="L8" i="17"/>
  <c r="N8" i="17"/>
  <c r="N10" i="17" s="1"/>
  <c r="M8" i="17"/>
  <c r="K8" i="17"/>
  <c r="O5" i="17"/>
  <c r="K9" i="17"/>
  <c r="L9" i="17"/>
  <c r="U5" i="17"/>
  <c r="S3" i="17"/>
  <c r="V6" i="17"/>
  <c r="N9" i="17"/>
  <c r="U6" i="17"/>
  <c r="W5" i="17"/>
  <c r="O23" i="17"/>
  <c r="N7" i="16"/>
  <c r="M7" i="16"/>
  <c r="H16" i="16"/>
  <c r="L7" i="16"/>
  <c r="K7" i="16"/>
  <c r="J7" i="16"/>
  <c r="M8" i="15"/>
  <c r="N8" i="15"/>
  <c r="N10" i="15" s="1"/>
  <c r="L8" i="15"/>
  <c r="K8" i="15"/>
  <c r="J9" i="15"/>
  <c r="U5" i="15"/>
  <c r="L9" i="15"/>
  <c r="S3" i="15"/>
  <c r="W5" i="15"/>
  <c r="U6" i="15"/>
  <c r="O23" i="15"/>
  <c r="V6" i="15"/>
  <c r="N9" i="15"/>
  <c r="P7" i="15"/>
  <c r="P8" i="15" s="1"/>
  <c r="H17" i="15"/>
  <c r="M9" i="15"/>
  <c r="V5" i="15"/>
  <c r="K9" i="15"/>
  <c r="O5" i="15"/>
  <c r="H17" i="14"/>
  <c r="P7" i="14"/>
  <c r="P8" i="14" s="1"/>
  <c r="K9" i="14"/>
  <c r="O5" i="14"/>
  <c r="U5" i="14"/>
  <c r="L9" i="14"/>
  <c r="V5" i="14"/>
  <c r="M9" i="14"/>
  <c r="M8" i="14"/>
  <c r="L8" i="14"/>
  <c r="K8" i="14"/>
  <c r="N8" i="14"/>
  <c r="N10" i="14" s="1"/>
  <c r="J9" i="14"/>
  <c r="V6" i="14"/>
  <c r="W5" i="14"/>
  <c r="N9" i="14"/>
  <c r="O23" i="14"/>
  <c r="U6" i="14"/>
  <c r="S3" i="14"/>
  <c r="S3" i="13"/>
  <c r="N9" i="13"/>
  <c r="V6" i="13"/>
  <c r="U6" i="13"/>
  <c r="W5" i="13"/>
  <c r="O23" i="13"/>
  <c r="O5" i="13"/>
  <c r="K9" i="13"/>
  <c r="U5" i="13"/>
  <c r="L9" i="13"/>
  <c r="J9" i="13"/>
  <c r="M8" i="13"/>
  <c r="L8" i="13"/>
  <c r="N8" i="13"/>
  <c r="N10" i="13" s="1"/>
  <c r="K8" i="13"/>
  <c r="P7" i="13"/>
  <c r="P8" i="13" s="1"/>
  <c r="H17" i="13"/>
  <c r="V5" i="13"/>
  <c r="M9" i="13"/>
  <c r="N8" i="12"/>
  <c r="N10" i="12" s="1"/>
  <c r="J9" i="12"/>
  <c r="M8" i="12"/>
  <c r="L8" i="12"/>
  <c r="K8" i="12"/>
  <c r="P7" i="12"/>
  <c r="P8" i="12" s="1"/>
  <c r="H17" i="12"/>
  <c r="O5" i="12"/>
  <c r="K9" i="12"/>
  <c r="L9" i="12"/>
  <c r="U5" i="12"/>
  <c r="V5" i="12"/>
  <c r="M9" i="12"/>
  <c r="S3" i="12"/>
  <c r="O23" i="12"/>
  <c r="V6" i="12"/>
  <c r="U6" i="12"/>
  <c r="W5" i="12"/>
  <c r="N9" i="12"/>
  <c r="V5" i="8"/>
  <c r="M9" i="8"/>
  <c r="N8" i="8"/>
  <c r="N10" i="8" s="1"/>
  <c r="M8" i="8"/>
  <c r="L8" i="8"/>
  <c r="K8" i="8"/>
  <c r="J9" i="8"/>
  <c r="P7" i="8"/>
  <c r="P8" i="8" s="1"/>
  <c r="H17" i="8"/>
  <c r="K9" i="8"/>
  <c r="O5" i="8"/>
  <c r="U5" i="8"/>
  <c r="L9" i="8"/>
  <c r="S3" i="8"/>
  <c r="V6" i="8"/>
  <c r="U6" i="8"/>
  <c r="W5" i="8"/>
  <c r="N9" i="8"/>
  <c r="O23" i="8"/>
  <c r="L9" i="33" l="1"/>
  <c r="U5" i="33"/>
  <c r="O5" i="33"/>
  <c r="K9" i="33"/>
  <c r="N8" i="33"/>
  <c r="N10" i="33" s="1"/>
  <c r="M8" i="33"/>
  <c r="L8" i="33"/>
  <c r="J9" i="33"/>
  <c r="K8" i="33"/>
  <c r="S3" i="33"/>
  <c r="U6" i="33"/>
  <c r="W5" i="33"/>
  <c r="V6" i="33"/>
  <c r="N9" i="33"/>
  <c r="O23" i="33"/>
  <c r="M9" i="33"/>
  <c r="V5" i="33"/>
  <c r="P7" i="33"/>
  <c r="P8" i="33" s="1"/>
  <c r="H17" i="33"/>
  <c r="L8" i="16"/>
  <c r="K8" i="16"/>
  <c r="J9" i="16"/>
  <c r="N8" i="16"/>
  <c r="N10" i="16" s="1"/>
  <c r="M8" i="16"/>
  <c r="K9" i="16"/>
  <c r="O5" i="16"/>
  <c r="U5" i="16"/>
  <c r="L9" i="16"/>
  <c r="P7" i="16"/>
  <c r="P8" i="16" s="1"/>
  <c r="H17" i="16"/>
  <c r="V5" i="16"/>
  <c r="M9" i="16"/>
  <c r="S3" i="16"/>
  <c r="V6" i="16"/>
  <c r="W5" i="16"/>
  <c r="N9" i="16"/>
  <c r="U6" i="16"/>
  <c r="O23" i="16"/>
</calcChain>
</file>

<file path=xl/sharedStrings.xml><?xml version="1.0" encoding="utf-8"?>
<sst xmlns="http://schemas.openxmlformats.org/spreadsheetml/2006/main" count="8784" uniqueCount="189">
  <si>
    <t>2YRS</t>
  </si>
  <si>
    <t>3YRS</t>
  </si>
  <si>
    <t>4YRS</t>
  </si>
  <si>
    <t>5YRS</t>
  </si>
  <si>
    <t>Actual Vehicle Value</t>
  </si>
  <si>
    <t>Vehicle Price</t>
  </si>
  <si>
    <t>Vat</t>
  </si>
  <si>
    <t>Add Ons</t>
  </si>
  <si>
    <t>Total VAT Charges</t>
  </si>
  <si>
    <t xml:space="preserve">Full Vehicle Value Including Add Ons </t>
  </si>
  <si>
    <t>Finance Amount (80%)</t>
  </si>
  <si>
    <t>2- Yrs EMI</t>
  </si>
  <si>
    <t>3-Yrs EMI</t>
  </si>
  <si>
    <t>4-Yrs EMI</t>
  </si>
  <si>
    <t>5-Year EMI</t>
  </si>
  <si>
    <t>Subvention</t>
  </si>
  <si>
    <t>Total Interest</t>
  </si>
  <si>
    <t>NO</t>
  </si>
  <si>
    <t>FO Ceramic+ Intr&amp;Extr CeramicGold WdwTnt</t>
  </si>
  <si>
    <t>YES</t>
  </si>
  <si>
    <t>FO Exterior ceramic All Cars SCOTCHGUARD</t>
  </si>
  <si>
    <t>Registration</t>
  </si>
  <si>
    <t>DP Finance</t>
  </si>
  <si>
    <t>Extended Warranty</t>
  </si>
  <si>
    <t>VRI</t>
  </si>
  <si>
    <t>1YR</t>
  </si>
  <si>
    <t>5 YRS</t>
  </si>
  <si>
    <t>Veh Insurance</t>
  </si>
  <si>
    <t>Vehicle Insurance</t>
  </si>
  <si>
    <t>Gap Ins</t>
  </si>
  <si>
    <t>Discount</t>
  </si>
  <si>
    <t xml:space="preserve">Bank Interest rate </t>
  </si>
  <si>
    <t>Down Payment</t>
  </si>
  <si>
    <t>Permissible</t>
  </si>
  <si>
    <t>Banks</t>
  </si>
  <si>
    <t>Salary Bracket</t>
  </si>
  <si>
    <t>Ø</t>
  </si>
  <si>
    <t>OTLNR</t>
  </si>
  <si>
    <t>Security Cheque for Bank - ( One Scurity Cheque bank need from your salary account after finance approval from the bank )</t>
  </si>
  <si>
    <t xml:space="preserve">***Please bring this Calculation Sheet at the time of submission of full documents (clear copies).  Interest rate may vary subject to salary and bank applied </t>
  </si>
  <si>
    <t xml:space="preserve">***This sheet is only communication between dealer and the customer, avoid discussing with bank personal </t>
  </si>
  <si>
    <r>
      <t>Ø</t>
    </r>
    <r>
      <rPr>
        <sz val="7"/>
        <color theme="1"/>
        <rFont val="Times New Roman"/>
        <family val="1"/>
      </rPr>
      <t xml:space="preserve"> </t>
    </r>
    <r>
      <rPr>
        <b/>
        <strike/>
        <sz val="21"/>
        <color theme="1"/>
        <rFont val="Agency FB"/>
        <family val="2"/>
      </rPr>
      <t>Labour Card</t>
    </r>
    <r>
      <rPr>
        <b/>
        <sz val="21"/>
        <color theme="1"/>
        <rFont val="Agency FB"/>
        <family val="2"/>
      </rPr>
      <t>/Free Zone/Employer ID.</t>
    </r>
  </si>
  <si>
    <r>
      <t>Ø</t>
    </r>
    <r>
      <rPr>
        <sz val="7"/>
        <color theme="1"/>
        <rFont val="Times New Roman"/>
        <family val="1"/>
      </rPr>
      <t xml:space="preserve"> </t>
    </r>
    <r>
      <rPr>
        <b/>
        <sz val="21"/>
        <color theme="1"/>
        <rFont val="Agency FB"/>
        <family val="2"/>
      </rPr>
      <t>Copy of the UAE Driver’s License Both Sides.</t>
    </r>
  </si>
  <si>
    <r>
      <t>Ø</t>
    </r>
    <r>
      <rPr>
        <sz val="7"/>
        <color theme="1"/>
        <rFont val="Times New Roman"/>
        <family val="1"/>
      </rPr>
      <t xml:space="preserve"> </t>
    </r>
    <r>
      <rPr>
        <b/>
        <sz val="21"/>
        <color theme="1"/>
        <rFont val="Agency FB"/>
        <family val="2"/>
      </rPr>
      <t>Current Dated Salary Certificate from The Employer.</t>
    </r>
  </si>
  <si>
    <r>
      <t>Ø</t>
    </r>
    <r>
      <rPr>
        <sz val="7"/>
        <color theme="1"/>
        <rFont val="Times New Roman"/>
        <family val="1"/>
      </rPr>
      <t xml:space="preserve"> </t>
    </r>
    <r>
      <rPr>
        <b/>
        <sz val="21"/>
        <color theme="1"/>
        <rFont val="Agency FB"/>
        <family val="2"/>
      </rPr>
      <t>Pay Slips For The Last 3 Months-[If Variance In Salary ].</t>
    </r>
  </si>
  <si>
    <r>
      <t>Ø</t>
    </r>
    <r>
      <rPr>
        <sz val="7"/>
        <color theme="1"/>
        <rFont val="Times New Roman"/>
        <family val="1"/>
      </rPr>
      <t xml:space="preserve"> </t>
    </r>
    <r>
      <rPr>
        <b/>
        <sz val="21"/>
        <color theme="1"/>
        <rFont val="Agency FB"/>
        <family val="2"/>
      </rPr>
      <t>IBAN.</t>
    </r>
  </si>
  <si>
    <t>Finance Calculator</t>
  </si>
  <si>
    <t>MY-2025</t>
  </si>
  <si>
    <t xml:space="preserve">Vehicle Vat With Vat </t>
  </si>
  <si>
    <t>Down-Payment
(20%)</t>
  </si>
  <si>
    <t xml:space="preserve">Accessories </t>
  </si>
  <si>
    <t xml:space="preserve"> REQUIRED DOCUMENTS FOR AUTO LOAN FINANCE</t>
  </si>
  <si>
    <t>New VRI</t>
  </si>
  <si>
    <t>Insurance</t>
  </si>
  <si>
    <t>Tenor</t>
  </si>
  <si>
    <t>EMI</t>
  </si>
  <si>
    <t>1-YR EMI</t>
  </si>
  <si>
    <r>
      <t>Ø</t>
    </r>
    <r>
      <rPr>
        <b/>
        <sz val="20"/>
        <color theme="1"/>
        <rFont val="Times New Roman"/>
        <family val="1"/>
      </rPr>
      <t xml:space="preserve"> </t>
    </r>
    <r>
      <rPr>
        <b/>
        <sz val="20"/>
        <color theme="1"/>
        <rFont val="Agency FB"/>
        <family val="2"/>
      </rPr>
      <t>Passport Copy, Digital Visa &amp; Address Page For Indian Passport, Page #44 For Philippines Passport.</t>
    </r>
  </si>
  <si>
    <r>
      <t>Ø</t>
    </r>
    <r>
      <rPr>
        <b/>
        <sz val="20"/>
        <color theme="1"/>
        <rFont val="Times New Roman"/>
        <family val="1"/>
      </rPr>
      <t xml:space="preserve"> </t>
    </r>
    <r>
      <rPr>
        <b/>
        <sz val="20"/>
        <color theme="1"/>
        <rFont val="Agency FB"/>
        <family val="2"/>
      </rPr>
      <t>Emirates ID Card Copy Both Sides.</t>
    </r>
  </si>
  <si>
    <r>
      <t>Ø</t>
    </r>
    <r>
      <rPr>
        <b/>
        <sz val="20"/>
        <color theme="1"/>
        <rFont val="Times New Roman"/>
        <family val="1"/>
      </rPr>
      <t xml:space="preserve"> </t>
    </r>
    <r>
      <rPr>
        <b/>
        <strike/>
        <sz val="20"/>
        <color theme="1"/>
        <rFont val="Agency FB"/>
        <family val="2"/>
      </rPr>
      <t>Labour Card</t>
    </r>
    <r>
      <rPr>
        <b/>
        <sz val="20"/>
        <color theme="1"/>
        <rFont val="Agency FB"/>
        <family val="2"/>
      </rPr>
      <t>/Free Zone/Employer ID.</t>
    </r>
  </si>
  <si>
    <r>
      <t>Ø</t>
    </r>
    <r>
      <rPr>
        <b/>
        <sz val="20"/>
        <color theme="1"/>
        <rFont val="Times New Roman"/>
        <family val="1"/>
      </rPr>
      <t xml:space="preserve"> </t>
    </r>
    <r>
      <rPr>
        <b/>
        <sz val="20"/>
        <color theme="1"/>
        <rFont val="Agency FB"/>
        <family val="2"/>
      </rPr>
      <t>Copy of the UAE Driver’s License Both Sides.</t>
    </r>
  </si>
  <si>
    <r>
      <t>Ø</t>
    </r>
    <r>
      <rPr>
        <b/>
        <sz val="20"/>
        <color theme="1"/>
        <rFont val="Times New Roman"/>
        <family val="1"/>
      </rPr>
      <t xml:space="preserve"> </t>
    </r>
    <r>
      <rPr>
        <b/>
        <sz val="20"/>
        <color theme="1"/>
        <rFont val="Agency FB"/>
        <family val="2"/>
      </rPr>
      <t>Current Dated Salary Certificate from The Employer.</t>
    </r>
  </si>
  <si>
    <r>
      <t>Ø</t>
    </r>
    <r>
      <rPr>
        <b/>
        <sz val="20"/>
        <color theme="1"/>
        <rFont val="Times New Roman"/>
        <family val="1"/>
      </rPr>
      <t xml:space="preserve"> </t>
    </r>
    <r>
      <rPr>
        <b/>
        <sz val="20"/>
        <color theme="1"/>
        <rFont val="Agency FB"/>
        <family val="2"/>
      </rPr>
      <t>Pay Slips For The Last 3 Months-[If Variance In Salary ].</t>
    </r>
  </si>
  <si>
    <r>
      <t>Ø</t>
    </r>
    <r>
      <rPr>
        <b/>
        <sz val="20"/>
        <color theme="1"/>
        <rFont val="Times New Roman"/>
        <family val="1"/>
      </rPr>
      <t xml:space="preserve"> </t>
    </r>
    <r>
      <rPr>
        <b/>
        <sz val="20"/>
        <color theme="1"/>
        <rFont val="Agency FB"/>
        <family val="2"/>
      </rPr>
      <t>IBAN.</t>
    </r>
  </si>
  <si>
    <r>
      <t>Ø</t>
    </r>
    <r>
      <rPr>
        <sz val="16"/>
        <color rgb="FF000000"/>
        <rFont val="Times New Roman"/>
        <family val="1"/>
      </rPr>
      <t xml:space="preserve">  </t>
    </r>
    <r>
      <rPr>
        <sz val="16"/>
        <color rgb="FF000000"/>
        <rFont val="Bookman Old Style"/>
        <family val="1"/>
      </rPr>
      <t xml:space="preserve">Valid Trade License Copy –All Three Pages For [LLC] </t>
    </r>
  </si>
  <si>
    <r>
      <t>Ø</t>
    </r>
    <r>
      <rPr>
        <sz val="16"/>
        <color rgb="FF000000"/>
        <rFont val="Times New Roman"/>
        <family val="1"/>
      </rPr>
      <t xml:space="preserve">  </t>
    </r>
    <r>
      <rPr>
        <sz val="16"/>
        <color rgb="FF000000"/>
        <rFont val="Bookman Old Style"/>
        <family val="1"/>
      </rPr>
      <t xml:space="preserve">Valid Passport Copies Of All Partners Including The Sponsor &amp; Valid UAE Residence Visa Copies For All Expatriate Partners ,Address Page For Indian Passport Holder Is Mandatory. </t>
    </r>
  </si>
  <si>
    <r>
      <t>Ø</t>
    </r>
    <r>
      <rPr>
        <sz val="16"/>
        <color rgb="FF000000"/>
        <rFont val="Times New Roman"/>
        <family val="1"/>
      </rPr>
      <t xml:space="preserve">  </t>
    </r>
    <r>
      <rPr>
        <sz val="16"/>
        <color rgb="FF000000"/>
        <rFont val="Bookman Old Style"/>
        <family val="1"/>
      </rPr>
      <t xml:space="preserve">Valid Emirates ID Card Copy Both Sides For The Signatory. </t>
    </r>
  </si>
  <si>
    <r>
      <t>Ø</t>
    </r>
    <r>
      <rPr>
        <sz val="16"/>
        <color rgb="FF000000"/>
        <rFont val="Times New Roman"/>
        <family val="1"/>
      </rPr>
      <t xml:space="preserve">  </t>
    </r>
    <r>
      <rPr>
        <sz val="16"/>
        <color rgb="FF000000"/>
        <rFont val="Bookman Old Style"/>
        <family val="1"/>
      </rPr>
      <t xml:space="preserve">Memorandum Of Association &amp; Copies Of Amendments. </t>
    </r>
  </si>
  <si>
    <r>
      <t>Ø</t>
    </r>
    <r>
      <rPr>
        <sz val="16"/>
        <color rgb="FF000000"/>
        <rFont val="Times New Roman"/>
        <family val="1"/>
      </rPr>
      <t xml:space="preserve">  </t>
    </r>
    <r>
      <rPr>
        <sz val="16"/>
        <color rgb="FF000000"/>
        <rFont val="Bookman Old Style"/>
        <family val="1"/>
      </rPr>
      <t xml:space="preserve">Vat Certificate Copy. </t>
    </r>
  </si>
  <si>
    <r>
      <t>Ø</t>
    </r>
    <r>
      <rPr>
        <sz val="16"/>
        <color rgb="FF000000"/>
        <rFont val="Times New Roman"/>
        <family val="1"/>
      </rPr>
      <t xml:space="preserve">  </t>
    </r>
    <r>
      <rPr>
        <sz val="16"/>
        <color rgb="FF000000"/>
        <rFont val="Bookman Old Style"/>
        <family val="1"/>
      </rPr>
      <t xml:space="preserve">Tenancy Contract Copy </t>
    </r>
  </si>
  <si>
    <r>
      <t>Ø</t>
    </r>
    <r>
      <rPr>
        <sz val="16"/>
        <color rgb="FF000000"/>
        <rFont val="Times New Roman"/>
        <family val="1"/>
      </rPr>
      <t xml:space="preserve">  </t>
    </r>
    <r>
      <rPr>
        <sz val="16"/>
        <color rgb="FF000000"/>
        <rFont val="Bookman Old Style"/>
        <family val="1"/>
      </rPr>
      <t xml:space="preserve">Vat Return Statements &amp; Receipts [Last Two Quarters]. </t>
    </r>
  </si>
  <si>
    <r>
      <t>Ø</t>
    </r>
    <r>
      <rPr>
        <sz val="16"/>
        <color rgb="FF000000"/>
        <rFont val="Times New Roman"/>
        <family val="1"/>
      </rPr>
      <t xml:space="preserve">  </t>
    </r>
    <r>
      <rPr>
        <sz val="16"/>
        <color rgb="FF000000"/>
        <rFont val="Bookman Old Style"/>
        <family val="1"/>
      </rPr>
      <t xml:space="preserve">10 Recent Invoice Copies. [Sales &amp; Purchase Invoices]. </t>
    </r>
  </si>
  <si>
    <r>
      <t xml:space="preserve">For Any Further Clarification On Finance Kindly Forward An Email : </t>
    </r>
    <r>
      <rPr>
        <b/>
        <sz val="16"/>
        <rFont val="Bahnschrift SemiLight SemiConde"/>
        <family val="2"/>
      </rPr>
      <t>naveen@habtoormotors.com</t>
    </r>
  </si>
  <si>
    <t>Depreciation On Prorata Basis[Per Day]</t>
  </si>
  <si>
    <t>Bank PF</t>
  </si>
  <si>
    <t>DP PF</t>
  </si>
  <si>
    <t xml:space="preserve">DP Fin Amt
</t>
  </si>
  <si>
    <r>
      <t>Ø</t>
    </r>
    <r>
      <rPr>
        <sz val="16"/>
        <color rgb="FF000000"/>
        <rFont val="Times New Roman"/>
        <family val="1"/>
      </rPr>
      <t xml:space="preserve">  </t>
    </r>
    <r>
      <rPr>
        <sz val="16"/>
        <color rgb="FF000000"/>
        <rFont val="Bookman Old Style"/>
        <family val="1"/>
      </rPr>
      <t>Last Six Months bank statement from [From 1st December 2025-31st May 2026].</t>
    </r>
  </si>
  <si>
    <t>RMC-10-70KMS</t>
  </si>
  <si>
    <t>3 Months</t>
  </si>
  <si>
    <t>5000-9999</t>
  </si>
  <si>
    <r>
      <t xml:space="preserve">For Any Further Clarification On Finance Kindly Forward An Email : </t>
    </r>
    <r>
      <rPr>
        <b/>
        <sz val="20"/>
        <rFont val="Bahnschrift SemiLight SemiConde"/>
        <family val="2"/>
      </rPr>
      <t>naveen@habtoormotors.com</t>
    </r>
    <r>
      <rPr>
        <sz val="20"/>
        <rFont val="Bahnschrift SemiLight SemiConde"/>
        <family val="2"/>
      </rPr>
      <t xml:space="preserve"> Or Reach Us On Boardline 04-608-4000</t>
    </r>
    <r>
      <rPr>
        <sz val="16"/>
        <rFont val="Bahnschrift SemiLight SemiConde"/>
        <family val="2"/>
      </rPr>
      <t>,For Any Further Clarification On The Vehicle[s] Kindly Coordinate With The Sales Team :-</t>
    </r>
  </si>
  <si>
    <t xml:space="preserve">Bachir </t>
  </si>
  <si>
    <t>SIB STL</t>
  </si>
  <si>
    <t>SIB NON STL</t>
  </si>
  <si>
    <t xml:space="preserve">Reservation
</t>
  </si>
  <si>
    <t>Reservation</t>
  </si>
  <si>
    <t>ATG16</t>
  </si>
  <si>
    <t>MIG09</t>
  </si>
  <si>
    <t>MIG10</t>
  </si>
  <si>
    <t>ATG17</t>
  </si>
  <si>
    <t>ASG48</t>
  </si>
  <si>
    <t>ASG43</t>
  </si>
  <si>
    <t>ASG40</t>
  </si>
  <si>
    <t>ASG42</t>
  </si>
  <si>
    <t>ASG44</t>
  </si>
  <si>
    <t>ASG45</t>
  </si>
  <si>
    <t>ECG38</t>
  </si>
  <si>
    <t>ECG37</t>
  </si>
  <si>
    <t>ECG40</t>
  </si>
  <si>
    <t>ECG43</t>
  </si>
  <si>
    <t>XPML</t>
  </si>
  <si>
    <t>XPHL</t>
  </si>
  <si>
    <t>XPMLP</t>
  </si>
  <si>
    <t>XPMLP-01</t>
  </si>
  <si>
    <t>XC</t>
  </si>
  <si>
    <t>OTF03</t>
  </si>
  <si>
    <t>OTP03</t>
  </si>
  <si>
    <t>OTF06</t>
  </si>
  <si>
    <t>OTP06</t>
  </si>
  <si>
    <t>OTP06-01</t>
  </si>
  <si>
    <t>OTF08</t>
  </si>
  <si>
    <t>OTP08</t>
  </si>
  <si>
    <t>MOP57</t>
  </si>
  <si>
    <t>MOG64</t>
  </si>
  <si>
    <t>MOG59</t>
  </si>
  <si>
    <t>MOG59P</t>
  </si>
  <si>
    <t>MOG61</t>
  </si>
  <si>
    <t>MOP61</t>
  </si>
  <si>
    <r>
      <t xml:space="preserve">For Any Further Clarification On Finance Kindly Forward An Email : </t>
    </r>
    <r>
      <rPr>
        <b/>
        <sz val="12"/>
        <rFont val="Bahnschrift SemiLight SemiConde"/>
        <family val="2"/>
      </rPr>
      <t>naveen@habtoormotors.com</t>
    </r>
  </si>
  <si>
    <r>
      <t>Ø</t>
    </r>
    <r>
      <rPr>
        <sz val="7"/>
        <color rgb="FF000000"/>
        <rFont val="Times New Roman"/>
        <family val="1"/>
      </rPr>
      <t xml:space="preserve">  </t>
    </r>
    <r>
      <rPr>
        <sz val="13"/>
        <color rgb="FF000000"/>
        <rFont val="Bookman Old Style"/>
        <family val="1"/>
      </rPr>
      <t xml:space="preserve">10 Recent Invoice Copies. [Sales &amp; Purchase Invoices]. </t>
    </r>
  </si>
  <si>
    <r>
      <t>Ø</t>
    </r>
    <r>
      <rPr>
        <sz val="7"/>
        <color rgb="FF000000"/>
        <rFont val="Times New Roman"/>
        <family val="1"/>
      </rPr>
      <t xml:space="preserve">  </t>
    </r>
    <r>
      <rPr>
        <sz val="13"/>
        <color rgb="FF000000"/>
        <rFont val="Bookman Old Style"/>
        <family val="1"/>
      </rPr>
      <t xml:space="preserve">Vat Return Statements &amp; Receipts [Last Two Quarters]. </t>
    </r>
  </si>
  <si>
    <r>
      <t>Ø</t>
    </r>
    <r>
      <rPr>
        <sz val="7"/>
        <color rgb="FF000000"/>
        <rFont val="Times New Roman"/>
        <family val="1"/>
      </rPr>
      <t xml:space="preserve">  </t>
    </r>
    <r>
      <rPr>
        <sz val="13"/>
        <color rgb="FF000000"/>
        <rFont val="Bookman Old Style"/>
        <family val="1"/>
      </rPr>
      <t xml:space="preserve">Tenancy Contract Copy </t>
    </r>
  </si>
  <si>
    <r>
      <t>Ø</t>
    </r>
    <r>
      <rPr>
        <sz val="7"/>
        <color rgb="FF000000"/>
        <rFont val="Times New Roman"/>
        <family val="1"/>
      </rPr>
      <t xml:space="preserve">  </t>
    </r>
    <r>
      <rPr>
        <sz val="13"/>
        <color rgb="FF000000"/>
        <rFont val="Bookman Old Style"/>
        <family val="1"/>
      </rPr>
      <t xml:space="preserve">Vat Certificate Copy. </t>
    </r>
  </si>
  <si>
    <r>
      <t>Ø</t>
    </r>
    <r>
      <rPr>
        <sz val="7"/>
        <color rgb="FF000000"/>
        <rFont val="Times New Roman"/>
        <family val="1"/>
      </rPr>
      <t xml:space="preserve">  </t>
    </r>
    <r>
      <rPr>
        <sz val="13"/>
        <color rgb="FF000000"/>
        <rFont val="Bookman Old Style"/>
        <family val="1"/>
      </rPr>
      <t>Last Six Months bank statement from [From 1st January 2026-30th July  2026].</t>
    </r>
  </si>
  <si>
    <r>
      <t>Ø</t>
    </r>
    <r>
      <rPr>
        <sz val="7"/>
        <color rgb="FF000000"/>
        <rFont val="Times New Roman"/>
        <family val="1"/>
      </rPr>
      <t xml:space="preserve">  </t>
    </r>
    <r>
      <rPr>
        <sz val="13"/>
        <color rgb="FF000000"/>
        <rFont val="Bookman Old Style"/>
        <family val="1"/>
      </rPr>
      <t xml:space="preserve">Memorandum Of Association &amp; Copies Of Amendments. </t>
    </r>
  </si>
  <si>
    <r>
      <t>Ø</t>
    </r>
    <r>
      <rPr>
        <sz val="7"/>
        <color rgb="FF000000"/>
        <rFont val="Times New Roman"/>
        <family val="1"/>
      </rPr>
      <t xml:space="preserve">  </t>
    </r>
    <r>
      <rPr>
        <sz val="13"/>
        <color rgb="FF000000"/>
        <rFont val="Bookman Old Style"/>
        <family val="1"/>
      </rPr>
      <t xml:space="preserve">Valid Emirates ID Card Copy Both Sides For The Signatory. </t>
    </r>
  </si>
  <si>
    <r>
      <t>Ø</t>
    </r>
    <r>
      <rPr>
        <sz val="7"/>
        <color rgb="FF000000"/>
        <rFont val="Times New Roman"/>
        <family val="1"/>
      </rPr>
      <t xml:space="preserve">  </t>
    </r>
    <r>
      <rPr>
        <sz val="13"/>
        <color rgb="FF000000"/>
        <rFont val="Bookman Old Style"/>
        <family val="1"/>
      </rPr>
      <t xml:space="preserve">Valid Passport Copies Of All Partners Including The Sponsor &amp; Valid UAE Residence Visa Copies For All Expatriate Partners ,Address Page For Indian Passport Holder Is Mandatory. </t>
    </r>
  </si>
  <si>
    <r>
      <t>Ø</t>
    </r>
    <r>
      <rPr>
        <sz val="7"/>
        <color rgb="FF000000"/>
        <rFont val="Times New Roman"/>
        <family val="1"/>
      </rPr>
      <t xml:space="preserve">  </t>
    </r>
    <r>
      <rPr>
        <sz val="13"/>
        <color rgb="FF000000"/>
        <rFont val="Bookman Old Style"/>
        <family val="1"/>
      </rPr>
      <t xml:space="preserve">Valid Trade License Copy –All Three Pages For [LLC] </t>
    </r>
  </si>
  <si>
    <t>Simon Lobo</t>
  </si>
  <si>
    <t>For Any Further Clarification On The Vehicle[s] Kindly Coordinate With The Sales Executive :-</t>
  </si>
  <si>
    <r>
      <t xml:space="preserve">For Any Further Clarification On Finance Kindly Forward An Email : </t>
    </r>
    <r>
      <rPr>
        <b/>
        <sz val="16"/>
        <rFont val="Bahnschrift SemiLight SemiConde"/>
        <family val="2"/>
      </rPr>
      <t>naveen@habtoormotors.com</t>
    </r>
    <r>
      <rPr>
        <sz val="16"/>
        <rFont val="Bahnschrift SemiLight SemiConde"/>
        <family val="2"/>
      </rPr>
      <t xml:space="preserve"> Or Reach Us On Boardline -04-608-4000</t>
    </r>
  </si>
  <si>
    <r>
      <t>Ø</t>
    </r>
    <r>
      <rPr>
        <sz val="20"/>
        <color theme="1"/>
        <rFont val="Times New Roman"/>
        <family val="1"/>
      </rPr>
      <t xml:space="preserve"> </t>
    </r>
    <r>
      <rPr>
        <sz val="20"/>
        <color theme="1"/>
        <rFont val="Agency FB"/>
        <family val="2"/>
      </rPr>
      <t>IBAN.</t>
    </r>
  </si>
  <si>
    <r>
      <t>Ø</t>
    </r>
    <r>
      <rPr>
        <sz val="20"/>
        <color theme="1"/>
        <rFont val="Times New Roman"/>
        <family val="1"/>
      </rPr>
      <t xml:space="preserve"> </t>
    </r>
    <r>
      <rPr>
        <sz val="20"/>
        <color theme="1"/>
        <rFont val="Agency FB"/>
        <family val="2"/>
      </rPr>
      <t>Pay Slips For The Last 3 Months-[If Variance In Salary ].</t>
    </r>
  </si>
  <si>
    <r>
      <t>Ø</t>
    </r>
    <r>
      <rPr>
        <sz val="20"/>
        <color theme="1"/>
        <rFont val="Times New Roman"/>
        <family val="1"/>
      </rPr>
      <t xml:space="preserve"> </t>
    </r>
    <r>
      <rPr>
        <sz val="20"/>
        <color theme="1"/>
        <rFont val="Agency FB"/>
        <family val="2"/>
      </rPr>
      <t>Current Dated Salary Certificate from The Employer.</t>
    </r>
  </si>
  <si>
    <r>
      <t>Ø</t>
    </r>
    <r>
      <rPr>
        <sz val="20"/>
        <color theme="1"/>
        <rFont val="Times New Roman"/>
        <family val="1"/>
      </rPr>
      <t xml:space="preserve"> </t>
    </r>
    <r>
      <rPr>
        <sz val="20"/>
        <color theme="1"/>
        <rFont val="Agency FB"/>
        <family val="2"/>
      </rPr>
      <t>Copy of the UAE Driver’s License Both Sides.</t>
    </r>
  </si>
  <si>
    <r>
      <t>Ø</t>
    </r>
    <r>
      <rPr>
        <sz val="20"/>
        <color theme="1"/>
        <rFont val="Times New Roman"/>
        <family val="1"/>
      </rPr>
      <t xml:space="preserve"> </t>
    </r>
    <r>
      <rPr>
        <strike/>
        <sz val="20"/>
        <color theme="1"/>
        <rFont val="Agency FB"/>
        <family val="2"/>
      </rPr>
      <t>Labour Card</t>
    </r>
    <r>
      <rPr>
        <sz val="20"/>
        <color theme="1"/>
        <rFont val="Agency FB"/>
        <family val="2"/>
      </rPr>
      <t>/Free Zone/Employer ID.</t>
    </r>
  </si>
  <si>
    <r>
      <t>Ø</t>
    </r>
    <r>
      <rPr>
        <sz val="20"/>
        <color theme="1"/>
        <rFont val="Times New Roman"/>
        <family val="1"/>
      </rPr>
      <t xml:space="preserve"> </t>
    </r>
    <r>
      <rPr>
        <sz val="20"/>
        <color theme="1"/>
        <rFont val="Agency FB"/>
        <family val="2"/>
      </rPr>
      <t>Emirates ID Card Copy Both Sides.</t>
    </r>
  </si>
  <si>
    <r>
      <t>Ø</t>
    </r>
    <r>
      <rPr>
        <sz val="20"/>
        <color theme="1"/>
        <rFont val="Times New Roman"/>
        <family val="1"/>
      </rPr>
      <t xml:space="preserve"> </t>
    </r>
    <r>
      <rPr>
        <sz val="20"/>
        <color theme="1"/>
        <rFont val="Agency FB"/>
        <family val="2"/>
      </rPr>
      <t>Passport Copy, Digital Visa &amp; Address Page For Indian Passport, Page #44 For Philippines Passport.</t>
    </r>
  </si>
  <si>
    <t>Emirates NBD</t>
  </si>
  <si>
    <t>ROI</t>
  </si>
  <si>
    <t>Accessory</t>
  </si>
  <si>
    <t>1-Yr EMI</t>
  </si>
  <si>
    <t xml:space="preserve">Down-Payment
</t>
  </si>
  <si>
    <t>Total Vehicle Value With Vat</t>
  </si>
  <si>
    <t>MY-2026</t>
  </si>
  <si>
    <t>Email ID :</t>
  </si>
  <si>
    <t>Contact Number:</t>
  </si>
  <si>
    <t>Customer Name:</t>
  </si>
  <si>
    <t>H16</t>
  </si>
  <si>
    <t>P16</t>
  </si>
  <si>
    <t>HL</t>
  </si>
  <si>
    <t>H17</t>
  </si>
  <si>
    <t>H59</t>
  </si>
  <si>
    <t>P61</t>
  </si>
  <si>
    <t>H61</t>
  </si>
  <si>
    <t>P59</t>
  </si>
  <si>
    <t>P57</t>
  </si>
  <si>
    <t>H64</t>
  </si>
  <si>
    <t>P08</t>
  </si>
  <si>
    <t>H57</t>
  </si>
  <si>
    <t>P09</t>
  </si>
  <si>
    <t>G09</t>
  </si>
  <si>
    <t>G08</t>
  </si>
  <si>
    <t>G05</t>
  </si>
  <si>
    <t>P05</t>
  </si>
  <si>
    <t>G12</t>
  </si>
  <si>
    <t>P12</t>
  </si>
  <si>
    <t>P06</t>
  </si>
  <si>
    <t>P03</t>
  </si>
  <si>
    <t>G06</t>
  </si>
  <si>
    <t>G03</t>
  </si>
  <si>
    <t>G10</t>
  </si>
  <si>
    <t>P10</t>
  </si>
  <si>
    <t>PRP</t>
  </si>
  <si>
    <t>H37</t>
  </si>
  <si>
    <t>HLP</t>
  </si>
  <si>
    <t>H38</t>
  </si>
  <si>
    <t>H45</t>
  </si>
  <si>
    <t>H48</t>
  </si>
  <si>
    <t>H42</t>
  </si>
  <si>
    <t>H44</t>
  </si>
  <si>
    <t>H40</t>
  </si>
  <si>
    <t>H43</t>
  </si>
  <si>
    <t>EH40</t>
  </si>
  <si>
    <t>EH43</t>
  </si>
  <si>
    <t>ML</t>
  </si>
  <si>
    <t>PR</t>
  </si>
  <si>
    <t>MLP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</si>
</sst>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[$-409]mmmm\ d\,\ yyyy;@"/>
    <numFmt numFmtId="166" formatCode="#,##0.00000"/>
  </numFmts>
  <fonts count="5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theme="1"/>
      <name val="Bookman Old Style"/>
      <family val="1"/>
    </font>
    <font>
      <b/>
      <sz val="12"/>
      <color theme="1"/>
      <name val="Bookman Old Style"/>
      <family val="1"/>
    </font>
    <font>
      <sz val="12"/>
      <color theme="1"/>
      <name val="Bahnschrift SemiLight SemiConde"/>
      <family val="2"/>
    </font>
    <font>
      <sz val="21"/>
      <color theme="1"/>
      <name val="Wingdings"/>
      <charset val="2"/>
    </font>
    <font>
      <sz val="7"/>
      <color theme="1"/>
      <name val="Times New Roman"/>
      <family val="1"/>
    </font>
    <font>
      <b/>
      <strike/>
      <sz val="21"/>
      <color theme="1"/>
      <name val="Agency FB"/>
      <family val="2"/>
    </font>
    <font>
      <b/>
      <sz val="21"/>
      <color theme="1"/>
      <name val="Agency FB"/>
      <family val="2"/>
    </font>
    <font>
      <b/>
      <sz val="72"/>
      <color theme="1"/>
      <name val="Bahnschrift SemiLight SemiConde"/>
      <family val="2"/>
    </font>
    <font>
      <b/>
      <sz val="16"/>
      <name val="Bahnschrift SemiLight SemiConde"/>
      <family val="2"/>
    </font>
    <font>
      <b/>
      <sz val="20"/>
      <color theme="1"/>
      <name val="Bahnschrift SemiLight SemiConde"/>
      <family val="2"/>
    </font>
    <font>
      <b/>
      <sz val="20"/>
      <color rgb="FFFF0000"/>
      <name val="Bahnschrift SemiLight SemiConde"/>
      <family val="2"/>
    </font>
    <font>
      <sz val="20"/>
      <color theme="1"/>
      <name val="Bahnschrift SemiLight SemiConde"/>
      <family val="2"/>
    </font>
    <font>
      <sz val="20"/>
      <color theme="0"/>
      <name val="Bahnschrift SemiLight SemiConde"/>
      <family val="2"/>
    </font>
    <font>
      <b/>
      <sz val="20"/>
      <color rgb="FFFFFF00"/>
      <name val="Bahnschrift SemiLight SemiConde"/>
      <family val="2"/>
    </font>
    <font>
      <b/>
      <sz val="20"/>
      <color theme="0"/>
      <name val="Bahnschrift SemiLight SemiConde"/>
      <family val="2"/>
    </font>
    <font>
      <sz val="20"/>
      <name val="Bahnschrift SemiLight SemiConde"/>
      <family val="2"/>
    </font>
    <font>
      <b/>
      <sz val="20"/>
      <name val="Bahnschrift SemiLight SemiConde"/>
      <family val="2"/>
    </font>
    <font>
      <b/>
      <sz val="20"/>
      <color theme="1"/>
      <name val="Wingdings"/>
      <charset val="2"/>
    </font>
    <font>
      <b/>
      <sz val="20"/>
      <color theme="1"/>
      <name val="Times New Roman"/>
      <family val="1"/>
    </font>
    <font>
      <b/>
      <sz val="20"/>
      <color theme="1"/>
      <name val="Agency FB"/>
      <family val="2"/>
    </font>
    <font>
      <b/>
      <sz val="20"/>
      <color theme="1"/>
      <name val="Bookman Old Style"/>
      <family val="1"/>
    </font>
    <font>
      <b/>
      <strike/>
      <sz val="20"/>
      <color theme="1"/>
      <name val="Agency FB"/>
      <family val="2"/>
    </font>
    <font>
      <sz val="16"/>
      <name val="Bahnschrift SemiLight SemiConde"/>
      <family val="2"/>
    </font>
    <font>
      <sz val="16"/>
      <color rgb="FF000000"/>
      <name val="Wingdings"/>
      <charset val="2"/>
    </font>
    <font>
      <sz val="16"/>
      <color rgb="FF000000"/>
      <name val="Times New Roman"/>
      <family val="1"/>
    </font>
    <font>
      <sz val="16"/>
      <color rgb="FF000000"/>
      <name val="Bookman Old Style"/>
      <family val="1"/>
    </font>
    <font>
      <i/>
      <sz val="16"/>
      <color rgb="FF000000"/>
      <name val="Bookman Old Style"/>
      <family val="1"/>
    </font>
    <font>
      <i/>
      <sz val="16"/>
      <color theme="1"/>
      <name val="Bookman Old Style"/>
      <family val="1"/>
    </font>
    <font>
      <sz val="16"/>
      <color theme="1"/>
      <name val="Bookman Old Style"/>
      <family val="1"/>
    </font>
    <font>
      <b/>
      <sz val="16"/>
      <color theme="1"/>
      <name val="Bookman Old Style"/>
      <family val="1"/>
    </font>
    <font>
      <b/>
      <i/>
      <sz val="16"/>
      <color theme="1"/>
      <name val="Bookman Old Style"/>
      <family val="1"/>
    </font>
    <font>
      <b/>
      <sz val="20"/>
      <color theme="0"/>
      <name val="Bookman Old Style"/>
      <family val="1"/>
    </font>
    <font>
      <sz val="16"/>
      <color theme="1"/>
      <name val="Bahnschrift SemiLight SemiConde"/>
      <family val="2"/>
    </font>
    <font>
      <sz val="16"/>
      <color rgb="FFFF0000"/>
      <name val="Bookman Old Style"/>
      <family val="1"/>
    </font>
    <font>
      <sz val="20"/>
      <color rgb="FFFF0000"/>
      <name val="Bahnschrift SemiLight SemiConde"/>
      <family val="2"/>
    </font>
    <font>
      <sz val="16"/>
      <name val="Bookman Old Style"/>
      <family val="1"/>
    </font>
    <font>
      <sz val="12"/>
      <name val="Bahnschrift SemiLight SemiConde"/>
      <family val="2"/>
    </font>
    <font>
      <b/>
      <sz val="12"/>
      <name val="Bahnschrift SemiLight SemiConde"/>
      <family val="2"/>
    </font>
    <font>
      <sz val="13"/>
      <color rgb="FF000000"/>
      <name val="Wingdings"/>
      <charset val="2"/>
    </font>
    <font>
      <sz val="7"/>
      <color rgb="FF000000"/>
      <name val="Times New Roman"/>
      <family val="1"/>
    </font>
    <font>
      <sz val="13"/>
      <color rgb="FF000000"/>
      <name val="Bookman Old Style"/>
      <family val="1"/>
    </font>
    <font>
      <i/>
      <sz val="12"/>
      <color theme="1"/>
      <name val="Bookman Old Style"/>
      <family val="1"/>
    </font>
    <font>
      <b/>
      <i/>
      <sz val="12"/>
      <color theme="1"/>
      <name val="Bookman Old Style"/>
      <family val="1"/>
    </font>
    <font>
      <i/>
      <sz val="12"/>
      <color rgb="FF000000"/>
      <name val="Bookman Old Style"/>
      <family val="1"/>
    </font>
    <font>
      <b/>
      <sz val="16"/>
      <color theme="0"/>
      <name val="Bahnschrift SemiLight SemiConde"/>
      <family val="2"/>
    </font>
    <font>
      <sz val="16"/>
      <color theme="0"/>
      <name val="Bahnschrift SemiLight SemiConde"/>
      <family val="2"/>
    </font>
    <font>
      <sz val="20"/>
      <color theme="1"/>
      <name val="Bookman Old Style"/>
      <family val="1"/>
    </font>
    <font>
      <sz val="20"/>
      <color theme="1"/>
      <name val="Wingdings"/>
      <charset val="2"/>
    </font>
    <font>
      <sz val="20"/>
      <color theme="1"/>
      <name val="Times New Roman"/>
      <family val="1"/>
    </font>
    <font>
      <sz val="20"/>
      <color theme="1"/>
      <name val="Agency FB"/>
      <family val="2"/>
    </font>
    <font>
      <strike/>
      <sz val="20"/>
      <color theme="1"/>
      <name val="Agency FB"/>
      <family val="2"/>
    </font>
    <font>
      <sz val="20"/>
      <color theme="0"/>
      <name val="Bookman Old Style"/>
      <family val="1"/>
    </font>
    <font>
      <sz val="12"/>
      <name val="Bookman Old Style"/>
      <family val="1"/>
    </font>
    <font>
      <sz val="12"/>
      <color rgb="FFFF0000"/>
      <name val="Bahnschrift SemiLight SemiConde"/>
      <family val="2"/>
    </font>
    <font>
      <b/>
      <sz val="16"/>
      <color theme="1"/>
      <name val="Bahnschrift SemiLight SemiConde"/>
      <family val="2"/>
    </font>
    <font>
      <sz val="12"/>
      <color rgb="FFFF0000"/>
      <name val="Bookman Old Style"/>
      <family val="1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23">
    <xf numFmtId="0" fontId="0" fillId="0" borderId="0" xfId="0"/>
    <xf numFmtId="0" fontId="2" fillId="0" borderId="0" xfId="0" applyFont="1" applyProtection="1">
      <protection locked="0"/>
    </xf>
    <xf numFmtId="4" fontId="2" fillId="0" borderId="0" xfId="0" applyNumberFormat="1" applyFont="1" applyProtection="1">
      <protection locked="0"/>
    </xf>
    <xf numFmtId="4" fontId="2" fillId="0" borderId="0" xfId="0" applyNumberFormat="1" applyFont="1" applyAlignment="1" applyProtection="1">
      <alignment horizontal="center"/>
      <protection locked="0"/>
    </xf>
    <xf numFmtId="4" fontId="3" fillId="3" borderId="10" xfId="0" applyNumberFormat="1" applyFont="1" applyFill="1" applyBorder="1" applyAlignment="1" applyProtection="1">
      <alignment vertical="center" wrapText="1"/>
      <protection locked="0"/>
    </xf>
    <xf numFmtId="0" fontId="2" fillId="0" borderId="0" xfId="0" applyFont="1" applyAlignment="1" applyProtection="1">
      <alignment vertical="center" wrapText="1"/>
      <protection locked="0"/>
    </xf>
    <xf numFmtId="4" fontId="2" fillId="4" borderId="10" xfId="0" applyNumberFormat="1" applyFont="1" applyFill="1" applyBorder="1" applyAlignment="1" applyProtection="1">
      <alignment horizontal="center"/>
      <protection locked="0"/>
    </xf>
    <xf numFmtId="9" fontId="2" fillId="0" borderId="0" xfId="2" applyFont="1" applyProtection="1">
      <protection locked="0"/>
    </xf>
    <xf numFmtId="4" fontId="2" fillId="6" borderId="13" xfId="0" applyNumberFormat="1" applyFont="1" applyFill="1" applyBorder="1" applyAlignment="1" applyProtection="1">
      <alignment horizontal="center"/>
      <protection locked="0"/>
    </xf>
    <xf numFmtId="10" fontId="4" fillId="0" borderId="0" xfId="2" applyNumberFormat="1" applyFont="1" applyProtection="1">
      <protection locked="0"/>
    </xf>
    <xf numFmtId="4" fontId="2" fillId="0" borderId="14" xfId="0" applyNumberFormat="1" applyFont="1" applyBorder="1" applyAlignment="1" applyProtection="1">
      <alignment horizontal="left"/>
      <protection locked="0"/>
    </xf>
    <xf numFmtId="4" fontId="2" fillId="0" borderId="0" xfId="0" applyNumberFormat="1" applyFont="1" applyAlignment="1" applyProtection="1">
      <alignment horizontal="left"/>
      <protection locked="0"/>
    </xf>
    <xf numFmtId="0" fontId="2" fillId="0" borderId="0" xfId="0" applyFont="1" applyAlignment="1" applyProtection="1">
      <alignment horizontal="left"/>
      <protection locked="0"/>
    </xf>
    <xf numFmtId="4" fontId="2" fillId="2" borderId="0" xfId="0" applyNumberFormat="1" applyFont="1" applyFill="1" applyAlignment="1" applyProtection="1">
      <alignment horizontal="left"/>
      <protection locked="0"/>
    </xf>
    <xf numFmtId="0" fontId="2" fillId="0" borderId="0" xfId="0" applyFont="1" applyAlignment="1" applyProtection="1">
      <alignment horizontal="right"/>
      <protection locked="0"/>
    </xf>
    <xf numFmtId="0" fontId="5" fillId="0" borderId="0" xfId="0" applyFont="1" applyAlignment="1">
      <alignment horizontal="left" vertical="center" indent="13"/>
    </xf>
    <xf numFmtId="4" fontId="10" fillId="0" borderId="9" xfId="0" applyNumberFormat="1" applyFont="1" applyBorder="1" applyProtection="1">
      <protection locked="0"/>
    </xf>
    <xf numFmtId="165" fontId="11" fillId="0" borderId="9" xfId="0" applyNumberFormat="1" applyFont="1" applyBorder="1" applyAlignment="1" applyProtection="1">
      <alignment horizontal="left"/>
      <protection locked="0"/>
    </xf>
    <xf numFmtId="165" fontId="11" fillId="0" borderId="9" xfId="0" applyNumberFormat="1" applyFont="1" applyBorder="1" applyAlignment="1" applyProtection="1">
      <alignment horizontal="center"/>
      <protection locked="0"/>
    </xf>
    <xf numFmtId="4" fontId="12" fillId="2" borderId="9" xfId="0" applyNumberFormat="1" applyFont="1" applyFill="1" applyBorder="1" applyAlignment="1" applyProtection="1">
      <alignment horizontal="center"/>
      <protection locked="0"/>
    </xf>
    <xf numFmtId="4" fontId="11" fillId="0" borderId="9" xfId="0" applyNumberFormat="1" applyFont="1" applyBorder="1" applyAlignment="1" applyProtection="1">
      <alignment horizontal="center"/>
      <protection locked="0"/>
    </xf>
    <xf numFmtId="4" fontId="13" fillId="0" borderId="9" xfId="0" applyNumberFormat="1" applyFont="1" applyBorder="1" applyProtection="1">
      <protection locked="0"/>
    </xf>
    <xf numFmtId="4" fontId="13" fillId="0" borderId="9" xfId="0" applyNumberFormat="1" applyFont="1" applyBorder="1" applyAlignment="1" applyProtection="1">
      <alignment horizontal="center"/>
      <protection locked="0"/>
    </xf>
    <xf numFmtId="4" fontId="14" fillId="0" borderId="9" xfId="0" applyNumberFormat="1" applyFont="1" applyBorder="1" applyProtection="1">
      <protection locked="0"/>
    </xf>
    <xf numFmtId="9" fontId="14" fillId="0" borderId="9" xfId="2" applyFont="1" applyBorder="1" applyAlignment="1" applyProtection="1">
      <alignment horizontal="center"/>
      <protection locked="0"/>
    </xf>
    <xf numFmtId="10" fontId="14" fillId="0" borderId="9" xfId="2" applyNumberFormat="1" applyFont="1" applyBorder="1" applyAlignment="1" applyProtection="1">
      <alignment horizontal="center"/>
      <protection locked="0"/>
    </xf>
    <xf numFmtId="4" fontId="11" fillId="3" borderId="9" xfId="0" applyNumberFormat="1" applyFont="1" applyFill="1" applyBorder="1" applyAlignment="1" applyProtection="1">
      <alignment vertical="center" wrapText="1"/>
      <protection locked="0"/>
    </xf>
    <xf numFmtId="4" fontId="11" fillId="3" borderId="9" xfId="0" applyNumberFormat="1" applyFont="1" applyFill="1" applyBorder="1" applyAlignment="1" applyProtection="1">
      <alignment horizontal="center" vertical="center" wrapText="1"/>
      <protection locked="0"/>
    </xf>
    <xf numFmtId="4" fontId="11" fillId="3" borderId="9" xfId="0" applyNumberFormat="1" applyFont="1" applyFill="1" applyBorder="1" applyAlignment="1" applyProtection="1">
      <alignment horizontal="center" vertical="center" wrapText="1"/>
      <protection hidden="1"/>
    </xf>
    <xf numFmtId="164" fontId="11" fillId="5" borderId="9" xfId="1" applyFont="1" applyFill="1" applyBorder="1" applyAlignment="1" applyProtection="1">
      <alignment horizontal="center"/>
      <protection locked="0"/>
    </xf>
    <xf numFmtId="164" fontId="11" fillId="5" borderId="9" xfId="1" applyFont="1" applyFill="1" applyBorder="1" applyAlignment="1" applyProtection="1">
      <alignment horizontal="center"/>
      <protection hidden="1"/>
    </xf>
    <xf numFmtId="164" fontId="11" fillId="2" borderId="9" xfId="1" applyFont="1" applyFill="1" applyBorder="1" applyAlignment="1" applyProtection="1">
      <alignment horizontal="center"/>
      <protection locked="0"/>
    </xf>
    <xf numFmtId="164" fontId="15" fillId="2" borderId="9" xfId="1" applyFont="1" applyFill="1" applyBorder="1" applyAlignment="1" applyProtection="1">
      <alignment horizontal="center"/>
      <protection locked="0"/>
    </xf>
    <xf numFmtId="4" fontId="11" fillId="0" borderId="9" xfId="0" applyNumberFormat="1" applyFont="1" applyBorder="1" applyAlignment="1" applyProtection="1">
      <alignment wrapText="1"/>
      <protection hidden="1"/>
    </xf>
    <xf numFmtId="4" fontId="16" fillId="0" borderId="9" xfId="0" applyNumberFormat="1" applyFont="1" applyBorder="1" applyProtection="1">
      <protection locked="0"/>
    </xf>
    <xf numFmtId="164" fontId="13" fillId="0" borderId="9" xfId="1" applyFont="1" applyBorder="1" applyAlignment="1" applyProtection="1">
      <alignment horizontal="center"/>
      <protection locked="0"/>
    </xf>
    <xf numFmtId="164" fontId="11" fillId="5" borderId="9" xfId="1" applyFont="1" applyFill="1" applyBorder="1" applyProtection="1">
      <protection locked="0"/>
    </xf>
    <xf numFmtId="4" fontId="11" fillId="0" borderId="9" xfId="0" applyNumberFormat="1" applyFont="1" applyBorder="1" applyProtection="1">
      <protection locked="0"/>
    </xf>
    <xf numFmtId="4" fontId="11" fillId="0" borderId="9" xfId="0" applyNumberFormat="1" applyFont="1" applyBorder="1" applyAlignment="1" applyProtection="1">
      <alignment horizontal="right"/>
      <protection locked="0"/>
    </xf>
    <xf numFmtId="4" fontId="11" fillId="0" borderId="9" xfId="0" applyNumberFormat="1" applyFont="1" applyBorder="1" applyAlignment="1" applyProtection="1">
      <alignment horizontal="right" wrapText="1"/>
      <protection hidden="1"/>
    </xf>
    <xf numFmtId="4" fontId="11" fillId="0" borderId="9" xfId="0" applyNumberFormat="1" applyFont="1" applyBorder="1" applyAlignment="1" applyProtection="1">
      <alignment horizontal="left" wrapText="1"/>
      <protection hidden="1"/>
    </xf>
    <xf numFmtId="4" fontId="16" fillId="0" borderId="9" xfId="0" applyNumberFormat="1" applyFont="1" applyBorder="1" applyAlignment="1" applyProtection="1">
      <alignment horizontal="right"/>
      <protection locked="0"/>
    </xf>
    <xf numFmtId="4" fontId="13" fillId="0" borderId="9" xfId="0" applyNumberFormat="1" applyFont="1" applyBorder="1" applyAlignment="1" applyProtection="1">
      <alignment horizontal="right"/>
      <protection locked="0"/>
    </xf>
    <xf numFmtId="4" fontId="11" fillId="0" borderId="9" xfId="0" applyNumberFormat="1" applyFont="1" applyBorder="1" applyAlignment="1" applyProtection="1">
      <alignment horizontal="left"/>
      <protection hidden="1"/>
    </xf>
    <xf numFmtId="4" fontId="11" fillId="5" borderId="9" xfId="0" applyNumberFormat="1" applyFont="1" applyFill="1" applyBorder="1" applyProtection="1">
      <protection locked="0"/>
    </xf>
    <xf numFmtId="10" fontId="11" fillId="5" borderId="9" xfId="2" applyNumberFormat="1" applyFont="1" applyFill="1" applyBorder="1" applyAlignment="1" applyProtection="1">
      <alignment horizontal="center"/>
      <protection locked="0"/>
    </xf>
    <xf numFmtId="4" fontId="14" fillId="0" borderId="9" xfId="0" applyNumberFormat="1" applyFont="1" applyBorder="1" applyAlignment="1" applyProtection="1">
      <alignment horizontal="right"/>
      <protection locked="0"/>
    </xf>
    <xf numFmtId="4" fontId="11" fillId="0" borderId="11" xfId="0" applyNumberFormat="1" applyFont="1" applyBorder="1" applyProtection="1">
      <protection hidden="1"/>
    </xf>
    <xf numFmtId="4" fontId="11" fillId="0" borderId="11" xfId="0" applyNumberFormat="1" applyFont="1" applyBorder="1" applyAlignment="1" applyProtection="1">
      <alignment wrapText="1"/>
      <protection hidden="1"/>
    </xf>
    <xf numFmtId="164" fontId="14" fillId="6" borderId="9" xfId="1" applyFont="1" applyFill="1" applyBorder="1" applyAlignment="1" applyProtection="1">
      <alignment horizontal="center"/>
      <protection locked="0"/>
    </xf>
    <xf numFmtId="164" fontId="11" fillId="5" borderId="9" xfId="1" applyFont="1" applyFill="1" applyBorder="1" applyAlignment="1" applyProtection="1">
      <alignment horizontal="center"/>
    </xf>
    <xf numFmtId="4" fontId="11" fillId="0" borderId="9" xfId="0" applyNumberFormat="1" applyFont="1" applyBorder="1" applyAlignment="1" applyProtection="1">
      <alignment horizontal="center" wrapText="1"/>
      <protection hidden="1"/>
    </xf>
    <xf numFmtId="4" fontId="14" fillId="6" borderId="9" xfId="0" applyNumberFormat="1" applyFont="1" applyFill="1" applyBorder="1" applyProtection="1">
      <protection locked="0"/>
    </xf>
    <xf numFmtId="4" fontId="14" fillId="6" borderId="9" xfId="0" applyNumberFormat="1" applyFont="1" applyFill="1" applyBorder="1" applyAlignment="1" applyProtection="1">
      <alignment wrapText="1"/>
      <protection locked="0"/>
    </xf>
    <xf numFmtId="4" fontId="11" fillId="0" borderId="12" xfId="0" applyNumberFormat="1" applyFont="1" applyBorder="1" applyAlignment="1" applyProtection="1">
      <alignment wrapText="1"/>
      <protection hidden="1"/>
    </xf>
    <xf numFmtId="4" fontId="16" fillId="0" borderId="9" xfId="0" applyNumberFormat="1" applyFont="1" applyBorder="1" applyAlignment="1" applyProtection="1">
      <alignment wrapText="1"/>
      <protection locked="0"/>
    </xf>
    <xf numFmtId="4" fontId="14" fillId="0" borderId="9" xfId="0" applyNumberFormat="1" applyFont="1" applyBorder="1" applyAlignment="1" applyProtection="1">
      <alignment horizontal="center" wrapText="1"/>
      <protection locked="0"/>
    </xf>
    <xf numFmtId="164" fontId="16" fillId="6" borderId="9" xfId="1" applyFont="1" applyFill="1" applyBorder="1" applyAlignment="1" applyProtection="1">
      <alignment horizontal="center"/>
      <protection locked="0"/>
    </xf>
    <xf numFmtId="4" fontId="11" fillId="0" borderId="9" xfId="0" applyNumberFormat="1" applyFont="1" applyBorder="1" applyAlignment="1" applyProtection="1">
      <alignment wrapText="1"/>
      <protection locked="0"/>
    </xf>
    <xf numFmtId="4" fontId="11" fillId="0" borderId="9" xfId="0" applyNumberFormat="1" applyFont="1" applyBorder="1" applyAlignment="1" applyProtection="1">
      <alignment horizontal="center" wrapText="1"/>
      <protection locked="0"/>
    </xf>
    <xf numFmtId="10" fontId="12" fillId="2" borderId="9" xfId="2" applyNumberFormat="1" applyFont="1" applyFill="1" applyBorder="1" applyProtection="1">
      <protection locked="0"/>
    </xf>
    <xf numFmtId="9" fontId="13" fillId="0" borderId="9" xfId="2" applyFont="1" applyBorder="1" applyAlignment="1" applyProtection="1">
      <alignment horizontal="center"/>
      <protection locked="0"/>
    </xf>
    <xf numFmtId="4" fontId="13" fillId="0" borderId="9" xfId="0" applyNumberFormat="1" applyFont="1" applyBorder="1" applyAlignment="1" applyProtection="1">
      <alignment horizontal="center" wrapText="1"/>
      <protection locked="0"/>
    </xf>
    <xf numFmtId="10" fontId="11" fillId="2" borderId="9" xfId="2" applyNumberFormat="1" applyFont="1" applyFill="1" applyBorder="1" applyProtection="1">
      <protection locked="0"/>
    </xf>
    <xf numFmtId="0" fontId="19" fillId="0" borderId="4" xfId="0" applyFont="1" applyBorder="1" applyAlignment="1">
      <alignment horizontal="left" vertical="center" indent="13"/>
    </xf>
    <xf numFmtId="4" fontId="22" fillId="0" borderId="0" xfId="0" applyNumberFormat="1" applyFont="1" applyProtection="1">
      <protection locked="0"/>
    </xf>
    <xf numFmtId="4" fontId="22" fillId="0" borderId="0" xfId="0" applyNumberFormat="1" applyFont="1"/>
    <xf numFmtId="4" fontId="22" fillId="0" borderId="3" xfId="0" applyNumberFormat="1" applyFont="1" applyBorder="1" applyProtection="1">
      <protection locked="0"/>
    </xf>
    <xf numFmtId="4" fontId="22" fillId="0" borderId="5" xfId="0" applyNumberFormat="1" applyFont="1" applyBorder="1" applyProtection="1">
      <protection locked="0"/>
    </xf>
    <xf numFmtId="4" fontId="22" fillId="0" borderId="8" xfId="0" applyNumberFormat="1" applyFont="1" applyBorder="1" applyProtection="1">
      <protection locked="0"/>
    </xf>
    <xf numFmtId="4" fontId="24" fillId="6" borderId="4" xfId="0" applyNumberFormat="1" applyFont="1" applyFill="1" applyBorder="1" applyAlignment="1">
      <alignment horizontal="left"/>
    </xf>
    <xf numFmtId="4" fontId="24" fillId="6" borderId="0" xfId="0" applyNumberFormat="1" applyFont="1" applyFill="1" applyAlignment="1">
      <alignment horizontal="left"/>
    </xf>
    <xf numFmtId="4" fontId="24" fillId="6" borderId="5" xfId="0" applyNumberFormat="1" applyFont="1" applyFill="1" applyBorder="1" applyAlignment="1">
      <alignment horizontal="left"/>
    </xf>
    <xf numFmtId="0" fontId="25" fillId="0" borderId="4" xfId="0" applyFont="1" applyBorder="1" applyAlignment="1">
      <alignment horizontal="left" vertical="center" indent="5"/>
    </xf>
    <xf numFmtId="0" fontId="28" fillId="0" borderId="0" xfId="0" applyFont="1" applyAlignment="1">
      <alignment horizontal="center"/>
    </xf>
    <xf numFmtId="4" fontId="29" fillId="0" borderId="0" xfId="0" applyNumberFormat="1" applyFont="1"/>
    <xf numFmtId="4" fontId="30" fillId="0" borderId="0" xfId="0" applyNumberFormat="1" applyFont="1"/>
    <xf numFmtId="4" fontId="30" fillId="0" borderId="0" xfId="0" applyNumberFormat="1" applyFont="1" applyAlignment="1">
      <alignment horizontal="right"/>
    </xf>
    <xf numFmtId="4" fontId="31" fillId="0" borderId="5" xfId="0" applyNumberFormat="1" applyFont="1" applyBorder="1"/>
    <xf numFmtId="0" fontId="32" fillId="0" borderId="0" xfId="0" applyFont="1" applyAlignment="1">
      <alignment horizontal="center"/>
    </xf>
    <xf numFmtId="4" fontId="30" fillId="0" borderId="5" xfId="0" applyNumberFormat="1" applyFont="1" applyBorder="1"/>
    <xf numFmtId="0" fontId="30" fillId="0" borderId="0" xfId="0" applyFont="1" applyAlignment="1" applyProtection="1">
      <alignment horizontal="center"/>
      <protection locked="0"/>
    </xf>
    <xf numFmtId="4" fontId="30" fillId="0" borderId="0" xfId="0" applyNumberFormat="1" applyFont="1" applyAlignment="1" applyProtection="1">
      <alignment horizontal="center"/>
      <protection locked="0"/>
    </xf>
    <xf numFmtId="4" fontId="30" fillId="0" borderId="0" xfId="0" applyNumberFormat="1" applyFont="1" applyProtection="1">
      <protection locked="0"/>
    </xf>
    <xf numFmtId="4" fontId="30" fillId="0" borderId="5" xfId="0" applyNumberFormat="1" applyFont="1" applyBorder="1" applyProtection="1">
      <protection locked="0"/>
    </xf>
    <xf numFmtId="4" fontId="33" fillId="0" borderId="0" xfId="0" applyNumberFormat="1" applyFont="1"/>
    <xf numFmtId="0" fontId="30" fillId="0" borderId="0" xfId="0" applyFont="1" applyProtection="1">
      <protection locked="0"/>
    </xf>
    <xf numFmtId="164" fontId="30" fillId="0" borderId="0" xfId="0" applyNumberFormat="1" applyFont="1" applyProtection="1">
      <protection locked="0"/>
    </xf>
    <xf numFmtId="164" fontId="30" fillId="0" borderId="0" xfId="0" applyNumberFormat="1" applyFont="1" applyAlignment="1" applyProtection="1">
      <alignment horizontal="center"/>
      <protection locked="0"/>
    </xf>
    <xf numFmtId="4" fontId="31" fillId="0" borderId="0" xfId="0" applyNumberFormat="1" applyFont="1" applyAlignment="1" applyProtection="1">
      <alignment horizontal="center"/>
      <protection locked="0"/>
    </xf>
    <xf numFmtId="0" fontId="31" fillId="0" borderId="0" xfId="0" applyFont="1" applyAlignment="1" applyProtection="1">
      <alignment horizontal="center"/>
      <protection locked="0"/>
    </xf>
    <xf numFmtId="164" fontId="31" fillId="0" borderId="0" xfId="0" applyNumberFormat="1" applyFont="1" applyAlignment="1" applyProtection="1">
      <alignment horizontal="center"/>
      <protection locked="0"/>
    </xf>
    <xf numFmtId="4" fontId="34" fillId="0" borderId="0" xfId="0" applyNumberFormat="1" applyFont="1" applyProtection="1">
      <protection locked="0"/>
    </xf>
    <xf numFmtId="4" fontId="34" fillId="0" borderId="0" xfId="0" applyNumberFormat="1" applyFont="1" applyAlignment="1" applyProtection="1">
      <alignment vertical="center" wrapText="1"/>
      <protection locked="0"/>
    </xf>
    <xf numFmtId="4" fontId="30" fillId="0" borderId="0" xfId="0" applyNumberFormat="1" applyFont="1" applyAlignment="1" applyProtection="1">
      <alignment vertical="center" wrapText="1"/>
      <protection locked="0"/>
    </xf>
    <xf numFmtId="0" fontId="30" fillId="0" borderId="0" xfId="0" applyFont="1" applyAlignment="1" applyProtection="1">
      <alignment vertical="center" wrapText="1"/>
      <protection locked="0"/>
    </xf>
    <xf numFmtId="164" fontId="30" fillId="0" borderId="0" xfId="0" applyNumberFormat="1" applyFont="1" applyAlignment="1" applyProtection="1">
      <alignment vertical="center" wrapText="1"/>
      <protection locked="0"/>
    </xf>
    <xf numFmtId="164" fontId="30" fillId="0" borderId="0" xfId="1" applyFont="1" applyProtection="1">
      <protection locked="0"/>
    </xf>
    <xf numFmtId="10" fontId="34" fillId="0" borderId="0" xfId="2" applyNumberFormat="1" applyFont="1" applyProtection="1">
      <protection locked="0"/>
    </xf>
    <xf numFmtId="10" fontId="30" fillId="0" borderId="0" xfId="2" applyNumberFormat="1" applyFont="1" applyProtection="1">
      <protection locked="0"/>
    </xf>
    <xf numFmtId="164" fontId="35" fillId="2" borderId="0" xfId="0" applyNumberFormat="1" applyFont="1" applyFill="1" applyAlignment="1" applyProtection="1">
      <alignment horizontal="center"/>
      <protection locked="0"/>
    </xf>
    <xf numFmtId="4" fontId="35" fillId="2" borderId="0" xfId="0" applyNumberFormat="1" applyFont="1" applyFill="1" applyProtection="1">
      <protection locked="0"/>
    </xf>
    <xf numFmtId="164" fontId="35" fillId="2" borderId="0" xfId="0" applyNumberFormat="1" applyFont="1" applyFill="1" applyProtection="1">
      <protection locked="0"/>
    </xf>
    <xf numFmtId="4" fontId="18" fillId="0" borderId="9" xfId="0" applyNumberFormat="1" applyFont="1" applyBorder="1" applyAlignment="1" applyProtection="1">
      <alignment horizontal="right"/>
      <protection locked="0"/>
    </xf>
    <xf numFmtId="4" fontId="12" fillId="2" borderId="9" xfId="0" applyNumberFormat="1" applyFont="1" applyFill="1" applyBorder="1" applyProtection="1">
      <protection locked="0"/>
    </xf>
    <xf numFmtId="4" fontId="18" fillId="0" borderId="9" xfId="0" applyNumberFormat="1" applyFont="1" applyBorder="1" applyProtection="1">
      <protection locked="0"/>
    </xf>
    <xf numFmtId="166" fontId="18" fillId="0" borderId="9" xfId="0" applyNumberFormat="1" applyFont="1" applyBorder="1" applyProtection="1">
      <protection locked="0"/>
    </xf>
    <xf numFmtId="4" fontId="24" fillId="6" borderId="11" xfId="0" applyNumberFormat="1" applyFont="1" applyFill="1" applyBorder="1"/>
    <xf numFmtId="4" fontId="24" fillId="6" borderId="13" xfId="0" applyNumberFormat="1" applyFont="1" applyFill="1" applyBorder="1"/>
    <xf numFmtId="164" fontId="11" fillId="0" borderId="9" xfId="1" applyFont="1" applyBorder="1" applyAlignment="1" applyProtection="1">
      <alignment horizontal="center"/>
      <protection locked="0"/>
    </xf>
    <xf numFmtId="4" fontId="16" fillId="0" borderId="9" xfId="0" applyNumberFormat="1" applyFont="1" applyBorder="1" applyAlignment="1" applyProtection="1">
      <alignment wrapText="1"/>
      <protection hidden="1"/>
    </xf>
    <xf numFmtId="10" fontId="36" fillId="0" borderId="9" xfId="2" applyNumberFormat="1" applyFont="1" applyFill="1" applyBorder="1" applyProtection="1">
      <protection locked="0"/>
    </xf>
    <xf numFmtId="0" fontId="37" fillId="0" borderId="0" xfId="0" applyFont="1" applyProtection="1">
      <protection locked="0"/>
    </xf>
    <xf numFmtId="4" fontId="10" fillId="6" borderId="13" xfId="0" applyNumberFormat="1" applyFont="1" applyFill="1" applyBorder="1"/>
    <xf numFmtId="4" fontId="10" fillId="6" borderId="9" xfId="0" applyNumberFormat="1" applyFont="1" applyFill="1" applyBorder="1" applyAlignment="1">
      <alignment horizontal="center"/>
    </xf>
    <xf numFmtId="4" fontId="37" fillId="0" borderId="0" xfId="0" applyNumberFormat="1" applyFont="1" applyProtection="1">
      <protection locked="0"/>
    </xf>
    <xf numFmtId="0" fontId="37" fillId="0" borderId="9" xfId="0" applyFont="1" applyBorder="1" applyProtection="1">
      <protection locked="0"/>
    </xf>
    <xf numFmtId="4" fontId="12" fillId="0" borderId="9" xfId="0" applyNumberFormat="1" applyFont="1" applyBorder="1" applyAlignment="1" applyProtection="1">
      <alignment horizontal="right"/>
      <protection locked="0"/>
    </xf>
    <xf numFmtId="4" fontId="24" fillId="6" borderId="11" xfId="0" applyNumberFormat="1" applyFont="1" applyFill="1" applyBorder="1" applyAlignment="1">
      <alignment horizontal="left"/>
    </xf>
    <xf numFmtId="4" fontId="24" fillId="6" borderId="13" xfId="0" applyNumberFormat="1" applyFont="1" applyFill="1" applyBorder="1" applyAlignment="1">
      <alignment horizontal="left"/>
    </xf>
    <xf numFmtId="4" fontId="24" fillId="6" borderId="12" xfId="0" applyNumberFormat="1" applyFont="1" applyFill="1" applyBorder="1" applyAlignment="1">
      <alignment horizontal="left"/>
    </xf>
    <xf numFmtId="4" fontId="9" fillId="0" borderId="1" xfId="0" applyNumberFormat="1" applyFont="1" applyBorder="1" applyAlignment="1" applyProtection="1">
      <alignment horizontal="center" vertical="center"/>
      <protection locked="0"/>
    </xf>
    <xf numFmtId="4" fontId="9" fillId="0" borderId="2" xfId="0" applyNumberFormat="1" applyFont="1" applyBorder="1" applyAlignment="1" applyProtection="1">
      <alignment horizontal="center" vertical="center"/>
      <protection locked="0"/>
    </xf>
    <xf numFmtId="4" fontId="9" fillId="0" borderId="3" xfId="0" applyNumberFormat="1" applyFont="1" applyBorder="1" applyAlignment="1" applyProtection="1">
      <alignment horizontal="center" vertical="center"/>
      <protection locked="0"/>
    </xf>
    <xf numFmtId="4" fontId="9" fillId="0" borderId="4" xfId="0" applyNumberFormat="1" applyFont="1" applyBorder="1" applyAlignment="1" applyProtection="1">
      <alignment horizontal="center" vertical="center"/>
      <protection locked="0"/>
    </xf>
    <xf numFmtId="4" fontId="9" fillId="0" borderId="0" xfId="0" applyNumberFormat="1" applyFont="1" applyAlignment="1" applyProtection="1">
      <alignment horizontal="center" vertical="center"/>
      <protection locked="0"/>
    </xf>
    <xf numFmtId="4" fontId="9" fillId="0" borderId="5" xfId="0" applyNumberFormat="1" applyFont="1" applyBorder="1" applyAlignment="1" applyProtection="1">
      <alignment horizontal="center" vertical="center"/>
      <protection locked="0"/>
    </xf>
    <xf numFmtId="4" fontId="9" fillId="0" borderId="6" xfId="0" applyNumberFormat="1" applyFont="1" applyBorder="1" applyAlignment="1" applyProtection="1">
      <alignment horizontal="center" vertical="center"/>
      <protection locked="0"/>
    </xf>
    <xf numFmtId="4" fontId="9" fillId="0" borderId="7" xfId="0" applyNumberFormat="1" applyFont="1" applyBorder="1" applyAlignment="1" applyProtection="1">
      <alignment horizontal="center" vertical="center"/>
      <protection locked="0"/>
    </xf>
    <xf numFmtId="4" fontId="9" fillId="0" borderId="8" xfId="0" applyNumberFormat="1" applyFont="1" applyBorder="1" applyAlignment="1" applyProtection="1">
      <alignment horizontal="center" vertical="center"/>
      <protection locked="0"/>
    </xf>
    <xf numFmtId="4" fontId="11" fillId="0" borderId="11" xfId="0" applyNumberFormat="1" applyFont="1" applyBorder="1" applyAlignment="1" applyProtection="1">
      <alignment horizontal="center"/>
      <protection locked="0"/>
    </xf>
    <xf numFmtId="4" fontId="11" fillId="0" borderId="13" xfId="0" applyNumberFormat="1" applyFont="1" applyBorder="1" applyAlignment="1" applyProtection="1">
      <alignment horizontal="center"/>
      <protection locked="0"/>
    </xf>
    <xf numFmtId="4" fontId="11" fillId="0" borderId="12" xfId="0" applyNumberFormat="1" applyFont="1" applyBorder="1" applyAlignment="1" applyProtection="1">
      <alignment horizontal="center"/>
      <protection locked="0"/>
    </xf>
    <xf numFmtId="4" fontId="18" fillId="6" borderId="11" xfId="0" applyNumberFormat="1" applyFont="1" applyFill="1" applyBorder="1" applyAlignment="1">
      <alignment horizontal="left"/>
    </xf>
    <xf numFmtId="4" fontId="18" fillId="6" borderId="13" xfId="0" applyNumberFormat="1" applyFont="1" applyFill="1" applyBorder="1" applyAlignment="1">
      <alignment horizontal="left"/>
    </xf>
    <xf numFmtId="4" fontId="18" fillId="6" borderId="12" xfId="0" applyNumberFormat="1" applyFont="1" applyFill="1" applyBorder="1" applyAlignment="1">
      <alignment horizontal="left"/>
    </xf>
    <xf numFmtId="4" fontId="17" fillId="6" borderId="11" xfId="0" applyNumberFormat="1" applyFont="1" applyFill="1" applyBorder="1" applyAlignment="1">
      <alignment horizontal="left"/>
    </xf>
    <xf numFmtId="4" fontId="17" fillId="6" borderId="13" xfId="0" applyNumberFormat="1" applyFont="1" applyFill="1" applyBorder="1" applyAlignment="1">
      <alignment horizontal="left"/>
    </xf>
    <xf numFmtId="4" fontId="17" fillId="6" borderId="12" xfId="0" applyNumberFormat="1" applyFont="1" applyFill="1" applyBorder="1" applyAlignment="1">
      <alignment horizontal="left"/>
    </xf>
    <xf numFmtId="4" fontId="11" fillId="0" borderId="11" xfId="0" applyNumberFormat="1" applyFont="1" applyBorder="1" applyAlignment="1" applyProtection="1">
      <alignment horizontal="left" wrapText="1"/>
      <protection hidden="1"/>
    </xf>
    <xf numFmtId="4" fontId="11" fillId="0" borderId="12" xfId="0" applyNumberFormat="1" applyFont="1" applyBorder="1" applyAlignment="1" applyProtection="1">
      <alignment horizontal="left" wrapText="1"/>
      <protection hidden="1"/>
    </xf>
    <xf numFmtId="10" fontId="11" fillId="0" borderId="11" xfId="2" applyNumberFormat="1" applyFont="1" applyBorder="1" applyAlignment="1" applyProtection="1">
      <alignment horizontal="left"/>
      <protection locked="0"/>
    </xf>
    <xf numFmtId="10" fontId="11" fillId="0" borderId="13" xfId="2" applyNumberFormat="1" applyFont="1" applyBorder="1" applyAlignment="1" applyProtection="1">
      <alignment horizontal="left"/>
      <protection locked="0"/>
    </xf>
    <xf numFmtId="10" fontId="11" fillId="0" borderId="12" xfId="2" applyNumberFormat="1" applyFont="1" applyBorder="1" applyAlignment="1" applyProtection="1">
      <alignment horizontal="left"/>
      <protection locked="0"/>
    </xf>
    <xf numFmtId="4" fontId="38" fillId="6" borderId="12" xfId="0" applyNumberFormat="1" applyFont="1" applyFill="1" applyBorder="1" applyAlignment="1">
      <alignment horizontal="left"/>
    </xf>
    <xf numFmtId="4" fontId="38" fillId="6" borderId="13" xfId="0" applyNumberFormat="1" applyFont="1" applyFill="1" applyBorder="1" applyAlignment="1">
      <alignment horizontal="left"/>
    </xf>
    <xf numFmtId="4" fontId="38" fillId="6" borderId="11" xfId="0" applyNumberFormat="1" applyFont="1" applyFill="1" applyBorder="1" applyAlignment="1">
      <alignment horizontal="left"/>
    </xf>
    <xf numFmtId="4" fontId="4" fillId="0" borderId="0" xfId="0" applyNumberFormat="1" applyFont="1" applyProtection="1">
      <protection locked="0"/>
    </xf>
    <xf numFmtId="4" fontId="2" fillId="0" borderId="5" xfId="0" applyNumberFormat="1" applyFont="1" applyBorder="1" applyProtection="1">
      <protection locked="0"/>
    </xf>
    <xf numFmtId="0" fontId="40" fillId="0" borderId="4" xfId="0" applyFont="1" applyBorder="1" applyAlignment="1">
      <alignment horizontal="left" vertical="center" indent="5"/>
    </xf>
    <xf numFmtId="4" fontId="2" fillId="0" borderId="5" xfId="0" applyNumberFormat="1" applyFont="1" applyBorder="1"/>
    <xf numFmtId="4" fontId="2" fillId="0" borderId="0" xfId="0" applyNumberFormat="1" applyFont="1"/>
    <xf numFmtId="4" fontId="2" fillId="0" borderId="0" xfId="0" applyNumberFormat="1" applyFont="1" applyAlignment="1">
      <alignment horizontal="right"/>
    </xf>
    <xf numFmtId="0" fontId="2" fillId="0" borderId="0" xfId="0" applyFont="1" applyAlignment="1" applyProtection="1">
      <alignment horizontal="center"/>
      <protection locked="0"/>
    </xf>
    <xf numFmtId="4" fontId="43" fillId="0" borderId="0" xfId="0" applyNumberFormat="1" applyFont="1"/>
    <xf numFmtId="0" fontId="44" fillId="0" borderId="0" xfId="0" applyFont="1" applyAlignment="1">
      <alignment horizontal="center"/>
    </xf>
    <xf numFmtId="4" fontId="3" fillId="0" borderId="5" xfId="0" applyNumberFormat="1" applyFont="1" applyBorder="1"/>
    <xf numFmtId="0" fontId="45" fillId="0" borderId="0" xfId="0" applyFont="1" applyAlignment="1">
      <alignment horizontal="center"/>
    </xf>
    <xf numFmtId="4" fontId="4" fillId="6" borderId="5" xfId="0" applyNumberFormat="1" applyFont="1" applyFill="1" applyBorder="1" applyAlignment="1">
      <alignment horizontal="left"/>
    </xf>
    <xf numFmtId="4" fontId="38" fillId="6" borderId="0" xfId="0" applyNumberFormat="1" applyFont="1" applyFill="1" applyAlignment="1">
      <alignment horizontal="left"/>
    </xf>
    <xf numFmtId="4" fontId="38" fillId="6" borderId="4" xfId="0" applyNumberFormat="1" applyFont="1" applyFill="1" applyBorder="1" applyAlignment="1">
      <alignment horizontal="left"/>
    </xf>
    <xf numFmtId="4" fontId="34" fillId="6" borderId="12" xfId="0" applyNumberFormat="1" applyFont="1" applyFill="1" applyBorder="1"/>
    <xf numFmtId="4" fontId="46" fillId="6" borderId="9" xfId="0" applyNumberFormat="1" applyFont="1" applyFill="1" applyBorder="1" applyAlignment="1">
      <alignment horizontal="center"/>
    </xf>
    <xf numFmtId="4" fontId="47" fillId="6" borderId="13" xfId="0" applyNumberFormat="1" applyFont="1" applyFill="1" applyBorder="1"/>
    <xf numFmtId="4" fontId="46" fillId="6" borderId="13" xfId="0" applyNumberFormat="1" applyFont="1" applyFill="1" applyBorder="1"/>
    <xf numFmtId="4" fontId="39" fillId="6" borderId="12" xfId="0" applyNumberFormat="1" applyFont="1" applyFill="1" applyBorder="1" applyAlignment="1">
      <alignment horizontal="left"/>
    </xf>
    <xf numFmtId="4" fontId="39" fillId="6" borderId="13" xfId="0" applyNumberFormat="1" applyFont="1" applyFill="1" applyBorder="1" applyAlignment="1">
      <alignment horizontal="left"/>
    </xf>
    <xf numFmtId="4" fontId="39" fillId="6" borderId="11" xfId="0" applyNumberFormat="1" applyFont="1" applyFill="1" applyBorder="1" applyAlignment="1">
      <alignment horizontal="left"/>
    </xf>
    <xf numFmtId="0" fontId="48" fillId="0" borderId="0" xfId="0" applyFont="1" applyProtection="1">
      <protection locked="0"/>
    </xf>
    <xf numFmtId="4" fontId="48" fillId="0" borderId="0" xfId="0" applyNumberFormat="1" applyFont="1" applyProtection="1">
      <protection locked="0"/>
    </xf>
    <xf numFmtId="4" fontId="13" fillId="0" borderId="0" xfId="0" applyNumberFormat="1" applyFont="1" applyProtection="1">
      <protection locked="0"/>
    </xf>
    <xf numFmtId="4" fontId="48" fillId="0" borderId="8" xfId="0" applyNumberFormat="1" applyFont="1" applyBorder="1" applyProtection="1">
      <protection locked="0"/>
    </xf>
    <xf numFmtId="0" fontId="49" fillId="0" borderId="4" xfId="0" applyFont="1" applyBorder="1" applyAlignment="1">
      <alignment horizontal="left" vertical="center" indent="13"/>
    </xf>
    <xf numFmtId="4" fontId="48" fillId="0" borderId="5" xfId="0" applyNumberFormat="1" applyFont="1" applyBorder="1" applyProtection="1">
      <protection locked="0"/>
    </xf>
    <xf numFmtId="164" fontId="48" fillId="0" borderId="0" xfId="0" applyNumberFormat="1" applyFont="1" applyProtection="1">
      <protection locked="0"/>
    </xf>
    <xf numFmtId="0" fontId="48" fillId="0" borderId="0" xfId="0" applyFont="1" applyAlignment="1" applyProtection="1">
      <alignment horizontal="right"/>
      <protection locked="0"/>
    </xf>
    <xf numFmtId="4" fontId="48" fillId="0" borderId="0" xfId="0" applyNumberFormat="1" applyFont="1"/>
    <xf numFmtId="4" fontId="53" fillId="0" borderId="0" xfId="0" applyNumberFormat="1" applyFont="1"/>
    <xf numFmtId="4" fontId="48" fillId="0" borderId="3" xfId="0" applyNumberFormat="1" applyFont="1" applyBorder="1" applyProtection="1">
      <protection locked="0"/>
    </xf>
    <xf numFmtId="0" fontId="54" fillId="0" borderId="0" xfId="0" applyFont="1" applyProtection="1">
      <protection locked="0"/>
    </xf>
    <xf numFmtId="4" fontId="54" fillId="0" borderId="0" xfId="0" applyNumberFormat="1" applyFont="1" applyProtection="1">
      <protection locked="0"/>
    </xf>
    <xf numFmtId="4" fontId="38" fillId="0" borderId="0" xfId="0" applyNumberFormat="1" applyFont="1" applyProtection="1">
      <protection locked="0"/>
    </xf>
    <xf numFmtId="4" fontId="18" fillId="0" borderId="12" xfId="0" applyNumberFormat="1" applyFont="1" applyBorder="1" applyAlignment="1" applyProtection="1">
      <alignment horizontal="center"/>
      <protection locked="0"/>
    </xf>
    <xf numFmtId="4" fontId="18" fillId="0" borderId="13" xfId="0" applyNumberFormat="1" applyFont="1" applyBorder="1" applyAlignment="1" applyProtection="1">
      <alignment horizontal="center"/>
      <protection locked="0"/>
    </xf>
    <xf numFmtId="4" fontId="18" fillId="0" borderId="11" xfId="0" applyNumberFormat="1" applyFont="1" applyBorder="1" applyAlignment="1" applyProtection="1">
      <alignment horizontal="center"/>
      <protection locked="0"/>
    </xf>
    <xf numFmtId="4" fontId="54" fillId="2" borderId="0" xfId="0" applyNumberFormat="1" applyFont="1" applyFill="1" applyAlignment="1" applyProtection="1">
      <alignment horizontal="left"/>
      <protection locked="0"/>
    </xf>
    <xf numFmtId="164" fontId="2" fillId="0" borderId="0" xfId="0" applyNumberFormat="1" applyFont="1" applyProtection="1">
      <protection locked="0"/>
    </xf>
    <xf numFmtId="4" fontId="55" fillId="0" borderId="0" xfId="0" applyNumberFormat="1" applyFont="1" applyProtection="1">
      <protection locked="0"/>
    </xf>
    <xf numFmtId="10" fontId="11" fillId="0" borderId="9" xfId="2" applyNumberFormat="1" applyFont="1" applyFill="1" applyBorder="1" applyProtection="1">
      <protection locked="0"/>
    </xf>
    <xf numFmtId="166" fontId="10" fillId="0" borderId="9" xfId="0" applyNumberFormat="1" applyFont="1" applyBorder="1" applyProtection="1">
      <protection locked="0"/>
    </xf>
    <xf numFmtId="4" fontId="56" fillId="0" borderId="9" xfId="0" applyNumberFormat="1" applyFont="1" applyBorder="1" applyProtection="1">
      <protection locked="0"/>
    </xf>
    <xf numFmtId="10" fontId="2" fillId="0" borderId="0" xfId="2" applyNumberFormat="1" applyFont="1" applyProtection="1">
      <protection locked="0"/>
    </xf>
    <xf numFmtId="164" fontId="57" fillId="2" borderId="0" xfId="0" applyNumberFormat="1" applyFont="1" applyFill="1" applyProtection="1">
      <protection locked="0"/>
    </xf>
    <xf numFmtId="4" fontId="57" fillId="2" borderId="0" xfId="0" applyNumberFormat="1" applyFont="1" applyFill="1" applyProtection="1">
      <protection locked="0"/>
    </xf>
    <xf numFmtId="10" fontId="38" fillId="0" borderId="0" xfId="2" applyNumberFormat="1" applyFont="1" applyProtection="1">
      <protection locked="0"/>
    </xf>
    <xf numFmtId="9" fontId="11" fillId="0" borderId="9" xfId="2" applyFont="1" applyBorder="1" applyAlignment="1" applyProtection="1">
      <alignment horizontal="left"/>
      <protection locked="0"/>
    </xf>
    <xf numFmtId="164" fontId="57" fillId="2" borderId="0" xfId="0" applyNumberFormat="1" applyFont="1" applyFill="1" applyAlignment="1" applyProtection="1">
      <alignment horizontal="center"/>
      <protection locked="0"/>
    </xf>
    <xf numFmtId="4" fontId="16" fillId="0" borderId="9" xfId="0" applyNumberFormat="1" applyFont="1" applyBorder="1" applyAlignment="1" applyProtection="1">
      <alignment horizontal="center" wrapText="1"/>
      <protection locked="0"/>
    </xf>
    <xf numFmtId="4" fontId="11" fillId="6" borderId="9" xfId="0" applyNumberFormat="1" applyFont="1" applyFill="1" applyBorder="1" applyAlignment="1" applyProtection="1">
      <alignment wrapText="1"/>
      <protection locked="0"/>
    </xf>
    <xf numFmtId="4" fontId="16" fillId="6" borderId="9" xfId="0" applyNumberFormat="1" applyFont="1" applyFill="1" applyBorder="1" applyAlignment="1" applyProtection="1">
      <alignment wrapText="1"/>
      <protection locked="0"/>
    </xf>
    <xf numFmtId="4" fontId="16" fillId="6" borderId="9" xfId="0" applyNumberFormat="1" applyFont="1" applyFill="1" applyBorder="1" applyProtection="1">
      <protection locked="0"/>
    </xf>
    <xf numFmtId="10" fontId="16" fillId="6" borderId="9" xfId="2" applyNumberFormat="1" applyFont="1" applyFill="1" applyBorder="1" applyAlignment="1" applyProtection="1">
      <alignment horizontal="center"/>
      <protection locked="0"/>
    </xf>
    <xf numFmtId="4" fontId="11" fillId="5" borderId="9" xfId="0" applyNumberFormat="1" applyFont="1" applyFill="1" applyBorder="1" applyAlignment="1" applyProtection="1">
      <alignment horizontal="center"/>
      <protection locked="0"/>
    </xf>
    <xf numFmtId="164" fontId="11" fillId="5" borderId="9" xfId="1" applyFont="1" applyFill="1" applyBorder="1" applyAlignment="1" applyProtection="1">
      <alignment horizontal="right"/>
      <protection locked="0"/>
    </xf>
    <xf numFmtId="164" fontId="2" fillId="0" borderId="0" xfId="1" applyFont="1" applyProtection="1">
      <protection locked="0"/>
    </xf>
    <xf numFmtId="164" fontId="2" fillId="0" borderId="0" xfId="0" applyNumberFormat="1" applyFont="1" applyAlignment="1" applyProtection="1">
      <alignment vertical="center" wrapText="1"/>
      <protection locked="0"/>
    </xf>
    <xf numFmtId="4" fontId="2" fillId="0" borderId="0" xfId="0" applyNumberFormat="1" applyFont="1" applyAlignment="1" applyProtection="1">
      <alignment vertical="center" wrapText="1"/>
      <protection locked="0"/>
    </xf>
    <xf numFmtId="4" fontId="4" fillId="0" borderId="0" xfId="0" applyNumberFormat="1" applyFont="1" applyAlignment="1" applyProtection="1">
      <alignment vertical="center" wrapText="1"/>
      <protection locked="0"/>
    </xf>
    <xf numFmtId="10" fontId="16" fillId="0" borderId="9" xfId="2" applyNumberFormat="1" applyFont="1" applyBorder="1" applyAlignment="1" applyProtection="1">
      <alignment horizontal="center"/>
      <protection locked="0"/>
    </xf>
    <xf numFmtId="9" fontId="16" fillId="0" borderId="9" xfId="2" applyFont="1" applyBorder="1" applyAlignment="1" applyProtection="1">
      <alignment horizontal="center"/>
      <protection locked="0"/>
    </xf>
    <xf numFmtId="0" fontId="3" fillId="0" borderId="0" xfId="0" applyFont="1" applyAlignment="1" applyProtection="1">
      <alignment horizontal="center"/>
      <protection locked="0"/>
    </xf>
    <xf numFmtId="164" fontId="3" fillId="0" borderId="0" xfId="0" applyNumberFormat="1" applyFont="1" applyAlignment="1" applyProtection="1">
      <alignment horizontal="center"/>
      <protection locked="0"/>
    </xf>
    <xf numFmtId="4" fontId="3" fillId="0" borderId="0" xfId="0" applyNumberFormat="1" applyFont="1" applyAlignment="1" applyProtection="1">
      <alignment horizontal="center"/>
      <protection locked="0"/>
    </xf>
    <xf numFmtId="4" fontId="11" fillId="0" borderId="8" xfId="0" applyNumberFormat="1" applyFont="1" applyBorder="1" applyAlignment="1" applyProtection="1">
      <alignment vertical="center"/>
      <protection locked="0"/>
    </xf>
    <xf numFmtId="4" fontId="11" fillId="0" borderId="7" xfId="0" applyNumberFormat="1" applyFont="1" applyBorder="1" applyAlignment="1" applyProtection="1">
      <alignment vertical="center"/>
      <protection locked="0"/>
    </xf>
    <xf numFmtId="4" fontId="11" fillId="0" borderId="6" xfId="0" applyNumberFormat="1" applyFont="1" applyBorder="1" applyAlignment="1" applyProtection="1">
      <alignment vertical="center"/>
      <protection locked="0"/>
    </xf>
    <xf numFmtId="164" fontId="2" fillId="0" borderId="0" xfId="0" applyNumberFormat="1" applyFont="1" applyAlignment="1" applyProtection="1">
      <alignment horizontal="center"/>
      <protection locked="0"/>
    </xf>
    <xf numFmtId="4" fontId="11" fillId="0" borderId="5" xfId="0" applyNumberFormat="1" applyFont="1" applyBorder="1" applyAlignment="1" applyProtection="1">
      <alignment vertical="center"/>
      <protection locked="0"/>
    </xf>
    <xf numFmtId="4" fontId="11" fillId="0" borderId="0" xfId="0" applyNumberFormat="1" applyFont="1" applyAlignment="1" applyProtection="1">
      <alignment vertical="center"/>
      <protection locked="0"/>
    </xf>
    <xf numFmtId="4" fontId="11" fillId="0" borderId="4" xfId="0" applyNumberFormat="1" applyFont="1" applyBorder="1" applyAlignment="1" applyProtection="1">
      <alignment vertical="center"/>
      <protection locked="0"/>
    </xf>
    <xf numFmtId="4" fontId="11" fillId="0" borderId="3" xfId="0" applyNumberFormat="1" applyFont="1" applyBorder="1" applyAlignment="1" applyProtection="1">
      <alignment vertical="center"/>
      <protection locked="0"/>
    </xf>
    <xf numFmtId="4" fontId="11" fillId="0" borderId="2" xfId="0" applyNumberFormat="1" applyFont="1" applyBorder="1" applyAlignment="1" applyProtection="1">
      <alignment vertical="center"/>
      <protection locked="0"/>
    </xf>
    <xf numFmtId="4" fontId="11" fillId="0" borderId="1" xfId="0" applyNumberFormat="1" applyFont="1" applyBorder="1" applyAlignment="1" applyProtection="1">
      <alignment vertical="center"/>
      <protection locked="0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calcChain" Target="calcChain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82" Type="http://schemas.openxmlformats.org/officeDocument/2006/relationships/styles" Target="styles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worksheet" Target="worksheets/sheet7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5C4C2B-0396-4694-B8C9-01C0BCF867B4}">
  <sheetPr>
    <pageSetUpPr fitToPage="1"/>
  </sheetPr>
  <dimension ref="A1:AA54"/>
  <sheetViews>
    <sheetView tabSelected="1" topLeftCell="B1" zoomScaleNormal="100" workbookViewId="0">
      <selection activeCell="D5" sqref="D5"/>
    </sheetView>
  </sheetViews>
  <sheetFormatPr defaultColWidth="9.109375" defaultRowHeight="15.6" x14ac:dyDescent="0.3"/>
  <cols>
    <col min="1" max="1" width="16" style="1" hidden="1" customWidth="1"/>
    <col min="2" max="2" width="75.109375" style="2" customWidth="1"/>
    <col min="3" max="3" width="26.88671875" style="3" customWidth="1"/>
    <col min="4" max="4" width="23.88671875" style="2" customWidth="1"/>
    <col min="5" max="5" width="23.33203125" style="2" customWidth="1"/>
    <col min="6" max="6" width="19.88671875" style="2" customWidth="1"/>
    <col min="7" max="7" width="23.33203125" style="2" customWidth="1"/>
    <col min="8" max="8" width="24.44140625" style="2" customWidth="1"/>
    <col min="9" max="9" width="27.109375" style="2" customWidth="1"/>
    <col min="10" max="10" width="26.6640625" style="2" customWidth="1"/>
    <col min="11" max="11" width="25.44140625" style="2" customWidth="1"/>
    <col min="12" max="12" width="20.5546875" style="2" customWidth="1"/>
    <col min="13" max="13" width="20.109375" style="2" customWidth="1"/>
    <col min="14" max="14" width="19.5546875" style="2" customWidth="1"/>
    <col min="15" max="15" width="15.109375" style="2" bestFit="1" customWidth="1"/>
    <col min="16" max="16" width="12.6640625" style="2" hidden="1" customWidth="1"/>
    <col min="17" max="17" width="12.6640625" style="1" hidden="1" customWidth="1"/>
    <col min="18" max="18" width="15.6640625" style="1" hidden="1" customWidth="1"/>
    <col min="19" max="19" width="13" style="1" hidden="1" customWidth="1"/>
    <col min="20" max="20" width="17.109375" style="1" hidden="1" customWidth="1"/>
    <col min="21" max="21" width="14.5546875" style="1" bestFit="1" customWidth="1"/>
    <col min="22" max="22" width="19" style="1" customWidth="1"/>
    <col min="23" max="23" width="22.5546875" style="1" bestFit="1" customWidth="1"/>
    <col min="24" max="25" width="9.109375" style="1"/>
    <col min="26" max="26" width="14" style="1" bestFit="1" customWidth="1"/>
    <col min="27" max="27" width="22.33203125" style="1" bestFit="1" customWidth="1"/>
    <col min="28" max="16384" width="9.109375" style="1"/>
  </cols>
  <sheetData>
    <row r="1" spans="1:27" ht="15.75" customHeight="1" x14ac:dyDescent="0.3">
      <c r="B1" s="222" t="s">
        <v>148</v>
      </c>
      <c r="C1" s="221"/>
      <c r="D1" s="221"/>
      <c r="E1" s="221"/>
      <c r="F1" s="221"/>
      <c r="G1" s="221"/>
      <c r="H1" s="221"/>
      <c r="I1" s="221"/>
      <c r="J1" s="221"/>
      <c r="K1" s="221"/>
      <c r="L1" s="221"/>
      <c r="M1" s="221"/>
      <c r="N1" s="220"/>
    </row>
    <row r="2" spans="1:27" ht="15.75" customHeight="1" x14ac:dyDescent="0.3">
      <c r="B2" s="219" t="s">
        <v>147</v>
      </c>
      <c r="C2" s="218"/>
      <c r="D2" s="218"/>
      <c r="E2" s="218"/>
      <c r="F2" s="218"/>
      <c r="G2" s="218"/>
      <c r="H2" s="218"/>
      <c r="I2" s="218"/>
      <c r="J2" s="218"/>
      <c r="K2" s="218"/>
      <c r="L2" s="218"/>
      <c r="M2" s="218"/>
      <c r="N2" s="217"/>
      <c r="Q2" s="2"/>
      <c r="S2" s="186"/>
    </row>
    <row r="3" spans="1:27" ht="15.75" customHeight="1" x14ac:dyDescent="0.3">
      <c r="B3" s="219" t="s">
        <v>146</v>
      </c>
      <c r="C3" s="218"/>
      <c r="D3" s="218"/>
      <c r="E3" s="218"/>
      <c r="F3" s="218"/>
      <c r="G3" s="218"/>
      <c r="H3" s="218"/>
      <c r="I3" s="218"/>
      <c r="J3" s="218"/>
      <c r="K3" s="218"/>
      <c r="L3" s="218"/>
      <c r="M3" s="218"/>
      <c r="N3" s="217"/>
      <c r="O3" s="3"/>
      <c r="P3" s="3"/>
      <c r="Q3" s="153"/>
      <c r="R3" s="153"/>
      <c r="S3" s="216" t="e">
        <f>N7+J14</f>
        <v>#VALUE!</v>
      </c>
      <c r="T3" s="216"/>
      <c r="U3" s="153"/>
      <c r="V3" s="153"/>
      <c r="W3" s="153"/>
      <c r="AA3" s="1">
        <f>273000/5</f>
        <v>54600</v>
      </c>
    </row>
    <row r="4" spans="1:27" ht="15.75" customHeight="1" x14ac:dyDescent="0.3">
      <c r="B4" s="215"/>
      <c r="C4" s="214"/>
      <c r="D4" s="214"/>
      <c r="E4" s="214"/>
      <c r="F4" s="214"/>
      <c r="G4" s="214"/>
      <c r="H4" s="214"/>
      <c r="I4" s="214"/>
      <c r="J4" s="214"/>
      <c r="K4" s="214"/>
      <c r="L4" s="214"/>
      <c r="M4" s="214"/>
      <c r="N4" s="213"/>
      <c r="O4" s="212" t="s">
        <v>0</v>
      </c>
      <c r="P4" s="212"/>
      <c r="Q4" s="210"/>
      <c r="R4" s="210"/>
      <c r="S4" s="211"/>
      <c r="T4" s="211"/>
      <c r="U4" s="210" t="s">
        <v>1</v>
      </c>
      <c r="V4" s="210" t="s">
        <v>2</v>
      </c>
      <c r="W4" s="210" t="s">
        <v>3</v>
      </c>
    </row>
    <row r="5" spans="1:27" ht="25.2" thickBot="1" x14ac:dyDescent="0.45">
      <c r="B5" s="17"/>
      <c r="C5" s="18" t="str">
        <f>IF(D5="MIG09","Mirage G09",IF(D5="MIG10","MirageG10",IF(D5="H16","Attrage H16",IF(D5="P16","Attrage P16",IF(D5="H17","Attrage H17",IF(D5="H48","ASX H48",IF(D5="H43","ASX H43",IF(D5="H40","ASX H40",IF(D5="H42","ASX H42",IF(D5="H44","ASX H44",IF(D5="H45","ASX H45",IF(D5="H38","Eclipse H38",IF(D5="H37","Eclipse H37",IF(D5="EH40","Eclipse H40",IF(D5="EH43","Eclipse H43",IF(D5="XPML","Xpander ML",IF(D5="ML","Destinator ML",IF(D5="HL","Destinator HL",IF(D5="PR","Destinator PR",IF(D5="MLP","Destinator MLP",IF(D5="HLP","Destinator HLP",IF(D5="PRP","Destinator PRP",IF(D5="XPHL","Xpander HL",IF(D5="XPMLP","Xpander ML P",IF(D5="XPMLP-01","Xpander ML P-01",IF(D5="XC","Xpander Cross",IF(D5="G03","Outlander G03",IF(D5="P03","Outlander P03",IF(D5="G06","Outlander G06",IF(D5="P06","Outlander P06",IF(D5="OTP06-01","Outlander P06-01",IF(D5="G08","Outlander G08",IF(D5="P08","Outlander P08",IF(D5="H57","Montero H57",IF(D5="P57","Montero P57",IF(D5="H64","Montero G64",IF(D5="H59","Montero G59",IF(D5="P59","Montero G59 P",IF(D5="H61","Montero G61",IF(D5="P61","Montero P61",IF(D5="G10","Outlander G10",IF(D5="P10","Outlander P10",IF(D5="G12","Outlander G12",IF(D5="P12","Outlander P12",IF(D5="G05","Outlander G05",IF(D5="P05","Outlander P05",IF(D5="G09","Outlander G09",IF(D5="P09","Outlander P09",))))))))))))))))))))))))))))))))))))))))))))))))</f>
        <v>Destinator MLP</v>
      </c>
      <c r="D5" s="19" t="s">
        <v>188</v>
      </c>
      <c r="E5" s="20" t="s">
        <v>145</v>
      </c>
      <c r="F5" s="37"/>
      <c r="G5" s="37"/>
      <c r="H5" s="37"/>
      <c r="I5" s="20"/>
      <c r="J5" s="34"/>
      <c r="K5" s="209">
        <v>0</v>
      </c>
      <c r="L5" s="208">
        <v>3.39E-2</v>
      </c>
      <c r="M5" s="208">
        <v>6.7799999999999999E-2</v>
      </c>
      <c r="N5" s="208">
        <v>0.1017</v>
      </c>
      <c r="O5" s="147">
        <f>K7+K14</f>
        <v>10639.132904345</v>
      </c>
      <c r="S5" s="186"/>
      <c r="U5" s="186">
        <f>L7+L14</f>
        <v>4392.5282670845836</v>
      </c>
      <c r="V5" s="186">
        <f>M7+M14</f>
        <v>2970.3706883824998</v>
      </c>
      <c r="W5" s="186">
        <f>N7+N14</f>
        <v>2088.0395837512501</v>
      </c>
    </row>
    <row r="6" spans="1:27" s="5" customFormat="1" ht="99" thickBot="1" x14ac:dyDescent="0.35">
      <c r="A6" s="4" t="s">
        <v>4</v>
      </c>
      <c r="B6" s="26" t="s">
        <v>5</v>
      </c>
      <c r="C6" s="27" t="s">
        <v>6</v>
      </c>
      <c r="D6" s="27" t="s">
        <v>144</v>
      </c>
      <c r="E6" s="27" t="s">
        <v>7</v>
      </c>
      <c r="F6" s="27" t="s">
        <v>8</v>
      </c>
      <c r="G6" s="28" t="s">
        <v>9</v>
      </c>
      <c r="H6" s="28" t="s">
        <v>143</v>
      </c>
      <c r="I6" s="28" t="s">
        <v>10</v>
      </c>
      <c r="J6" s="28" t="s">
        <v>142</v>
      </c>
      <c r="K6" s="28" t="s">
        <v>11</v>
      </c>
      <c r="L6" s="28" t="s">
        <v>12</v>
      </c>
      <c r="M6" s="28" t="s">
        <v>13</v>
      </c>
      <c r="N6" s="28" t="s">
        <v>14</v>
      </c>
      <c r="O6" s="207"/>
      <c r="P6" s="206"/>
      <c r="T6" s="205"/>
      <c r="U6" s="205">
        <f>N7+L14</f>
        <v>3470.7327937512505</v>
      </c>
      <c r="V6" s="205">
        <f>N7+K14</f>
        <v>8565.0930893450004</v>
      </c>
      <c r="W6" s="205" t="e">
        <f>N7+J14</f>
        <v>#VALUE!</v>
      </c>
    </row>
    <row r="7" spans="1:27" ht="25.2" thickBot="1" x14ac:dyDescent="0.45">
      <c r="A7" s="6">
        <f>B8</f>
        <v>80900</v>
      </c>
      <c r="B7" s="29">
        <f>IF(L20="YES",C8*1,IF(L20="NO",B8*1))</f>
        <v>80900</v>
      </c>
      <c r="C7" s="29">
        <f>B7*5/100</f>
        <v>4045</v>
      </c>
      <c r="D7" s="203">
        <f>B7+C7</f>
        <v>84945</v>
      </c>
      <c r="E7" s="29">
        <f>D17</f>
        <v>18191.990750000001</v>
      </c>
      <c r="F7" s="29">
        <f>(C7)+(D10+D11+D12+D13+D16)*5/100</f>
        <v>4610</v>
      </c>
      <c r="G7" s="30">
        <f>B7+E7+F7</f>
        <v>103701.99075</v>
      </c>
      <c r="H7" s="29">
        <f>G7*D20</f>
        <v>20740.398150000001</v>
      </c>
      <c r="I7" s="30">
        <f>(G7-H7)</f>
        <v>82961.592600000004</v>
      </c>
      <c r="J7" s="30">
        <f>(((I7*D19)*1)+I7)/12</f>
        <v>7182.399879345001</v>
      </c>
      <c r="K7" s="30">
        <f>(((I7*D19)*2)+I7)/24</f>
        <v>3725.666854345</v>
      </c>
      <c r="L7" s="30">
        <f>(((I7*D19)*3)+I7)/36</f>
        <v>2573.4225126783331</v>
      </c>
      <c r="M7" s="30">
        <f>(((I7*D19)*4)+I7)/48</f>
        <v>1997.300341845</v>
      </c>
      <c r="N7" s="30">
        <f>((((I7*D19)*5)+I7)/60)</f>
        <v>1651.6270393450002</v>
      </c>
      <c r="O7" s="147"/>
      <c r="P7" s="2">
        <f>H7+H16</f>
        <v>21611.494872300002</v>
      </c>
      <c r="T7" s="186">
        <f>25973/2</f>
        <v>12986.5</v>
      </c>
    </row>
    <row r="8" spans="1:27" ht="24.6" x14ac:dyDescent="0.4">
      <c r="A8" s="7">
        <v>0.2</v>
      </c>
      <c r="B8" s="31">
        <f>IF(D5="MIG09",39900,IF(D5="MIG10",41900,IF(D5="H16",41900,IF(D5="P16",47400,IF(D5="H17",47900,IF(D5="H48",67900,IF(D5="H43",70900,IF(D5="H40",72900,IF(D5="H42",74900,IF(D5="H44",73900,IF(D5="H45",79900,IF(D5="H38",86900,IF(D5="H37",79900,IF(D5="EH40",99900,IF(D5="EH43",106900,IF(D5="ML",71900,IF(D5="HL",83900,IF(D5="PR",95900,IF(D5="MLP",80900,IF(D5="HLP",91900,IF(D5="PRP",102900,IF(D5="XPML",69900,IF(D5="XPHL",71000,IF(D5="XPMLP",75900,IF(D5="XPMLP-01",77800,IF(D5="XC",84900,IF(D5="G10",81900,IF(D5="P10",93900,IF(D5="G12",97900,IF(D5="P12",105900,IF(D5="G05",104900,IF(D5="P05",105900,IF(D5="G03",92900,IF(D5="P03",100900,IF(D5="G06",109900,IF(D5="P06",114900,IF(D5="OTP06-01",118900,IF(D5="G08",125900,IF(D5="P08",132900,IF(D5="OTP06-01",109900,IF(D5="G09",129900,IF(D5="P09",134900,IF(D5="H57",105900,IF(D5="P57",113900,IF(D5="H64",116900,IF(D5="H59",127900,IF(D5="P59",134900,IF(D5="H61",134900,IF(D5="P61",138900)))))))))))))))))))))))))))))))))))))))))))))))))</f>
        <v>80900</v>
      </c>
      <c r="C8" s="32">
        <f>IF(L20="YES",N20,IF(L20="NO",N20))</f>
        <v>80900</v>
      </c>
      <c r="D8" s="29">
        <v>0</v>
      </c>
      <c r="E8" s="33"/>
      <c r="F8" s="139"/>
      <c r="G8" s="140"/>
      <c r="H8" s="110">
        <f>G7*20/100</f>
        <v>20740.398150000001</v>
      </c>
      <c r="I8" s="34"/>
      <c r="J8" s="34" t="s">
        <v>15</v>
      </c>
      <c r="K8" s="34">
        <f>(I7*K5+I7)/24</f>
        <v>3456.733025</v>
      </c>
      <c r="L8" s="34">
        <f>(I7*L5+I7)/36</f>
        <v>2382.6108496983334</v>
      </c>
      <c r="M8" s="34">
        <f>(I7*M5+I7)/48</f>
        <v>1845.5497620475001</v>
      </c>
      <c r="N8" s="34">
        <f>(I7*N5+I7)/60</f>
        <v>1523.3131094570001</v>
      </c>
      <c r="O8" s="147">
        <v>0</v>
      </c>
      <c r="P8" s="2">
        <f>P7/12</f>
        <v>1800.9579060250001</v>
      </c>
      <c r="T8" s="1">
        <f>25973-12973</f>
        <v>13000</v>
      </c>
    </row>
    <row r="9" spans="1:27" ht="24.6" x14ac:dyDescent="0.4">
      <c r="A9" s="8">
        <f>B8/(100%-A8)</f>
        <v>101125</v>
      </c>
      <c r="B9" s="109">
        <f>B7-B8</f>
        <v>0</v>
      </c>
      <c r="C9" s="109"/>
      <c r="D9" s="36"/>
      <c r="E9" s="33"/>
      <c r="F9" s="139"/>
      <c r="G9" s="140"/>
      <c r="H9" s="33"/>
      <c r="I9" s="37" t="s">
        <v>16</v>
      </c>
      <c r="J9" s="38">
        <f>(J7*12)-I7</f>
        <v>3227.2059521400079</v>
      </c>
      <c r="K9" s="38">
        <f>(K7*24)-I7</f>
        <v>6454.4119042800012</v>
      </c>
      <c r="L9" s="38">
        <f>(L7*36)-I7</f>
        <v>9681.6178564199945</v>
      </c>
      <c r="M9" s="38">
        <f>(M7*48)-I7</f>
        <v>12908.823808560002</v>
      </c>
      <c r="N9" s="38">
        <f>(N7*60)-I7</f>
        <v>16136.02976070001</v>
      </c>
      <c r="O9" s="147"/>
      <c r="T9" s="1">
        <f>T8/12</f>
        <v>1083.3333333333333</v>
      </c>
      <c r="Z9" s="1" t="s">
        <v>86</v>
      </c>
    </row>
    <row r="10" spans="1:27" ht="24.6" x14ac:dyDescent="0.4">
      <c r="A10" s="8"/>
      <c r="B10" s="37" t="s">
        <v>141</v>
      </c>
      <c r="C10" s="20" t="s">
        <v>17</v>
      </c>
      <c r="D10" s="36">
        <f>IF(C10="YES",700,IF(C10="NO",0))</f>
        <v>0</v>
      </c>
      <c r="E10" s="39"/>
      <c r="F10" s="40"/>
      <c r="G10" s="40"/>
      <c r="H10" s="33"/>
      <c r="I10" s="44" t="s">
        <v>85</v>
      </c>
      <c r="J10" s="117" t="s">
        <v>19</v>
      </c>
      <c r="K10" s="117">
        <f>IF(J10="YES",Z10,IF(J10="NO",0))</f>
        <v>1000</v>
      </c>
      <c r="L10" s="41">
        <f>(L8*36)-I7</f>
        <v>2812.397989139994</v>
      </c>
      <c r="M10" s="41">
        <f>(M8*48)-I7</f>
        <v>5624.7959782800026</v>
      </c>
      <c r="N10" s="41">
        <f>(N8*60)-I7</f>
        <v>8437.1939674199966</v>
      </c>
      <c r="O10" s="147">
        <f>IF(D5="XC",3690,IF(D5="XPML",3690,IF(D5="XPHL",3690,IF(D5="XPMLP",3690,IF(D5="XPMLP-01",3690,IF(D5="Xpander P",3690,IF(D5="ML",3690,IF(D5="HL",3690,IF(D5="PR",(U19*3/100+510)*1.05,IF(D5="MLP",3690,IF(D5="HLP",(U19*3/100+510)*1.05,IF(D5="PRP",(U19*3/100+510)*1.05,IF(D5="H57",(U19*2.75/100+510)*1.05,IF(D5="P57",(U19*2.75/100+510)*1.05,IF(D5="H64",(U19*2.75/100+510)*1.05,IF(D5="H59",(U19*2.75/100+510)*1.05,IF(D5="P59",(U19*2.75/100+510)*1.05,IF(D5="H61",(U19*2.75/100+510)*1.05,IF(D5="P61",(U19*2.75/100+510)*1.05,IF(D5="G03",(U19*3/100+510)*1.05,IF(D5="G10",(U19*3/100+510)*1.05,IF(D5="P10",(U19*3/100+510)*1.05,IF(D5="G12",(U19*3/100+510)*1.05,IF(D5="P12",(U19*3/100+510)*1.05,IF(D5="G05",(U19*3/100+510)*1.05,IF(D5="P05",(U19*3/100+510)*1.05,IF(D5="P03",(U19*3/100+510)*1.05,IF(D5="G06",(U19*3/100+510)*1.05,IF(D5="P06",(U19*3/100+510)*1.05,IF(D5="OTP06-01",(U19*3/100+510)*1.05,IF(D5="G08",(U19*3/100+510)*1.05,IF(D5="P08",(U19*3/100+510)*1.05,IF(D5="G09",(U19*3/100+510)*1.05,IF(D5="P09",(U19*3/100+510)*1.05,IF(D5="H38",3625,IF(D5="H37",3625,IF(D5="EH40",(U19*3/100+450)*1.05,IF(D5="EH43",(U19*3/100+450)*1.05,IF(D5="H48",3625,IF(D5="H43",3625,IF(D5="H40",3625,IF(D5="H42",3625,IF(D5="H44",3625,IF(D5="H45",3625,IF(D5="ASX HL 4WD",3625,IF(D5="H16",3625,IF(D5="H17",3625,IF(D5="P16",3625,IF(D5="Attrage S",3625,IF(D5="MIG09",3625,IF(D5="MIG10",3625,IF(D5="Xpander HL",3690))))))))))))))))))))))))))))))))))))))))))))))))))))</f>
        <v>3690</v>
      </c>
      <c r="P10" s="204"/>
      <c r="Q10" s="204">
        <f>5.25*3</f>
        <v>15.75</v>
      </c>
      <c r="Z10" s="1">
        <f>IF(D5="MIG09",1000,IF(D5="MIG10",1000,IF(D5="H16",1000,IF(D5="P16",1000,IF(D5="H17",1000,IF(D5="H48",1000,IF(D5="H43",1000,IF(D5="H40",1000,IF(D5="H42",1000,IF(D5="H44",1000,IF(D5="H45",1000,IF(D5="H38",1000,IF(D5="H37",1000,IF(D5="EH40",1000,IF(D5="EH43",1000,IF(D5="ML",1000,IF(D5="HL",1000,IF(D5="PR",1000,IF(D5="MLP",1000,IF(D5="HLP",1000,IF(D5="PRP",1000,IF(D5="XPML",1000,IF(D5="XPHL",1000,IF(D5="XPMLP",1000,IF(D5="XPMLP-01",1000,IF(D5="XC",1000,IF(D5="G10",1000,IF(D5="P10",1000,IF(D5="G12",1000,IF(D5="P12",1000,IF(D5="G05",1000,IF(D5="P05",1000,IF(D5="G03",1000,IF(D5="P03",1000,IF(D5="G06",1000,IF(D5="P06",1000,IF(D5="OTP06-01",1000,IF(D5="G08",1000,IF(D5="P08",1000,IF(D5="OTP06-01",1000,IF(D5="G09",1000,IF(D5="P09",1000,IF(D5="H57",1000,IF(D5="P57",1000,IF(D5="H64",1000,IF(D5="H59",1000,IF(D5="P59",1000,IF(D5="H61",1000,IF(D5="P61",1000)))))))))))))))))))))))))))))))))))))))))))))))))</f>
        <v>1000</v>
      </c>
    </row>
    <row r="11" spans="1:27" ht="24.6" x14ac:dyDescent="0.4">
      <c r="A11" s="8"/>
      <c r="B11" s="37" t="s">
        <v>18</v>
      </c>
      <c r="C11" s="20" t="s">
        <v>19</v>
      </c>
      <c r="D11" s="203">
        <f>IF(C11="YES",O17,IF(C11="NO",0))</f>
        <v>2700</v>
      </c>
      <c r="E11" s="39"/>
      <c r="F11" s="40"/>
      <c r="G11" s="40"/>
      <c r="H11" s="33"/>
      <c r="I11" s="33"/>
      <c r="J11" s="44" t="s">
        <v>76</v>
      </c>
      <c r="K11" s="44">
        <f>H8-K10</f>
        <v>19740.398150000001</v>
      </c>
      <c r="L11" s="37"/>
      <c r="M11" s="37"/>
      <c r="N11" s="38"/>
      <c r="O11" s="147">
        <f>IF(D5="XC",6100,IF(D5="XPML",6100,IF(D5="XPHL",6100,IF(D5="XPMLP",6100,IF(D5="XPMLP-01",6100,IF(D5="Xpander P",6100,IF(D5="ML",6600,IF(D5="HL",6600,IF(D5="PR",6600,IF(D5="MLP",6600,IF(D5="HLP",6600,IF(D5="PRP",6600,IF(D5="H57",5900,IF(D5="P57",5900,IF(D5="H64",5900,IF(D5="H59",5900,IF(D5="P59",5900,IF(D5="H61",5900,IF(D5="P61",5900,IF(D5="G03",6700,IF(D5="G10",6700,IF(D5="P10",6700,IF(D5="G12",6700,IF(D5="P12",6700,IF(D5="G05",6700,IF(D5="P05",6700,IF(D5="P03",6700,IF(D5="G06",6700,IF(D5="P06",6700,IF(D5="OTP06-01",6700,IF(D5="G08",6700,IF(D5="G09",6700,IF(D5="G08",6700,IF(D5="P08",6700,IF(D5="P09",6700,IF(D5="H37",6400,IF(D5="H38",6400,IF(D5="EH40",6400,IF(D5="EH43",6400,IF(D5="H48",6600,IF(D5="H43",6600,IF(D5="H40",6600,IF(D5="H42",6600,IF(D5="H44",6600,IF(D5="H45",6600,IF(D5="ASX HL 4WD",6600,IF(D5="H16",5400,IF(D5="H17",5400,IF(D5="P16",5400,IF(D5="Attrage S",5400,IF(D5="MIG09",5400,IF(D5="MIG10",5400,IF(D5="Xpander HL",6000)))))))))))))))))))))))))))))))))))))))))))))))))))))</f>
        <v>6600</v>
      </c>
      <c r="P11" s="147"/>
      <c r="Q11" s="147"/>
      <c r="R11" s="147"/>
      <c r="S11" s="147"/>
      <c r="T11" s="147"/>
      <c r="U11" s="147">
        <f>IF(D5="XC",4900,IF(D5="XPML",4900,IF(D5="XPHL",4900,IF(D5="XPMLP",4900,IF(D5="XPMLP-01",4900,IF(D5="Xpander P",4900,IF(D5="ML",5400,IF(D5="HL",5400,IF(D5="PR",5400,IF(D5="MLP",5400,IF(D5="HLP",5400,IF(D5="PRP",5400,IF(D5="H57",4600,IF(D5="P57",4600,IF(D5="MOG64",4600,IF(D5="H59",4600,IF(D5="P59",4600,IF(D5="H61",4600,IF(D5="P61",4600,IF(D5="G03",5500,IF(D5="P03",5500,IF(D5="G10",5500,IF(D5="P10",5500,IF(D5="G12",5500,IF(D5="P12",5500,IF(D5="G05",5500,IF(D5="P05",5500,IF(D5="G06",5500,IF(D5="P06",5500,IF(D5="OTP06-01",5500,IF(D5="F08",5500,IF(D5="P08",5500,IF(D5="G09",5500,IF(D5="P09",5500,IF(D5="H38",5200,IF(D5="H37",5200,IF(D5="EH40",5200,IF(D5="EH43",5200,IF(D5="H48",5300,IF(D5="H43",5300,IF(D5="H40",5300,IF(D5="H42",5300,IF(D5="H44",5300,IF(D5="H45",5300,IF(D5="ASX HL",5300,IF(D5="ASX P",5300,IF(D5="ASX HL 4WD",5300,IF(D5="H16",4200,IF(D5="H17",4200,IF(D5="P16",4200,IF(D5="Attrage S",4200,IF(D5="MIG09",4200,IF(D5="MIG10",4200,IF(D5="Xpander HL",4900))))))))))))))))))))))))))))))))))))))))))))))))))))))</f>
        <v>5400</v>
      </c>
      <c r="V11" s="147">
        <f>IF(D5="XC",9700,IF(D5="XPML",9700,IF(D5="XPHL",9700,IF(D5="XPMLP",9700,IF(D5="XPMLP-01",9700,IF(D5="XPMLP-01",9700,IF(D5="Xpander P",9700,IF(D5="ML",10800,IF(D5="HL",10800,IF(D5="PR",10800,IF(D5="MLP",10800,IF(D5="HLP",10800,IF(D5="PRP",10800,IF(D5="H57",9300,IF(D5="P57",9300,IF(D5="MG64",9300,IF(D5="H59",9300,IF(D5="P59",9300,IF(D5="H61",9300,IF(D5="P61",9300,IF(D5="G03",11000,IF(D5="G10",11000,IF(D5="P10",11000,IF(D5="G12",11000,IF(D5="P12",11000,IF(D5="G05",11000,IF(D5="P05",11000,IF(D5="P03",11000,IF(D5="G06",11000,IF(D5="P06",11000,IF(D5="OTP06-01",11000,IF(D5="G08",11000,IF(D5="P08",11000,IF(D5="G09",11000,IF(D5="P09",11000,IF(D5="H38",10400,IF(D5="H37",10400,IF(D5="EH40",10400,IF(D5="EH43",10400,IF(D5="H48",10700,IF(D5="H43",10700,IF(D5="H40",10700,IF(D5="H42",10700,IF(D5="H44",10800,IF(D5="H45",10800,IF(D5="ASX HL",12200,IF(D5="ASX P",12200,IF(D5="ASX HL 4WD",12200,IF(D5="H16",8500,IF(D5="H17",8500,IF(D5="P16",8500,IF(D5="Attrage S",9600,IF(D5="MIG09",8500,IF(D5="MIG10",8500,IF(D5="Xpander HL",11300)))))))))))))))))))))))))))))))))))))))))))))))))))))))</f>
        <v>10800</v>
      </c>
      <c r="W11" s="147">
        <f>IF(D5="XC",9200,IF(D5="XPML",9200,IF(D5="XPHL",9200,IF(D5="XPMLP",9200,IF(D5="XPMLP-01",9200,IF(D5="Xpander P",9200,IF(D5="ML",10000,IF(D5="HL",10000,IF(D5="PR",10000,IF(D5="MLP",10000,IF(D5="HLP",10000,IF(D5="PRP",10000,IF(D5="H57",8700,IF(D5="P57",8700,IF(D5="H64",8700,IF(D5="H59",8700,IF(D5="P59",8700,IF(D5="H61",8700,IF(D5="P61",8700,IF(D5="G03",10400,IF(D5="P03",10400,IF(D5="G10",10400,IF(D5="P10",10400,IF(D5="G12",10400,IF(D5="P12",10400,IF(D5="G05",10400,IF(D5="P05",10400,IF(D5="G06",10400,IF(D5="P06",10400,IF(D5="OTP06-01",10400,IF(D5="G08",10400,IF(D5="P08",10400,IF(D5="G09",10400,IF(D5="P09",10400,IF(D5="H38",9800,IF(D5="H37",9800,IF(D5="EH40",9800,IF(D5="EH43",9800,IF(D5="H48",10100,IF(D5="H43",10100,IF(D5="H40",10100,IF(D5="H42",10100,IF(D5="H44",10100,IF(D5="H45",10100,IF(D5="ASX HL",10100,IF(D5="ASX P",10100,IF(D5="ASX HL 4WD",10100,IF(D5="H16",7900,IF(D5="H17",7900,IF(D5="P16",7900,IF(D5="Attrage S",7900,IF(D5="MIG09",7900,IF(D5="MIG10",7900,IF(D5="Xpander HL",9200))))))))))))))))))))))))))))))))))))))))))))))))))))))</f>
        <v>10000</v>
      </c>
      <c r="X11" s="147">
        <f>IF(D5="XC",4500,IF(D5="XPML",4500,IF(D5="XPHL",4500,IF(D5="XPMLP",4500,IF(D5="XPMLP-01",4500,IF(D5="Xpander P",4500,IF(D5="ML",5000,IF(D5="HL",5000,IF(D5="PR",5000,IF(D5="MLP",5000,IF(D5="HLP",5000,IF(D5="PRP",5000,IF(D5="H57",8700,IF(D5="P57",8700,IF(D5="MOG64",4300,IF(D5="H59",4300,IF(D5="P59",4300,IF(D5="H61",4300,IF(D5="P61",4300,IF(D5="G03",5000,IF(D5="P03",5000,IF(D5="G10",5000,IF(D5="P10",5000,IF(D5="G12",5000,IF(D5="P12",5000,IF(D5="G05",5000,IF(D5="P05",5000,IF(D5="G06",5000,IF(D5="P06",5000,IF(D5="OTP06-01",5000,IF(D5="G08",5000,IF(D5="P08",5000,IF(D5="G09",5000,IF(D5="P09",5000,IF(D5="H38",4900,IF(D5="H37",4900,IF(D5="EH40",4900,IF(D5="EH43",4900,IF(D5="H48",4900,IF(D5="H43",4900,IF(D5="H40",4900,IF(D5="H42",4900,IF(D5="H44",4900,IF(D5="H45",4900,IF(D5="ASX HL",4900,IF(D5="ASX P",4900,IF(D5="ASX HL 4WD",4900,IF(D5="H16",3700,IF(D5="H17",3700,IF(D5="P16",3700,IF(D5="Attrage S",3700,IF(D5="MIG09",3700,IF(D5="MIG10",3700,IF(D5="Xpander HL",4500))))))))))))))))))))))))))))))))))))))))))))))))))))))</f>
        <v>5000</v>
      </c>
      <c r="Y11" s="147">
        <f>IF(D5="XC",5400,IF(D5="XPML ",5400,IF(D5="XPHL",5400,IF(D5="XPMLP",5400,IF(D5="XPMLP-01",5400,IF(D5="Xpander P",5400,IF(D5="ML",6000,IF(D5="HL",6000,IF(D5="PR",6000,IF(D5="MLP",6000,IF(D5="HLP",6000,IF(D5="PRP",6000,IF(D5="H57",5200,IF(D5="57",5200,IF(D5="H64",5200,IF(D5="H59",5200,IF(D5="P59",5200,IF(D5="H61",5200,IF(D5="P61",5200,IF(D5="G03",6000,IF(D5="P03",6000,IF(D5="G10",6000,IF(D5="P10",6000,IF(D5="G12",6000,IF(D5="P12",6000,IF(D5="G05",6000,IF(D5="P05",6000,IF(D5="G06",6000,IF(D5="P06",6000,IF(D5="OTP06-01",6000,IF(D5="G08",6000,IF(D5="P08",6000,IF(D5="G09",6000,IF(D5="P09",6000,IF(D5="H38",5700,IF(D5="H37",5700,IF(D5="EH40",5700,IF(D5="EH43",5700,IF(D5="H48",5900,IF(D5="H43",5900,IF(D5="H40",5900,IF(D5="H42",5900,IF(D5="H44",5900,IF(D5="H45",5900,IF(D5="ASX HL",5900,IF(D5="ASX P",5900,IF(D5="ASX HL 4WD",5900,IF(D5="H16",4500,IF(D5="H17",4500,IF(D5="P16",4500,IF(D5="Attrage S",4500,IF(D5="MIG09",4500,IF(D5="MIG10",4500,IF(D5="Xpander HL",5400))))))))))))))))))))))))))))))))))))))))))))))))))))))</f>
        <v>6000</v>
      </c>
    </row>
    <row r="12" spans="1:27" ht="24.6" x14ac:dyDescent="0.4">
      <c r="A12" s="8"/>
      <c r="B12" s="37" t="s">
        <v>20</v>
      </c>
      <c r="C12" s="20" t="s">
        <v>17</v>
      </c>
      <c r="D12" s="36">
        <f>IF(C12="YES",2000,IF(C12="NO",0))</f>
        <v>0</v>
      </c>
      <c r="E12" s="43"/>
      <c r="F12" s="43" t="s">
        <v>21</v>
      </c>
      <c r="G12" s="40"/>
      <c r="H12" s="33">
        <v>600</v>
      </c>
      <c r="I12" s="33"/>
      <c r="J12" s="202" t="s">
        <v>140</v>
      </c>
      <c r="K12" s="45">
        <v>0</v>
      </c>
      <c r="L12" s="45">
        <v>5.2499999999999998E-2</v>
      </c>
      <c r="M12" s="45">
        <v>0.126</v>
      </c>
      <c r="N12" s="201">
        <v>0.26250000000000001</v>
      </c>
      <c r="O12" s="147">
        <f>IF(K20="Esaad",B8*3/100,IF(K20="Emirates Platinum",B8*3/100,IF(K20="Fazaa",B8*3/100,IF(K20="Humat Alwatan",B8*3/100,IF(K20="Permissible",2000,IF(K20="ASX",8400,IF(K20="XPMLP",15100,IF(K20="XP",7200,IF(K20="G43",11000,IF(K20="EC",17000,IF(K20="G37",17000,IF(K20="G38",15000,IF(K20="G40",11000,IF(K20="OUT",3000,IF(K20="F08",14400,IF(K20="P08",11100,IF(K20="F06",13100,IF(K20="P06",13400,IF(K20="F03",3500,IF(K20="F03-1",13500,IF(K20="P03",13100,IF(K20="MON",10000,IF(K20="MON G57",9000,0)))))))))))))))))))))))</f>
        <v>2000</v>
      </c>
      <c r="Z12" s="86" t="s">
        <v>83</v>
      </c>
      <c r="AA12" s="86" t="s">
        <v>84</v>
      </c>
    </row>
    <row r="13" spans="1:27" ht="24.6" x14ac:dyDescent="0.4">
      <c r="A13" s="8">
        <f>B8*1.26582</f>
        <v>102404.83799999999</v>
      </c>
      <c r="B13" s="37" t="s">
        <v>23</v>
      </c>
      <c r="C13" s="20" t="s">
        <v>19</v>
      </c>
      <c r="D13" s="36">
        <f>IF(C13="YES",2000,IF(C13="NO",0))</f>
        <v>2000</v>
      </c>
      <c r="E13" s="47"/>
      <c r="F13" s="47" t="s">
        <v>75</v>
      </c>
      <c r="G13" s="51"/>
      <c r="H13" s="39">
        <v>315</v>
      </c>
      <c r="I13" s="33"/>
      <c r="J13" s="44" t="s">
        <v>54</v>
      </c>
      <c r="K13" s="29" t="s">
        <v>79</v>
      </c>
      <c r="L13" s="29" t="s">
        <v>25</v>
      </c>
      <c r="M13" s="29" t="s">
        <v>0</v>
      </c>
      <c r="N13" s="57" t="s">
        <v>26</v>
      </c>
      <c r="O13" s="9">
        <f>IF(M21="3000-4999",6%,IF(M21="5000-9999",4.75%,IF(M21="10000-14999",3.15%,IF(M21="15000-24999",2.5%,IF(M21="25000-34999",2.25%,IF(M21="35000-99999",2.15%))))))</f>
        <v>4.7500000000000001E-2</v>
      </c>
      <c r="Q13" s="2">
        <f>H7/12</f>
        <v>1728.3665125</v>
      </c>
      <c r="U13" s="9">
        <f>IF(M21="3000-4999",6%,IF(M21="5000-9999",3.25%,IF(M21="10000-14999",3%,IF(M21="15000-24999",2.25%,IF(M21="25000-34999",2.15%,IF(M21="35000-99999",1.99%))))))</f>
        <v>3.2500000000000001E-2</v>
      </c>
      <c r="Z13" s="99">
        <f>IF(M21="5000-9999",2.49%,IF(M21="10000-19999",2.19%,IF(M21="20000-34999",2.09%,IF(M21="35000-49999",1.89%,IF(M21="50000-99999",1.79%)))))</f>
        <v>2.4900000000000002E-2</v>
      </c>
      <c r="AA13" s="99">
        <f>IF(M21="5000-9999",2.59%,IF(M21="10000-19999",2.29%,IF(M21="20000-34999",2.19%,IF(M21="35000-49999",1.99%,IF(M21="50000-99999",1.89%)))))</f>
        <v>2.5899999999999999E-2</v>
      </c>
    </row>
    <row r="14" spans="1:27" ht="24.6" x14ac:dyDescent="0.4">
      <c r="A14" s="10" t="s">
        <v>27</v>
      </c>
      <c r="B14" s="37" t="s">
        <v>24</v>
      </c>
      <c r="C14" s="20" t="s">
        <v>19</v>
      </c>
      <c r="D14" s="50">
        <f>IF(C14="YES",U19*3.15*1.05/100,IF(C14="NO",U19*0/100))</f>
        <v>3201.9907499999999</v>
      </c>
      <c r="E14" s="48"/>
      <c r="F14" s="48" t="s">
        <v>24</v>
      </c>
      <c r="G14" s="51" t="s">
        <v>17</v>
      </c>
      <c r="H14" s="39">
        <f>IF(G14="YES",U19*3.15*1.05/100,IF(G14="NO",U19*0/100))</f>
        <v>0</v>
      </c>
      <c r="I14" s="33"/>
      <c r="J14" s="44" t="s">
        <v>55</v>
      </c>
      <c r="K14" s="44">
        <f>(H8*K12+H8)/3</f>
        <v>6913.46605</v>
      </c>
      <c r="L14" s="44">
        <f>(H8*L12+H8)/12</f>
        <v>1819.1057544062503</v>
      </c>
      <c r="M14" s="44">
        <f>(H8*M12+H8)/24</f>
        <v>973.07034653749997</v>
      </c>
      <c r="N14" s="200">
        <f>(H7*N12+H7)/60</f>
        <v>436.41254440625005</v>
      </c>
      <c r="O14" s="9">
        <f>IF(M21="3000-4999",3.89%,IF(M21="5000-9999",3.89%,IF(M21="10000-14999",3.89%,IF(M21="15000-24999",2.69%,IF(M21="25000-34999",2.69%,IF(M21="35000-99999",2.39%,IF(M21="76000-99999",2.5%)))))))</f>
        <v>3.8900000000000004E-2</v>
      </c>
    </row>
    <row r="15" spans="1:27" ht="24.6" x14ac:dyDescent="0.4">
      <c r="A15" s="11">
        <f>(B7*3%)+10+120</f>
        <v>2557</v>
      </c>
      <c r="B15" s="37" t="s">
        <v>28</v>
      </c>
      <c r="C15" s="20" t="s">
        <v>19</v>
      </c>
      <c r="D15" s="29">
        <f>IF(C15="YES",O10,IF(C15="NO",0))</f>
        <v>3690</v>
      </c>
      <c r="E15" s="48"/>
      <c r="F15" s="48" t="s">
        <v>53</v>
      </c>
      <c r="G15" s="51" t="s">
        <v>17</v>
      </c>
      <c r="H15" s="39">
        <f>IF(G15="YES",O10,IF(G15="NO",0))</f>
        <v>0</v>
      </c>
      <c r="I15" s="33"/>
      <c r="J15" s="44"/>
      <c r="K15" s="44"/>
      <c r="L15" s="44"/>
      <c r="M15" s="44"/>
      <c r="N15" s="198"/>
      <c r="O15" s="9" t="b">
        <f>IF(M21="3000-4999",4.99%, IF(M21="5000-11999",2.75%,IF(M21="12000-19999",2.75%,IF(M21="20000-39999",2.25%,IF(M21="40000-69999",2.25%,IF(M21="70000-99999",2.25%))))))</f>
        <v>0</v>
      </c>
      <c r="P15" s="191"/>
    </row>
    <row r="16" spans="1:27" ht="24.6" x14ac:dyDescent="0.4">
      <c r="A16" s="11">
        <f>((B7-B8)*3%+10+120)</f>
        <v>130</v>
      </c>
      <c r="B16" s="37" t="s">
        <v>78</v>
      </c>
      <c r="C16" s="20" t="s">
        <v>19</v>
      </c>
      <c r="D16" s="29">
        <f>IF(C16="YES",O16,IF(C16="NO",0))</f>
        <v>6600</v>
      </c>
      <c r="E16" s="47"/>
      <c r="F16" s="47" t="s">
        <v>74</v>
      </c>
      <c r="G16" s="54"/>
      <c r="H16" s="33">
        <f>I7*1.05%</f>
        <v>871.09672230000012</v>
      </c>
      <c r="I16" s="33"/>
      <c r="J16" s="44" t="s">
        <v>16</v>
      </c>
      <c r="K16" s="44">
        <f>(K14*3)-H8</f>
        <v>0</v>
      </c>
      <c r="L16" s="44">
        <f>(L14*12)-H8</f>
        <v>1088.8709028750018</v>
      </c>
      <c r="M16" s="44">
        <f>(M14*24)-H8</f>
        <v>2613.2901668999984</v>
      </c>
      <c r="N16" s="198"/>
      <c r="O16" s="147">
        <f>IF(B16="RMC-10-70KMS",O11,IF(B16="RMC-10-100000KMS",V11,IF(B16="RMC-40-70KMS",U11, IF(B16="RMC-10-40KMS",X11, IF(B16="RMC-10-60KMS",Y11, IF(B16="RMC-40-100000KMS",W11,0))))))</f>
        <v>6600</v>
      </c>
    </row>
    <row r="17" spans="1:23" ht="24.6" x14ac:dyDescent="0.4">
      <c r="A17" s="11">
        <f>A15+A16</f>
        <v>2687</v>
      </c>
      <c r="B17" s="37"/>
      <c r="C17" s="20"/>
      <c r="D17" s="29">
        <f>SUM(D10:D16)</f>
        <v>18191.990750000001</v>
      </c>
      <c r="E17" s="48"/>
      <c r="F17" s="48"/>
      <c r="G17" s="54"/>
      <c r="H17" s="33">
        <f>+SUM(H12:H16)+(H7)</f>
        <v>22526.494872300002</v>
      </c>
      <c r="I17" s="33"/>
      <c r="J17" s="20"/>
      <c r="K17" s="199"/>
      <c r="L17" s="199"/>
      <c r="M17" s="199"/>
      <c r="N17" s="198"/>
      <c r="O17" s="147">
        <f>IF(B11="FO Ceramic+ Intr&amp;Extr CeramicGold WdwTnt",2700,IF(B11="FO Mirror Camera Sensor",2000))</f>
        <v>2700</v>
      </c>
      <c r="T17" s="1">
        <f>19615-791</f>
        <v>18824</v>
      </c>
    </row>
    <row r="18" spans="1:23" ht="24.6" x14ac:dyDescent="0.4">
      <c r="A18" s="12" t="s">
        <v>29</v>
      </c>
      <c r="B18" s="55" t="s">
        <v>30</v>
      </c>
      <c r="C18" s="197"/>
      <c r="D18" s="57">
        <v>0</v>
      </c>
      <c r="E18" s="38"/>
      <c r="F18" s="20"/>
      <c r="G18" s="20"/>
      <c r="H18" s="37"/>
      <c r="I18" s="37"/>
      <c r="J18" s="37"/>
      <c r="K18" s="37"/>
      <c r="L18" s="37"/>
      <c r="M18" s="37"/>
      <c r="N18" s="37"/>
      <c r="O18" s="9" t="b">
        <f>IF(M21="5000-99999",1.99%)</f>
        <v>0</v>
      </c>
      <c r="U18" s="196" t="s">
        <v>52</v>
      </c>
      <c r="V18" s="196" t="s">
        <v>52</v>
      </c>
    </row>
    <row r="19" spans="1:23" ht="24.6" x14ac:dyDescent="0.4">
      <c r="A19" s="11">
        <f>B8*3.15%</f>
        <v>2548.35</v>
      </c>
      <c r="B19" s="58" t="s">
        <v>31</v>
      </c>
      <c r="C19" s="59"/>
      <c r="D19" s="60">
        <f>IF(K21="DIB EXPAT",O13,IF(K21="DIB LOCAL GVH",U13,IF(K21="Emirates NBD",O14,IF(K21="ADCB",O15,IF(K21="ADCB PAY IN 2027",O19,IF(K21="Ajman Bank",O18,IF(K21="SIB STL",Z13,IF(K21="SIB NON STL",AA13,))))))))</f>
        <v>3.8900000000000004E-2</v>
      </c>
      <c r="E19" s="20"/>
      <c r="F19" s="195"/>
      <c r="G19" s="141" t="s">
        <v>73</v>
      </c>
      <c r="H19" s="142"/>
      <c r="I19" s="143"/>
      <c r="J19" s="109">
        <f>(U19*20/100)/365</f>
        <v>53.046575342465751</v>
      </c>
      <c r="K19" s="37"/>
      <c r="L19" s="37"/>
      <c r="M19" s="37"/>
      <c r="N19" s="34">
        <f>D7</f>
        <v>84945</v>
      </c>
      <c r="O19" s="194" t="b">
        <f>IF(M21="5000-11999",3.35%,IF(M21="12000-19999",3.35%,IF(M21="20000-39999",2.85%,IF(M21="40000-69999",2.85%,IF(M21="70000-99999",2.85%)))))</f>
        <v>0</v>
      </c>
      <c r="P19" s="2">
        <f>81400-2500</f>
        <v>78900</v>
      </c>
      <c r="U19" s="193">
        <f>V19</f>
        <v>96810</v>
      </c>
      <c r="V19" s="192">
        <f>(B7+D10+D11+D12+D13+D16)*1.05</f>
        <v>96810</v>
      </c>
    </row>
    <row r="20" spans="1:23" ht="24.6" x14ac:dyDescent="0.4">
      <c r="A20" s="11"/>
      <c r="B20" s="58" t="s">
        <v>32</v>
      </c>
      <c r="C20" s="59"/>
      <c r="D20" s="63">
        <v>0.2</v>
      </c>
      <c r="E20" s="37"/>
      <c r="F20" s="37"/>
      <c r="G20" s="38"/>
      <c r="H20" s="38"/>
      <c r="I20" s="38"/>
      <c r="J20" s="103"/>
      <c r="K20" s="104" t="s">
        <v>33</v>
      </c>
      <c r="L20" s="104" t="s">
        <v>17</v>
      </c>
      <c r="M20" s="104">
        <f>IF(L20="YES",O12,IF(L20="NO",0))</f>
        <v>0</v>
      </c>
      <c r="N20" s="34">
        <f>B8-M20</f>
        <v>80900</v>
      </c>
      <c r="O20" s="187"/>
      <c r="P20" s="191"/>
      <c r="T20" s="1">
        <f>1992+1084</f>
        <v>3076</v>
      </c>
      <c r="U20" s="186"/>
      <c r="V20" s="2"/>
    </row>
    <row r="21" spans="1:23" ht="24.6" x14ac:dyDescent="0.4">
      <c r="A21" s="13">
        <f>A19+A20</f>
        <v>2548.35</v>
      </c>
      <c r="B21" s="37"/>
      <c r="C21" s="20"/>
      <c r="D21" s="37"/>
      <c r="E21" s="37"/>
      <c r="F21" s="37"/>
      <c r="G21" s="37"/>
      <c r="H21" s="37"/>
      <c r="I21" s="37"/>
      <c r="J21" s="190" t="s">
        <v>34</v>
      </c>
      <c r="K21" s="16" t="s">
        <v>139</v>
      </c>
      <c r="L21" s="16" t="s">
        <v>35</v>
      </c>
      <c r="M21" s="189" t="s">
        <v>80</v>
      </c>
      <c r="N21" s="188"/>
      <c r="O21" s="187"/>
      <c r="T21" s="1">
        <f>25973-12973</f>
        <v>13000</v>
      </c>
      <c r="U21" s="186">
        <f>M14+N7</f>
        <v>2624.6973858825004</v>
      </c>
    </row>
    <row r="22" spans="1:23" s="179" customFormat="1" ht="24.6" x14ac:dyDescent="0.4">
      <c r="A22" s="185"/>
      <c r="B22" s="184" t="s">
        <v>51</v>
      </c>
      <c r="C22" s="183"/>
      <c r="D22" s="183"/>
      <c r="E22" s="183"/>
      <c r="F22" s="183"/>
      <c r="G22" s="183"/>
      <c r="H22" s="183"/>
      <c r="I22" s="183"/>
      <c r="J22" s="183"/>
      <c r="K22" s="183"/>
      <c r="L22" s="183"/>
      <c r="M22" s="183"/>
      <c r="N22" s="182"/>
      <c r="O22" s="181"/>
      <c r="P22" s="180"/>
    </row>
    <row r="23" spans="1:23" s="168" customFormat="1" ht="26.4" x14ac:dyDescent="0.5">
      <c r="A23" s="175" t="s">
        <v>36</v>
      </c>
      <c r="B23" s="172" t="s">
        <v>138</v>
      </c>
      <c r="C23" s="169"/>
      <c r="D23" s="169"/>
      <c r="E23" s="169"/>
      <c r="F23" s="169"/>
      <c r="G23" s="169"/>
      <c r="H23" s="176"/>
      <c r="I23" s="176"/>
      <c r="J23" s="169"/>
      <c r="K23" s="169"/>
      <c r="L23" s="169"/>
      <c r="M23" s="169"/>
      <c r="N23" s="178"/>
      <c r="O23" s="170"/>
      <c r="P23" s="169"/>
    </row>
    <row r="24" spans="1:23" s="168" customFormat="1" ht="26.4" x14ac:dyDescent="0.5">
      <c r="A24" s="175" t="s">
        <v>36</v>
      </c>
      <c r="B24" s="172" t="s">
        <v>137</v>
      </c>
      <c r="C24" s="169"/>
      <c r="D24" s="169"/>
      <c r="E24" s="169"/>
      <c r="F24" s="169"/>
      <c r="G24" s="169"/>
      <c r="H24" s="177">
        <f>H7/365</f>
        <v>56.823008630136989</v>
      </c>
      <c r="I24" s="177">
        <f>H7+H12+H16</f>
        <v>22211.494872300002</v>
      </c>
      <c r="J24" s="169"/>
      <c r="K24" s="169"/>
      <c r="L24" s="169"/>
      <c r="M24" s="169"/>
      <c r="N24" s="173"/>
      <c r="O24" s="170"/>
      <c r="P24" s="169">
        <f>1232+480</f>
        <v>1712</v>
      </c>
      <c r="T24" s="168">
        <f>88704/1.05</f>
        <v>84480</v>
      </c>
    </row>
    <row r="25" spans="1:23" s="168" customFormat="1" ht="26.4" x14ac:dyDescent="0.5">
      <c r="A25" s="175" t="s">
        <v>36</v>
      </c>
      <c r="B25" s="172" t="s">
        <v>136</v>
      </c>
      <c r="C25" s="169"/>
      <c r="D25" s="169"/>
      <c r="E25" s="169"/>
      <c r="F25" s="169"/>
      <c r="G25" s="169"/>
      <c r="H25" s="176"/>
      <c r="I25" s="176"/>
      <c r="J25" s="169"/>
      <c r="K25" s="169"/>
      <c r="L25" s="169"/>
      <c r="M25" s="169"/>
      <c r="N25" s="173"/>
      <c r="O25" s="170"/>
      <c r="P25" s="169"/>
      <c r="Q25" s="168">
        <f>79400-5233.33</f>
        <v>74166.67</v>
      </c>
      <c r="R25" s="168">
        <f>Q25*1.05</f>
        <v>77875.003500000006</v>
      </c>
      <c r="W25" s="168">
        <f>1999+1224</f>
        <v>3223</v>
      </c>
    </row>
    <row r="26" spans="1:23" s="168" customFormat="1" ht="26.4" x14ac:dyDescent="0.5">
      <c r="A26" s="175" t="s">
        <v>36</v>
      </c>
      <c r="B26" s="172" t="s">
        <v>135</v>
      </c>
      <c r="C26" s="169"/>
      <c r="D26" s="169"/>
      <c r="E26" s="169"/>
      <c r="F26" s="169"/>
      <c r="G26" s="169"/>
      <c r="H26" s="169"/>
      <c r="I26" s="169"/>
      <c r="J26" s="169"/>
      <c r="K26" s="169"/>
      <c r="L26" s="169"/>
      <c r="M26" s="169"/>
      <c r="N26" s="173"/>
      <c r="O26" s="170" t="s">
        <v>37</v>
      </c>
      <c r="P26" s="169"/>
      <c r="R26" s="168">
        <f>R25+2469</f>
        <v>80344.003500000006</v>
      </c>
    </row>
    <row r="27" spans="1:23" s="168" customFormat="1" ht="26.4" x14ac:dyDescent="0.5">
      <c r="A27" s="175" t="s">
        <v>36</v>
      </c>
      <c r="B27" s="172" t="s">
        <v>134</v>
      </c>
      <c r="C27" s="169"/>
      <c r="D27" s="169"/>
      <c r="E27" s="169"/>
      <c r="F27" s="169"/>
      <c r="G27" s="169"/>
      <c r="H27" s="169"/>
      <c r="I27" s="169"/>
      <c r="J27" s="169"/>
      <c r="K27" s="169"/>
      <c r="L27" s="169"/>
      <c r="M27" s="169"/>
      <c r="N27" s="173"/>
      <c r="O27" s="170">
        <f>129500-110900</f>
        <v>18600</v>
      </c>
      <c r="P27" s="169"/>
      <c r="W27" s="174">
        <f>N7+L14</f>
        <v>3470.7327937512505</v>
      </c>
    </row>
    <row r="28" spans="1:23" s="168" customFormat="1" ht="26.4" x14ac:dyDescent="0.5">
      <c r="B28" s="172" t="s">
        <v>133</v>
      </c>
      <c r="C28" s="169"/>
      <c r="D28" s="169"/>
      <c r="E28" s="169"/>
      <c r="F28" s="169"/>
      <c r="G28" s="169"/>
      <c r="H28" s="169"/>
      <c r="I28" s="169"/>
      <c r="J28" s="169"/>
      <c r="K28" s="169"/>
      <c r="L28" s="169"/>
      <c r="M28" s="169"/>
      <c r="N28" s="173"/>
      <c r="O28" s="170">
        <f>85000-69900</f>
        <v>15100</v>
      </c>
      <c r="P28" s="169"/>
    </row>
    <row r="29" spans="1:23" s="168" customFormat="1" ht="26.4" x14ac:dyDescent="0.5">
      <c r="B29" s="172" t="s">
        <v>132</v>
      </c>
      <c r="C29" s="169"/>
      <c r="D29" s="169"/>
      <c r="E29" s="169"/>
      <c r="F29" s="169"/>
      <c r="G29" s="169"/>
      <c r="H29" s="169"/>
      <c r="I29" s="169"/>
      <c r="J29" s="169"/>
      <c r="K29" s="169"/>
      <c r="L29" s="169"/>
      <c r="M29" s="169"/>
      <c r="N29" s="171"/>
      <c r="O29" s="170"/>
      <c r="P29" s="169"/>
    </row>
    <row r="30" spans="1:23" x14ac:dyDescent="0.3">
      <c r="B30" s="167" t="s">
        <v>38</v>
      </c>
      <c r="C30" s="166"/>
      <c r="D30" s="166"/>
      <c r="E30" s="166"/>
      <c r="F30" s="166"/>
      <c r="G30" s="166"/>
      <c r="H30" s="166"/>
      <c r="I30" s="166"/>
      <c r="J30" s="166"/>
      <c r="K30" s="166"/>
      <c r="L30" s="166"/>
      <c r="M30" s="166"/>
      <c r="N30" s="165"/>
      <c r="O30" s="147"/>
    </row>
    <row r="31" spans="1:23" x14ac:dyDescent="0.3">
      <c r="B31" s="146"/>
      <c r="C31" s="145"/>
      <c r="D31" s="145"/>
      <c r="E31" s="145"/>
      <c r="F31" s="145"/>
      <c r="G31" s="145"/>
      <c r="H31" s="145"/>
      <c r="I31" s="145"/>
      <c r="J31" s="145"/>
      <c r="K31" s="145"/>
      <c r="L31" s="145"/>
      <c r="M31" s="145"/>
      <c r="N31" s="144"/>
      <c r="O31" s="147"/>
    </row>
    <row r="32" spans="1:23" s="86" customFormat="1" ht="20.399999999999999" x14ac:dyDescent="0.35">
      <c r="B32" s="118" t="s">
        <v>39</v>
      </c>
      <c r="C32" s="119"/>
      <c r="D32" s="119"/>
      <c r="E32" s="119"/>
      <c r="F32" s="119"/>
      <c r="G32" s="119"/>
      <c r="H32" s="119"/>
      <c r="I32" s="119"/>
      <c r="J32" s="119"/>
      <c r="K32" s="119"/>
      <c r="L32" s="119"/>
      <c r="M32" s="119"/>
      <c r="N32" s="120"/>
      <c r="O32" s="92"/>
      <c r="P32" s="83"/>
    </row>
    <row r="33" spans="2:16" s="86" customFormat="1" ht="20.399999999999999" x14ac:dyDescent="0.35">
      <c r="B33" s="118" t="s">
        <v>40</v>
      </c>
      <c r="C33" s="119"/>
      <c r="D33" s="119"/>
      <c r="E33" s="119"/>
      <c r="F33" s="119"/>
      <c r="G33" s="119"/>
      <c r="H33" s="119"/>
      <c r="I33" s="119"/>
      <c r="J33" s="119"/>
      <c r="K33" s="119"/>
      <c r="L33" s="119"/>
      <c r="M33" s="119"/>
      <c r="N33" s="120"/>
      <c r="O33" s="92"/>
      <c r="P33" s="83"/>
    </row>
    <row r="34" spans="2:16" s="86" customFormat="1" ht="20.399999999999999" x14ac:dyDescent="0.35">
      <c r="B34" s="107" t="s">
        <v>131</v>
      </c>
      <c r="C34" s="108"/>
      <c r="D34" s="108"/>
      <c r="E34" s="108"/>
      <c r="F34" s="108"/>
      <c r="G34" s="164" t="s">
        <v>130</v>
      </c>
      <c r="H34" s="164"/>
      <c r="I34" s="163"/>
      <c r="J34" s="163"/>
      <c r="K34" s="163"/>
      <c r="L34" s="163"/>
      <c r="M34" s="162" t="s">
        <v>129</v>
      </c>
      <c r="N34" s="161"/>
      <c r="O34" s="83"/>
      <c r="P34" s="83"/>
    </row>
    <row r="35" spans="2:16" x14ac:dyDescent="0.3">
      <c r="B35" s="160"/>
      <c r="C35" s="159"/>
      <c r="D35" s="159"/>
      <c r="E35" s="159"/>
      <c r="F35" s="159"/>
      <c r="G35" s="159"/>
      <c r="H35" s="159"/>
      <c r="I35" s="159"/>
      <c r="J35" s="159"/>
      <c r="K35" s="159"/>
      <c r="L35" s="159"/>
      <c r="M35" s="159"/>
      <c r="N35" s="158"/>
    </row>
    <row r="36" spans="2:16" x14ac:dyDescent="0.3">
      <c r="B36" s="160"/>
      <c r="C36" s="159"/>
      <c r="D36" s="159"/>
      <c r="E36" s="159"/>
      <c r="F36" s="159"/>
      <c r="G36" s="159"/>
      <c r="H36" s="159"/>
      <c r="I36" s="159"/>
      <c r="J36" s="159"/>
      <c r="K36" s="159"/>
      <c r="L36" s="159"/>
      <c r="M36" s="159"/>
      <c r="N36" s="158"/>
    </row>
    <row r="37" spans="2:16" x14ac:dyDescent="0.3">
      <c r="B37" s="160"/>
      <c r="C37" s="159"/>
      <c r="D37" s="159"/>
      <c r="E37" s="159"/>
      <c r="F37" s="159"/>
      <c r="G37" s="159"/>
      <c r="H37" s="159"/>
      <c r="I37" s="159"/>
      <c r="J37" s="159"/>
      <c r="K37" s="159"/>
      <c r="L37" s="159"/>
      <c r="M37" s="159"/>
      <c r="N37" s="158"/>
    </row>
    <row r="38" spans="2:16" ht="16.8" x14ac:dyDescent="0.3">
      <c r="B38" s="149" t="s">
        <v>128</v>
      </c>
      <c r="C38" s="157"/>
      <c r="D38" s="154"/>
      <c r="E38" s="151"/>
      <c r="F38" s="151"/>
      <c r="G38" s="151"/>
      <c r="H38" s="151"/>
      <c r="I38" s="151"/>
      <c r="J38" s="152"/>
      <c r="K38" s="151"/>
      <c r="L38" s="151"/>
      <c r="M38" s="151"/>
      <c r="N38" s="156"/>
    </row>
    <row r="39" spans="2:16" ht="16.8" x14ac:dyDescent="0.3">
      <c r="B39" s="149" t="s">
        <v>127</v>
      </c>
      <c r="C39" s="155"/>
      <c r="D39" s="154"/>
      <c r="E39" s="151"/>
      <c r="F39" s="151"/>
      <c r="G39" s="151"/>
      <c r="H39" s="151"/>
      <c r="I39" s="151"/>
      <c r="J39" s="152"/>
      <c r="K39" s="151"/>
      <c r="L39" s="151"/>
      <c r="M39" s="151"/>
      <c r="N39" s="150"/>
    </row>
    <row r="40" spans="2:16" ht="16.8" x14ac:dyDescent="0.3">
      <c r="B40" s="149" t="s">
        <v>126</v>
      </c>
      <c r="C40" s="153"/>
      <c r="D40" s="151"/>
      <c r="E40" s="151"/>
      <c r="F40" s="151"/>
      <c r="G40" s="151"/>
      <c r="H40" s="151"/>
      <c r="I40" s="151"/>
      <c r="J40" s="152"/>
      <c r="K40" s="151"/>
      <c r="L40" s="151"/>
      <c r="M40" s="151"/>
      <c r="N40" s="150"/>
    </row>
    <row r="41" spans="2:16" ht="16.8" x14ac:dyDescent="0.3">
      <c r="B41" s="149" t="s">
        <v>125</v>
      </c>
      <c r="N41" s="148"/>
    </row>
    <row r="42" spans="2:16" ht="16.8" x14ac:dyDescent="0.3">
      <c r="B42" s="149" t="s">
        <v>124</v>
      </c>
      <c r="N42" s="148"/>
    </row>
    <row r="43" spans="2:16" ht="16.8" x14ac:dyDescent="0.3">
      <c r="B43" s="149" t="s">
        <v>123</v>
      </c>
      <c r="N43" s="148"/>
    </row>
    <row r="44" spans="2:16" ht="16.8" x14ac:dyDescent="0.3">
      <c r="B44" s="149" t="s">
        <v>122</v>
      </c>
      <c r="N44" s="148"/>
    </row>
    <row r="45" spans="2:16" ht="16.8" x14ac:dyDescent="0.3">
      <c r="B45" s="149" t="s">
        <v>121</v>
      </c>
      <c r="N45" s="148"/>
    </row>
    <row r="46" spans="2:16" ht="16.8" x14ac:dyDescent="0.3">
      <c r="B46" s="149" t="s">
        <v>120</v>
      </c>
      <c r="N46" s="148"/>
    </row>
    <row r="47" spans="2:16" x14ac:dyDescent="0.3">
      <c r="B47" s="146" t="s">
        <v>39</v>
      </c>
      <c r="C47" s="145"/>
      <c r="D47" s="145"/>
      <c r="E47" s="145"/>
      <c r="F47" s="145"/>
      <c r="G47" s="145"/>
      <c r="H47" s="145"/>
      <c r="I47" s="145"/>
      <c r="J47" s="145"/>
      <c r="K47" s="145"/>
      <c r="L47" s="145"/>
      <c r="M47" s="145"/>
      <c r="N47" s="144"/>
      <c r="O47" s="147"/>
    </row>
    <row r="48" spans="2:16" x14ac:dyDescent="0.3">
      <c r="B48" s="146" t="s">
        <v>40</v>
      </c>
      <c r="C48" s="145"/>
      <c r="D48" s="145"/>
      <c r="E48" s="145"/>
      <c r="F48" s="145"/>
      <c r="G48" s="145"/>
      <c r="H48" s="145"/>
      <c r="I48" s="145"/>
      <c r="J48" s="145"/>
      <c r="K48" s="145"/>
      <c r="L48" s="145"/>
      <c r="M48" s="145"/>
      <c r="N48" s="144"/>
      <c r="O48" s="147"/>
    </row>
    <row r="49" spans="2:14" x14ac:dyDescent="0.3">
      <c r="B49" s="146" t="s">
        <v>119</v>
      </c>
      <c r="C49" s="145"/>
      <c r="D49" s="145"/>
      <c r="E49" s="145"/>
      <c r="F49" s="145"/>
      <c r="G49" s="145"/>
      <c r="H49" s="145"/>
      <c r="I49" s="145"/>
      <c r="J49" s="145"/>
      <c r="K49" s="145"/>
      <c r="L49" s="145"/>
      <c r="M49" s="145"/>
      <c r="N49" s="144"/>
    </row>
    <row r="50" spans="2:14" ht="25.8" x14ac:dyDescent="0.3">
      <c r="C50" s="15" t="s">
        <v>41</v>
      </c>
    </row>
    <row r="51" spans="2:14" ht="25.8" x14ac:dyDescent="0.3">
      <c r="C51" s="15" t="s">
        <v>42</v>
      </c>
    </row>
    <row r="52" spans="2:14" ht="25.8" x14ac:dyDescent="0.3">
      <c r="C52" s="15" t="s">
        <v>43</v>
      </c>
    </row>
    <row r="53" spans="2:14" ht="25.8" x14ac:dyDescent="0.3">
      <c r="C53" s="15" t="s">
        <v>44</v>
      </c>
    </row>
    <row r="54" spans="2:14" ht="25.8" x14ac:dyDescent="0.3">
      <c r="C54" s="15" t="s">
        <v>45</v>
      </c>
    </row>
  </sheetData>
  <dataConsolidate/>
  <mergeCells count="11">
    <mergeCell ref="F8:G8"/>
    <mergeCell ref="F9:G9"/>
    <mergeCell ref="G19:I19"/>
    <mergeCell ref="B22:N22"/>
    <mergeCell ref="B30:N30"/>
    <mergeCell ref="B32:N32"/>
    <mergeCell ref="B33:N33"/>
    <mergeCell ref="B47:N47"/>
    <mergeCell ref="B48:N48"/>
    <mergeCell ref="B49:N49"/>
    <mergeCell ref="B31:N31"/>
  </mergeCells>
  <dataValidations count="11">
    <dataValidation type="list" allowBlank="1" showInputMessage="1" showErrorMessage="1" sqref="H34" xr:uid="{4316CAC7-A31B-454E-98B8-A92A81DCD764}">
      <formula1>"ALAA HAMMAD,KHALED QASSEM,RAMY RAOUF,SIMON LOBO,MHAREN CLEMENTE GARADO"</formula1>
    </dataValidation>
    <dataValidation type="list" allowBlank="1" showInputMessage="1" showErrorMessage="1" sqref="M34" xr:uid="{B6EA54C1-7758-4411-B528-0CFB8B36B695}">
      <formula1>"Alaa Hammad,Bachir Ibrahim Mourad,Khaled Qassem,Ramy Raoof,Simon Lobo,Mharen Clemente Garado,Ranjith"</formula1>
    </dataValidation>
    <dataValidation type="list" allowBlank="1" showInputMessage="1" showErrorMessage="1" sqref="B11" xr:uid="{05125E34-988B-479B-B995-FE6F242A7692}">
      <formula1>"FO Ceramic+ Intr&amp;Extr CeramicGold WdwTnt,FO Mirror Camera Sensor"</formula1>
    </dataValidation>
    <dataValidation type="list" allowBlank="1" showInputMessage="1" showErrorMessage="1" sqref="B12" xr:uid="{D4CF4A16-CB89-4687-9B69-C19E98F801FE}">
      <formula1>"FO Exterior ceramic All Cars SCOTCHGUARD,FO Mirror Camera Sensor,FO PPF Gold Package "</formula1>
    </dataValidation>
    <dataValidation type="list" allowBlank="1" showInputMessage="1" showErrorMessage="1" sqref="K20" xr:uid="{452187FF-1850-4229-9500-83CE636AC879}">
      <formula1>"Esaad,Emirates Platinum,Fazaa,Humat Alwatan,Permissible,ASX,XPMLP,XP,MON,MON G57,OUT,F08,P08,F06,P06,F03,F03-1,P03,EC,G37,G38,G40,G43"</formula1>
    </dataValidation>
    <dataValidation type="list" allowBlank="1" showInputMessage="1" showErrorMessage="1" sqref="B16" xr:uid="{E1DAA289-2CDD-4387-B1BF-BECE17A1C16C}">
      <formula1>"RMC-10-40KMS,RMC-10-60KMS,RMC-10-70KMS,RMC-10-100000KMS,RMC-40-70KMS,RMC-40-100000KMS"</formula1>
    </dataValidation>
    <dataValidation type="list" allowBlank="1" showInputMessage="1" showErrorMessage="1" sqref="K24" xr:uid="{A24B2972-D4C1-4218-82EA-2B7E65ABBE23}">
      <formula1>"RMC-10-70K,RMC-10-100000K,RMC-40-70K"</formula1>
    </dataValidation>
    <dataValidation type="list" allowBlank="1" showInputMessage="1" showErrorMessage="1" sqref="D5" xr:uid="{6B93DDDB-50AE-49A0-AFFF-C1B39D07DAFA}">
      <formula1>"MIG09,MIG10,H16,P16,H17,H48,H43,H40,H42,H44,H45,H38,H37,EH40,EH43,ML,HL,PR, MLP,HLP,PRP,XPML,XPHL,XPMLP, XPMLP-01,XC, G10,P10, G03, P03, G06,P06,G12,P12,G05,P05,G08,P08,G09,P09,H57,P57,H64,H59,P59,H61,P61"</formula1>
    </dataValidation>
    <dataValidation type="list" allowBlank="1" showInputMessage="1" showErrorMessage="1" sqref="M21" xr:uid="{77EBBA5B-6E22-4C03-8029-0B5BCE1A8013}">
      <formula1>"3000-4999,5000-9999,5000-99999,10000-14999,15000-24999,25000-34999,35000-99999,5000-11999,12000-19999,20000-39999,40000-69999,70000-99999"</formula1>
    </dataValidation>
    <dataValidation type="list" allowBlank="1" showInputMessage="1" showErrorMessage="1" sqref="C10:C16 L20 L24:L25 G14:G15 J10" xr:uid="{7F30A71F-A510-4656-AB4C-A247177B43F2}">
      <formula1>"YES,NO"</formula1>
    </dataValidation>
    <dataValidation type="list" allowBlank="1" showInputMessage="1" showErrorMessage="1" sqref="K21" xr:uid="{E9D86DE2-6F93-4061-A2C8-F48D56EDFD70}">
      <formula1>"ADCB,ADCB PAY IN 2027,Ajman Bank,ADIB,DIB EXPAT,DIB LOCAL GVH,Emirates NBD,EIB,FAB,RAK,SIB STL,SIB NON STL"</formula1>
    </dataValidation>
  </dataValidations>
  <pageMargins left="0.23622047244094491" right="0.23622047244094491" top="0.74803149606299213" bottom="0.74803149606299213" header="0.31496062992125984" footer="0.31496062992125984"/>
  <pageSetup paperSize="9" scale="40" orientation="landscape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6A6D08-D193-4857-B2B5-A22FBF2ECB1C}">
  <sheetPr>
    <pageSetUpPr fitToPage="1"/>
  </sheetPr>
  <dimension ref="A1:AA54"/>
  <sheetViews>
    <sheetView topLeftCell="B1" zoomScaleNormal="100" workbookViewId="0">
      <selection activeCell="D5" sqref="D5"/>
    </sheetView>
  </sheetViews>
  <sheetFormatPr defaultColWidth="9.109375" defaultRowHeight="15.6" x14ac:dyDescent="0.3"/>
  <cols>
    <col min="1" max="1" width="16" style="1" hidden="1" customWidth="1"/>
    <col min="2" max="2" width="75.109375" style="2" customWidth="1"/>
    <col min="3" max="3" width="26.88671875" style="3" customWidth="1"/>
    <col min="4" max="4" width="23.88671875" style="2" customWidth="1"/>
    <col min="5" max="5" width="23.33203125" style="2" customWidth="1"/>
    <col min="6" max="6" width="19.88671875" style="2" customWidth="1"/>
    <col min="7" max="7" width="23.33203125" style="2" customWidth="1"/>
    <col min="8" max="8" width="24.44140625" style="2" customWidth="1"/>
    <col min="9" max="9" width="27.109375" style="2" customWidth="1"/>
    <col min="10" max="10" width="26.6640625" style="2" customWidth="1"/>
    <col min="11" max="11" width="25.44140625" style="2" customWidth="1"/>
    <col min="12" max="12" width="20.5546875" style="2" customWidth="1"/>
    <col min="13" max="13" width="20.109375" style="2" customWidth="1"/>
    <col min="14" max="14" width="19.5546875" style="2" customWidth="1"/>
    <col min="15" max="15" width="15.109375" style="2" bestFit="1" customWidth="1"/>
    <col min="16" max="16" width="12.6640625" style="2" hidden="1" customWidth="1"/>
    <col min="17" max="17" width="12.6640625" style="1" hidden="1" customWidth="1"/>
    <col min="18" max="18" width="15.6640625" style="1" hidden="1" customWidth="1"/>
    <col min="19" max="19" width="13" style="1" hidden="1" customWidth="1"/>
    <col min="20" max="20" width="17.109375" style="1" hidden="1" customWidth="1"/>
    <col min="21" max="21" width="14.5546875" style="1" bestFit="1" customWidth="1"/>
    <col min="22" max="22" width="19" style="1" customWidth="1"/>
    <col min="23" max="23" width="22.5546875" style="1" bestFit="1" customWidth="1"/>
    <col min="24" max="25" width="9.109375" style="1"/>
    <col min="26" max="26" width="14" style="1" bestFit="1" customWidth="1"/>
    <col min="27" max="27" width="22.33203125" style="1" bestFit="1" customWidth="1"/>
    <col min="28" max="16384" width="9.109375" style="1"/>
  </cols>
  <sheetData>
    <row r="1" spans="1:27" ht="15.75" customHeight="1" x14ac:dyDescent="0.3">
      <c r="B1" s="222" t="s">
        <v>148</v>
      </c>
      <c r="C1" s="221"/>
      <c r="D1" s="221"/>
      <c r="E1" s="221"/>
      <c r="F1" s="221"/>
      <c r="G1" s="221"/>
      <c r="H1" s="221"/>
      <c r="I1" s="221"/>
      <c r="J1" s="221"/>
      <c r="K1" s="221"/>
      <c r="L1" s="221"/>
      <c r="M1" s="221"/>
      <c r="N1" s="220"/>
    </row>
    <row r="2" spans="1:27" ht="15.75" customHeight="1" x14ac:dyDescent="0.3">
      <c r="B2" s="219" t="s">
        <v>147</v>
      </c>
      <c r="C2" s="218"/>
      <c r="D2" s="218"/>
      <c r="E2" s="218"/>
      <c r="F2" s="218"/>
      <c r="G2" s="218"/>
      <c r="H2" s="218"/>
      <c r="I2" s="218"/>
      <c r="J2" s="218"/>
      <c r="K2" s="218"/>
      <c r="L2" s="218"/>
      <c r="M2" s="218"/>
      <c r="N2" s="217"/>
      <c r="Q2" s="2"/>
      <c r="S2" s="186"/>
    </row>
    <row r="3" spans="1:27" ht="15.75" customHeight="1" x14ac:dyDescent="0.3">
      <c r="B3" s="219" t="s">
        <v>146</v>
      </c>
      <c r="C3" s="218"/>
      <c r="D3" s="218"/>
      <c r="E3" s="218"/>
      <c r="F3" s="218"/>
      <c r="G3" s="218"/>
      <c r="H3" s="218"/>
      <c r="I3" s="218"/>
      <c r="J3" s="218"/>
      <c r="K3" s="218"/>
      <c r="L3" s="218"/>
      <c r="M3" s="218"/>
      <c r="N3" s="217"/>
      <c r="O3" s="3"/>
      <c r="P3" s="3"/>
      <c r="Q3" s="153"/>
      <c r="R3" s="153"/>
      <c r="S3" s="216" t="e">
        <f>N7+J14</f>
        <v>#VALUE!</v>
      </c>
      <c r="T3" s="216"/>
      <c r="U3" s="153"/>
      <c r="V3" s="153"/>
      <c r="W3" s="153"/>
      <c r="AA3" s="1">
        <f>273000/5</f>
        <v>54600</v>
      </c>
    </row>
    <row r="4" spans="1:27" ht="15.75" customHeight="1" x14ac:dyDescent="0.3">
      <c r="B4" s="215"/>
      <c r="C4" s="214"/>
      <c r="D4" s="214"/>
      <c r="E4" s="214"/>
      <c r="F4" s="214"/>
      <c r="G4" s="214"/>
      <c r="H4" s="214"/>
      <c r="I4" s="214"/>
      <c r="J4" s="214"/>
      <c r="K4" s="214"/>
      <c r="L4" s="214"/>
      <c r="M4" s="214"/>
      <c r="N4" s="213"/>
      <c r="O4" s="212" t="s">
        <v>0</v>
      </c>
      <c r="P4" s="212"/>
      <c r="Q4" s="210"/>
      <c r="R4" s="210"/>
      <c r="S4" s="211"/>
      <c r="T4" s="211"/>
      <c r="U4" s="210" t="s">
        <v>1</v>
      </c>
      <c r="V4" s="210" t="s">
        <v>2</v>
      </c>
      <c r="W4" s="210" t="s">
        <v>3</v>
      </c>
    </row>
    <row r="5" spans="1:27" ht="25.2" thickBot="1" x14ac:dyDescent="0.45">
      <c r="B5" s="17"/>
      <c r="C5" s="18" t="str">
        <f>IF(D5="MIG09","Mirage G09",IF(D5="MIG10","MirageG10",IF(D5="H16","Attrage H16",IF(D5="P16","Attrage P16",IF(D5="H17","Attrage H17",IF(D5="H48","ASX H48",IF(D5="H43","ASX H43",IF(D5="H40","ASX H40",IF(D5="H42","ASX H42",IF(D5="H44","ASX H44",IF(D5="H45","ASX H45",IF(D5="H38","Eclipse H38",IF(D5="H37","Eclipse H37",IF(D5="EH40","Eclipse H40",IF(D5="EH43","Eclipse H43",IF(D5="XPML","Xpander ML",IF(D5="ML","Destinator ML",IF(D5="HL","Destinator HL",IF(D5="PR","Destinator PR",IF(D5="MLP","Destinator MLP",IF(D5="HLP","Destinator HLP",IF(D5="PRP","Destinator PRP",IF(D5="XPHL","Xpander HL",IF(D5="XPMLP","Xpander ML P",IF(D5="XPMLP-01","Xpander ML P-01",IF(D5="XC","Xpander Cross",IF(D5="G03","Outlander G03",IF(D5="P03","Outlander P03",IF(D5="G06","Outlander G06",IF(D5="P06","Outlander P06",IF(D5="OTP06-01","Outlander P06-01",IF(D5="G08","Outlander G08",IF(D5="P08","Outlander P08",IF(D5="H57","Montero H57",IF(D5="P57","Montero P57",IF(D5="H64","Montero G64",IF(D5="H59","Montero G59",IF(D5="P59","Montero G59 P",IF(D5="H61","Montero G61",IF(D5="P61","Montero P61",IF(D5="G10","Outlander G10",IF(D5="P10","Outlander P10",IF(D5="G12","Outlander G12",IF(D5="P12","Outlander P12",IF(D5="G05","Outlander G05",IF(D5="P05","Outlander P05",IF(D5="G09","Outlander G09",IF(D5="P09","Outlander P09",))))))))))))))))))))))))))))))))))))))))))))))))</f>
        <v>Destinator PR</v>
      </c>
      <c r="D5" s="19" t="s">
        <v>187</v>
      </c>
      <c r="E5" s="20" t="s">
        <v>145</v>
      </c>
      <c r="F5" s="37"/>
      <c r="G5" s="37"/>
      <c r="H5" s="37"/>
      <c r="I5" s="20"/>
      <c r="J5" s="34"/>
      <c r="K5" s="209">
        <v>0</v>
      </c>
      <c r="L5" s="208">
        <v>3.39E-2</v>
      </c>
      <c r="M5" s="208">
        <v>6.7799999999999999E-2</v>
      </c>
      <c r="N5" s="208">
        <v>0.1017</v>
      </c>
      <c r="O5" s="147">
        <f>K7+K14</f>
        <v>12348.550334120002</v>
      </c>
      <c r="S5" s="186"/>
      <c r="U5" s="186">
        <f>L7+L14</f>
        <v>5098.2873217033339</v>
      </c>
      <c r="V5" s="186">
        <f>M7+M14</f>
        <v>3447.6279492200001</v>
      </c>
      <c r="W5" s="186">
        <f>N7+N14</f>
        <v>2423.5303883700003</v>
      </c>
    </row>
    <row r="6" spans="1:27" s="5" customFormat="1" ht="99" thickBot="1" x14ac:dyDescent="0.35">
      <c r="A6" s="4" t="s">
        <v>4</v>
      </c>
      <c r="B6" s="26" t="s">
        <v>5</v>
      </c>
      <c r="C6" s="27" t="s">
        <v>6</v>
      </c>
      <c r="D6" s="27" t="s">
        <v>144</v>
      </c>
      <c r="E6" s="27" t="s">
        <v>7</v>
      </c>
      <c r="F6" s="27" t="s">
        <v>8</v>
      </c>
      <c r="G6" s="28" t="s">
        <v>9</v>
      </c>
      <c r="H6" s="28" t="s">
        <v>143</v>
      </c>
      <c r="I6" s="28" t="s">
        <v>10</v>
      </c>
      <c r="J6" s="28" t="s">
        <v>142</v>
      </c>
      <c r="K6" s="28" t="s">
        <v>11</v>
      </c>
      <c r="L6" s="28" t="s">
        <v>12</v>
      </c>
      <c r="M6" s="28" t="s">
        <v>13</v>
      </c>
      <c r="N6" s="28" t="s">
        <v>14</v>
      </c>
      <c r="O6" s="207"/>
      <c r="P6" s="206"/>
      <c r="T6" s="205"/>
      <c r="U6" s="205">
        <f>N7+L14</f>
        <v>4028.3845483700002</v>
      </c>
      <c r="V6" s="205">
        <f>N7+K14</f>
        <v>9941.2690941200017</v>
      </c>
      <c r="W6" s="205" t="e">
        <f>N7+J14</f>
        <v>#VALUE!</v>
      </c>
    </row>
    <row r="7" spans="1:27" ht="25.2" thickBot="1" x14ac:dyDescent="0.45">
      <c r="A7" s="6">
        <f>B8</f>
        <v>95900</v>
      </c>
      <c r="B7" s="29">
        <f>IF(L20="YES",C8*1,IF(L20="NO",B8*1))</f>
        <v>95900</v>
      </c>
      <c r="C7" s="29">
        <f>B7*5/100</f>
        <v>4795</v>
      </c>
      <c r="D7" s="203">
        <f>B7+C7</f>
        <v>100695</v>
      </c>
      <c r="E7" s="29">
        <f>D17</f>
        <v>19104.062000000002</v>
      </c>
      <c r="F7" s="29">
        <f>(C7)+(D10+D11+D12+D13+D16)*5/100</f>
        <v>5360</v>
      </c>
      <c r="G7" s="30">
        <f>B7+E7+F7</f>
        <v>120364.06200000001</v>
      </c>
      <c r="H7" s="29">
        <f>G7*D20</f>
        <v>24072.812400000003</v>
      </c>
      <c r="I7" s="30">
        <f>(G7-H7)</f>
        <v>96291.24960000001</v>
      </c>
      <c r="J7" s="30">
        <f>(((I7*D19)*1)+I7)/12</f>
        <v>8336.4149341200009</v>
      </c>
      <c r="K7" s="30">
        <f>(((I7*D19)*2)+I7)/24</f>
        <v>4324.2795341200008</v>
      </c>
      <c r="L7" s="30">
        <f>(((I7*D19)*3)+I7)/36</f>
        <v>2986.9010674533338</v>
      </c>
      <c r="M7" s="30">
        <f>(((I7*D19)*4)+I7)/48</f>
        <v>2318.2118341200003</v>
      </c>
      <c r="N7" s="30">
        <f>((((I7*D19)*5)+I7)/60)</f>
        <v>1916.9982941200001</v>
      </c>
      <c r="O7" s="147"/>
      <c r="P7" s="2">
        <f>H7+H16</f>
        <v>25083.870520800003</v>
      </c>
      <c r="T7" s="186">
        <f>25973/2</f>
        <v>12986.5</v>
      </c>
    </row>
    <row r="8" spans="1:27" ht="24.6" x14ac:dyDescent="0.4">
      <c r="A8" s="7">
        <v>0.2</v>
      </c>
      <c r="B8" s="31">
        <f>IF(D5="MIG09",39900,IF(D5="MIG10",41900,IF(D5="H16",41900,IF(D5="P16",47400,IF(D5="H17",47900,IF(D5="H48",67900,IF(D5="H43",70900,IF(D5="H40",72900,IF(D5="H42",74900,IF(D5="H44",73900,IF(D5="H45",79900,IF(D5="H38",86900,IF(D5="H37",79900,IF(D5="EH40",99900,IF(D5="EH43",106900,IF(D5="ML",71900,IF(D5="HL",83900,IF(D5="PR",95900,IF(D5="MLP",80900,IF(D5="HLP",91900,IF(D5="PRP",102900,IF(D5="XPML",69900,IF(D5="XPHL",71000,IF(D5="XPMLP",75900,IF(D5="XPMLP-01",77800,IF(D5="XC",84900,IF(D5="G10",81900,IF(D5="P10",93900,IF(D5="G12",97900,IF(D5="P12",105900,IF(D5="G05",104900,IF(D5="P05",105900,IF(D5="G03",92900,IF(D5="P03",100900,IF(D5="G06",109900,IF(D5="P06",114900,IF(D5="OTP06-01",118900,IF(D5="G08",125900,IF(D5="P08",132900,IF(D5="OTP06-01",109900,IF(D5="G09",129900,IF(D5="P09",134900,IF(D5="H57",105900,IF(D5="P57",113900,IF(D5="H64",116900,IF(D5="H59",127900,IF(D5="P59",134900,IF(D5="H61",134900,IF(D5="P61",138900)))))))))))))))))))))))))))))))))))))))))))))))))</f>
        <v>95900</v>
      </c>
      <c r="C8" s="32">
        <f>IF(L20="YES",N20,IF(L20="NO",N20))</f>
        <v>95900</v>
      </c>
      <c r="D8" s="29">
        <v>0</v>
      </c>
      <c r="E8" s="33"/>
      <c r="F8" s="139"/>
      <c r="G8" s="140"/>
      <c r="H8" s="110">
        <f>G7*20/100</f>
        <v>24072.812400000003</v>
      </c>
      <c r="I8" s="34"/>
      <c r="J8" s="34" t="s">
        <v>15</v>
      </c>
      <c r="K8" s="34">
        <f>(I7*K5+I7)/24</f>
        <v>4012.1354000000006</v>
      </c>
      <c r="L8" s="34">
        <f>(I7*L5+I7)/36</f>
        <v>2765.4311933733338</v>
      </c>
      <c r="M8" s="34">
        <f>(I7*M5+I7)/48</f>
        <v>2142.07909006</v>
      </c>
      <c r="N8" s="34">
        <f>(I7*N5+I7)/60</f>
        <v>1768.0678280720001</v>
      </c>
      <c r="O8" s="147">
        <v>0</v>
      </c>
      <c r="P8" s="2">
        <f>P7/12</f>
        <v>2090.3225434000001</v>
      </c>
      <c r="T8" s="1">
        <f>25973-12973</f>
        <v>13000</v>
      </c>
    </row>
    <row r="9" spans="1:27" ht="24.6" x14ac:dyDescent="0.4">
      <c r="A9" s="8">
        <f>B8/(100%-A8)</f>
        <v>119875</v>
      </c>
      <c r="B9" s="109">
        <f>B7-B8</f>
        <v>0</v>
      </c>
      <c r="C9" s="109"/>
      <c r="D9" s="36"/>
      <c r="E9" s="33"/>
      <c r="F9" s="139"/>
      <c r="G9" s="140"/>
      <c r="H9" s="33"/>
      <c r="I9" s="37" t="s">
        <v>16</v>
      </c>
      <c r="J9" s="38">
        <f>(J7*12)-I7</f>
        <v>3745.7296094399935</v>
      </c>
      <c r="K9" s="38">
        <f>(K7*24)-I7</f>
        <v>7491.4592188800161</v>
      </c>
      <c r="L9" s="38">
        <f>(L7*36)-I7</f>
        <v>11237.18882832001</v>
      </c>
      <c r="M9" s="38">
        <f>(M7*48)-I7</f>
        <v>14982.918437760003</v>
      </c>
      <c r="N9" s="38">
        <f>(N7*60)-I7</f>
        <v>18728.648047199997</v>
      </c>
      <c r="O9" s="147"/>
      <c r="T9" s="1">
        <f>T8/12</f>
        <v>1083.3333333333333</v>
      </c>
      <c r="Z9" s="1" t="s">
        <v>86</v>
      </c>
    </row>
    <row r="10" spans="1:27" ht="24.6" x14ac:dyDescent="0.4">
      <c r="A10" s="8"/>
      <c r="B10" s="37" t="s">
        <v>141</v>
      </c>
      <c r="C10" s="20" t="s">
        <v>17</v>
      </c>
      <c r="D10" s="36">
        <f>IF(C10="YES",700,IF(C10="NO",0))</f>
        <v>0</v>
      </c>
      <c r="E10" s="39"/>
      <c r="F10" s="40"/>
      <c r="G10" s="40"/>
      <c r="H10" s="33"/>
      <c r="I10" s="44" t="s">
        <v>85</v>
      </c>
      <c r="J10" s="117" t="s">
        <v>19</v>
      </c>
      <c r="K10" s="117">
        <f>IF(J10="YES",Z10,IF(J10="NO",0))</f>
        <v>1000</v>
      </c>
      <c r="L10" s="41">
        <f>(L8*36)-I7</f>
        <v>3264.2733614400058</v>
      </c>
      <c r="M10" s="41">
        <f>(M8*48)-I7</f>
        <v>6528.5467228799826</v>
      </c>
      <c r="N10" s="41">
        <f>(N8*60)-I7</f>
        <v>9792.8200843200029</v>
      </c>
      <c r="O10" s="147">
        <f>IF(D5="XC",3690,IF(D5="XPML",3690,IF(D5="XPHL",3690,IF(D5="XPMLP",3690,IF(D5="XPMLP-01",3690,IF(D5="Xpander P",3690,IF(D5="ML",3690,IF(D5="HL",3690,IF(D5="PR",(U19*3/100+510)*1.05,IF(D5="MLP",3690,IF(D5="HLP",(U19*3/100+510)*1.05,IF(D5="PRP",(U19*3/100+510)*1.05,IF(D5="H57",(U19*2.75/100+510)*1.05,IF(D5="P57",(U19*2.75/100+510)*1.05,IF(D5="H64",(U19*2.75/100+510)*1.05,IF(D5="H59",(U19*2.75/100+510)*1.05,IF(D5="P59",(U19*2.75/100+510)*1.05,IF(D5="H61",(U19*2.75/100+510)*1.05,IF(D5="P61",(U19*2.75/100+510)*1.05,IF(D5="G03",(U19*3/100+510)*1.05,IF(D5="G10",(U19*3/100+510)*1.05,IF(D5="P10",(U19*3/100+510)*1.05,IF(D5="G12",(U19*3/100+510)*1.05,IF(D5="P12",(U19*3/100+510)*1.05,IF(D5="G05",(U19*3/100+510)*1.05,IF(D5="P05",(U19*3/100+510)*1.05,IF(D5="P03",(U19*3/100+510)*1.05,IF(D5="G06",(U19*3/100+510)*1.05,IF(D5="P06",(U19*3/100+510)*1.05,IF(D5="OTP06-01",(U19*3/100+510)*1.05,IF(D5="G08",(U19*3/100+510)*1.05,IF(D5="P08",(U19*3/100+510)*1.05,IF(D5="G09",(U19*3/100+510)*1.05,IF(D5="P09",(U19*3/100+510)*1.05,IF(D5="H38",3625,IF(D5="H37",3625,IF(D5="EH40",(U19*3/100+450)*1.05,IF(D5="EH43",(U19*3/100+450)*1.05,IF(D5="H48",3625,IF(D5="H43",3625,IF(D5="H40",3625,IF(D5="H42",3625,IF(D5="H44",3625,IF(D5="H45",3625,IF(D5="ASX HL 4WD",3625,IF(D5="H16",3625,IF(D5="H17",3625,IF(D5="P16",3625,IF(D5="Attrage S",3625,IF(D5="MIG09",3625,IF(D5="MIG10",3625,IF(D5="Xpander HL",3690))))))))))))))))))))))))))))))))))))))))))))))))))))</f>
        <v>4081.1400000000003</v>
      </c>
      <c r="P10" s="204"/>
      <c r="Q10" s="204">
        <f>5.25*3</f>
        <v>15.75</v>
      </c>
      <c r="Z10" s="1">
        <f>IF(D5="MIG09",1000,IF(D5="MIG10",1000,IF(D5="H16",1000,IF(D5="P16",1000,IF(D5="H17",1000,IF(D5="H48",1000,IF(D5="H43",1000,IF(D5="H40",1000,IF(D5="H42",1000,IF(D5="H44",1000,IF(D5="H45",1000,IF(D5="H38",1000,IF(D5="H37",1000,IF(D5="EH40",1000,IF(D5="EH43",1000,IF(D5="ML",1000,IF(D5="HL",1000,IF(D5="PR",1000,IF(D5="MLP",1000,IF(D5="HLP",1000,IF(D5="PRP",1000,IF(D5="XPML",1000,IF(D5="XPHL",1000,IF(D5="XPMLP",1000,IF(D5="XPMLP-01",1000,IF(D5="XC",1000,IF(D5="G10",1000,IF(D5="P10",1000,IF(D5="G12",1000,IF(D5="P12",1000,IF(D5="G05",1000,IF(D5="P05",1000,IF(D5="G03",1000,IF(D5="P03",1000,IF(D5="G06",1000,IF(D5="P06",1000,IF(D5="OTP06-01",1000,IF(D5="G08",1000,IF(D5="P08",1000,IF(D5="OTP06-01",1000,IF(D5="G09",1000,IF(D5="P09",1000,IF(D5="H57",1000,IF(D5="P57",1000,IF(D5="H64",1000,IF(D5="H59",1000,IF(D5="P59",1000,IF(D5="H61",1000,IF(D5="P61",1000)))))))))))))))))))))))))))))))))))))))))))))))))</f>
        <v>1000</v>
      </c>
    </row>
    <row r="11" spans="1:27" ht="24.6" x14ac:dyDescent="0.4">
      <c r="A11" s="8"/>
      <c r="B11" s="37" t="s">
        <v>18</v>
      </c>
      <c r="C11" s="20" t="s">
        <v>19</v>
      </c>
      <c r="D11" s="203">
        <f>IF(C11="YES",O17,IF(C11="NO",0))</f>
        <v>2700</v>
      </c>
      <c r="E11" s="39"/>
      <c r="F11" s="40"/>
      <c r="G11" s="40"/>
      <c r="H11" s="33"/>
      <c r="I11" s="33"/>
      <c r="J11" s="44" t="s">
        <v>76</v>
      </c>
      <c r="K11" s="44">
        <f>H8-K10</f>
        <v>23072.812400000003</v>
      </c>
      <c r="L11" s="37"/>
      <c r="M11" s="37"/>
      <c r="N11" s="38"/>
      <c r="O11" s="147">
        <f>IF(D5="XC",6100,IF(D5="XPML",6100,IF(D5="XPHL",6100,IF(D5="XPMLP",6100,IF(D5="XPMLP-01",6100,IF(D5="Xpander P",6100,IF(D5="ML",6600,IF(D5="HL",6600,IF(D5="PR",6600,IF(D5="MLP",6600,IF(D5="HLP",6600,IF(D5="PRP",6600,IF(D5="H57",5900,IF(D5="P57",5900,IF(D5="H64",5900,IF(D5="H59",5900,IF(D5="P59",5900,IF(D5="H61",5900,IF(D5="P61",5900,IF(D5="G03",6700,IF(D5="G10",6700,IF(D5="P10",6700,IF(D5="G12",6700,IF(D5="P12",6700,IF(D5="G05",6700,IF(D5="P05",6700,IF(D5="P03",6700,IF(D5="G06",6700,IF(D5="P06",6700,IF(D5="OTP06-01",6700,IF(D5="G08",6700,IF(D5="G09",6700,IF(D5="G08",6700,IF(D5="P08",6700,IF(D5="P09",6700,IF(D5="H37",6400,IF(D5="H38",6400,IF(D5="EH40",6400,IF(D5="EH43",6400,IF(D5="H48",6600,IF(D5="H43",6600,IF(D5="H40",6600,IF(D5="H42",6600,IF(D5="H44",6600,IF(D5="H45",6600,IF(D5="ASX HL 4WD",6600,IF(D5="H16",5400,IF(D5="H17",5400,IF(D5="P16",5400,IF(D5="Attrage S",5400,IF(D5="MIG09",5400,IF(D5="MIG10",5400,IF(D5="Xpander HL",6000)))))))))))))))))))))))))))))))))))))))))))))))))))))</f>
        <v>6600</v>
      </c>
      <c r="P11" s="147"/>
      <c r="Q11" s="147"/>
      <c r="R11" s="147"/>
      <c r="S11" s="147"/>
      <c r="T11" s="147"/>
      <c r="U11" s="147">
        <f>IF(D5="XC",4900,IF(D5="XPML",4900,IF(D5="XPHL",4900,IF(D5="XPMLP",4900,IF(D5="XPMLP-01",4900,IF(D5="Xpander P",4900,IF(D5="ML",5400,IF(D5="HL",5400,IF(D5="PR",5400,IF(D5="MLP",5400,IF(D5="HLP",5400,IF(D5="PRP",5400,IF(D5="H57",4600,IF(D5="P57",4600,IF(D5="MOG64",4600,IF(D5="H59",4600,IF(D5="P59",4600,IF(D5="H61",4600,IF(D5="P61",4600,IF(D5="G03",5500,IF(D5="P03",5500,IF(D5="G10",5500,IF(D5="P10",5500,IF(D5="G12",5500,IF(D5="P12",5500,IF(D5="G05",5500,IF(D5="P05",5500,IF(D5="G06",5500,IF(D5="P06",5500,IF(D5="OTP06-01",5500,IF(D5="F08",5500,IF(D5="P08",5500,IF(D5="G09",5500,IF(D5="P09",5500,IF(D5="H38",5200,IF(D5="H37",5200,IF(D5="EH40",5200,IF(D5="EH43",5200,IF(D5="H48",5300,IF(D5="H43",5300,IF(D5="H40",5300,IF(D5="H42",5300,IF(D5="H44",5300,IF(D5="H45",5300,IF(D5="ASX HL",5300,IF(D5="ASX P",5300,IF(D5="ASX HL 4WD",5300,IF(D5="H16",4200,IF(D5="H17",4200,IF(D5="P16",4200,IF(D5="Attrage S",4200,IF(D5="MIG09",4200,IF(D5="MIG10",4200,IF(D5="Xpander HL",4900))))))))))))))))))))))))))))))))))))))))))))))))))))))</f>
        <v>5400</v>
      </c>
      <c r="V11" s="147">
        <f>IF(D5="XC",9700,IF(D5="XPML",9700,IF(D5="XPHL",9700,IF(D5="XPMLP",9700,IF(D5="XPMLP-01",9700,IF(D5="XPMLP-01",9700,IF(D5="Xpander P",9700,IF(D5="ML",10800,IF(D5="HL",10800,IF(D5="PR",10800,IF(D5="MLP",10800,IF(D5="HLP",10800,IF(D5="PRP",10800,IF(D5="H57",9300,IF(D5="P57",9300,IF(D5="MG64",9300,IF(D5="H59",9300,IF(D5="P59",9300,IF(D5="H61",9300,IF(D5="P61",9300,IF(D5="G03",11000,IF(D5="G10",11000,IF(D5="P10",11000,IF(D5="G12",11000,IF(D5="P12",11000,IF(D5="G05",11000,IF(D5="P05",11000,IF(D5="P03",11000,IF(D5="G06",11000,IF(D5="P06",11000,IF(D5="OTP06-01",11000,IF(D5="G08",11000,IF(D5="P08",11000,IF(D5="G09",11000,IF(D5="P09",11000,IF(D5="H38",10400,IF(D5="H37",10400,IF(D5="EH40",10400,IF(D5="EH43",10400,IF(D5="H48",10700,IF(D5="H43",10700,IF(D5="H40",10700,IF(D5="H42",10700,IF(D5="H44",10800,IF(D5="H45",10800,IF(D5="ASX HL",12200,IF(D5="ASX P",12200,IF(D5="ASX HL 4WD",12200,IF(D5="H16",8500,IF(D5="H17",8500,IF(D5="P16",8500,IF(D5="Attrage S",9600,IF(D5="MIG09",8500,IF(D5="MIG10",8500,IF(D5="Xpander HL",11300)))))))))))))))))))))))))))))))))))))))))))))))))))))))</f>
        <v>10800</v>
      </c>
      <c r="W11" s="147">
        <f>IF(D5="XC",9200,IF(D5="XPML",9200,IF(D5="XPHL",9200,IF(D5="XPMLP",9200,IF(D5="XPMLP-01",9200,IF(D5="Xpander P",9200,IF(D5="ML",10000,IF(D5="HL",10000,IF(D5="PR",10000,IF(D5="MLP",10000,IF(D5="HLP",10000,IF(D5="PRP",10000,IF(D5="H57",8700,IF(D5="P57",8700,IF(D5="H64",8700,IF(D5="H59",8700,IF(D5="P59",8700,IF(D5="H61",8700,IF(D5="P61",8700,IF(D5="G03",10400,IF(D5="P03",10400,IF(D5="G10",10400,IF(D5="P10",10400,IF(D5="G12",10400,IF(D5="P12",10400,IF(D5="G05",10400,IF(D5="P05",10400,IF(D5="G06",10400,IF(D5="P06",10400,IF(D5="OTP06-01",10400,IF(D5="G08",10400,IF(D5="P08",10400,IF(D5="G09",10400,IF(D5="P09",10400,IF(D5="H38",9800,IF(D5="H37",9800,IF(D5="EH40",9800,IF(D5="EH43",9800,IF(D5="H48",10100,IF(D5="H43",10100,IF(D5="H40",10100,IF(D5="H42",10100,IF(D5="H44",10100,IF(D5="H45",10100,IF(D5="ASX HL",10100,IF(D5="ASX P",10100,IF(D5="ASX HL 4WD",10100,IF(D5="H16",7900,IF(D5="H17",7900,IF(D5="P16",7900,IF(D5="Attrage S",7900,IF(D5="MIG09",7900,IF(D5="MIG10",7900,IF(D5="Xpander HL",9200))))))))))))))))))))))))))))))))))))))))))))))))))))))</f>
        <v>10000</v>
      </c>
      <c r="X11" s="147">
        <f>IF(D5="XC",4500,IF(D5="XPML",4500,IF(D5="XPHL",4500,IF(D5="XPMLP",4500,IF(D5="XPMLP-01",4500,IF(D5="Xpander P",4500,IF(D5="ML",5000,IF(D5="HL",5000,IF(D5="PR",5000,IF(D5="MLP",5000,IF(D5="HLP",5000,IF(D5="PRP",5000,IF(D5="H57",8700,IF(D5="P57",8700,IF(D5="MOG64",4300,IF(D5="H59",4300,IF(D5="P59",4300,IF(D5="H61",4300,IF(D5="P61",4300,IF(D5="G03",5000,IF(D5="P03",5000,IF(D5="G10",5000,IF(D5="P10",5000,IF(D5="G12",5000,IF(D5="P12",5000,IF(D5="G05",5000,IF(D5="P05",5000,IF(D5="G06",5000,IF(D5="P06",5000,IF(D5="OTP06-01",5000,IF(D5="G08",5000,IF(D5="P08",5000,IF(D5="G09",5000,IF(D5="P09",5000,IF(D5="H38",4900,IF(D5="H37",4900,IF(D5="EH40",4900,IF(D5="EH43",4900,IF(D5="H48",4900,IF(D5="H43",4900,IF(D5="H40",4900,IF(D5="H42",4900,IF(D5="H44",4900,IF(D5="H45",4900,IF(D5="ASX HL",4900,IF(D5="ASX P",4900,IF(D5="ASX HL 4WD",4900,IF(D5="H16",3700,IF(D5="H17",3700,IF(D5="P16",3700,IF(D5="Attrage S",3700,IF(D5="MIG09",3700,IF(D5="MIG10",3700,IF(D5="Xpander HL",4500))))))))))))))))))))))))))))))))))))))))))))))))))))))</f>
        <v>5000</v>
      </c>
      <c r="Y11" s="147">
        <f>IF(D5="XC",5400,IF(D5="XPML ",5400,IF(D5="XPHL",5400,IF(D5="XPMLP",5400,IF(D5="XPMLP-01",5400,IF(D5="Xpander P",5400,IF(D5="ML",6000,IF(D5="HL",6000,IF(D5="PR",6000,IF(D5="MLP",6000,IF(D5="HLP",6000,IF(D5="PRP",6000,IF(D5="H57",5200,IF(D5="57",5200,IF(D5="H64",5200,IF(D5="H59",5200,IF(D5="P59",5200,IF(D5="H61",5200,IF(D5="P61",5200,IF(D5="G03",6000,IF(D5="P03",6000,IF(D5="G10",6000,IF(D5="P10",6000,IF(D5="G12",6000,IF(D5="P12",6000,IF(D5="G05",6000,IF(D5="P05",6000,IF(D5="G06",6000,IF(D5="P06",6000,IF(D5="OTP06-01",6000,IF(D5="G08",6000,IF(D5="P08",6000,IF(D5="G09",6000,IF(D5="P09",6000,IF(D5="H38",5700,IF(D5="H37",5700,IF(D5="EH40",5700,IF(D5="EH43",5700,IF(D5="H48",5900,IF(D5="H43",5900,IF(D5="H40",5900,IF(D5="H42",5900,IF(D5="H44",5900,IF(D5="H45",5900,IF(D5="ASX HL",5900,IF(D5="ASX P",5900,IF(D5="ASX HL 4WD",5900,IF(D5="H16",4500,IF(D5="H17",4500,IF(D5="P16",4500,IF(D5="Attrage S",4500,IF(D5="MIG09",4500,IF(D5="MIG10",4500,IF(D5="Xpander HL",5400))))))))))))))))))))))))))))))))))))))))))))))))))))))</f>
        <v>6000</v>
      </c>
    </row>
    <row r="12" spans="1:27" ht="24.6" x14ac:dyDescent="0.4">
      <c r="A12" s="8"/>
      <c r="B12" s="37" t="s">
        <v>20</v>
      </c>
      <c r="C12" s="20" t="s">
        <v>17</v>
      </c>
      <c r="D12" s="36">
        <f>IF(C12="YES",2000,IF(C12="NO",0))</f>
        <v>0</v>
      </c>
      <c r="E12" s="43"/>
      <c r="F12" s="43" t="s">
        <v>21</v>
      </c>
      <c r="G12" s="40"/>
      <c r="H12" s="33">
        <v>600</v>
      </c>
      <c r="I12" s="33"/>
      <c r="J12" s="202" t="s">
        <v>140</v>
      </c>
      <c r="K12" s="45">
        <v>0</v>
      </c>
      <c r="L12" s="45">
        <v>5.2499999999999998E-2</v>
      </c>
      <c r="M12" s="45">
        <v>0.126</v>
      </c>
      <c r="N12" s="201">
        <v>0.26250000000000001</v>
      </c>
      <c r="O12" s="147">
        <f>IF(K20="Esaad",B8*3/100,IF(K20="Emirates Platinum",B8*3/100,IF(K20="Fazaa",B8*3/100,IF(K20="Humat Alwatan",B8*3/100,IF(K20="Permissible",2000,IF(K20="ASX",8400,IF(K20="XPMLP",15100,IF(K20="XP",7200,IF(K20="G43",11000,IF(K20="EC",17000,IF(K20="G37",17000,IF(K20="G38",15000,IF(K20="G40",11000,IF(K20="OUT",3000,IF(K20="F08",14400,IF(K20="P08",11100,IF(K20="F06",13100,IF(K20="P06",13400,IF(K20="F03",3500,IF(K20="F03-1",13500,IF(K20="P03",13100,IF(K20="MON",10000,IF(K20="MON G57",9000,0)))))))))))))))))))))))</f>
        <v>2000</v>
      </c>
      <c r="Z12" s="86" t="s">
        <v>83</v>
      </c>
      <c r="AA12" s="86" t="s">
        <v>84</v>
      </c>
    </row>
    <row r="13" spans="1:27" ht="24.6" x14ac:dyDescent="0.4">
      <c r="A13" s="8">
        <f>B8*1.26582</f>
        <v>121392.13799999999</v>
      </c>
      <c r="B13" s="37" t="s">
        <v>23</v>
      </c>
      <c r="C13" s="20" t="s">
        <v>19</v>
      </c>
      <c r="D13" s="36">
        <f>IF(C13="YES",2000,IF(C13="NO",0))</f>
        <v>2000</v>
      </c>
      <c r="E13" s="47"/>
      <c r="F13" s="47" t="s">
        <v>75</v>
      </c>
      <c r="G13" s="51"/>
      <c r="H13" s="39">
        <v>315</v>
      </c>
      <c r="I13" s="33"/>
      <c r="J13" s="44" t="s">
        <v>54</v>
      </c>
      <c r="K13" s="29" t="s">
        <v>79</v>
      </c>
      <c r="L13" s="29" t="s">
        <v>25</v>
      </c>
      <c r="M13" s="29" t="s">
        <v>0</v>
      </c>
      <c r="N13" s="57" t="s">
        <v>26</v>
      </c>
      <c r="O13" s="9">
        <f>IF(M21="3000-4999",6%,IF(M21="5000-9999",4.75%,IF(M21="10000-14999",3.15%,IF(M21="15000-24999",2.5%,IF(M21="25000-34999",2.25%,IF(M21="35000-99999",2.15%))))))</f>
        <v>4.7500000000000001E-2</v>
      </c>
      <c r="Q13" s="2">
        <f>H7/12</f>
        <v>2006.0677000000003</v>
      </c>
      <c r="U13" s="9">
        <f>IF(M21="3000-4999",6%,IF(M21="5000-9999",3.25%,IF(M21="10000-14999",3%,IF(M21="15000-24999",2.25%,IF(M21="25000-34999",2.15%,IF(M21="35000-99999",1.99%))))))</f>
        <v>3.2500000000000001E-2</v>
      </c>
      <c r="Z13" s="99">
        <f>IF(M21="5000-9999",2.49%,IF(M21="10000-19999",2.19%,IF(M21="20000-34999",2.09%,IF(M21="35000-49999",1.89%,IF(M21="50000-99999",1.79%)))))</f>
        <v>2.4900000000000002E-2</v>
      </c>
      <c r="AA13" s="99">
        <f>IF(M21="5000-9999",2.59%,IF(M21="10000-19999",2.29%,IF(M21="20000-34999",2.19%,IF(M21="35000-49999",1.99%,IF(M21="50000-99999",1.89%)))))</f>
        <v>2.5899999999999999E-2</v>
      </c>
    </row>
    <row r="14" spans="1:27" ht="24.6" x14ac:dyDescent="0.4">
      <c r="A14" s="10" t="s">
        <v>27</v>
      </c>
      <c r="B14" s="37" t="s">
        <v>24</v>
      </c>
      <c r="C14" s="20" t="s">
        <v>19</v>
      </c>
      <c r="D14" s="50">
        <f>IF(C14="YES",U19*3.15*1.05/100,IF(C14="NO",U19*0/100))</f>
        <v>3722.922</v>
      </c>
      <c r="E14" s="48"/>
      <c r="F14" s="48" t="s">
        <v>24</v>
      </c>
      <c r="G14" s="51" t="s">
        <v>17</v>
      </c>
      <c r="H14" s="39">
        <f>IF(G14="YES",U19*3.15*1.05/100,IF(G14="NO",U19*0/100))</f>
        <v>0</v>
      </c>
      <c r="I14" s="33"/>
      <c r="J14" s="44" t="s">
        <v>55</v>
      </c>
      <c r="K14" s="44">
        <f>(H8*K12+H8)/3</f>
        <v>8024.2708000000011</v>
      </c>
      <c r="L14" s="44">
        <f>(H8*L12+H8)/12</f>
        <v>2111.3862542500001</v>
      </c>
      <c r="M14" s="44">
        <f>(H8*M12+H8)/24</f>
        <v>1129.4161151000001</v>
      </c>
      <c r="N14" s="200">
        <f>(H7*N12+H7)/60</f>
        <v>506.53209425000006</v>
      </c>
      <c r="O14" s="9">
        <f>IF(M21="3000-4999",3.89%,IF(M21="5000-9999",3.89%,IF(M21="10000-14999",3.89%,IF(M21="15000-24999",2.69%,IF(M21="25000-34999",2.69%,IF(M21="35000-99999",2.39%,IF(M21="76000-99999",2.5%)))))))</f>
        <v>3.8900000000000004E-2</v>
      </c>
    </row>
    <row r="15" spans="1:27" ht="24.6" x14ac:dyDescent="0.4">
      <c r="A15" s="11">
        <f>(B7*3%)+10+120</f>
        <v>3007</v>
      </c>
      <c r="B15" s="37" t="s">
        <v>28</v>
      </c>
      <c r="C15" s="20" t="s">
        <v>19</v>
      </c>
      <c r="D15" s="29">
        <f>IF(C15="YES",O10,IF(C15="NO",0))</f>
        <v>4081.1400000000003</v>
      </c>
      <c r="E15" s="48"/>
      <c r="F15" s="48" t="s">
        <v>53</v>
      </c>
      <c r="G15" s="51" t="s">
        <v>17</v>
      </c>
      <c r="H15" s="39">
        <f>IF(G15="YES",O10,IF(G15="NO",0))</f>
        <v>0</v>
      </c>
      <c r="I15" s="33"/>
      <c r="J15" s="44"/>
      <c r="K15" s="44"/>
      <c r="L15" s="44"/>
      <c r="M15" s="44"/>
      <c r="N15" s="198"/>
      <c r="O15" s="9" t="b">
        <f>IF(M21="3000-4999",4.99%, IF(M21="5000-11999",2.75%,IF(M21="12000-19999",2.75%,IF(M21="20000-39999",2.25%,IF(M21="40000-69999",2.25%,IF(M21="70000-99999",2.25%))))))</f>
        <v>0</v>
      </c>
      <c r="P15" s="191"/>
    </row>
    <row r="16" spans="1:27" ht="24.6" x14ac:dyDescent="0.4">
      <c r="A16" s="11">
        <f>((B7-B8)*3%+10+120)</f>
        <v>130</v>
      </c>
      <c r="B16" s="37" t="s">
        <v>78</v>
      </c>
      <c r="C16" s="20" t="s">
        <v>19</v>
      </c>
      <c r="D16" s="29">
        <f>IF(C16="YES",O16,IF(C16="NO",0))</f>
        <v>6600</v>
      </c>
      <c r="E16" s="47"/>
      <c r="F16" s="47" t="s">
        <v>74</v>
      </c>
      <c r="G16" s="54"/>
      <c r="H16" s="33">
        <f>I7*1.05%</f>
        <v>1011.0581208000002</v>
      </c>
      <c r="I16" s="33"/>
      <c r="J16" s="44" t="s">
        <v>16</v>
      </c>
      <c r="K16" s="44">
        <f>(K14*3)-H8</f>
        <v>0</v>
      </c>
      <c r="L16" s="44">
        <f>(L14*12)-H8</f>
        <v>1263.8226509999986</v>
      </c>
      <c r="M16" s="44">
        <f>(M14*24)-H8</f>
        <v>3033.174362400001</v>
      </c>
      <c r="N16" s="198"/>
      <c r="O16" s="147">
        <f>IF(B16="RMC-10-70KMS",O11,IF(B16="RMC-10-100000KMS",V11,IF(B16="RMC-40-70KMS",U11, IF(B16="RMC-10-40KMS",X11, IF(B16="RMC-10-60KMS",Y11, IF(B16="RMC-40-100000KMS",W11,0))))))</f>
        <v>6600</v>
      </c>
    </row>
    <row r="17" spans="1:23" ht="24.6" x14ac:dyDescent="0.4">
      <c r="A17" s="11">
        <f>A15+A16</f>
        <v>3137</v>
      </c>
      <c r="B17" s="37"/>
      <c r="C17" s="20"/>
      <c r="D17" s="29">
        <f>SUM(D10:D16)</f>
        <v>19104.062000000002</v>
      </c>
      <c r="E17" s="48"/>
      <c r="F17" s="48"/>
      <c r="G17" s="54"/>
      <c r="H17" s="33">
        <f>+SUM(H12:H16)+(H7)</f>
        <v>25998.870520800003</v>
      </c>
      <c r="I17" s="33"/>
      <c r="J17" s="20"/>
      <c r="K17" s="199"/>
      <c r="L17" s="199"/>
      <c r="M17" s="199"/>
      <c r="N17" s="198"/>
      <c r="O17" s="147">
        <f>IF(B11="FO Ceramic+ Intr&amp;Extr CeramicGold WdwTnt",2700,IF(B11="FO Mirror Camera Sensor",2000))</f>
        <v>2700</v>
      </c>
      <c r="T17" s="1">
        <f>19615-791</f>
        <v>18824</v>
      </c>
    </row>
    <row r="18" spans="1:23" ht="24.6" x14ac:dyDescent="0.4">
      <c r="A18" s="12" t="s">
        <v>29</v>
      </c>
      <c r="B18" s="55" t="s">
        <v>30</v>
      </c>
      <c r="C18" s="197"/>
      <c r="D18" s="57">
        <v>0</v>
      </c>
      <c r="E18" s="38"/>
      <c r="F18" s="20"/>
      <c r="G18" s="20"/>
      <c r="H18" s="37"/>
      <c r="I18" s="37"/>
      <c r="J18" s="37"/>
      <c r="K18" s="37"/>
      <c r="L18" s="37"/>
      <c r="M18" s="37"/>
      <c r="N18" s="37"/>
      <c r="O18" s="9" t="b">
        <f>IF(M21="5000-99999",1.99%)</f>
        <v>0</v>
      </c>
      <c r="U18" s="196" t="s">
        <v>52</v>
      </c>
      <c r="V18" s="196" t="s">
        <v>52</v>
      </c>
    </row>
    <row r="19" spans="1:23" ht="24.6" x14ac:dyDescent="0.4">
      <c r="A19" s="11">
        <f>B8*3.15%</f>
        <v>3020.85</v>
      </c>
      <c r="B19" s="58" t="s">
        <v>31</v>
      </c>
      <c r="C19" s="59"/>
      <c r="D19" s="60">
        <f>IF(K21="DIB EXPAT",O13,IF(K21="DIB LOCAL GVH",U13,IF(K21="Emirates NBD",O14,IF(K21="ADCB",O15,IF(K21="ADCB PAY IN 2027",O19,IF(K21="Ajman Bank",O18,IF(K21="SIB STL",Z13,IF(K21="SIB NON STL",AA13,))))))))</f>
        <v>3.8900000000000004E-2</v>
      </c>
      <c r="E19" s="20"/>
      <c r="F19" s="195"/>
      <c r="G19" s="141" t="s">
        <v>73</v>
      </c>
      <c r="H19" s="142"/>
      <c r="I19" s="143"/>
      <c r="J19" s="109">
        <f>(U19*20/100)/365</f>
        <v>61.676712328767124</v>
      </c>
      <c r="K19" s="37"/>
      <c r="L19" s="37"/>
      <c r="M19" s="37"/>
      <c r="N19" s="34">
        <f>D7</f>
        <v>100695</v>
      </c>
      <c r="O19" s="194" t="b">
        <f>IF(M21="5000-11999",3.35%,IF(M21="12000-19999",3.35%,IF(M21="20000-39999",2.85%,IF(M21="40000-69999",2.85%,IF(M21="70000-99999",2.85%)))))</f>
        <v>0</v>
      </c>
      <c r="P19" s="2">
        <f>81400-2500</f>
        <v>78900</v>
      </c>
      <c r="U19" s="193">
        <f>V19</f>
        <v>112560</v>
      </c>
      <c r="V19" s="192">
        <f>(B7+D10+D11+D12+D13+D16)*1.05</f>
        <v>112560</v>
      </c>
    </row>
    <row r="20" spans="1:23" ht="24.6" x14ac:dyDescent="0.4">
      <c r="A20" s="11"/>
      <c r="B20" s="58" t="s">
        <v>32</v>
      </c>
      <c r="C20" s="59"/>
      <c r="D20" s="63">
        <v>0.2</v>
      </c>
      <c r="E20" s="37"/>
      <c r="F20" s="37"/>
      <c r="G20" s="38"/>
      <c r="H20" s="38"/>
      <c r="I20" s="38"/>
      <c r="J20" s="103"/>
      <c r="K20" s="104" t="s">
        <v>33</v>
      </c>
      <c r="L20" s="104" t="s">
        <v>17</v>
      </c>
      <c r="M20" s="104">
        <f>IF(L20="YES",O12,IF(L20="NO",0))</f>
        <v>0</v>
      </c>
      <c r="N20" s="34">
        <f>B8-M20</f>
        <v>95900</v>
      </c>
      <c r="O20" s="187"/>
      <c r="P20" s="191"/>
      <c r="T20" s="1">
        <f>1992+1084</f>
        <v>3076</v>
      </c>
      <c r="U20" s="186"/>
      <c r="V20" s="2"/>
    </row>
    <row r="21" spans="1:23" ht="24.6" x14ac:dyDescent="0.4">
      <c r="A21" s="13">
        <f>A19+A20</f>
        <v>3020.85</v>
      </c>
      <c r="B21" s="37"/>
      <c r="C21" s="20"/>
      <c r="D21" s="37"/>
      <c r="E21" s="37"/>
      <c r="F21" s="37"/>
      <c r="G21" s="37"/>
      <c r="H21" s="37"/>
      <c r="I21" s="37"/>
      <c r="J21" s="190" t="s">
        <v>34</v>
      </c>
      <c r="K21" s="16" t="s">
        <v>139</v>
      </c>
      <c r="L21" s="16" t="s">
        <v>35</v>
      </c>
      <c r="M21" s="189" t="s">
        <v>80</v>
      </c>
      <c r="N21" s="188"/>
      <c r="O21" s="187"/>
      <c r="T21" s="1">
        <f>25973-12973</f>
        <v>13000</v>
      </c>
      <c r="U21" s="186">
        <f>M14+N7</f>
        <v>3046.4144092200004</v>
      </c>
    </row>
    <row r="22" spans="1:23" s="179" customFormat="1" ht="24.6" x14ac:dyDescent="0.4">
      <c r="A22" s="185"/>
      <c r="B22" s="184" t="s">
        <v>51</v>
      </c>
      <c r="C22" s="183"/>
      <c r="D22" s="183"/>
      <c r="E22" s="183"/>
      <c r="F22" s="183"/>
      <c r="G22" s="183"/>
      <c r="H22" s="183"/>
      <c r="I22" s="183"/>
      <c r="J22" s="183"/>
      <c r="K22" s="183"/>
      <c r="L22" s="183"/>
      <c r="M22" s="183"/>
      <c r="N22" s="182"/>
      <c r="O22" s="181"/>
      <c r="P22" s="180"/>
    </row>
    <row r="23" spans="1:23" s="168" customFormat="1" ht="26.4" x14ac:dyDescent="0.5">
      <c r="A23" s="175" t="s">
        <v>36</v>
      </c>
      <c r="B23" s="172" t="s">
        <v>138</v>
      </c>
      <c r="C23" s="169"/>
      <c r="D23" s="169"/>
      <c r="E23" s="169"/>
      <c r="F23" s="169"/>
      <c r="G23" s="169"/>
      <c r="H23" s="176"/>
      <c r="I23" s="176"/>
      <c r="J23" s="169"/>
      <c r="K23" s="169"/>
      <c r="L23" s="169"/>
      <c r="M23" s="169"/>
      <c r="N23" s="178"/>
      <c r="O23" s="170"/>
      <c r="P23" s="169"/>
    </row>
    <row r="24" spans="1:23" s="168" customFormat="1" ht="26.4" x14ac:dyDescent="0.5">
      <c r="A24" s="175" t="s">
        <v>36</v>
      </c>
      <c r="B24" s="172" t="s">
        <v>137</v>
      </c>
      <c r="C24" s="169"/>
      <c r="D24" s="169"/>
      <c r="E24" s="169"/>
      <c r="F24" s="169"/>
      <c r="G24" s="169"/>
      <c r="H24" s="177">
        <f>H7/365</f>
        <v>65.95291068493151</v>
      </c>
      <c r="I24" s="177">
        <f>H7+H12+H16</f>
        <v>25683.870520800003</v>
      </c>
      <c r="J24" s="169"/>
      <c r="K24" s="169"/>
      <c r="L24" s="169"/>
      <c r="M24" s="169"/>
      <c r="N24" s="173"/>
      <c r="O24" s="170"/>
      <c r="P24" s="169">
        <f>1232+480</f>
        <v>1712</v>
      </c>
      <c r="T24" s="168">
        <f>88704/1.05</f>
        <v>84480</v>
      </c>
    </row>
    <row r="25" spans="1:23" s="168" customFormat="1" ht="26.4" x14ac:dyDescent="0.5">
      <c r="A25" s="175" t="s">
        <v>36</v>
      </c>
      <c r="B25" s="172" t="s">
        <v>136</v>
      </c>
      <c r="C25" s="169"/>
      <c r="D25" s="169"/>
      <c r="E25" s="169"/>
      <c r="F25" s="169"/>
      <c r="G25" s="169"/>
      <c r="H25" s="176"/>
      <c r="I25" s="176"/>
      <c r="J25" s="169"/>
      <c r="K25" s="169"/>
      <c r="L25" s="169"/>
      <c r="M25" s="169"/>
      <c r="N25" s="173"/>
      <c r="O25" s="170"/>
      <c r="P25" s="169"/>
      <c r="Q25" s="168">
        <f>79400-5233.33</f>
        <v>74166.67</v>
      </c>
      <c r="R25" s="168">
        <f>Q25*1.05</f>
        <v>77875.003500000006</v>
      </c>
      <c r="W25" s="168">
        <f>1999+1224</f>
        <v>3223</v>
      </c>
    </row>
    <row r="26" spans="1:23" s="168" customFormat="1" ht="26.4" x14ac:dyDescent="0.5">
      <c r="A26" s="175" t="s">
        <v>36</v>
      </c>
      <c r="B26" s="172" t="s">
        <v>135</v>
      </c>
      <c r="C26" s="169"/>
      <c r="D26" s="169"/>
      <c r="E26" s="169"/>
      <c r="F26" s="169"/>
      <c r="G26" s="169"/>
      <c r="H26" s="169"/>
      <c r="I26" s="169"/>
      <c r="J26" s="169"/>
      <c r="K26" s="169"/>
      <c r="L26" s="169"/>
      <c r="M26" s="169"/>
      <c r="N26" s="173"/>
      <c r="O26" s="170" t="s">
        <v>37</v>
      </c>
      <c r="P26" s="169"/>
      <c r="R26" s="168">
        <f>R25+2469</f>
        <v>80344.003500000006</v>
      </c>
    </row>
    <row r="27" spans="1:23" s="168" customFormat="1" ht="26.4" x14ac:dyDescent="0.5">
      <c r="A27" s="175" t="s">
        <v>36</v>
      </c>
      <c r="B27" s="172" t="s">
        <v>134</v>
      </c>
      <c r="C27" s="169"/>
      <c r="D27" s="169"/>
      <c r="E27" s="169"/>
      <c r="F27" s="169"/>
      <c r="G27" s="169"/>
      <c r="H27" s="169"/>
      <c r="I27" s="169"/>
      <c r="J27" s="169"/>
      <c r="K27" s="169"/>
      <c r="L27" s="169"/>
      <c r="M27" s="169"/>
      <c r="N27" s="173"/>
      <c r="O27" s="170">
        <f>129500-110900</f>
        <v>18600</v>
      </c>
      <c r="P27" s="169"/>
      <c r="W27" s="174">
        <f>N7+L14</f>
        <v>4028.3845483700002</v>
      </c>
    </row>
    <row r="28" spans="1:23" s="168" customFormat="1" ht="26.4" x14ac:dyDescent="0.5">
      <c r="B28" s="172" t="s">
        <v>133</v>
      </c>
      <c r="C28" s="169"/>
      <c r="D28" s="169"/>
      <c r="E28" s="169"/>
      <c r="F28" s="169"/>
      <c r="G28" s="169"/>
      <c r="H28" s="169"/>
      <c r="I28" s="169"/>
      <c r="J28" s="169"/>
      <c r="K28" s="169"/>
      <c r="L28" s="169"/>
      <c r="M28" s="169"/>
      <c r="N28" s="173"/>
      <c r="O28" s="170">
        <f>85000-69900</f>
        <v>15100</v>
      </c>
      <c r="P28" s="169"/>
    </row>
    <row r="29" spans="1:23" s="168" customFormat="1" ht="26.4" x14ac:dyDescent="0.5">
      <c r="B29" s="172" t="s">
        <v>132</v>
      </c>
      <c r="C29" s="169"/>
      <c r="D29" s="169"/>
      <c r="E29" s="169"/>
      <c r="F29" s="169"/>
      <c r="G29" s="169"/>
      <c r="H29" s="169"/>
      <c r="I29" s="169"/>
      <c r="J29" s="169"/>
      <c r="K29" s="169"/>
      <c r="L29" s="169"/>
      <c r="M29" s="169"/>
      <c r="N29" s="171"/>
      <c r="O29" s="170"/>
      <c r="P29" s="169"/>
    </row>
    <row r="30" spans="1:23" x14ac:dyDescent="0.3">
      <c r="B30" s="167" t="s">
        <v>38</v>
      </c>
      <c r="C30" s="166"/>
      <c r="D30" s="166"/>
      <c r="E30" s="166"/>
      <c r="F30" s="166"/>
      <c r="G30" s="166"/>
      <c r="H30" s="166"/>
      <c r="I30" s="166"/>
      <c r="J30" s="166"/>
      <c r="K30" s="166"/>
      <c r="L30" s="166"/>
      <c r="M30" s="166"/>
      <c r="N30" s="165"/>
      <c r="O30" s="147"/>
    </row>
    <row r="31" spans="1:23" x14ac:dyDescent="0.3">
      <c r="B31" s="146"/>
      <c r="C31" s="145"/>
      <c r="D31" s="145"/>
      <c r="E31" s="145"/>
      <c r="F31" s="145"/>
      <c r="G31" s="145"/>
      <c r="H31" s="145"/>
      <c r="I31" s="145"/>
      <c r="J31" s="145"/>
      <c r="K31" s="145"/>
      <c r="L31" s="145"/>
      <c r="M31" s="145"/>
      <c r="N31" s="144"/>
      <c r="O31" s="147"/>
    </row>
    <row r="32" spans="1:23" s="86" customFormat="1" ht="20.399999999999999" x14ac:dyDescent="0.35">
      <c r="B32" s="118" t="s">
        <v>39</v>
      </c>
      <c r="C32" s="119"/>
      <c r="D32" s="119"/>
      <c r="E32" s="119"/>
      <c r="F32" s="119"/>
      <c r="G32" s="119"/>
      <c r="H32" s="119"/>
      <c r="I32" s="119"/>
      <c r="J32" s="119"/>
      <c r="K32" s="119"/>
      <c r="L32" s="119"/>
      <c r="M32" s="119"/>
      <c r="N32" s="120"/>
      <c r="O32" s="92"/>
      <c r="P32" s="83"/>
    </row>
    <row r="33" spans="2:16" s="86" customFormat="1" ht="20.399999999999999" x14ac:dyDescent="0.35">
      <c r="B33" s="118" t="s">
        <v>40</v>
      </c>
      <c r="C33" s="119"/>
      <c r="D33" s="119"/>
      <c r="E33" s="119"/>
      <c r="F33" s="119"/>
      <c r="G33" s="119"/>
      <c r="H33" s="119"/>
      <c r="I33" s="119"/>
      <c r="J33" s="119"/>
      <c r="K33" s="119"/>
      <c r="L33" s="119"/>
      <c r="M33" s="119"/>
      <c r="N33" s="120"/>
      <c r="O33" s="92"/>
      <c r="P33" s="83"/>
    </row>
    <row r="34" spans="2:16" s="86" customFormat="1" ht="20.399999999999999" x14ac:dyDescent="0.35">
      <c r="B34" s="107" t="s">
        <v>131</v>
      </c>
      <c r="C34" s="108"/>
      <c r="D34" s="108"/>
      <c r="E34" s="108"/>
      <c r="F34" s="108"/>
      <c r="G34" s="164" t="s">
        <v>130</v>
      </c>
      <c r="H34" s="164"/>
      <c r="I34" s="163"/>
      <c r="J34" s="163"/>
      <c r="K34" s="163"/>
      <c r="L34" s="163"/>
      <c r="M34" s="162" t="s">
        <v>129</v>
      </c>
      <c r="N34" s="161"/>
      <c r="O34" s="83"/>
      <c r="P34" s="83"/>
    </row>
    <row r="35" spans="2:16" x14ac:dyDescent="0.3">
      <c r="B35" s="160"/>
      <c r="C35" s="159"/>
      <c r="D35" s="159"/>
      <c r="E35" s="159"/>
      <c r="F35" s="159"/>
      <c r="G35" s="159"/>
      <c r="H35" s="159"/>
      <c r="I35" s="159"/>
      <c r="J35" s="159"/>
      <c r="K35" s="159"/>
      <c r="L35" s="159"/>
      <c r="M35" s="159"/>
      <c r="N35" s="158"/>
    </row>
    <row r="36" spans="2:16" x14ac:dyDescent="0.3">
      <c r="B36" s="160"/>
      <c r="C36" s="159"/>
      <c r="D36" s="159"/>
      <c r="E36" s="159"/>
      <c r="F36" s="159"/>
      <c r="G36" s="159"/>
      <c r="H36" s="159"/>
      <c r="I36" s="159"/>
      <c r="J36" s="159"/>
      <c r="K36" s="159"/>
      <c r="L36" s="159"/>
      <c r="M36" s="159"/>
      <c r="N36" s="158"/>
    </row>
    <row r="37" spans="2:16" x14ac:dyDescent="0.3">
      <c r="B37" s="160"/>
      <c r="C37" s="159"/>
      <c r="D37" s="159"/>
      <c r="E37" s="159"/>
      <c r="F37" s="159"/>
      <c r="G37" s="159"/>
      <c r="H37" s="159"/>
      <c r="I37" s="159"/>
      <c r="J37" s="159"/>
      <c r="K37" s="159"/>
      <c r="L37" s="159"/>
      <c r="M37" s="159"/>
      <c r="N37" s="158"/>
    </row>
    <row r="38" spans="2:16" ht="16.8" x14ac:dyDescent="0.3">
      <c r="B38" s="149" t="s">
        <v>128</v>
      </c>
      <c r="C38" s="157"/>
      <c r="D38" s="154"/>
      <c r="E38" s="151"/>
      <c r="F38" s="151"/>
      <c r="G38" s="151"/>
      <c r="H38" s="151"/>
      <c r="I38" s="151"/>
      <c r="J38" s="152"/>
      <c r="K38" s="151"/>
      <c r="L38" s="151"/>
      <c r="M38" s="151"/>
      <c r="N38" s="156"/>
    </row>
    <row r="39" spans="2:16" ht="16.8" x14ac:dyDescent="0.3">
      <c r="B39" s="149" t="s">
        <v>127</v>
      </c>
      <c r="C39" s="155"/>
      <c r="D39" s="154"/>
      <c r="E39" s="151"/>
      <c r="F39" s="151"/>
      <c r="G39" s="151"/>
      <c r="H39" s="151"/>
      <c r="I39" s="151"/>
      <c r="J39" s="152"/>
      <c r="K39" s="151"/>
      <c r="L39" s="151"/>
      <c r="M39" s="151"/>
      <c r="N39" s="150"/>
    </row>
    <row r="40" spans="2:16" ht="16.8" x14ac:dyDescent="0.3">
      <c r="B40" s="149" t="s">
        <v>126</v>
      </c>
      <c r="C40" s="153"/>
      <c r="D40" s="151"/>
      <c r="E40" s="151"/>
      <c r="F40" s="151"/>
      <c r="G40" s="151"/>
      <c r="H40" s="151"/>
      <c r="I40" s="151"/>
      <c r="J40" s="152"/>
      <c r="K40" s="151"/>
      <c r="L40" s="151"/>
      <c r="M40" s="151"/>
      <c r="N40" s="150"/>
    </row>
    <row r="41" spans="2:16" ht="16.8" x14ac:dyDescent="0.3">
      <c r="B41" s="149" t="s">
        <v>125</v>
      </c>
      <c r="N41" s="148"/>
    </row>
    <row r="42" spans="2:16" ht="16.8" x14ac:dyDescent="0.3">
      <c r="B42" s="149" t="s">
        <v>124</v>
      </c>
      <c r="N42" s="148"/>
    </row>
    <row r="43" spans="2:16" ht="16.8" x14ac:dyDescent="0.3">
      <c r="B43" s="149" t="s">
        <v>123</v>
      </c>
      <c r="N43" s="148"/>
    </row>
    <row r="44" spans="2:16" ht="16.8" x14ac:dyDescent="0.3">
      <c r="B44" s="149" t="s">
        <v>122</v>
      </c>
      <c r="N44" s="148"/>
    </row>
    <row r="45" spans="2:16" ht="16.8" x14ac:dyDescent="0.3">
      <c r="B45" s="149" t="s">
        <v>121</v>
      </c>
      <c r="N45" s="148"/>
    </row>
    <row r="46" spans="2:16" ht="16.8" x14ac:dyDescent="0.3">
      <c r="B46" s="149" t="s">
        <v>120</v>
      </c>
      <c r="N46" s="148"/>
    </row>
    <row r="47" spans="2:16" x14ac:dyDescent="0.3">
      <c r="B47" s="146" t="s">
        <v>39</v>
      </c>
      <c r="C47" s="145"/>
      <c r="D47" s="145"/>
      <c r="E47" s="145"/>
      <c r="F47" s="145"/>
      <c r="G47" s="145"/>
      <c r="H47" s="145"/>
      <c r="I47" s="145"/>
      <c r="J47" s="145"/>
      <c r="K47" s="145"/>
      <c r="L47" s="145"/>
      <c r="M47" s="145"/>
      <c r="N47" s="144"/>
      <c r="O47" s="147"/>
    </row>
    <row r="48" spans="2:16" x14ac:dyDescent="0.3">
      <c r="B48" s="146" t="s">
        <v>40</v>
      </c>
      <c r="C48" s="145"/>
      <c r="D48" s="145"/>
      <c r="E48" s="145"/>
      <c r="F48" s="145"/>
      <c r="G48" s="145"/>
      <c r="H48" s="145"/>
      <c r="I48" s="145"/>
      <c r="J48" s="145"/>
      <c r="K48" s="145"/>
      <c r="L48" s="145"/>
      <c r="M48" s="145"/>
      <c r="N48" s="144"/>
      <c r="O48" s="147"/>
    </row>
    <row r="49" spans="2:14" x14ac:dyDescent="0.3">
      <c r="B49" s="146" t="s">
        <v>119</v>
      </c>
      <c r="C49" s="145"/>
      <c r="D49" s="145"/>
      <c r="E49" s="145"/>
      <c r="F49" s="145"/>
      <c r="G49" s="145"/>
      <c r="H49" s="145"/>
      <c r="I49" s="145"/>
      <c r="J49" s="145"/>
      <c r="K49" s="145"/>
      <c r="L49" s="145"/>
      <c r="M49" s="145"/>
      <c r="N49" s="144"/>
    </row>
    <row r="50" spans="2:14" ht="25.8" x14ac:dyDescent="0.3">
      <c r="C50" s="15" t="s">
        <v>41</v>
      </c>
    </row>
    <row r="51" spans="2:14" ht="25.8" x14ac:dyDescent="0.3">
      <c r="C51" s="15" t="s">
        <v>42</v>
      </c>
    </row>
    <row r="52" spans="2:14" ht="25.8" x14ac:dyDescent="0.3">
      <c r="C52" s="15" t="s">
        <v>43</v>
      </c>
    </row>
    <row r="53" spans="2:14" ht="25.8" x14ac:dyDescent="0.3">
      <c r="C53" s="15" t="s">
        <v>44</v>
      </c>
    </row>
    <row r="54" spans="2:14" ht="25.8" x14ac:dyDescent="0.3">
      <c r="C54" s="15" t="s">
        <v>45</v>
      </c>
    </row>
  </sheetData>
  <dataConsolidate/>
  <mergeCells count="11">
    <mergeCell ref="F8:G8"/>
    <mergeCell ref="F9:G9"/>
    <mergeCell ref="G19:I19"/>
    <mergeCell ref="B22:N22"/>
    <mergeCell ref="B30:N30"/>
    <mergeCell ref="B32:N32"/>
    <mergeCell ref="B33:N33"/>
    <mergeCell ref="B47:N47"/>
    <mergeCell ref="B48:N48"/>
    <mergeCell ref="B49:N49"/>
    <mergeCell ref="B31:N31"/>
  </mergeCells>
  <dataValidations count="11">
    <dataValidation type="list" allowBlank="1" showInputMessage="1" showErrorMessage="1" sqref="H34" xr:uid="{AC4676CE-26DA-4AC5-B36F-B6A4DB4043E1}">
      <formula1>"ALAA HAMMAD,KHALED QASSEM,RAMY RAOUF,SIMON LOBO,MHAREN CLEMENTE GARADO"</formula1>
    </dataValidation>
    <dataValidation type="list" allowBlank="1" showInputMessage="1" showErrorMessage="1" sqref="M34" xr:uid="{95D63BC2-F39D-464A-ABC3-38D37F55A45B}">
      <formula1>"Alaa Hammad,Bachir Ibrahim Mourad,Khaled Qassem,Ramy Raoof,Simon Lobo,Mharen Clemente Garado,Ranjith"</formula1>
    </dataValidation>
    <dataValidation type="list" allowBlank="1" showInputMessage="1" showErrorMessage="1" sqref="B11" xr:uid="{717EA880-97D4-462B-876E-756FB2FEC616}">
      <formula1>"FO Ceramic+ Intr&amp;Extr CeramicGold WdwTnt,FO Mirror Camera Sensor"</formula1>
    </dataValidation>
    <dataValidation type="list" allowBlank="1" showInputMessage="1" showErrorMessage="1" sqref="B12" xr:uid="{E1C8EC6F-5A01-4758-9B9C-879354FE09E3}">
      <formula1>"FO Exterior ceramic All Cars SCOTCHGUARD,FO Mirror Camera Sensor,FO PPF Gold Package "</formula1>
    </dataValidation>
    <dataValidation type="list" allowBlank="1" showInputMessage="1" showErrorMessage="1" sqref="K20" xr:uid="{3395EBF6-C279-485C-9193-E11AC6E46B8B}">
      <formula1>"Esaad,Emirates Platinum,Fazaa,Humat Alwatan,Permissible,ASX,XPMLP,XP,MON,MON G57,OUT,F08,P08,F06,P06,F03,F03-1,P03,EC,G37,G38,G40,G43"</formula1>
    </dataValidation>
    <dataValidation type="list" allowBlank="1" showInputMessage="1" showErrorMessage="1" sqref="B16" xr:uid="{03583CBF-D534-4FC2-B5A9-9948D5B68D02}">
      <formula1>"RMC-10-40KMS,RMC-10-60KMS,RMC-10-70KMS,RMC-10-100000KMS,RMC-40-70KMS,RMC-40-100000KMS"</formula1>
    </dataValidation>
    <dataValidation type="list" allowBlank="1" showInputMessage="1" showErrorMessage="1" sqref="K24" xr:uid="{9322AA83-45FD-493D-AC13-13E222522F6F}">
      <formula1>"RMC-10-70K,RMC-10-100000K,RMC-40-70K"</formula1>
    </dataValidation>
    <dataValidation type="list" allowBlank="1" showInputMessage="1" showErrorMessage="1" sqref="D5" xr:uid="{AB9D3A41-2581-4DBE-B0B9-8526C57A3858}">
      <formula1>"MIG09,MIG10,H16,P16,H17,H48,H43,H40,H42,H44,H45,H38,H37,EH40,EH43,ML,HL,PR, MLP,HLP,PRP,XPML,XPHL,XPMLP, XPMLP-01,XC, G10,P10, G03, P03, G06,P06,G12,P12,G05,P05,G08,P08,G09,P09,H57,P57,H64,H59,P59,H61,P61"</formula1>
    </dataValidation>
    <dataValidation type="list" allowBlank="1" showInputMessage="1" showErrorMessage="1" sqref="M21" xr:uid="{AC7FC0BE-526B-4416-9EE6-42E6480A5FA9}">
      <formula1>"3000-4999,5000-9999,5000-99999,10000-14999,15000-24999,25000-34999,35000-99999,5000-11999,12000-19999,20000-39999,40000-69999,70000-99999"</formula1>
    </dataValidation>
    <dataValidation type="list" allowBlank="1" showInputMessage="1" showErrorMessage="1" sqref="C10:C16 L20 L24:L25 G14:G15 J10" xr:uid="{06D7E907-B7B4-44DA-8E65-E0F08F41A713}">
      <formula1>"YES,NO"</formula1>
    </dataValidation>
    <dataValidation type="list" allowBlank="1" showInputMessage="1" showErrorMessage="1" sqref="K21" xr:uid="{9562CF1A-C78C-444F-B120-7E1C2CF56053}">
      <formula1>"ADCB,ADCB PAY IN 2027,Ajman Bank,ADIB,DIB EXPAT,DIB LOCAL GVH,Emirates NBD,EIB,FAB,RAK,SIB STL,SIB NON STL"</formula1>
    </dataValidation>
  </dataValidations>
  <pageMargins left="0.23622047244094491" right="0.23622047244094491" top="0.74803149606299213" bottom="0.74803149606299213" header="0.31496062992125984" footer="0.31496062992125984"/>
  <pageSetup paperSize="9" scale="40" orientation="landscape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FB2C17-A7A2-41F0-837A-1E19D6A783D0}">
  <sheetPr>
    <pageSetUpPr fitToPage="1"/>
  </sheetPr>
  <dimension ref="A1:AA54"/>
  <sheetViews>
    <sheetView topLeftCell="B1" zoomScaleNormal="100" workbookViewId="0">
      <selection activeCell="D5" sqref="D5"/>
    </sheetView>
  </sheetViews>
  <sheetFormatPr defaultColWidth="9.109375" defaultRowHeight="15.6" x14ac:dyDescent="0.3"/>
  <cols>
    <col min="1" max="1" width="16" style="1" hidden="1" customWidth="1"/>
    <col min="2" max="2" width="75.109375" style="2" customWidth="1"/>
    <col min="3" max="3" width="26.88671875" style="3" customWidth="1"/>
    <col min="4" max="4" width="23.88671875" style="2" customWidth="1"/>
    <col min="5" max="5" width="23.33203125" style="2" customWidth="1"/>
    <col min="6" max="6" width="19.88671875" style="2" customWidth="1"/>
    <col min="7" max="7" width="23.33203125" style="2" customWidth="1"/>
    <col min="8" max="8" width="24.44140625" style="2" customWidth="1"/>
    <col min="9" max="9" width="27.109375" style="2" customWidth="1"/>
    <col min="10" max="10" width="26.6640625" style="2" customWidth="1"/>
    <col min="11" max="11" width="25.44140625" style="2" customWidth="1"/>
    <col min="12" max="12" width="20.5546875" style="2" customWidth="1"/>
    <col min="13" max="13" width="20.109375" style="2" customWidth="1"/>
    <col min="14" max="14" width="19.5546875" style="2" customWidth="1"/>
    <col min="15" max="15" width="15.109375" style="2" bestFit="1" customWidth="1"/>
    <col min="16" max="16" width="12.6640625" style="2" hidden="1" customWidth="1"/>
    <col min="17" max="17" width="12.6640625" style="1" hidden="1" customWidth="1"/>
    <col min="18" max="18" width="15.6640625" style="1" hidden="1" customWidth="1"/>
    <col min="19" max="19" width="13" style="1" hidden="1" customWidth="1"/>
    <col min="20" max="20" width="17.109375" style="1" hidden="1" customWidth="1"/>
    <col min="21" max="21" width="14.5546875" style="1" bestFit="1" customWidth="1"/>
    <col min="22" max="22" width="19" style="1" customWidth="1"/>
    <col min="23" max="23" width="22.5546875" style="1" bestFit="1" customWidth="1"/>
    <col min="24" max="25" width="9.109375" style="1"/>
    <col min="26" max="26" width="14" style="1" bestFit="1" customWidth="1"/>
    <col min="27" max="27" width="22.33203125" style="1" bestFit="1" customWidth="1"/>
    <col min="28" max="16384" width="9.109375" style="1"/>
  </cols>
  <sheetData>
    <row r="1" spans="1:27" ht="15.75" customHeight="1" x14ac:dyDescent="0.3">
      <c r="B1" s="222" t="s">
        <v>148</v>
      </c>
      <c r="C1" s="221"/>
      <c r="D1" s="221"/>
      <c r="E1" s="221"/>
      <c r="F1" s="221"/>
      <c r="G1" s="221"/>
      <c r="H1" s="221"/>
      <c r="I1" s="221"/>
      <c r="J1" s="221"/>
      <c r="K1" s="221"/>
      <c r="L1" s="221"/>
      <c r="M1" s="221"/>
      <c r="N1" s="220"/>
    </row>
    <row r="2" spans="1:27" ht="15.75" customHeight="1" x14ac:dyDescent="0.3">
      <c r="B2" s="219" t="s">
        <v>147</v>
      </c>
      <c r="C2" s="218"/>
      <c r="D2" s="218"/>
      <c r="E2" s="218"/>
      <c r="F2" s="218"/>
      <c r="G2" s="218"/>
      <c r="H2" s="218"/>
      <c r="I2" s="218"/>
      <c r="J2" s="218"/>
      <c r="K2" s="218"/>
      <c r="L2" s="218"/>
      <c r="M2" s="218"/>
      <c r="N2" s="217"/>
      <c r="Q2" s="2"/>
      <c r="S2" s="186"/>
    </row>
    <row r="3" spans="1:27" ht="15.75" customHeight="1" x14ac:dyDescent="0.3">
      <c r="B3" s="219" t="s">
        <v>146</v>
      </c>
      <c r="C3" s="218"/>
      <c r="D3" s="218"/>
      <c r="E3" s="218"/>
      <c r="F3" s="218"/>
      <c r="G3" s="218"/>
      <c r="H3" s="218"/>
      <c r="I3" s="218"/>
      <c r="J3" s="218"/>
      <c r="K3" s="218"/>
      <c r="L3" s="218"/>
      <c r="M3" s="218"/>
      <c r="N3" s="217"/>
      <c r="O3" s="3"/>
      <c r="P3" s="3"/>
      <c r="Q3" s="153"/>
      <c r="R3" s="153"/>
      <c r="S3" s="216" t="e">
        <f>N7+J14</f>
        <v>#VALUE!</v>
      </c>
      <c r="T3" s="216"/>
      <c r="U3" s="153"/>
      <c r="V3" s="153"/>
      <c r="W3" s="153"/>
      <c r="AA3" s="1">
        <f>273000/5</f>
        <v>54600</v>
      </c>
    </row>
    <row r="4" spans="1:27" ht="15.75" customHeight="1" x14ac:dyDescent="0.3">
      <c r="B4" s="215"/>
      <c r="C4" s="214"/>
      <c r="D4" s="214"/>
      <c r="E4" s="214"/>
      <c r="F4" s="214"/>
      <c r="G4" s="214"/>
      <c r="H4" s="214"/>
      <c r="I4" s="214"/>
      <c r="J4" s="214"/>
      <c r="K4" s="214"/>
      <c r="L4" s="214"/>
      <c r="M4" s="214"/>
      <c r="N4" s="213"/>
      <c r="O4" s="212" t="s">
        <v>0</v>
      </c>
      <c r="P4" s="212"/>
      <c r="Q4" s="210"/>
      <c r="R4" s="210"/>
      <c r="S4" s="211"/>
      <c r="T4" s="211"/>
      <c r="U4" s="210" t="s">
        <v>1</v>
      </c>
      <c r="V4" s="210" t="s">
        <v>2</v>
      </c>
      <c r="W4" s="210" t="s">
        <v>3</v>
      </c>
    </row>
    <row r="5" spans="1:27" ht="25.2" thickBot="1" x14ac:dyDescent="0.45">
      <c r="B5" s="17"/>
      <c r="C5" s="18" t="str">
        <f>IF(D5="MIG09","Mirage G09",IF(D5="MIG10","MirageG10",IF(D5="H16","Attrage H16",IF(D5="P16","Attrage P16",IF(D5="H17","Attrage H17",IF(D5="H48","ASX H48",IF(D5="H43","ASX H43",IF(D5="H40","ASX H40",IF(D5="H42","ASX H42",IF(D5="H44","ASX H44",IF(D5="H45","ASX H45",IF(D5="H38","Eclipse H38",IF(D5="H37","Eclipse H37",IF(D5="EH40","Eclipse H40",IF(D5="EH43","Eclipse H43",IF(D5="XPML","Xpander ML",IF(D5="ML","Destinator ML",IF(D5="HL","Destinator HL",IF(D5="PR","Destinator PR",IF(D5="MLP","Destinator MLP",IF(D5="HLP","Destinator HLP",IF(D5="PRP","Destinator PRP",IF(D5="XPHL","Xpander HL",IF(D5="XPMLP","Xpander ML P",IF(D5="XPMLP-01","Xpander ML P-01",IF(D5="XC","Xpander Cross",IF(D5="G03","Outlander G03",IF(D5="P03","Outlander P03",IF(D5="G06","Outlander G06",IF(D5="P06","Outlander P06",IF(D5="OTP06-01","Outlander P06-01",IF(D5="G08","Outlander G08",IF(D5="P08","Outlander P08",IF(D5="H57","Montero H57",IF(D5="P57","Montero P57",IF(D5="H64","Montero G64",IF(D5="H59","Montero G59",IF(D5="P59","Montero G59 P",IF(D5="H61","Montero G61",IF(D5="P61","Montero P61",IF(D5="G10","Outlander G10",IF(D5="P10","Outlander P10",IF(D5="G12","Outlander G12",IF(D5="P12","Outlander P12",IF(D5="G05","Outlander G05",IF(D5="P05","Outlander P05",IF(D5="G09","Outlander G09",IF(D5="P09","Outlander P09",))))))))))))))))))))))))))))))))))))))))))))))))</f>
        <v>Destinator ML</v>
      </c>
      <c r="D5" s="19" t="s">
        <v>186</v>
      </c>
      <c r="E5" s="20" t="s">
        <v>145</v>
      </c>
      <c r="F5" s="37"/>
      <c r="G5" s="37"/>
      <c r="H5" s="37"/>
      <c r="I5" s="20"/>
      <c r="J5" s="34"/>
      <c r="K5" s="209">
        <v>0</v>
      </c>
      <c r="L5" s="208">
        <v>3.39E-2</v>
      </c>
      <c r="M5" s="208">
        <v>6.7799999999999999E-2</v>
      </c>
      <c r="N5" s="208">
        <v>0.1017</v>
      </c>
      <c r="O5" s="147">
        <f>K7+K14</f>
        <v>9637.5594603200007</v>
      </c>
      <c r="S5" s="186"/>
      <c r="U5" s="186">
        <f>L7+L14</f>
        <v>3979.0133966533331</v>
      </c>
      <c r="V5" s="186">
        <f>M7+M14</f>
        <v>2690.73846392</v>
      </c>
      <c r="W5" s="186">
        <f>N7+N14</f>
        <v>1891.4704633199999</v>
      </c>
    </row>
    <row r="6" spans="1:27" s="5" customFormat="1" ht="99" thickBot="1" x14ac:dyDescent="0.35">
      <c r="A6" s="4" t="s">
        <v>4</v>
      </c>
      <c r="B6" s="26" t="s">
        <v>5</v>
      </c>
      <c r="C6" s="27" t="s">
        <v>6</v>
      </c>
      <c r="D6" s="27" t="s">
        <v>144</v>
      </c>
      <c r="E6" s="27" t="s">
        <v>7</v>
      </c>
      <c r="F6" s="27" t="s">
        <v>8</v>
      </c>
      <c r="G6" s="28" t="s">
        <v>9</v>
      </c>
      <c r="H6" s="28" t="s">
        <v>143</v>
      </c>
      <c r="I6" s="28" t="s">
        <v>10</v>
      </c>
      <c r="J6" s="28" t="s">
        <v>142</v>
      </c>
      <c r="K6" s="28" t="s">
        <v>11</v>
      </c>
      <c r="L6" s="28" t="s">
        <v>12</v>
      </c>
      <c r="M6" s="28" t="s">
        <v>13</v>
      </c>
      <c r="N6" s="28" t="s">
        <v>14</v>
      </c>
      <c r="O6" s="207"/>
      <c r="P6" s="206"/>
      <c r="T6" s="205"/>
      <c r="U6" s="205">
        <f>N7+L14</f>
        <v>3143.9962233200004</v>
      </c>
      <c r="V6" s="205">
        <f>N7+K14</f>
        <v>7758.7708203200018</v>
      </c>
      <c r="W6" s="205" t="e">
        <f>N7+J14</f>
        <v>#VALUE!</v>
      </c>
    </row>
    <row r="7" spans="1:27" ht="25.2" thickBot="1" x14ac:dyDescent="0.45">
      <c r="A7" s="6">
        <f>B8</f>
        <v>71900</v>
      </c>
      <c r="B7" s="29">
        <f>IF(L20="YES",C8*1,IF(L20="NO",B8*1))</f>
        <v>71900</v>
      </c>
      <c r="C7" s="29">
        <f>B7*5/100</f>
        <v>3595</v>
      </c>
      <c r="D7" s="203">
        <f>B7+C7</f>
        <v>75495</v>
      </c>
      <c r="E7" s="29">
        <f>D17</f>
        <v>17879.432000000001</v>
      </c>
      <c r="F7" s="29">
        <f>(C7)+(D10+D11+D12+D13+D16)*5/100</f>
        <v>4160</v>
      </c>
      <c r="G7" s="30">
        <f>B7+E7+F7</f>
        <v>93939.432000000001</v>
      </c>
      <c r="H7" s="29">
        <f>G7*D20</f>
        <v>18787.886399999999</v>
      </c>
      <c r="I7" s="30">
        <f>(G7-H7)</f>
        <v>75151.545599999998</v>
      </c>
      <c r="J7" s="30">
        <f>(((I7*D19)*1)+I7)/12</f>
        <v>6506.2450603200004</v>
      </c>
      <c r="K7" s="30">
        <f>(((I7*D19)*2)+I7)/24</f>
        <v>3374.9306603199998</v>
      </c>
      <c r="L7" s="30">
        <f>(((I7*D19)*3)+I7)/36</f>
        <v>2331.1591936533332</v>
      </c>
      <c r="M7" s="30">
        <f>(((I7*D19)*4)+I7)/48</f>
        <v>1809.2734603199999</v>
      </c>
      <c r="N7" s="30">
        <f>((((I7*D19)*5)+I7)/60)</f>
        <v>1496.14202032</v>
      </c>
      <c r="O7" s="147"/>
      <c r="P7" s="2">
        <f>H7+H16</f>
        <v>19576.977628799999</v>
      </c>
      <c r="T7" s="186">
        <f>25973/2</f>
        <v>12986.5</v>
      </c>
    </row>
    <row r="8" spans="1:27" ht="24.6" x14ac:dyDescent="0.4">
      <c r="A8" s="7">
        <v>0.2</v>
      </c>
      <c r="B8" s="31">
        <f>IF(D5="MIG09",39900,IF(D5="MIG10",41900,IF(D5="H16",41900,IF(D5="P16",47400,IF(D5="H17",47900,IF(D5="H48",67900,IF(D5="H43",70900,IF(D5="H40",72900,IF(D5="H42",74900,IF(D5="H44",73900,IF(D5="H45",79900,IF(D5="H38",86900,IF(D5="H37",79900,IF(D5="EH40",99900,IF(D5="EH43",106900,IF(D5="ML",71900,IF(D5="HL",83900,IF(D5="PR",95900,IF(D5="MLP",80900,IF(D5="HLP",91900,IF(D5="PRP",102900,IF(D5="XPML",69900,IF(D5="XPHL",71000,IF(D5="XPMLP",75900,IF(D5="XPMLP-01",77800,IF(D5="XC",84900,IF(D5="G10",81900,IF(D5="P10",93900,IF(D5="G12",97900,IF(D5="P12",105900,IF(D5="G05",104900,IF(D5="P05",105900,IF(D5="G03",92900,IF(D5="P03",100900,IF(D5="G06",109900,IF(D5="P06",114900,IF(D5="OTP06-01",118900,IF(D5="G08",125900,IF(D5="P08",132900,IF(D5="OTP06-01",109900,IF(D5="G09",129900,IF(D5="P09",134900,IF(D5="H57",105900,IF(D5="P57",113900,IF(D5="H64",116900,IF(D5="H59",127900,IF(D5="P59",134900,IF(D5="H61",134900,IF(D5="P61",138900)))))))))))))))))))))))))))))))))))))))))))))))))</f>
        <v>71900</v>
      </c>
      <c r="C8" s="32">
        <f>IF(L20="YES",N20,IF(L20="NO",N20))</f>
        <v>71900</v>
      </c>
      <c r="D8" s="29">
        <v>0</v>
      </c>
      <c r="E8" s="33"/>
      <c r="F8" s="139"/>
      <c r="G8" s="140"/>
      <c r="H8" s="110">
        <f>G7*20/100</f>
        <v>18787.886400000003</v>
      </c>
      <c r="I8" s="34"/>
      <c r="J8" s="34" t="s">
        <v>15</v>
      </c>
      <c r="K8" s="34">
        <f>(I7*K5+I7)/24</f>
        <v>3131.3143999999998</v>
      </c>
      <c r="L8" s="34">
        <f>(I7*L5+I7)/36</f>
        <v>2158.3106387733333</v>
      </c>
      <c r="M8" s="34">
        <f>(I7*M5+I7)/48</f>
        <v>1671.80875816</v>
      </c>
      <c r="N8" s="34">
        <f>(I7*N5+I7)/60</f>
        <v>1379.9076297919999</v>
      </c>
      <c r="O8" s="147">
        <v>0</v>
      </c>
      <c r="P8" s="2">
        <f>P7/12</f>
        <v>1631.4148023999999</v>
      </c>
      <c r="T8" s="1">
        <f>25973-12973</f>
        <v>13000</v>
      </c>
    </row>
    <row r="9" spans="1:27" ht="24.6" x14ac:dyDescent="0.4">
      <c r="A9" s="8">
        <f>B8/(100%-A8)</f>
        <v>89875</v>
      </c>
      <c r="B9" s="109">
        <f>B7-B8</f>
        <v>0</v>
      </c>
      <c r="C9" s="109"/>
      <c r="D9" s="36"/>
      <c r="E9" s="33"/>
      <c r="F9" s="139"/>
      <c r="G9" s="140"/>
      <c r="H9" s="33"/>
      <c r="I9" s="37" t="s">
        <v>16</v>
      </c>
      <c r="J9" s="38">
        <f>(J7*12)-I7</f>
        <v>2923.3951238400041</v>
      </c>
      <c r="K9" s="38">
        <f>(K7*24)-I7</f>
        <v>5846.7902476799936</v>
      </c>
      <c r="L9" s="38">
        <f>(L7*36)-I7</f>
        <v>8770.1853715199977</v>
      </c>
      <c r="M9" s="38">
        <f>(M7*48)-I7</f>
        <v>11693.580495360002</v>
      </c>
      <c r="N9" s="38">
        <f>(N7*60)-I7</f>
        <v>14616.975619200006</v>
      </c>
      <c r="O9" s="147"/>
      <c r="T9" s="1">
        <f>T8/12</f>
        <v>1083.3333333333333</v>
      </c>
      <c r="Z9" s="1" t="s">
        <v>86</v>
      </c>
    </row>
    <row r="10" spans="1:27" ht="24.6" x14ac:dyDescent="0.4">
      <c r="A10" s="8"/>
      <c r="B10" s="37" t="s">
        <v>141</v>
      </c>
      <c r="C10" s="20" t="s">
        <v>17</v>
      </c>
      <c r="D10" s="36">
        <f>IF(C10="YES",700,IF(C10="NO",0))</f>
        <v>0</v>
      </c>
      <c r="E10" s="39"/>
      <c r="F10" s="40"/>
      <c r="G10" s="40"/>
      <c r="H10" s="33"/>
      <c r="I10" s="44" t="s">
        <v>85</v>
      </c>
      <c r="J10" s="117" t="s">
        <v>19</v>
      </c>
      <c r="K10" s="117">
        <f>IF(J10="YES",Z10,IF(J10="NO",0))</f>
        <v>1000</v>
      </c>
      <c r="L10" s="41">
        <f>(L8*36)-I7</f>
        <v>2547.6373958400072</v>
      </c>
      <c r="M10" s="41">
        <f>(M8*48)-I7</f>
        <v>5095.2747916799999</v>
      </c>
      <c r="N10" s="41">
        <f>(N8*60)-I7</f>
        <v>7642.9121875199926</v>
      </c>
      <c r="O10" s="147">
        <f>IF(D5="XC",3690,IF(D5="XPML",3690,IF(D5="XPHL",3690,IF(D5="XPMLP",3690,IF(D5="XPMLP-01",3690,IF(D5="Xpander P",3690,IF(D5="ML",3690,IF(D5="HL",3690,IF(D5="PR",(U19*3/100+510)*1.05,IF(D5="MLP",3690,IF(D5="HLP",(U19*3/100+510)*1.05,IF(D5="PRP",(U19*3/100+510)*1.05,IF(D5="H57",(U19*2.75/100+510)*1.05,IF(D5="P57",(U19*2.75/100+510)*1.05,IF(D5="H64",(U19*2.75/100+510)*1.05,IF(D5="H59",(U19*2.75/100+510)*1.05,IF(D5="P59",(U19*2.75/100+510)*1.05,IF(D5="H61",(U19*2.75/100+510)*1.05,IF(D5="P61",(U19*2.75/100+510)*1.05,IF(D5="G03",(U19*3/100+510)*1.05,IF(D5="G10",(U19*3/100+510)*1.05,IF(D5="P10",(U19*3/100+510)*1.05,IF(D5="G12",(U19*3/100+510)*1.05,IF(D5="P12",(U19*3/100+510)*1.05,IF(D5="G05",(U19*3/100+510)*1.05,IF(D5="P05",(U19*3/100+510)*1.05,IF(D5="P03",(U19*3/100+510)*1.05,IF(D5="G06",(U19*3/100+510)*1.05,IF(D5="P06",(U19*3/100+510)*1.05,IF(D5="OTP06-01",(U19*3/100+510)*1.05,IF(D5="G08",(U19*3/100+510)*1.05,IF(D5="P08",(U19*3/100+510)*1.05,IF(D5="G09",(U19*3/100+510)*1.05,IF(D5="P09",(U19*3/100+510)*1.05,IF(D5="H38",3625,IF(D5="H37",3625,IF(D5="EH40",(U19*3/100+450)*1.05,IF(D5="EH43",(U19*3/100+450)*1.05,IF(D5="H48",3625,IF(D5="H43",3625,IF(D5="H40",3625,IF(D5="H42",3625,IF(D5="H44",3625,IF(D5="H45",3625,IF(D5="ASX HL 4WD",3625,IF(D5="H16",3625,IF(D5="H17",3625,IF(D5="P16",3625,IF(D5="Attrage S",3625,IF(D5="MIG09",3625,IF(D5="MIG10",3625,IF(D5="Xpander HL",3690))))))))))))))))))))))))))))))))))))))))))))))))))))</f>
        <v>3690</v>
      </c>
      <c r="P10" s="204"/>
      <c r="Q10" s="204">
        <f>5.25*3</f>
        <v>15.75</v>
      </c>
      <c r="Z10" s="1">
        <f>IF(D5="MIG09",1000,IF(D5="MIG10",1000,IF(D5="H16",1000,IF(D5="P16",1000,IF(D5="H17",1000,IF(D5="H48",1000,IF(D5="H43",1000,IF(D5="H40",1000,IF(D5="H42",1000,IF(D5="H44",1000,IF(D5="H45",1000,IF(D5="H38",1000,IF(D5="H37",1000,IF(D5="EH40",1000,IF(D5="EH43",1000,IF(D5="ML",1000,IF(D5="HL",1000,IF(D5="PR",1000,IF(D5="MLP",1000,IF(D5="HLP",1000,IF(D5="PRP",1000,IF(D5="XPML",1000,IF(D5="XPHL",1000,IF(D5="XPMLP",1000,IF(D5="XPMLP-01",1000,IF(D5="XC",1000,IF(D5="G10",1000,IF(D5="P10",1000,IF(D5="G12",1000,IF(D5="P12",1000,IF(D5="G05",1000,IF(D5="P05",1000,IF(D5="G03",1000,IF(D5="P03",1000,IF(D5="G06",1000,IF(D5="P06",1000,IF(D5="OTP06-01",1000,IF(D5="G08",1000,IF(D5="P08",1000,IF(D5="OTP06-01",1000,IF(D5="G09",1000,IF(D5="P09",1000,IF(D5="H57",1000,IF(D5="P57",1000,IF(D5="H64",1000,IF(D5="H59",1000,IF(D5="P59",1000,IF(D5="H61",1000,IF(D5="P61",1000)))))))))))))))))))))))))))))))))))))))))))))))))</f>
        <v>1000</v>
      </c>
    </row>
    <row r="11" spans="1:27" ht="24.6" x14ac:dyDescent="0.4">
      <c r="A11" s="8"/>
      <c r="B11" s="37" t="s">
        <v>18</v>
      </c>
      <c r="C11" s="20" t="s">
        <v>19</v>
      </c>
      <c r="D11" s="203">
        <f>IF(C11="YES",O17,IF(C11="NO",0))</f>
        <v>2700</v>
      </c>
      <c r="E11" s="39"/>
      <c r="F11" s="40"/>
      <c r="G11" s="40"/>
      <c r="H11" s="33"/>
      <c r="I11" s="33"/>
      <c r="J11" s="44" t="s">
        <v>76</v>
      </c>
      <c r="K11" s="44">
        <f>H8-K10</f>
        <v>17787.886400000003</v>
      </c>
      <c r="L11" s="37"/>
      <c r="M11" s="37"/>
      <c r="N11" s="38"/>
      <c r="O11" s="147">
        <f>IF(D5="XC",6100,IF(D5="XPML",6100,IF(D5="XPHL",6100,IF(D5="XPMLP",6100,IF(D5="XPMLP-01",6100,IF(D5="Xpander P",6100,IF(D5="ML",6600,IF(D5="HL",6600,IF(D5="PR",6600,IF(D5="MLP",6600,IF(D5="HLP",6600,IF(D5="PRP",6600,IF(D5="H57",5900,IF(D5="P57",5900,IF(D5="H64",5900,IF(D5="H59",5900,IF(D5="P59",5900,IF(D5="H61",5900,IF(D5="P61",5900,IF(D5="G03",6700,IF(D5="G10",6700,IF(D5="P10",6700,IF(D5="G12",6700,IF(D5="P12",6700,IF(D5="G05",6700,IF(D5="P05",6700,IF(D5="P03",6700,IF(D5="G06",6700,IF(D5="P06",6700,IF(D5="OTP06-01",6700,IF(D5="G08",6700,IF(D5="G09",6700,IF(D5="G08",6700,IF(D5="P08",6700,IF(D5="P09",6700,IF(D5="H37",6400,IF(D5="H38",6400,IF(D5="EH40",6400,IF(D5="EH43",6400,IF(D5="H48",6600,IF(D5="H43",6600,IF(D5="H40",6600,IF(D5="H42",6600,IF(D5="H44",6600,IF(D5="H45",6600,IF(D5="ASX HL 4WD",6600,IF(D5="H16",5400,IF(D5="H17",5400,IF(D5="P16",5400,IF(D5="Attrage S",5400,IF(D5="MIG09",5400,IF(D5="MIG10",5400,IF(D5="Xpander HL",6000)))))))))))))))))))))))))))))))))))))))))))))))))))))</f>
        <v>6600</v>
      </c>
      <c r="P11" s="147"/>
      <c r="Q11" s="147"/>
      <c r="R11" s="147"/>
      <c r="S11" s="147"/>
      <c r="T11" s="147"/>
      <c r="U11" s="147">
        <f>IF(D5="XC",4900,IF(D5="XPML",4900,IF(D5="XPHL",4900,IF(D5="XPMLP",4900,IF(D5="XPMLP-01",4900,IF(D5="Xpander P",4900,IF(D5="ML",5400,IF(D5="HL",5400,IF(D5="PR",5400,IF(D5="MLP",5400,IF(D5="HLP",5400,IF(D5="PRP",5400,IF(D5="H57",4600,IF(D5="P57",4600,IF(D5="MOG64",4600,IF(D5="H59",4600,IF(D5="P59",4600,IF(D5="H61",4600,IF(D5="P61",4600,IF(D5="G03",5500,IF(D5="P03",5500,IF(D5="G10",5500,IF(D5="P10",5500,IF(D5="G12",5500,IF(D5="P12",5500,IF(D5="G05",5500,IF(D5="P05",5500,IF(D5="G06",5500,IF(D5="P06",5500,IF(D5="OTP06-01",5500,IF(D5="F08",5500,IF(D5="P08",5500,IF(D5="G09",5500,IF(D5="P09",5500,IF(D5="H38",5200,IF(D5="H37",5200,IF(D5="EH40",5200,IF(D5="EH43",5200,IF(D5="H48",5300,IF(D5="H43",5300,IF(D5="H40",5300,IF(D5="H42",5300,IF(D5="H44",5300,IF(D5="H45",5300,IF(D5="ASX HL",5300,IF(D5="ASX P",5300,IF(D5="ASX HL 4WD",5300,IF(D5="H16",4200,IF(D5="H17",4200,IF(D5="P16",4200,IF(D5="Attrage S",4200,IF(D5="MIG09",4200,IF(D5="MIG10",4200,IF(D5="Xpander HL",4900))))))))))))))))))))))))))))))))))))))))))))))))))))))</f>
        <v>5400</v>
      </c>
      <c r="V11" s="147">
        <f>IF(D5="XC",9700,IF(D5="XPML",9700,IF(D5="XPHL",9700,IF(D5="XPMLP",9700,IF(D5="XPMLP-01",9700,IF(D5="XPMLP-01",9700,IF(D5="Xpander P",9700,IF(D5="ML",10800,IF(D5="HL",10800,IF(D5="PR",10800,IF(D5="MLP",10800,IF(D5="HLP",10800,IF(D5="PRP",10800,IF(D5="H57",9300,IF(D5="P57",9300,IF(D5="MG64",9300,IF(D5="H59",9300,IF(D5="P59",9300,IF(D5="H61",9300,IF(D5="P61",9300,IF(D5="G03",11000,IF(D5="G10",11000,IF(D5="P10",11000,IF(D5="G12",11000,IF(D5="P12",11000,IF(D5="G05",11000,IF(D5="P05",11000,IF(D5="P03",11000,IF(D5="G06",11000,IF(D5="P06",11000,IF(D5="OTP06-01",11000,IF(D5="G08",11000,IF(D5="P08",11000,IF(D5="G09",11000,IF(D5="P09",11000,IF(D5="H38",10400,IF(D5="H37",10400,IF(D5="EH40",10400,IF(D5="EH43",10400,IF(D5="H48",10700,IF(D5="H43",10700,IF(D5="H40",10700,IF(D5="H42",10700,IF(D5="H44",10800,IF(D5="H45",10800,IF(D5="ASX HL",12200,IF(D5="ASX P",12200,IF(D5="ASX HL 4WD",12200,IF(D5="H16",8500,IF(D5="H17",8500,IF(D5="P16",8500,IF(D5="Attrage S",9600,IF(D5="MIG09",8500,IF(D5="MIG10",8500,IF(D5="Xpander HL",11300)))))))))))))))))))))))))))))))))))))))))))))))))))))))</f>
        <v>10800</v>
      </c>
      <c r="W11" s="147">
        <f>IF(D5="XC",9200,IF(D5="XPML",9200,IF(D5="XPHL",9200,IF(D5="XPMLP",9200,IF(D5="XPMLP-01",9200,IF(D5="Xpander P",9200,IF(D5="ML",10000,IF(D5="HL",10000,IF(D5="PR",10000,IF(D5="MLP",10000,IF(D5="HLP",10000,IF(D5="PRP",10000,IF(D5="H57",8700,IF(D5="P57",8700,IF(D5="H64",8700,IF(D5="H59",8700,IF(D5="P59",8700,IF(D5="H61",8700,IF(D5="P61",8700,IF(D5="G03",10400,IF(D5="P03",10400,IF(D5="G10",10400,IF(D5="P10",10400,IF(D5="G12",10400,IF(D5="P12",10400,IF(D5="G05",10400,IF(D5="P05",10400,IF(D5="G06",10400,IF(D5="P06",10400,IF(D5="OTP06-01",10400,IF(D5="G08",10400,IF(D5="P08",10400,IF(D5="G09",10400,IF(D5="P09",10400,IF(D5="H38",9800,IF(D5="H37",9800,IF(D5="EH40",9800,IF(D5="EH43",9800,IF(D5="H48",10100,IF(D5="H43",10100,IF(D5="H40",10100,IF(D5="H42",10100,IF(D5="H44",10100,IF(D5="H45",10100,IF(D5="ASX HL",10100,IF(D5="ASX P",10100,IF(D5="ASX HL 4WD",10100,IF(D5="H16",7900,IF(D5="H17",7900,IF(D5="P16",7900,IF(D5="Attrage S",7900,IF(D5="MIG09",7900,IF(D5="MIG10",7900,IF(D5="Xpander HL",9200))))))))))))))))))))))))))))))))))))))))))))))))))))))</f>
        <v>10000</v>
      </c>
      <c r="X11" s="147">
        <f>IF(D5="XC",4500,IF(D5="XPML",4500,IF(D5="XPHL",4500,IF(D5="XPMLP",4500,IF(D5="XPMLP-01",4500,IF(D5="Xpander P",4500,IF(D5="ML",5000,IF(D5="HL",5000,IF(D5="PR",5000,IF(D5="MLP",5000,IF(D5="HLP",5000,IF(D5="PRP",5000,IF(D5="H57",8700,IF(D5="P57",8700,IF(D5="MOG64",4300,IF(D5="H59",4300,IF(D5="P59",4300,IF(D5="H61",4300,IF(D5="P61",4300,IF(D5="G03",5000,IF(D5="P03",5000,IF(D5="G10",5000,IF(D5="P10",5000,IF(D5="G12",5000,IF(D5="P12",5000,IF(D5="G05",5000,IF(D5="P05",5000,IF(D5="G06",5000,IF(D5="P06",5000,IF(D5="OTP06-01",5000,IF(D5="G08",5000,IF(D5="P08",5000,IF(D5="G09",5000,IF(D5="P09",5000,IF(D5="H38",4900,IF(D5="H37",4900,IF(D5="EH40",4900,IF(D5="EH43",4900,IF(D5="H48",4900,IF(D5="H43",4900,IF(D5="H40",4900,IF(D5="H42",4900,IF(D5="H44",4900,IF(D5="H45",4900,IF(D5="ASX HL",4900,IF(D5="ASX P",4900,IF(D5="ASX HL 4WD",4900,IF(D5="H16",3700,IF(D5="H17",3700,IF(D5="P16",3700,IF(D5="Attrage S",3700,IF(D5="MIG09",3700,IF(D5="MIG10",3700,IF(D5="Xpander HL",4500))))))))))))))))))))))))))))))))))))))))))))))))))))))</f>
        <v>5000</v>
      </c>
      <c r="Y11" s="147">
        <f>IF(D5="XC",5400,IF(D5="XPML ",5400,IF(D5="XPHL",5400,IF(D5="XPMLP",5400,IF(D5="XPMLP-01",5400,IF(D5="Xpander P",5400,IF(D5="ML",6000,IF(D5="HL",6000,IF(D5="PR",6000,IF(D5="MLP",6000,IF(D5="HLP",6000,IF(D5="PRP",6000,IF(D5="H57",5200,IF(D5="57",5200,IF(D5="H64",5200,IF(D5="H59",5200,IF(D5="P59",5200,IF(D5="H61",5200,IF(D5="P61",5200,IF(D5="G03",6000,IF(D5="P03",6000,IF(D5="G10",6000,IF(D5="P10",6000,IF(D5="G12",6000,IF(D5="P12",6000,IF(D5="G05",6000,IF(D5="P05",6000,IF(D5="G06",6000,IF(D5="P06",6000,IF(D5="OTP06-01",6000,IF(D5="G08",6000,IF(D5="P08",6000,IF(D5="G09",6000,IF(D5="P09",6000,IF(D5="H38",5700,IF(D5="H37",5700,IF(D5="EH40",5700,IF(D5="EH43",5700,IF(D5="H48",5900,IF(D5="H43",5900,IF(D5="H40",5900,IF(D5="H42",5900,IF(D5="H44",5900,IF(D5="H45",5900,IF(D5="ASX HL",5900,IF(D5="ASX P",5900,IF(D5="ASX HL 4WD",5900,IF(D5="H16",4500,IF(D5="H17",4500,IF(D5="P16",4500,IF(D5="Attrage S",4500,IF(D5="MIG09",4500,IF(D5="MIG10",4500,IF(D5="Xpander HL",5400))))))))))))))))))))))))))))))))))))))))))))))))))))))</f>
        <v>6000</v>
      </c>
    </row>
    <row r="12" spans="1:27" ht="24.6" x14ac:dyDescent="0.4">
      <c r="A12" s="8"/>
      <c r="B12" s="37" t="s">
        <v>20</v>
      </c>
      <c r="C12" s="20" t="s">
        <v>17</v>
      </c>
      <c r="D12" s="36">
        <f>IF(C12="YES",2000,IF(C12="NO",0))</f>
        <v>0</v>
      </c>
      <c r="E12" s="43"/>
      <c r="F12" s="43" t="s">
        <v>21</v>
      </c>
      <c r="G12" s="40"/>
      <c r="H12" s="33">
        <v>600</v>
      </c>
      <c r="I12" s="33"/>
      <c r="J12" s="202" t="s">
        <v>140</v>
      </c>
      <c r="K12" s="45">
        <v>0</v>
      </c>
      <c r="L12" s="45">
        <v>5.2499999999999998E-2</v>
      </c>
      <c r="M12" s="45">
        <v>0.126</v>
      </c>
      <c r="N12" s="201">
        <v>0.26250000000000001</v>
      </c>
      <c r="O12" s="147">
        <f>IF(K20="Esaad",B8*3/100,IF(K20="Emirates Platinum",B8*3/100,IF(K20="Fazaa",B8*3/100,IF(K20="Humat Alwatan",B8*3/100,IF(K20="Permissible",2000,IF(K20="ASX",8400,IF(K20="XPMLP",15100,IF(K20="XP",7200,IF(K20="G43",11000,IF(K20="EC",17000,IF(K20="G37",17000,IF(K20="G38",15000,IF(K20="G40",11000,IF(K20="OUT",3000,IF(K20="F08",14400,IF(K20="P08",11100,IF(K20="F06",13100,IF(K20="P06",13400,IF(K20="F03",3500,IF(K20="F03-1",13500,IF(K20="P03",13100,IF(K20="MON",10000,IF(K20="MON G57",9000,0)))))))))))))))))))))))</f>
        <v>2000</v>
      </c>
      <c r="Z12" s="86" t="s">
        <v>83</v>
      </c>
      <c r="AA12" s="86" t="s">
        <v>84</v>
      </c>
    </row>
    <row r="13" spans="1:27" ht="24.6" x14ac:dyDescent="0.4">
      <c r="A13" s="8">
        <f>B8*1.26582</f>
        <v>91012.457999999999</v>
      </c>
      <c r="B13" s="37" t="s">
        <v>23</v>
      </c>
      <c r="C13" s="20" t="s">
        <v>19</v>
      </c>
      <c r="D13" s="36">
        <f>IF(C13="YES",2000,IF(C13="NO",0))</f>
        <v>2000</v>
      </c>
      <c r="E13" s="47"/>
      <c r="F13" s="47" t="s">
        <v>75</v>
      </c>
      <c r="G13" s="51"/>
      <c r="H13" s="39">
        <v>315</v>
      </c>
      <c r="I13" s="33"/>
      <c r="J13" s="44" t="s">
        <v>54</v>
      </c>
      <c r="K13" s="29" t="s">
        <v>79</v>
      </c>
      <c r="L13" s="29" t="s">
        <v>25</v>
      </c>
      <c r="M13" s="29" t="s">
        <v>0</v>
      </c>
      <c r="N13" s="57" t="s">
        <v>26</v>
      </c>
      <c r="O13" s="9">
        <f>IF(M21="3000-4999",6%,IF(M21="5000-9999",4.75%,IF(M21="10000-14999",3.15%,IF(M21="15000-24999",2.5%,IF(M21="25000-34999",2.25%,IF(M21="35000-99999",2.15%))))))</f>
        <v>4.7500000000000001E-2</v>
      </c>
      <c r="Q13" s="2">
        <f>H7/12</f>
        <v>1565.6571999999999</v>
      </c>
      <c r="U13" s="9">
        <f>IF(M21="3000-4999",6%,IF(M21="5000-9999",3.25%,IF(M21="10000-14999",3%,IF(M21="15000-24999",2.25%,IF(M21="25000-34999",2.15%,IF(M21="35000-99999",1.99%))))))</f>
        <v>3.2500000000000001E-2</v>
      </c>
      <c r="Z13" s="99">
        <f>IF(M21="5000-9999",2.49%,IF(M21="10000-19999",2.19%,IF(M21="20000-34999",2.09%,IF(M21="35000-49999",1.89%,IF(M21="50000-99999",1.79%)))))</f>
        <v>2.4900000000000002E-2</v>
      </c>
      <c r="AA13" s="99">
        <f>IF(M21="5000-9999",2.59%,IF(M21="10000-19999",2.29%,IF(M21="20000-34999",2.19%,IF(M21="35000-49999",1.99%,IF(M21="50000-99999",1.89%)))))</f>
        <v>2.5899999999999999E-2</v>
      </c>
    </row>
    <row r="14" spans="1:27" ht="24.6" x14ac:dyDescent="0.4">
      <c r="A14" s="10" t="s">
        <v>27</v>
      </c>
      <c r="B14" s="37" t="s">
        <v>24</v>
      </c>
      <c r="C14" s="20" t="s">
        <v>19</v>
      </c>
      <c r="D14" s="50">
        <f>IF(C14="YES",U19*3.15*1.05/100,IF(C14="NO",U19*0/100))</f>
        <v>2889.4320000000002</v>
      </c>
      <c r="E14" s="48"/>
      <c r="F14" s="48" t="s">
        <v>24</v>
      </c>
      <c r="G14" s="51" t="s">
        <v>17</v>
      </c>
      <c r="H14" s="39">
        <f>IF(G14="YES",U19*3.15*1.05/100,IF(G14="NO",U19*0/100))</f>
        <v>0</v>
      </c>
      <c r="I14" s="33"/>
      <c r="J14" s="44" t="s">
        <v>55</v>
      </c>
      <c r="K14" s="44">
        <f>(H8*K12+H8)/3</f>
        <v>6262.6288000000013</v>
      </c>
      <c r="L14" s="44">
        <f>(H8*L12+H8)/12</f>
        <v>1647.8542030000001</v>
      </c>
      <c r="M14" s="44">
        <f>(H8*M12+H8)/24</f>
        <v>881.46500360000016</v>
      </c>
      <c r="N14" s="200">
        <f>(H7*N12+H7)/60</f>
        <v>395.32844299999999</v>
      </c>
      <c r="O14" s="9">
        <f>IF(M21="3000-4999",3.89%,IF(M21="5000-9999",3.89%,IF(M21="10000-14999",3.89%,IF(M21="15000-24999",2.69%,IF(M21="25000-34999",2.69%,IF(M21="35000-99999",2.39%,IF(M21="76000-99999",2.5%)))))))</f>
        <v>3.8900000000000004E-2</v>
      </c>
    </row>
    <row r="15" spans="1:27" ht="24.6" x14ac:dyDescent="0.4">
      <c r="A15" s="11">
        <f>(B7*3%)+10+120</f>
        <v>2287</v>
      </c>
      <c r="B15" s="37" t="s">
        <v>28</v>
      </c>
      <c r="C15" s="20" t="s">
        <v>19</v>
      </c>
      <c r="D15" s="29">
        <f>IF(C15="YES",O10,IF(C15="NO",0))</f>
        <v>3690</v>
      </c>
      <c r="E15" s="48"/>
      <c r="F15" s="48" t="s">
        <v>53</v>
      </c>
      <c r="G15" s="51" t="s">
        <v>17</v>
      </c>
      <c r="H15" s="39">
        <f>IF(G15="YES",O10,IF(G15="NO",0))</f>
        <v>0</v>
      </c>
      <c r="I15" s="33"/>
      <c r="J15" s="44"/>
      <c r="K15" s="44"/>
      <c r="L15" s="44"/>
      <c r="M15" s="44"/>
      <c r="N15" s="198"/>
      <c r="O15" s="9" t="b">
        <f>IF(M21="3000-4999",4.99%, IF(M21="5000-11999",2.75%,IF(M21="12000-19999",2.75%,IF(M21="20000-39999",2.25%,IF(M21="40000-69999",2.25%,IF(M21="70000-99999",2.25%))))))</f>
        <v>0</v>
      </c>
      <c r="P15" s="191"/>
    </row>
    <row r="16" spans="1:27" ht="24.6" x14ac:dyDescent="0.4">
      <c r="A16" s="11">
        <f>((B7-B8)*3%+10+120)</f>
        <v>130</v>
      </c>
      <c r="B16" s="37" t="s">
        <v>78</v>
      </c>
      <c r="C16" s="20" t="s">
        <v>19</v>
      </c>
      <c r="D16" s="29">
        <f>IF(C16="YES",O16,IF(C16="NO",0))</f>
        <v>6600</v>
      </c>
      <c r="E16" s="47"/>
      <c r="F16" s="47" t="s">
        <v>74</v>
      </c>
      <c r="G16" s="54"/>
      <c r="H16" s="33">
        <f>I7*1.05%</f>
        <v>789.09122880000007</v>
      </c>
      <c r="I16" s="33"/>
      <c r="J16" s="44" t="s">
        <v>16</v>
      </c>
      <c r="K16" s="44">
        <f>(K14*3)-H8</f>
        <v>0</v>
      </c>
      <c r="L16" s="44">
        <f>(L14*12)-H8</f>
        <v>986.36403599999903</v>
      </c>
      <c r="M16" s="44">
        <f>(M14*24)-H8</f>
        <v>2367.2736863999999</v>
      </c>
      <c r="N16" s="198"/>
      <c r="O16" s="147">
        <f>IF(B16="RMC-10-70KMS",O11,IF(B16="RMC-10-100000KMS",V11,IF(B16="RMC-40-70KMS",U11, IF(B16="RMC-10-40KMS",X11, IF(B16="RMC-10-60KMS",Y11, IF(B16="RMC-40-100000KMS",W11,0))))))</f>
        <v>6600</v>
      </c>
    </row>
    <row r="17" spans="1:23" ht="24.6" x14ac:dyDescent="0.4">
      <c r="A17" s="11">
        <f>A15+A16</f>
        <v>2417</v>
      </c>
      <c r="B17" s="37"/>
      <c r="C17" s="20"/>
      <c r="D17" s="29">
        <f>SUM(D10:D16)</f>
        <v>17879.432000000001</v>
      </c>
      <c r="E17" s="48"/>
      <c r="F17" s="48"/>
      <c r="G17" s="54"/>
      <c r="H17" s="33">
        <f>+SUM(H12:H16)+(H7)</f>
        <v>20491.977628799999</v>
      </c>
      <c r="I17" s="33"/>
      <c r="J17" s="20"/>
      <c r="K17" s="199"/>
      <c r="L17" s="199"/>
      <c r="M17" s="199"/>
      <c r="N17" s="198"/>
      <c r="O17" s="147">
        <f>IF(B11="FO Ceramic+ Intr&amp;Extr CeramicGold WdwTnt",2700,IF(B11="FO Mirror Camera Sensor",2000))</f>
        <v>2700</v>
      </c>
      <c r="T17" s="1">
        <f>19615-791</f>
        <v>18824</v>
      </c>
    </row>
    <row r="18" spans="1:23" ht="24.6" x14ac:dyDescent="0.4">
      <c r="A18" s="12" t="s">
        <v>29</v>
      </c>
      <c r="B18" s="55" t="s">
        <v>30</v>
      </c>
      <c r="C18" s="197"/>
      <c r="D18" s="57">
        <v>0</v>
      </c>
      <c r="E18" s="38"/>
      <c r="F18" s="20"/>
      <c r="G18" s="20"/>
      <c r="H18" s="37"/>
      <c r="I18" s="37"/>
      <c r="J18" s="37"/>
      <c r="K18" s="37"/>
      <c r="L18" s="37"/>
      <c r="M18" s="37"/>
      <c r="N18" s="37"/>
      <c r="O18" s="9" t="b">
        <f>IF(M21="5000-99999",1.99%)</f>
        <v>0</v>
      </c>
      <c r="U18" s="196" t="s">
        <v>52</v>
      </c>
      <c r="V18" s="196" t="s">
        <v>52</v>
      </c>
    </row>
    <row r="19" spans="1:23" ht="24.6" x14ac:dyDescent="0.4">
      <c r="A19" s="11">
        <f>B8*3.15%</f>
        <v>2264.85</v>
      </c>
      <c r="B19" s="58" t="s">
        <v>31</v>
      </c>
      <c r="C19" s="59"/>
      <c r="D19" s="60">
        <f>IF(K21="DIB EXPAT",O13,IF(K21="DIB LOCAL GVH",U13,IF(K21="Emirates NBD",O14,IF(K21="ADCB",O15,IF(K21="ADCB PAY IN 2027",O19,IF(K21="Ajman Bank",O18,IF(K21="SIB STL",Z13,IF(K21="SIB NON STL",AA13,))))))))</f>
        <v>3.8900000000000004E-2</v>
      </c>
      <c r="E19" s="20"/>
      <c r="F19" s="195"/>
      <c r="G19" s="141" t="s">
        <v>73</v>
      </c>
      <c r="H19" s="142"/>
      <c r="I19" s="143"/>
      <c r="J19" s="109">
        <f>(U19*20/100)/365</f>
        <v>47.868493150684934</v>
      </c>
      <c r="K19" s="37"/>
      <c r="L19" s="37"/>
      <c r="M19" s="37"/>
      <c r="N19" s="34">
        <f>D7</f>
        <v>75495</v>
      </c>
      <c r="O19" s="194" t="b">
        <f>IF(M21="5000-11999",3.35%,IF(M21="12000-19999",3.35%,IF(M21="20000-39999",2.85%,IF(M21="40000-69999",2.85%,IF(M21="70000-99999",2.85%)))))</f>
        <v>0</v>
      </c>
      <c r="P19" s="2">
        <f>81400-2500</f>
        <v>78900</v>
      </c>
      <c r="U19" s="193">
        <f>V19</f>
        <v>87360</v>
      </c>
      <c r="V19" s="192">
        <f>(B7+D10+D11+D12+D13+D16)*1.05</f>
        <v>87360</v>
      </c>
    </row>
    <row r="20" spans="1:23" ht="24.6" x14ac:dyDescent="0.4">
      <c r="A20" s="11"/>
      <c r="B20" s="58" t="s">
        <v>32</v>
      </c>
      <c r="C20" s="59"/>
      <c r="D20" s="63">
        <v>0.2</v>
      </c>
      <c r="E20" s="37"/>
      <c r="F20" s="37"/>
      <c r="G20" s="38"/>
      <c r="H20" s="38"/>
      <c r="I20" s="38"/>
      <c r="J20" s="103"/>
      <c r="K20" s="104" t="s">
        <v>33</v>
      </c>
      <c r="L20" s="104" t="s">
        <v>17</v>
      </c>
      <c r="M20" s="104">
        <f>IF(L20="YES",O12,IF(L20="NO",0))</f>
        <v>0</v>
      </c>
      <c r="N20" s="34">
        <f>B8-M20</f>
        <v>71900</v>
      </c>
      <c r="O20" s="187"/>
      <c r="P20" s="191"/>
      <c r="T20" s="1">
        <f>1992+1084</f>
        <v>3076</v>
      </c>
      <c r="U20" s="186"/>
      <c r="V20" s="2"/>
    </row>
    <row r="21" spans="1:23" ht="24.6" x14ac:dyDescent="0.4">
      <c r="A21" s="13">
        <f>A19+A20</f>
        <v>2264.85</v>
      </c>
      <c r="B21" s="37"/>
      <c r="C21" s="20"/>
      <c r="D21" s="37"/>
      <c r="E21" s="37"/>
      <c r="F21" s="37"/>
      <c r="G21" s="37"/>
      <c r="H21" s="37"/>
      <c r="I21" s="37"/>
      <c r="J21" s="190" t="s">
        <v>34</v>
      </c>
      <c r="K21" s="16" t="s">
        <v>139</v>
      </c>
      <c r="L21" s="16" t="s">
        <v>35</v>
      </c>
      <c r="M21" s="189" t="s">
        <v>80</v>
      </c>
      <c r="N21" s="188"/>
      <c r="O21" s="187"/>
      <c r="T21" s="1">
        <f>25973-12973</f>
        <v>13000</v>
      </c>
      <c r="U21" s="186">
        <f>M14+N7</f>
        <v>2377.6070239200003</v>
      </c>
    </row>
    <row r="22" spans="1:23" s="179" customFormat="1" ht="24.6" x14ac:dyDescent="0.4">
      <c r="A22" s="185"/>
      <c r="B22" s="184" t="s">
        <v>51</v>
      </c>
      <c r="C22" s="183"/>
      <c r="D22" s="183"/>
      <c r="E22" s="183"/>
      <c r="F22" s="183"/>
      <c r="G22" s="183"/>
      <c r="H22" s="183"/>
      <c r="I22" s="183"/>
      <c r="J22" s="183"/>
      <c r="K22" s="183"/>
      <c r="L22" s="183"/>
      <c r="M22" s="183"/>
      <c r="N22" s="182"/>
      <c r="O22" s="181"/>
      <c r="P22" s="180"/>
    </row>
    <row r="23" spans="1:23" s="168" customFormat="1" ht="26.4" x14ac:dyDescent="0.5">
      <c r="A23" s="175" t="s">
        <v>36</v>
      </c>
      <c r="B23" s="172" t="s">
        <v>138</v>
      </c>
      <c r="C23" s="169"/>
      <c r="D23" s="169"/>
      <c r="E23" s="169"/>
      <c r="F23" s="169"/>
      <c r="G23" s="169"/>
      <c r="H23" s="176"/>
      <c r="I23" s="176"/>
      <c r="J23" s="169"/>
      <c r="K23" s="169"/>
      <c r="L23" s="169"/>
      <c r="M23" s="169"/>
      <c r="N23" s="178"/>
      <c r="O23" s="170"/>
      <c r="P23" s="169"/>
    </row>
    <row r="24" spans="1:23" s="168" customFormat="1" ht="26.4" x14ac:dyDescent="0.5">
      <c r="A24" s="175" t="s">
        <v>36</v>
      </c>
      <c r="B24" s="172" t="s">
        <v>137</v>
      </c>
      <c r="C24" s="169"/>
      <c r="D24" s="169"/>
      <c r="E24" s="169"/>
      <c r="F24" s="169"/>
      <c r="G24" s="169"/>
      <c r="H24" s="177">
        <f>H7/365</f>
        <v>51.473661369863009</v>
      </c>
      <c r="I24" s="177">
        <f>H7+H12+H16</f>
        <v>20176.977628799999</v>
      </c>
      <c r="J24" s="169"/>
      <c r="K24" s="169"/>
      <c r="L24" s="169"/>
      <c r="M24" s="169"/>
      <c r="N24" s="173"/>
      <c r="O24" s="170"/>
      <c r="P24" s="169">
        <f>1232+480</f>
        <v>1712</v>
      </c>
      <c r="T24" s="168">
        <f>88704/1.05</f>
        <v>84480</v>
      </c>
    </row>
    <row r="25" spans="1:23" s="168" customFormat="1" ht="26.4" x14ac:dyDescent="0.5">
      <c r="A25" s="175" t="s">
        <v>36</v>
      </c>
      <c r="B25" s="172" t="s">
        <v>136</v>
      </c>
      <c r="C25" s="169"/>
      <c r="D25" s="169"/>
      <c r="E25" s="169"/>
      <c r="F25" s="169"/>
      <c r="G25" s="169"/>
      <c r="H25" s="176"/>
      <c r="I25" s="176"/>
      <c r="J25" s="169"/>
      <c r="K25" s="169"/>
      <c r="L25" s="169"/>
      <c r="M25" s="169"/>
      <c r="N25" s="173"/>
      <c r="O25" s="170"/>
      <c r="P25" s="169"/>
      <c r="Q25" s="168">
        <f>79400-5233.33</f>
        <v>74166.67</v>
      </c>
      <c r="R25" s="168">
        <f>Q25*1.05</f>
        <v>77875.003500000006</v>
      </c>
      <c r="W25" s="168">
        <f>1999+1224</f>
        <v>3223</v>
      </c>
    </row>
    <row r="26" spans="1:23" s="168" customFormat="1" ht="26.4" x14ac:dyDescent="0.5">
      <c r="A26" s="175" t="s">
        <v>36</v>
      </c>
      <c r="B26" s="172" t="s">
        <v>135</v>
      </c>
      <c r="C26" s="169"/>
      <c r="D26" s="169"/>
      <c r="E26" s="169"/>
      <c r="F26" s="169"/>
      <c r="G26" s="169"/>
      <c r="H26" s="169"/>
      <c r="I26" s="169"/>
      <c r="J26" s="169"/>
      <c r="K26" s="169"/>
      <c r="L26" s="169"/>
      <c r="M26" s="169"/>
      <c r="N26" s="173"/>
      <c r="O26" s="170" t="s">
        <v>37</v>
      </c>
      <c r="P26" s="169"/>
      <c r="R26" s="168">
        <f>R25+2469</f>
        <v>80344.003500000006</v>
      </c>
    </row>
    <row r="27" spans="1:23" s="168" customFormat="1" ht="26.4" x14ac:dyDescent="0.5">
      <c r="A27" s="175" t="s">
        <v>36</v>
      </c>
      <c r="B27" s="172" t="s">
        <v>134</v>
      </c>
      <c r="C27" s="169"/>
      <c r="D27" s="169"/>
      <c r="E27" s="169"/>
      <c r="F27" s="169"/>
      <c r="G27" s="169"/>
      <c r="H27" s="169"/>
      <c r="I27" s="169"/>
      <c r="J27" s="169"/>
      <c r="K27" s="169"/>
      <c r="L27" s="169"/>
      <c r="M27" s="169"/>
      <c r="N27" s="173"/>
      <c r="O27" s="170">
        <f>129500-110900</f>
        <v>18600</v>
      </c>
      <c r="P27" s="169"/>
      <c r="W27" s="174">
        <f>N7+L14</f>
        <v>3143.9962233200004</v>
      </c>
    </row>
    <row r="28" spans="1:23" s="168" customFormat="1" ht="26.4" x14ac:dyDescent="0.5">
      <c r="B28" s="172" t="s">
        <v>133</v>
      </c>
      <c r="C28" s="169"/>
      <c r="D28" s="169"/>
      <c r="E28" s="169"/>
      <c r="F28" s="169"/>
      <c r="G28" s="169"/>
      <c r="H28" s="169"/>
      <c r="I28" s="169"/>
      <c r="J28" s="169"/>
      <c r="K28" s="169"/>
      <c r="L28" s="169"/>
      <c r="M28" s="169"/>
      <c r="N28" s="173"/>
      <c r="O28" s="170">
        <f>85000-69900</f>
        <v>15100</v>
      </c>
      <c r="P28" s="169"/>
    </row>
    <row r="29" spans="1:23" s="168" customFormat="1" ht="26.4" x14ac:dyDescent="0.5">
      <c r="B29" s="172" t="s">
        <v>132</v>
      </c>
      <c r="C29" s="169"/>
      <c r="D29" s="169"/>
      <c r="E29" s="169"/>
      <c r="F29" s="169"/>
      <c r="G29" s="169"/>
      <c r="H29" s="169"/>
      <c r="I29" s="169"/>
      <c r="J29" s="169"/>
      <c r="K29" s="169"/>
      <c r="L29" s="169"/>
      <c r="M29" s="169"/>
      <c r="N29" s="171"/>
      <c r="O29" s="170"/>
      <c r="P29" s="169"/>
    </row>
    <row r="30" spans="1:23" x14ac:dyDescent="0.3">
      <c r="B30" s="167" t="s">
        <v>38</v>
      </c>
      <c r="C30" s="166"/>
      <c r="D30" s="166"/>
      <c r="E30" s="166"/>
      <c r="F30" s="166"/>
      <c r="G30" s="166"/>
      <c r="H30" s="166"/>
      <c r="I30" s="166"/>
      <c r="J30" s="166"/>
      <c r="K30" s="166"/>
      <c r="L30" s="166"/>
      <c r="M30" s="166"/>
      <c r="N30" s="165"/>
      <c r="O30" s="147"/>
    </row>
    <row r="31" spans="1:23" x14ac:dyDescent="0.3">
      <c r="B31" s="146"/>
      <c r="C31" s="145"/>
      <c r="D31" s="145"/>
      <c r="E31" s="145"/>
      <c r="F31" s="145"/>
      <c r="G31" s="145"/>
      <c r="H31" s="145"/>
      <c r="I31" s="145"/>
      <c r="J31" s="145"/>
      <c r="K31" s="145"/>
      <c r="L31" s="145"/>
      <c r="M31" s="145"/>
      <c r="N31" s="144"/>
      <c r="O31" s="147"/>
    </row>
    <row r="32" spans="1:23" s="86" customFormat="1" ht="20.399999999999999" x14ac:dyDescent="0.35">
      <c r="B32" s="118" t="s">
        <v>39</v>
      </c>
      <c r="C32" s="119"/>
      <c r="D32" s="119"/>
      <c r="E32" s="119"/>
      <c r="F32" s="119"/>
      <c r="G32" s="119"/>
      <c r="H32" s="119"/>
      <c r="I32" s="119"/>
      <c r="J32" s="119"/>
      <c r="K32" s="119"/>
      <c r="L32" s="119"/>
      <c r="M32" s="119"/>
      <c r="N32" s="120"/>
      <c r="O32" s="92"/>
      <c r="P32" s="83"/>
    </row>
    <row r="33" spans="2:16" s="86" customFormat="1" ht="20.399999999999999" x14ac:dyDescent="0.35">
      <c r="B33" s="118" t="s">
        <v>40</v>
      </c>
      <c r="C33" s="119"/>
      <c r="D33" s="119"/>
      <c r="E33" s="119"/>
      <c r="F33" s="119"/>
      <c r="G33" s="119"/>
      <c r="H33" s="119"/>
      <c r="I33" s="119"/>
      <c r="J33" s="119"/>
      <c r="K33" s="119"/>
      <c r="L33" s="119"/>
      <c r="M33" s="119"/>
      <c r="N33" s="120"/>
      <c r="O33" s="92"/>
      <c r="P33" s="83"/>
    </row>
    <row r="34" spans="2:16" s="86" customFormat="1" ht="20.399999999999999" x14ac:dyDescent="0.35">
      <c r="B34" s="107" t="s">
        <v>131</v>
      </c>
      <c r="C34" s="108"/>
      <c r="D34" s="108"/>
      <c r="E34" s="108"/>
      <c r="F34" s="108"/>
      <c r="G34" s="164" t="s">
        <v>130</v>
      </c>
      <c r="H34" s="164"/>
      <c r="I34" s="163"/>
      <c r="J34" s="163"/>
      <c r="K34" s="163"/>
      <c r="L34" s="163"/>
      <c r="M34" s="162" t="s">
        <v>129</v>
      </c>
      <c r="N34" s="161"/>
      <c r="O34" s="83"/>
      <c r="P34" s="83"/>
    </row>
    <row r="35" spans="2:16" x14ac:dyDescent="0.3">
      <c r="B35" s="160"/>
      <c r="C35" s="159"/>
      <c r="D35" s="159"/>
      <c r="E35" s="159"/>
      <c r="F35" s="159"/>
      <c r="G35" s="159"/>
      <c r="H35" s="159"/>
      <c r="I35" s="159"/>
      <c r="J35" s="159"/>
      <c r="K35" s="159"/>
      <c r="L35" s="159"/>
      <c r="M35" s="159"/>
      <c r="N35" s="158"/>
    </row>
    <row r="36" spans="2:16" x14ac:dyDescent="0.3">
      <c r="B36" s="160"/>
      <c r="C36" s="159"/>
      <c r="D36" s="159"/>
      <c r="E36" s="159"/>
      <c r="F36" s="159"/>
      <c r="G36" s="159"/>
      <c r="H36" s="159"/>
      <c r="I36" s="159"/>
      <c r="J36" s="159"/>
      <c r="K36" s="159"/>
      <c r="L36" s="159"/>
      <c r="M36" s="159"/>
      <c r="N36" s="158"/>
    </row>
    <row r="37" spans="2:16" x14ac:dyDescent="0.3">
      <c r="B37" s="160"/>
      <c r="C37" s="159"/>
      <c r="D37" s="159"/>
      <c r="E37" s="159"/>
      <c r="F37" s="159"/>
      <c r="G37" s="159"/>
      <c r="H37" s="159"/>
      <c r="I37" s="159"/>
      <c r="J37" s="159"/>
      <c r="K37" s="159"/>
      <c r="L37" s="159"/>
      <c r="M37" s="159"/>
      <c r="N37" s="158"/>
    </row>
    <row r="38" spans="2:16" ht="16.8" x14ac:dyDescent="0.3">
      <c r="B38" s="149" t="s">
        <v>128</v>
      </c>
      <c r="C38" s="157"/>
      <c r="D38" s="154"/>
      <c r="E38" s="151"/>
      <c r="F38" s="151"/>
      <c r="G38" s="151"/>
      <c r="H38" s="151"/>
      <c r="I38" s="151"/>
      <c r="J38" s="152"/>
      <c r="K38" s="151"/>
      <c r="L38" s="151"/>
      <c r="M38" s="151"/>
      <c r="N38" s="156"/>
    </row>
    <row r="39" spans="2:16" ht="16.8" x14ac:dyDescent="0.3">
      <c r="B39" s="149" t="s">
        <v>127</v>
      </c>
      <c r="C39" s="155"/>
      <c r="D39" s="154"/>
      <c r="E39" s="151"/>
      <c r="F39" s="151"/>
      <c r="G39" s="151"/>
      <c r="H39" s="151"/>
      <c r="I39" s="151"/>
      <c r="J39" s="152"/>
      <c r="K39" s="151"/>
      <c r="L39" s="151"/>
      <c r="M39" s="151"/>
      <c r="N39" s="150"/>
    </row>
    <row r="40" spans="2:16" ht="16.8" x14ac:dyDescent="0.3">
      <c r="B40" s="149" t="s">
        <v>126</v>
      </c>
      <c r="C40" s="153"/>
      <c r="D40" s="151"/>
      <c r="E40" s="151"/>
      <c r="F40" s="151"/>
      <c r="G40" s="151"/>
      <c r="H40" s="151"/>
      <c r="I40" s="151"/>
      <c r="J40" s="152"/>
      <c r="K40" s="151"/>
      <c r="L40" s="151"/>
      <c r="M40" s="151"/>
      <c r="N40" s="150"/>
    </row>
    <row r="41" spans="2:16" ht="16.8" x14ac:dyDescent="0.3">
      <c r="B41" s="149" t="s">
        <v>125</v>
      </c>
      <c r="N41" s="148"/>
    </row>
    <row r="42" spans="2:16" ht="16.8" x14ac:dyDescent="0.3">
      <c r="B42" s="149" t="s">
        <v>124</v>
      </c>
      <c r="N42" s="148"/>
    </row>
    <row r="43" spans="2:16" ht="16.8" x14ac:dyDescent="0.3">
      <c r="B43" s="149" t="s">
        <v>123</v>
      </c>
      <c r="N43" s="148"/>
    </row>
    <row r="44" spans="2:16" ht="16.8" x14ac:dyDescent="0.3">
      <c r="B44" s="149" t="s">
        <v>122</v>
      </c>
      <c r="N44" s="148"/>
    </row>
    <row r="45" spans="2:16" ht="16.8" x14ac:dyDescent="0.3">
      <c r="B45" s="149" t="s">
        <v>121</v>
      </c>
      <c r="N45" s="148"/>
    </row>
    <row r="46" spans="2:16" ht="16.8" x14ac:dyDescent="0.3">
      <c r="B46" s="149" t="s">
        <v>120</v>
      </c>
      <c r="N46" s="148"/>
    </row>
    <row r="47" spans="2:16" x14ac:dyDescent="0.3">
      <c r="B47" s="146" t="s">
        <v>39</v>
      </c>
      <c r="C47" s="145"/>
      <c r="D47" s="145"/>
      <c r="E47" s="145"/>
      <c r="F47" s="145"/>
      <c r="G47" s="145"/>
      <c r="H47" s="145"/>
      <c r="I47" s="145"/>
      <c r="J47" s="145"/>
      <c r="K47" s="145"/>
      <c r="L47" s="145"/>
      <c r="M47" s="145"/>
      <c r="N47" s="144"/>
      <c r="O47" s="147"/>
    </row>
    <row r="48" spans="2:16" x14ac:dyDescent="0.3">
      <c r="B48" s="146" t="s">
        <v>40</v>
      </c>
      <c r="C48" s="145"/>
      <c r="D48" s="145"/>
      <c r="E48" s="145"/>
      <c r="F48" s="145"/>
      <c r="G48" s="145"/>
      <c r="H48" s="145"/>
      <c r="I48" s="145"/>
      <c r="J48" s="145"/>
      <c r="K48" s="145"/>
      <c r="L48" s="145"/>
      <c r="M48" s="145"/>
      <c r="N48" s="144"/>
      <c r="O48" s="147"/>
    </row>
    <row r="49" spans="2:14" x14ac:dyDescent="0.3">
      <c r="B49" s="146" t="s">
        <v>119</v>
      </c>
      <c r="C49" s="145"/>
      <c r="D49" s="145"/>
      <c r="E49" s="145"/>
      <c r="F49" s="145"/>
      <c r="G49" s="145"/>
      <c r="H49" s="145"/>
      <c r="I49" s="145"/>
      <c r="J49" s="145"/>
      <c r="K49" s="145"/>
      <c r="L49" s="145"/>
      <c r="M49" s="145"/>
      <c r="N49" s="144"/>
    </row>
    <row r="50" spans="2:14" ht="25.8" x14ac:dyDescent="0.3">
      <c r="C50" s="15" t="s">
        <v>41</v>
      </c>
    </row>
    <row r="51" spans="2:14" ht="25.8" x14ac:dyDescent="0.3">
      <c r="C51" s="15" t="s">
        <v>42</v>
      </c>
    </row>
    <row r="52" spans="2:14" ht="25.8" x14ac:dyDescent="0.3">
      <c r="C52" s="15" t="s">
        <v>43</v>
      </c>
    </row>
    <row r="53" spans="2:14" ht="25.8" x14ac:dyDescent="0.3">
      <c r="C53" s="15" t="s">
        <v>44</v>
      </c>
    </row>
    <row r="54" spans="2:14" ht="25.8" x14ac:dyDescent="0.3">
      <c r="C54" s="15" t="s">
        <v>45</v>
      </c>
    </row>
  </sheetData>
  <dataConsolidate/>
  <mergeCells count="11">
    <mergeCell ref="F8:G8"/>
    <mergeCell ref="F9:G9"/>
    <mergeCell ref="G19:I19"/>
    <mergeCell ref="B22:N22"/>
    <mergeCell ref="B30:N30"/>
    <mergeCell ref="B32:N32"/>
    <mergeCell ref="B33:N33"/>
    <mergeCell ref="B47:N47"/>
    <mergeCell ref="B48:N48"/>
    <mergeCell ref="B49:N49"/>
    <mergeCell ref="B31:N31"/>
  </mergeCells>
  <dataValidations count="11">
    <dataValidation type="list" allowBlank="1" showInputMessage="1" showErrorMessage="1" sqref="H34" xr:uid="{73897787-1CF5-4C88-BAF9-ECF63CE474D3}">
      <formula1>"ALAA HAMMAD,KHALED QASSEM,RAMY RAOUF,SIMON LOBO,MHAREN CLEMENTE GARADO"</formula1>
    </dataValidation>
    <dataValidation type="list" allowBlank="1" showInputMessage="1" showErrorMessage="1" sqref="M34" xr:uid="{B879E2CE-BDF2-40D8-A961-F5C30107DBFE}">
      <formula1>"Alaa Hammad,Bachir Ibrahim Mourad,Khaled Qassem,Ramy Raoof,Simon Lobo,Mharen Clemente Garado,Ranjith"</formula1>
    </dataValidation>
    <dataValidation type="list" allowBlank="1" showInputMessage="1" showErrorMessage="1" sqref="B11" xr:uid="{4C40CA22-9B1E-4A9A-A084-FF1EE07F674F}">
      <formula1>"FO Ceramic+ Intr&amp;Extr CeramicGold WdwTnt,FO Mirror Camera Sensor"</formula1>
    </dataValidation>
    <dataValidation type="list" allowBlank="1" showInputMessage="1" showErrorMessage="1" sqref="B12" xr:uid="{4141B497-C9E0-4FEE-82D2-3B484B0570B8}">
      <formula1>"FO Exterior ceramic All Cars SCOTCHGUARD,FO Mirror Camera Sensor,FO PPF Gold Package "</formula1>
    </dataValidation>
    <dataValidation type="list" allowBlank="1" showInputMessage="1" showErrorMessage="1" sqref="K20" xr:uid="{EEE8FABA-BF1E-4EB0-811C-92255D274164}">
      <formula1>"Esaad,Emirates Platinum,Fazaa,Humat Alwatan,Permissible,ASX,XPMLP,XP,MON,MON G57,OUT,F08,P08,F06,P06,F03,F03-1,P03,EC,G37,G38,G40,G43"</formula1>
    </dataValidation>
    <dataValidation type="list" allowBlank="1" showInputMessage="1" showErrorMessage="1" sqref="B16" xr:uid="{21513DA3-D20D-4654-A17D-1601FAE83283}">
      <formula1>"RMC-10-40KMS,RMC-10-60KMS,RMC-10-70KMS,RMC-10-100000KMS,RMC-40-70KMS,RMC-40-100000KMS"</formula1>
    </dataValidation>
    <dataValidation type="list" allowBlank="1" showInputMessage="1" showErrorMessage="1" sqref="K24" xr:uid="{DBC48ACF-A1B0-47CB-B2BD-6E534451770B}">
      <formula1>"RMC-10-70K,RMC-10-100000K,RMC-40-70K"</formula1>
    </dataValidation>
    <dataValidation type="list" allowBlank="1" showInputMessage="1" showErrorMessage="1" sqref="D5" xr:uid="{ED5652E1-229F-4825-8C4C-3DC4F4277366}">
      <formula1>"MIG09,MIG10,H16,P16,H17,H48,H43,H40,H42,H44,H45,H38,H37,EH40,EH43,ML,HL,PR, MLP,HLP,PRP,XPML,XPHL,XPMLP, XPMLP-01,XC, G10,P10, G03, P03, G06,P06,G12,P12,G05,P05,G08,P08,G09,P09,H57,P57,H64,H59,P59,H61,P61"</formula1>
    </dataValidation>
    <dataValidation type="list" allowBlank="1" showInputMessage="1" showErrorMessage="1" sqref="M21" xr:uid="{4D442CC9-C71F-4AFB-9C18-6D01818F6A81}">
      <formula1>"3000-4999,5000-9999,5000-99999,10000-14999,15000-24999,25000-34999,35000-99999,5000-11999,12000-19999,20000-39999,40000-69999,70000-99999"</formula1>
    </dataValidation>
    <dataValidation type="list" allowBlank="1" showInputMessage="1" showErrorMessage="1" sqref="C10:C16 L20 L24:L25 G14:G15 J10" xr:uid="{5D907A92-3C65-47DA-A457-911ED03C3D21}">
      <formula1>"YES,NO"</formula1>
    </dataValidation>
    <dataValidation type="list" allowBlank="1" showInputMessage="1" showErrorMessage="1" sqref="K21" xr:uid="{7422CBDC-5F12-4566-B731-9AB0AD7753EC}">
      <formula1>"ADCB,ADCB PAY IN 2027,Ajman Bank,ADIB,DIB EXPAT,DIB LOCAL GVH,Emirates NBD,EIB,FAB,RAK,SIB STL,SIB NON STL"</formula1>
    </dataValidation>
  </dataValidations>
  <pageMargins left="0.23622047244094491" right="0.23622047244094491" top="0.74803149606299213" bottom="0.74803149606299213" header="0.31496062992125984" footer="0.31496062992125984"/>
  <pageSetup paperSize="9" scale="40" orientation="landscape" horizontalDpi="4294967295" verticalDpi="4294967295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53BBF5-BABF-4CC5-8593-0C3E6B0B415E}">
  <sheetPr>
    <pageSetUpPr fitToPage="1"/>
  </sheetPr>
  <dimension ref="A1:AA54"/>
  <sheetViews>
    <sheetView topLeftCell="B1" zoomScaleNormal="100" workbookViewId="0">
      <selection activeCell="D5" sqref="D5"/>
    </sheetView>
  </sheetViews>
  <sheetFormatPr defaultColWidth="9.109375" defaultRowHeight="15.6" x14ac:dyDescent="0.3"/>
  <cols>
    <col min="1" max="1" width="16" style="1" hidden="1" customWidth="1"/>
    <col min="2" max="2" width="75.109375" style="2" customWidth="1"/>
    <col min="3" max="3" width="26.88671875" style="3" customWidth="1"/>
    <col min="4" max="4" width="23.88671875" style="2" customWidth="1"/>
    <col min="5" max="5" width="23.33203125" style="2" customWidth="1"/>
    <col min="6" max="6" width="19.88671875" style="2" customWidth="1"/>
    <col min="7" max="7" width="23.33203125" style="2" customWidth="1"/>
    <col min="8" max="8" width="24.44140625" style="2" customWidth="1"/>
    <col min="9" max="9" width="27.109375" style="2" customWidth="1"/>
    <col min="10" max="10" width="26.6640625" style="2" customWidth="1"/>
    <col min="11" max="11" width="25.44140625" style="2" customWidth="1"/>
    <col min="12" max="12" width="20.5546875" style="2" customWidth="1"/>
    <col min="13" max="13" width="20.109375" style="2" customWidth="1"/>
    <col min="14" max="14" width="19.5546875" style="2" customWidth="1"/>
    <col min="15" max="15" width="15.109375" style="2" bestFit="1" customWidth="1"/>
    <col min="16" max="16" width="12.6640625" style="2" hidden="1" customWidth="1"/>
    <col min="17" max="17" width="12.6640625" style="1" hidden="1" customWidth="1"/>
    <col min="18" max="18" width="15.6640625" style="1" hidden="1" customWidth="1"/>
    <col min="19" max="19" width="13" style="1" hidden="1" customWidth="1"/>
    <col min="20" max="20" width="17.109375" style="1" hidden="1" customWidth="1"/>
    <col min="21" max="21" width="14.5546875" style="1" bestFit="1" customWidth="1"/>
    <col min="22" max="22" width="19" style="1" customWidth="1"/>
    <col min="23" max="23" width="22.5546875" style="1" bestFit="1" customWidth="1"/>
    <col min="24" max="25" width="9.109375" style="1"/>
    <col min="26" max="26" width="14" style="1" bestFit="1" customWidth="1"/>
    <col min="27" max="27" width="22.33203125" style="1" bestFit="1" customWidth="1"/>
    <col min="28" max="16384" width="9.109375" style="1"/>
  </cols>
  <sheetData>
    <row r="1" spans="1:27" ht="15.75" customHeight="1" x14ac:dyDescent="0.3">
      <c r="B1" s="222" t="s">
        <v>148</v>
      </c>
      <c r="C1" s="221"/>
      <c r="D1" s="221"/>
      <c r="E1" s="221"/>
      <c r="F1" s="221"/>
      <c r="G1" s="221"/>
      <c r="H1" s="221"/>
      <c r="I1" s="221"/>
      <c r="J1" s="221"/>
      <c r="K1" s="221"/>
      <c r="L1" s="221"/>
      <c r="M1" s="221"/>
      <c r="N1" s="220"/>
    </row>
    <row r="2" spans="1:27" ht="15.75" customHeight="1" x14ac:dyDescent="0.3">
      <c r="B2" s="219" t="s">
        <v>147</v>
      </c>
      <c r="C2" s="218"/>
      <c r="D2" s="218"/>
      <c r="E2" s="218"/>
      <c r="F2" s="218"/>
      <c r="G2" s="218"/>
      <c r="H2" s="218"/>
      <c r="I2" s="218"/>
      <c r="J2" s="218"/>
      <c r="K2" s="218"/>
      <c r="L2" s="218"/>
      <c r="M2" s="218"/>
      <c r="N2" s="217"/>
      <c r="Q2" s="2"/>
      <c r="S2" s="186"/>
    </row>
    <row r="3" spans="1:27" ht="15.75" customHeight="1" x14ac:dyDescent="0.3">
      <c r="B3" s="219" t="s">
        <v>146</v>
      </c>
      <c r="C3" s="218"/>
      <c r="D3" s="218"/>
      <c r="E3" s="218"/>
      <c r="F3" s="218"/>
      <c r="G3" s="218"/>
      <c r="H3" s="218"/>
      <c r="I3" s="218"/>
      <c r="J3" s="218"/>
      <c r="K3" s="218"/>
      <c r="L3" s="218"/>
      <c r="M3" s="218"/>
      <c r="N3" s="217"/>
      <c r="O3" s="3"/>
      <c r="P3" s="3"/>
      <c r="Q3" s="153"/>
      <c r="R3" s="153"/>
      <c r="S3" s="216" t="e">
        <f>N7+J14</f>
        <v>#VALUE!</v>
      </c>
      <c r="T3" s="216"/>
      <c r="U3" s="153"/>
      <c r="V3" s="153"/>
      <c r="W3" s="153"/>
      <c r="AA3" s="1">
        <f>273000/5</f>
        <v>54600</v>
      </c>
    </row>
    <row r="4" spans="1:27" ht="15.75" customHeight="1" x14ac:dyDescent="0.3">
      <c r="B4" s="215"/>
      <c r="C4" s="214"/>
      <c r="D4" s="214"/>
      <c r="E4" s="214"/>
      <c r="F4" s="214"/>
      <c r="G4" s="214"/>
      <c r="H4" s="214"/>
      <c r="I4" s="214"/>
      <c r="J4" s="214"/>
      <c r="K4" s="214"/>
      <c r="L4" s="214"/>
      <c r="M4" s="214"/>
      <c r="N4" s="213"/>
      <c r="O4" s="212" t="s">
        <v>0</v>
      </c>
      <c r="P4" s="212"/>
      <c r="Q4" s="210"/>
      <c r="R4" s="210"/>
      <c r="S4" s="211"/>
      <c r="T4" s="211"/>
      <c r="U4" s="210" t="s">
        <v>1</v>
      </c>
      <c r="V4" s="210" t="s">
        <v>2</v>
      </c>
      <c r="W4" s="210" t="s">
        <v>3</v>
      </c>
    </row>
    <row r="5" spans="1:27" ht="25.2" thickBot="1" x14ac:dyDescent="0.45">
      <c r="B5" s="17"/>
      <c r="C5" s="18" t="str">
        <f>IF(D5="MIG09","Mirage G09",IF(D5="MIG10","MirageG10",IF(D5="H16","Attrage H16",IF(D5="P16","Attrage P16",IF(D5="H17","Attrage H17",IF(D5="H48","ASX H48",IF(D5="H43","ASX H43",IF(D5="H40","ASX H40",IF(D5="H42","ASX H42",IF(D5="H44","ASX H44",IF(D5="H45","ASX H45",IF(D5="H38","Eclipse H38",IF(D5="H37","Eclipse H37",IF(D5="EH40","Eclipse H40",IF(D5="EH43","Eclipse H43",IF(D5="XPML","Xpander ML",IF(D5="ML","Destinator ML",IF(D5="HL","Destinator HL",IF(D5="PR","Destinator PR",IF(D5="MLP","Destinator MLP",IF(D5="HLP","Destinator HLP",IF(D5="PRP","Destinator PRP",IF(D5="XPHL","Xpander HL",IF(D5="XPMLP","Xpander ML P",IF(D5="XPMLP-01","Xpander ML P-01",IF(D5="XC","Xpander Cross",IF(D5="G03","Outlander G03",IF(D5="P03","Outlander P03",IF(D5="G06","Outlander G06",IF(D5="P06","Outlander P06",IF(D5="OTP06-01","Outlander P06-01",IF(D5="G08","Outlander G08",IF(D5="P08","Outlander P08",IF(D5="H57","Montero H57",IF(D5="P57","Montero P57",IF(D5="H64","Montero G64",IF(D5="H59","Montero G59",IF(D5="P59","Montero G59 P",IF(D5="H61","Montero G61",IF(D5="P61","Montero P61",IF(D5="G10","Outlander G10",IF(D5="P10","Outlander P10",IF(D5="G12","Outlander G12",IF(D5="P12","Outlander P12",IF(D5="G05","Outlander G05",IF(D5="P05","Outlander P05",IF(D5="G09","Outlander G09",IF(D5="P09","Outlander P09",))))))))))))))))))))))))))))))))))))))))))))))))</f>
        <v>Eclipse H43</v>
      </c>
      <c r="D5" s="19" t="s">
        <v>185</v>
      </c>
      <c r="E5" s="20" t="s">
        <v>145</v>
      </c>
      <c r="F5" s="37"/>
      <c r="G5" s="37"/>
      <c r="H5" s="37"/>
      <c r="I5" s="20"/>
      <c r="J5" s="34"/>
      <c r="K5" s="209">
        <v>0</v>
      </c>
      <c r="L5" s="208">
        <v>3.39E-2</v>
      </c>
      <c r="M5" s="208">
        <v>6.7799999999999999E-2</v>
      </c>
      <c r="N5" s="208">
        <v>0.1017</v>
      </c>
      <c r="O5" s="147">
        <f>K7+K14</f>
        <v>13580.62245155</v>
      </c>
      <c r="S5" s="186"/>
      <c r="U5" s="186">
        <f>L7+L14</f>
        <v>5606.9670845708333</v>
      </c>
      <c r="V5" s="186">
        <f>M7+M14</f>
        <v>3791.6137736749997</v>
      </c>
      <c r="W5" s="186">
        <f>N7+N14</f>
        <v>2665.3372512374999</v>
      </c>
    </row>
    <row r="6" spans="1:27" s="5" customFormat="1" ht="99" thickBot="1" x14ac:dyDescent="0.35">
      <c r="A6" s="4" t="s">
        <v>4</v>
      </c>
      <c r="B6" s="26" t="s">
        <v>5</v>
      </c>
      <c r="C6" s="27" t="s">
        <v>6</v>
      </c>
      <c r="D6" s="27" t="s">
        <v>144</v>
      </c>
      <c r="E6" s="27" t="s">
        <v>7</v>
      </c>
      <c r="F6" s="27" t="s">
        <v>8</v>
      </c>
      <c r="G6" s="28" t="s">
        <v>9</v>
      </c>
      <c r="H6" s="28" t="s">
        <v>143</v>
      </c>
      <c r="I6" s="28" t="s">
        <v>10</v>
      </c>
      <c r="J6" s="28" t="s">
        <v>142</v>
      </c>
      <c r="K6" s="28" t="s">
        <v>11</v>
      </c>
      <c r="L6" s="28" t="s">
        <v>12</v>
      </c>
      <c r="M6" s="28" t="s">
        <v>13</v>
      </c>
      <c r="N6" s="28" t="s">
        <v>14</v>
      </c>
      <c r="O6" s="207"/>
      <c r="P6" s="206"/>
      <c r="T6" s="205"/>
      <c r="U6" s="205">
        <f>N7+L14</f>
        <v>4430.3151512374998</v>
      </c>
      <c r="V6" s="205">
        <f>N7+K14</f>
        <v>10933.155601549999</v>
      </c>
      <c r="W6" s="205" t="e">
        <f>N7+J14</f>
        <v>#VALUE!</v>
      </c>
    </row>
    <row r="7" spans="1:27" ht="25.2" thickBot="1" x14ac:dyDescent="0.45">
      <c r="A7" s="6">
        <f>B8</f>
        <v>106900</v>
      </c>
      <c r="B7" s="29">
        <f>IF(L20="YES",C8*1,IF(L20="NO",B8*1))</f>
        <v>106900</v>
      </c>
      <c r="C7" s="29">
        <f>B7*5/100</f>
        <v>5345</v>
      </c>
      <c r="D7" s="203">
        <f>B7+C7</f>
        <v>112245</v>
      </c>
      <c r="E7" s="29">
        <f>D17</f>
        <v>19573.342499999999</v>
      </c>
      <c r="F7" s="29">
        <f>(C7)+(D10+D11+D12+D13+D16)*5/100</f>
        <v>5900</v>
      </c>
      <c r="G7" s="30">
        <f>B7+E7+F7</f>
        <v>132373.3425</v>
      </c>
      <c r="H7" s="29">
        <f>G7*D20</f>
        <v>26474.6685</v>
      </c>
      <c r="I7" s="30">
        <f>(G7-H7)</f>
        <v>105898.674</v>
      </c>
      <c r="J7" s="30">
        <f>(((I7*D19)*1)+I7)/12</f>
        <v>9168.1777015499993</v>
      </c>
      <c r="K7" s="30">
        <f>(((I7*D19)*2)+I7)/24</f>
        <v>4755.7329515499996</v>
      </c>
      <c r="L7" s="30">
        <f>(((I7*D19)*3)+I7)/36</f>
        <v>3284.9180348833333</v>
      </c>
      <c r="M7" s="30">
        <f>(((I7*D19)*4)+I7)/48</f>
        <v>2549.5105765499998</v>
      </c>
      <c r="N7" s="30">
        <f>((((I7*D19)*5)+I7)/60)</f>
        <v>2108.2661015499998</v>
      </c>
      <c r="O7" s="147"/>
      <c r="P7" s="2">
        <f>H7+H16</f>
        <v>27586.604576999998</v>
      </c>
      <c r="T7" s="186">
        <f>25973/2</f>
        <v>12986.5</v>
      </c>
    </row>
    <row r="8" spans="1:27" ht="24.6" x14ac:dyDescent="0.4">
      <c r="A8" s="7">
        <v>0.2</v>
      </c>
      <c r="B8" s="31">
        <f>IF(D5="MIG09",39900,IF(D5="MIG10",41900,IF(D5="H16",41900,IF(D5="P16",47400,IF(D5="H17",47900,IF(D5="H48",67900,IF(D5="H43",70900,IF(D5="H40",72900,IF(D5="H42",74900,IF(D5="H44",73900,IF(D5="H45",79900,IF(D5="H38",86900,IF(D5="H37",79900,IF(D5="EH40",99900,IF(D5="EH43",106900,IF(D5="ML",71900,IF(D5="HL",83900,IF(D5="PR",95900,IF(D5="MLP",80900,IF(D5="HLP",91900,IF(D5="PRP",102900,IF(D5="XPML",69900,IF(D5="XPHL",71000,IF(D5="XPMLP",75900,IF(D5="XPMLP-01",77800,IF(D5="XC",84900,IF(D5="G10",81900,IF(D5="P10",93900,IF(D5="G12",97900,IF(D5="P12",105900,IF(D5="G05",104900,IF(D5="P05",105900,IF(D5="G03",92900,IF(D5="P03",100900,IF(D5="G06",109900,IF(D5="P06",114900,IF(D5="OTP06-01",118900,IF(D5="G08",125900,IF(D5="P08",132900,IF(D5="OTP06-01",109900,IF(D5="G09",129900,IF(D5="P09",134900,IF(D5="H57",105900,IF(D5="P57",113900,IF(D5="H64",116900,IF(D5="H59",127900,IF(D5="P59",134900,IF(D5="H61",134900,IF(D5="P61",138900)))))))))))))))))))))))))))))))))))))))))))))))))</f>
        <v>106900</v>
      </c>
      <c r="C8" s="32">
        <f>IF(L20="YES",N20,IF(L20="NO",N20))</f>
        <v>106900</v>
      </c>
      <c r="D8" s="29">
        <v>0</v>
      </c>
      <c r="E8" s="33"/>
      <c r="F8" s="139"/>
      <c r="G8" s="140"/>
      <c r="H8" s="110">
        <f>G7*20/100</f>
        <v>26474.6685</v>
      </c>
      <c r="I8" s="34"/>
      <c r="J8" s="34" t="s">
        <v>15</v>
      </c>
      <c r="K8" s="34">
        <f>(I7*K5+I7)/24</f>
        <v>4412.4447499999997</v>
      </c>
      <c r="L8" s="34">
        <f>(I7*L5+I7)/36</f>
        <v>3041.3510846833333</v>
      </c>
      <c r="M8" s="34">
        <f>(I7*M5+I7)/48</f>
        <v>2355.8042520250001</v>
      </c>
      <c r="N8" s="34">
        <f>(I7*N5+I7)/60</f>
        <v>1944.47615243</v>
      </c>
      <c r="O8" s="147">
        <v>0</v>
      </c>
      <c r="P8" s="2">
        <f>P7/12</f>
        <v>2298.8837147499999</v>
      </c>
      <c r="T8" s="1">
        <f>25973-12973</f>
        <v>13000</v>
      </c>
    </row>
    <row r="9" spans="1:27" ht="24.6" x14ac:dyDescent="0.4">
      <c r="A9" s="8">
        <f>B8/(100%-A8)</f>
        <v>133625</v>
      </c>
      <c r="B9" s="109">
        <f>B7-B8</f>
        <v>0</v>
      </c>
      <c r="C9" s="109"/>
      <c r="D9" s="36"/>
      <c r="E9" s="33"/>
      <c r="F9" s="139"/>
      <c r="G9" s="140"/>
      <c r="H9" s="33"/>
      <c r="I9" s="37" t="s">
        <v>16</v>
      </c>
      <c r="J9" s="38">
        <f>(J7*12)-I7</f>
        <v>4119.4584185999993</v>
      </c>
      <c r="K9" s="38">
        <f>(K7*24)-I7</f>
        <v>8238.9168371999986</v>
      </c>
      <c r="L9" s="38">
        <f>(L7*36)-I7</f>
        <v>12358.375255799998</v>
      </c>
      <c r="M9" s="38">
        <f>(M7*48)-I7</f>
        <v>16477.833674399997</v>
      </c>
      <c r="N9" s="38">
        <f>(N7*60)-I7</f>
        <v>20597.292092999996</v>
      </c>
      <c r="O9" s="147"/>
      <c r="T9" s="1">
        <f>T8/12</f>
        <v>1083.3333333333333</v>
      </c>
      <c r="Z9" s="1" t="s">
        <v>86</v>
      </c>
    </row>
    <row r="10" spans="1:27" ht="24.6" x14ac:dyDescent="0.4">
      <c r="A10" s="8"/>
      <c r="B10" s="37" t="s">
        <v>141</v>
      </c>
      <c r="C10" s="20" t="s">
        <v>17</v>
      </c>
      <c r="D10" s="36">
        <f>IF(C10="YES",700,IF(C10="NO",0))</f>
        <v>0</v>
      </c>
      <c r="E10" s="39"/>
      <c r="F10" s="40"/>
      <c r="G10" s="40"/>
      <c r="H10" s="33"/>
      <c r="I10" s="44" t="s">
        <v>85</v>
      </c>
      <c r="J10" s="117" t="s">
        <v>19</v>
      </c>
      <c r="K10" s="117">
        <f>IF(J10="YES",Z10,IF(J10="NO",0))</f>
        <v>1000</v>
      </c>
      <c r="L10" s="41">
        <f>(L8*36)-I7</f>
        <v>3589.9650486000028</v>
      </c>
      <c r="M10" s="41">
        <f>(M8*48)-I7</f>
        <v>7179.9300972000055</v>
      </c>
      <c r="N10" s="41">
        <f>(N8*60)-I7</f>
        <v>10769.895145799994</v>
      </c>
      <c r="O10" s="147">
        <f>IF(D5="XC",3690,IF(D5="XPML",3690,IF(D5="XPHL",3690,IF(D5="XPMLP",3690,IF(D5="XPMLP-01",3690,IF(D5="Xpander P",3690,IF(D5="ML",3690,IF(D5="HL",3690,IF(D5="PR",(U19*3/100+510)*1.05,IF(D5="MLP",3690,IF(D5="HLP",(U19*3/100+510)*1.05,IF(D5="PRP",(U19*3/100+510)*1.05,IF(D5="H57",(U19*2.75/100+510)*1.05,IF(D5="P57",(U19*2.75/100+510)*1.05,IF(D5="H64",(U19*2.75/100+510)*1.05,IF(D5="H59",(U19*2.75/100+510)*1.05,IF(D5="P59",(U19*2.75/100+510)*1.05,IF(D5="H61",(U19*2.75/100+510)*1.05,IF(D5="P61",(U19*2.75/100+510)*1.05,IF(D5="G03",(U19*3/100+510)*1.05,IF(D5="G10",(U19*3/100+510)*1.05,IF(D5="P10",(U19*3/100+510)*1.05,IF(D5="G12",(U19*3/100+510)*1.05,IF(D5="P12",(U19*3/100+510)*1.05,IF(D5="G05",(U19*3/100+510)*1.05,IF(D5="P05",(U19*3/100+510)*1.05,IF(D5="P03",(U19*3/100+510)*1.05,IF(D5="G06",(U19*3/100+510)*1.05,IF(D5="P06",(U19*3/100+510)*1.05,IF(D5="OTP06-01",(U19*3/100+510)*1.05,IF(D5="G08",(U19*3/100+510)*1.05,IF(D5="P08",(U19*3/100+510)*1.05,IF(D5="G09",(U19*3/100+510)*1.05,IF(D5="P09",(U19*3/100+510)*1.05,IF(D5="H38",3625,IF(D5="H37",3625,IF(D5="EH40",(U19*3/100+450)*1.05,IF(D5="EH43",(U19*3/100+450)*1.05,IF(D5="H48",3625,IF(D5="H43",3625,IF(D5="H40",3625,IF(D5="H42",3625,IF(D5="H44",3625,IF(D5="H45",3625,IF(D5="ASX HL 4WD",3625,IF(D5="H16",3625,IF(D5="H17",3625,IF(D5="P16",3625,IF(D5="Attrage S",3625,IF(D5="MIG09",3625,IF(D5="MIG10",3625,IF(D5="Xpander HL",3690))))))))))))))))))))))))))))))))))))))))))))))))))))</f>
        <v>4375.3500000000004</v>
      </c>
      <c r="P10" s="204"/>
      <c r="Q10" s="204">
        <f>5.25*3</f>
        <v>15.75</v>
      </c>
      <c r="Z10" s="1">
        <f>IF(D5="MIG09",1000,IF(D5="MIG10",1000,IF(D5="H16",1000,IF(D5="P16",1000,IF(D5="H17",1000,IF(D5="H48",1000,IF(D5="H43",1000,IF(D5="H40",1000,IF(D5="H42",1000,IF(D5="H44",1000,IF(D5="H45",1000,IF(D5="H38",1000,IF(D5="H37",1000,IF(D5="EH40",1000,IF(D5="EH43",1000,IF(D5="ML",1000,IF(D5="HL",1000,IF(D5="PR",1000,IF(D5="MLP",1000,IF(D5="HLP",1000,IF(D5="PRP",1000,IF(D5="XPML",1000,IF(D5="XPHL",1000,IF(D5="XPMLP",1000,IF(D5="XPMLP-01",1000,IF(D5="XC",1000,IF(D5="G10",1000,IF(D5="P10",1000,IF(D5="G12",1000,IF(D5="P12",1000,IF(D5="G05",1000,IF(D5="P05",1000,IF(D5="G03",1000,IF(D5="P03",1000,IF(D5="G06",1000,IF(D5="P06",1000,IF(D5="OTP06-01",1000,IF(D5="G08",1000,IF(D5="P08",1000,IF(D5="OTP06-01",1000,IF(D5="G09",1000,IF(D5="P09",1000,IF(D5="H57",1000,IF(D5="P57",1000,IF(D5="H64",1000,IF(D5="H59",1000,IF(D5="P59",1000,IF(D5="H61",1000,IF(D5="P61",1000)))))))))))))))))))))))))))))))))))))))))))))))))</f>
        <v>1000</v>
      </c>
    </row>
    <row r="11" spans="1:27" ht="24.6" x14ac:dyDescent="0.4">
      <c r="A11" s="8"/>
      <c r="B11" s="37" t="s">
        <v>18</v>
      </c>
      <c r="C11" s="20" t="s">
        <v>19</v>
      </c>
      <c r="D11" s="203">
        <f>IF(C11="YES",O17,IF(C11="NO",0))</f>
        <v>2700</v>
      </c>
      <c r="E11" s="39"/>
      <c r="F11" s="40"/>
      <c r="G11" s="40"/>
      <c r="H11" s="33"/>
      <c r="I11" s="33"/>
      <c r="J11" s="44" t="s">
        <v>76</v>
      </c>
      <c r="K11" s="44">
        <f>H8-K10</f>
        <v>25474.6685</v>
      </c>
      <c r="L11" s="37"/>
      <c r="M11" s="37"/>
      <c r="N11" s="38"/>
      <c r="O11" s="147">
        <f>IF(D5="XC",6100,IF(D5="XPML",6100,IF(D5="XPHL",6100,IF(D5="XPMLP",6100,IF(D5="XPMLP-01",6100,IF(D5="Xpander P",6100,IF(D5="ML",6600,IF(D5="HL",6600,IF(D5="PR",6600,IF(D5="MLP",6600,IF(D5="HLP",6600,IF(D5="PRP",6600,IF(D5="H57",5900,IF(D5="P57",5900,IF(D5="H64",5900,IF(D5="H59",5900,IF(D5="P59",5900,IF(D5="H61",5900,IF(D5="P61",5900,IF(D5="G03",6700,IF(D5="G10",6700,IF(D5="P10",6700,IF(D5="G12",6700,IF(D5="P12",6700,IF(D5="G05",6700,IF(D5="P05",6700,IF(D5="P03",6700,IF(D5="G06",6700,IF(D5="P06",6700,IF(D5="OTP06-01",6700,IF(D5="G08",6700,IF(D5="G09",6700,IF(D5="G08",6700,IF(D5="P08",6700,IF(D5="P09",6700,IF(D5="H37",6400,IF(D5="H38",6400,IF(D5="EH40",6400,IF(D5="EH43",6400,IF(D5="H48",6600,IF(D5="H43",6600,IF(D5="H40",6600,IF(D5="H42",6600,IF(D5="H44",6600,IF(D5="H45",6600,IF(D5="ASX HL 4WD",6600,IF(D5="H16",5400,IF(D5="H17",5400,IF(D5="P16",5400,IF(D5="Attrage S",5400,IF(D5="MIG09",5400,IF(D5="MIG10",5400,IF(D5="Xpander HL",6000)))))))))))))))))))))))))))))))))))))))))))))))))))))</f>
        <v>6400</v>
      </c>
      <c r="P11" s="147"/>
      <c r="Q11" s="147"/>
      <c r="R11" s="147"/>
      <c r="S11" s="147"/>
      <c r="T11" s="147"/>
      <c r="U11" s="147">
        <f>IF(D5="XC",4900,IF(D5="XPML",4900,IF(D5="XPHL",4900,IF(D5="XPMLP",4900,IF(D5="XPMLP-01",4900,IF(D5="Xpander P",4900,IF(D5="ML",5400,IF(D5="HL",5400,IF(D5="PR",5400,IF(D5="MLP",5400,IF(D5="HLP",5400,IF(D5="PRP",5400,IF(D5="H57",4600,IF(D5="P57",4600,IF(D5="MOG64",4600,IF(D5="H59",4600,IF(D5="P59",4600,IF(D5="H61",4600,IF(D5="P61",4600,IF(D5="G03",5500,IF(D5="P03",5500,IF(D5="G10",5500,IF(D5="P10",5500,IF(D5="G12",5500,IF(D5="P12",5500,IF(D5="G05",5500,IF(D5="P05",5500,IF(D5="G06",5500,IF(D5="P06",5500,IF(D5="OTP06-01",5500,IF(D5="F08",5500,IF(D5="P08",5500,IF(D5="G09",5500,IF(D5="P09",5500,IF(D5="H38",5200,IF(D5="H37",5200,IF(D5="EH40",5200,IF(D5="EH43",5200,IF(D5="H48",5300,IF(D5="H43",5300,IF(D5="H40",5300,IF(D5="H42",5300,IF(D5="H44",5300,IF(D5="H45",5300,IF(D5="ASX HL",5300,IF(D5="ASX P",5300,IF(D5="ASX HL 4WD",5300,IF(D5="H16",4200,IF(D5="H17",4200,IF(D5="P16",4200,IF(D5="Attrage S",4200,IF(D5="MIG09",4200,IF(D5="MIG10",4200,IF(D5="Xpander HL",4900))))))))))))))))))))))))))))))))))))))))))))))))))))))</f>
        <v>5200</v>
      </c>
      <c r="V11" s="147">
        <f>IF(D5="XC",9700,IF(D5="XPML",9700,IF(D5="XPHL",9700,IF(D5="XPMLP",9700,IF(D5="XPMLP-01",9700,IF(D5="XPMLP-01",9700,IF(D5="Xpander P",9700,IF(D5="ML",10800,IF(D5="HL",10800,IF(D5="PR",10800,IF(D5="MLP",10800,IF(D5="HLP",10800,IF(D5="PRP",10800,IF(D5="H57",9300,IF(D5="P57",9300,IF(D5="MG64",9300,IF(D5="H59",9300,IF(D5="P59",9300,IF(D5="H61",9300,IF(D5="P61",9300,IF(D5="G03",11000,IF(D5="G10",11000,IF(D5="P10",11000,IF(D5="G12",11000,IF(D5="P12",11000,IF(D5="G05",11000,IF(D5="P05",11000,IF(D5="P03",11000,IF(D5="G06",11000,IF(D5="P06",11000,IF(D5="OTP06-01",11000,IF(D5="G08",11000,IF(D5="P08",11000,IF(D5="G09",11000,IF(D5="P09",11000,IF(D5="H38",10400,IF(D5="H37",10400,IF(D5="EH40",10400,IF(D5="EH43",10400,IF(D5="H48",10700,IF(D5="H43",10700,IF(D5="H40",10700,IF(D5="H42",10700,IF(D5="H44",10800,IF(D5="H45",10800,IF(D5="ASX HL",12200,IF(D5="ASX P",12200,IF(D5="ASX HL 4WD",12200,IF(D5="H16",8500,IF(D5="H17",8500,IF(D5="P16",8500,IF(D5="Attrage S",9600,IF(D5="MIG09",8500,IF(D5="MIG10",8500,IF(D5="Xpander HL",11300)))))))))))))))))))))))))))))))))))))))))))))))))))))))</f>
        <v>10400</v>
      </c>
      <c r="W11" s="147">
        <f>IF(D5="XC",9200,IF(D5="XPML",9200,IF(D5="XPHL",9200,IF(D5="XPMLP",9200,IF(D5="XPMLP-01",9200,IF(D5="Xpander P",9200,IF(D5="ML",10000,IF(D5="HL",10000,IF(D5="PR",10000,IF(D5="MLP",10000,IF(D5="HLP",10000,IF(D5="PRP",10000,IF(D5="H57",8700,IF(D5="P57",8700,IF(D5="H64",8700,IF(D5="H59",8700,IF(D5="P59",8700,IF(D5="H61",8700,IF(D5="P61",8700,IF(D5="G03",10400,IF(D5="P03",10400,IF(D5="G10",10400,IF(D5="P10",10400,IF(D5="G12",10400,IF(D5="P12",10400,IF(D5="G05",10400,IF(D5="P05",10400,IF(D5="G06",10400,IF(D5="P06",10400,IF(D5="OTP06-01",10400,IF(D5="G08",10400,IF(D5="P08",10400,IF(D5="G09",10400,IF(D5="P09",10400,IF(D5="H38",9800,IF(D5="H37",9800,IF(D5="EH40",9800,IF(D5="EH43",9800,IF(D5="H48",10100,IF(D5="H43",10100,IF(D5="H40",10100,IF(D5="H42",10100,IF(D5="H44",10100,IF(D5="H45",10100,IF(D5="ASX HL",10100,IF(D5="ASX P",10100,IF(D5="ASX HL 4WD",10100,IF(D5="H16",7900,IF(D5="H17",7900,IF(D5="P16",7900,IF(D5="Attrage S",7900,IF(D5="MIG09",7900,IF(D5="MIG10",7900,IF(D5="Xpander HL",9200))))))))))))))))))))))))))))))))))))))))))))))))))))))</f>
        <v>9800</v>
      </c>
      <c r="X11" s="147">
        <f>IF(D5="XC",4500,IF(D5="XPML",4500,IF(D5="XPHL",4500,IF(D5="XPMLP",4500,IF(D5="XPMLP-01",4500,IF(D5="Xpander P",4500,IF(D5="ML",5000,IF(D5="HL",5000,IF(D5="PR",5000,IF(D5="MLP",5000,IF(D5="HLP",5000,IF(D5="PRP",5000,IF(D5="H57",8700,IF(D5="P57",8700,IF(D5="MOG64",4300,IF(D5="H59",4300,IF(D5="P59",4300,IF(D5="H61",4300,IF(D5="P61",4300,IF(D5="G03",5000,IF(D5="P03",5000,IF(D5="G10",5000,IF(D5="P10",5000,IF(D5="G12",5000,IF(D5="P12",5000,IF(D5="G05",5000,IF(D5="P05",5000,IF(D5="G06",5000,IF(D5="P06",5000,IF(D5="OTP06-01",5000,IF(D5="G08",5000,IF(D5="P08",5000,IF(D5="G09",5000,IF(D5="P09",5000,IF(D5="H38",4900,IF(D5="H37",4900,IF(D5="EH40",4900,IF(D5="EH43",4900,IF(D5="H48",4900,IF(D5="H43",4900,IF(D5="H40",4900,IF(D5="H42",4900,IF(D5="H44",4900,IF(D5="H45",4900,IF(D5="ASX HL",4900,IF(D5="ASX P",4900,IF(D5="ASX HL 4WD",4900,IF(D5="H16",3700,IF(D5="H17",3700,IF(D5="P16",3700,IF(D5="Attrage S",3700,IF(D5="MIG09",3700,IF(D5="MIG10",3700,IF(D5="Xpander HL",4500))))))))))))))))))))))))))))))))))))))))))))))))))))))</f>
        <v>4900</v>
      </c>
      <c r="Y11" s="147">
        <f>IF(D5="XC",5400,IF(D5="XPML ",5400,IF(D5="XPHL",5400,IF(D5="XPMLP",5400,IF(D5="XPMLP-01",5400,IF(D5="Xpander P",5400,IF(D5="ML",6000,IF(D5="HL",6000,IF(D5="PR",6000,IF(D5="MLP",6000,IF(D5="HLP",6000,IF(D5="PRP",6000,IF(D5="H57",5200,IF(D5="57",5200,IF(D5="H64",5200,IF(D5="H59",5200,IF(D5="P59",5200,IF(D5="H61",5200,IF(D5="P61",5200,IF(D5="G03",6000,IF(D5="P03",6000,IF(D5="G10",6000,IF(D5="P10",6000,IF(D5="G12",6000,IF(D5="P12",6000,IF(D5="G05",6000,IF(D5="P05",6000,IF(D5="G06",6000,IF(D5="P06",6000,IF(D5="OTP06-01",6000,IF(D5="G08",6000,IF(D5="P08",6000,IF(D5="G09",6000,IF(D5="P09",6000,IF(D5="H38",5700,IF(D5="H37",5700,IF(D5="EH40",5700,IF(D5="EH43",5700,IF(D5="H48",5900,IF(D5="H43",5900,IF(D5="H40",5900,IF(D5="H42",5900,IF(D5="H44",5900,IF(D5="H45",5900,IF(D5="ASX HL",5900,IF(D5="ASX P",5900,IF(D5="ASX HL 4WD",5900,IF(D5="H16",4500,IF(D5="H17",4500,IF(D5="P16",4500,IF(D5="Attrage S",4500,IF(D5="MIG09",4500,IF(D5="MIG10",4500,IF(D5="Xpander HL",5400))))))))))))))))))))))))))))))))))))))))))))))))))))))</f>
        <v>5700</v>
      </c>
    </row>
    <row r="12" spans="1:27" ht="24.6" x14ac:dyDescent="0.4">
      <c r="A12" s="8"/>
      <c r="B12" s="37" t="s">
        <v>20</v>
      </c>
      <c r="C12" s="20" t="s">
        <v>17</v>
      </c>
      <c r="D12" s="36">
        <f>IF(C12="YES",2000,IF(C12="NO",0))</f>
        <v>0</v>
      </c>
      <c r="E12" s="43"/>
      <c r="F12" s="43" t="s">
        <v>21</v>
      </c>
      <c r="G12" s="40"/>
      <c r="H12" s="33">
        <v>600</v>
      </c>
      <c r="I12" s="33"/>
      <c r="J12" s="202" t="s">
        <v>140</v>
      </c>
      <c r="K12" s="45">
        <v>0</v>
      </c>
      <c r="L12" s="45">
        <v>5.2499999999999998E-2</v>
      </c>
      <c r="M12" s="45">
        <v>0.126</v>
      </c>
      <c r="N12" s="201">
        <v>0.26250000000000001</v>
      </c>
      <c r="O12" s="147">
        <f>IF(K20="Esaad",B8*3/100,IF(K20="Emirates Platinum",B8*3/100,IF(K20="Fazaa",B8*3/100,IF(K20="Humat Alwatan",B8*3/100,IF(K20="Permissible",2000,IF(K20="ASX",8400,IF(K20="XPMLP",15100,IF(K20="XP",7200,IF(K20="G43",11000,IF(K20="EC",17000,IF(K20="G37",17000,IF(K20="G38",15000,IF(K20="G40",11000,IF(K20="OUT",3000,IF(K20="F08",14400,IF(K20="P08",11100,IF(K20="F06",13100,IF(K20="P06",13400,IF(K20="F03",3500,IF(K20="F03-1",13500,IF(K20="P03",13100,IF(K20="MON",10000,IF(K20="MON G57",9000,0)))))))))))))))))))))))</f>
        <v>2000</v>
      </c>
      <c r="Z12" s="86" t="s">
        <v>83</v>
      </c>
      <c r="AA12" s="86" t="s">
        <v>84</v>
      </c>
    </row>
    <row r="13" spans="1:27" ht="24.6" x14ac:dyDescent="0.4">
      <c r="A13" s="8">
        <f>B8*1.26582</f>
        <v>135316.158</v>
      </c>
      <c r="B13" s="37" t="s">
        <v>23</v>
      </c>
      <c r="C13" s="20" t="s">
        <v>19</v>
      </c>
      <c r="D13" s="36">
        <f>IF(C13="YES",2000,IF(C13="NO",0))</f>
        <v>2000</v>
      </c>
      <c r="E13" s="47"/>
      <c r="F13" s="47" t="s">
        <v>75</v>
      </c>
      <c r="G13" s="51"/>
      <c r="H13" s="39">
        <v>315</v>
      </c>
      <c r="I13" s="33"/>
      <c r="J13" s="44" t="s">
        <v>54</v>
      </c>
      <c r="K13" s="29" t="s">
        <v>79</v>
      </c>
      <c r="L13" s="29" t="s">
        <v>25</v>
      </c>
      <c r="M13" s="29" t="s">
        <v>0</v>
      </c>
      <c r="N13" s="57" t="s">
        <v>26</v>
      </c>
      <c r="O13" s="9">
        <f>IF(M21="3000-4999",6%,IF(M21="5000-9999",4.75%,IF(M21="10000-14999",3.15%,IF(M21="15000-24999",2.5%,IF(M21="25000-34999",2.25%,IF(M21="35000-99999",2.15%))))))</f>
        <v>4.7500000000000001E-2</v>
      </c>
      <c r="Q13" s="2">
        <f>H7/12</f>
        <v>2206.2223749999998</v>
      </c>
      <c r="U13" s="9">
        <f>IF(M21="3000-4999",6%,IF(M21="5000-9999",3.25%,IF(M21="10000-14999",3%,IF(M21="15000-24999",2.25%,IF(M21="25000-34999",2.15%,IF(M21="35000-99999",1.99%))))))</f>
        <v>3.2500000000000001E-2</v>
      </c>
      <c r="Z13" s="99">
        <f>IF(M21="5000-9999",2.49%,IF(M21="10000-19999",2.19%,IF(M21="20000-34999",2.09%,IF(M21="35000-49999",1.89%,IF(M21="50000-99999",1.79%)))))</f>
        <v>2.4900000000000002E-2</v>
      </c>
      <c r="AA13" s="99">
        <f>IF(M21="5000-9999",2.59%,IF(M21="10000-19999",2.29%,IF(M21="20000-34999",2.19%,IF(M21="35000-49999",1.99%,IF(M21="50000-99999",1.89%)))))</f>
        <v>2.5899999999999999E-2</v>
      </c>
    </row>
    <row r="14" spans="1:27" ht="24.6" x14ac:dyDescent="0.4">
      <c r="A14" s="10" t="s">
        <v>27</v>
      </c>
      <c r="B14" s="37" t="s">
        <v>24</v>
      </c>
      <c r="C14" s="20" t="s">
        <v>19</v>
      </c>
      <c r="D14" s="50">
        <f>IF(C14="YES",U19*3.15*1.05/100,IF(C14="NO",U19*0/100))</f>
        <v>4097.9925000000003</v>
      </c>
      <c r="E14" s="48"/>
      <c r="F14" s="48" t="s">
        <v>24</v>
      </c>
      <c r="G14" s="51" t="s">
        <v>17</v>
      </c>
      <c r="H14" s="39">
        <f>IF(G14="YES",U19*3.15*1.05/100,IF(G14="NO",U19*0/100))</f>
        <v>0</v>
      </c>
      <c r="I14" s="33"/>
      <c r="J14" s="44" t="s">
        <v>55</v>
      </c>
      <c r="K14" s="44">
        <f>(H8*K12+H8)/3</f>
        <v>8824.8894999999993</v>
      </c>
      <c r="L14" s="44">
        <f>(H8*L12+H8)/12</f>
        <v>2322.0490496875</v>
      </c>
      <c r="M14" s="44">
        <f>(H8*M12+H8)/24</f>
        <v>1242.103197125</v>
      </c>
      <c r="N14" s="200">
        <f>(H7*N12+H7)/60</f>
        <v>557.0711496875</v>
      </c>
      <c r="O14" s="9">
        <f>IF(M21="3000-4999",3.89%,IF(M21="5000-9999",3.89%,IF(M21="10000-14999",3.89%,IF(M21="15000-24999",2.69%,IF(M21="25000-34999",2.69%,IF(M21="35000-99999",2.39%,IF(M21="76000-99999",2.5%)))))))</f>
        <v>3.8900000000000004E-2</v>
      </c>
    </row>
    <row r="15" spans="1:27" ht="24.6" x14ac:dyDescent="0.4">
      <c r="A15" s="11">
        <f>(B7*3%)+10+120</f>
        <v>3337</v>
      </c>
      <c r="B15" s="37" t="s">
        <v>28</v>
      </c>
      <c r="C15" s="20" t="s">
        <v>19</v>
      </c>
      <c r="D15" s="29">
        <f>IF(C15="YES",O10,IF(C15="NO",0))</f>
        <v>4375.3500000000004</v>
      </c>
      <c r="E15" s="48"/>
      <c r="F15" s="48" t="s">
        <v>53</v>
      </c>
      <c r="G15" s="51" t="s">
        <v>17</v>
      </c>
      <c r="H15" s="39">
        <f>IF(G15="YES",O10,IF(G15="NO",0))</f>
        <v>0</v>
      </c>
      <c r="I15" s="33"/>
      <c r="J15" s="44"/>
      <c r="K15" s="44"/>
      <c r="L15" s="44"/>
      <c r="M15" s="44"/>
      <c r="N15" s="198"/>
      <c r="O15" s="9" t="b">
        <f>IF(M21="3000-4999",4.99%, IF(M21="5000-11999",2.75%,IF(M21="12000-19999",2.75%,IF(M21="20000-39999",2.25%,IF(M21="40000-69999",2.25%,IF(M21="70000-99999",2.25%))))))</f>
        <v>0</v>
      </c>
      <c r="P15" s="191"/>
    </row>
    <row r="16" spans="1:27" ht="24.6" x14ac:dyDescent="0.4">
      <c r="A16" s="11">
        <f>((B7-B8)*3%+10+120)</f>
        <v>130</v>
      </c>
      <c r="B16" s="37" t="s">
        <v>78</v>
      </c>
      <c r="C16" s="20" t="s">
        <v>19</v>
      </c>
      <c r="D16" s="29">
        <f>IF(C16="YES",O16,IF(C16="NO",0))</f>
        <v>6400</v>
      </c>
      <c r="E16" s="47"/>
      <c r="F16" s="47" t="s">
        <v>74</v>
      </c>
      <c r="G16" s="54"/>
      <c r="H16" s="33">
        <f>I7*1.05%</f>
        <v>1111.9360770000001</v>
      </c>
      <c r="I16" s="33"/>
      <c r="J16" s="44" t="s">
        <v>16</v>
      </c>
      <c r="K16" s="44">
        <f>(K14*3)-H8</f>
        <v>0</v>
      </c>
      <c r="L16" s="44">
        <f>(L14*12)-H8</f>
        <v>1389.9200962499999</v>
      </c>
      <c r="M16" s="44">
        <f>(M14*24)-H8</f>
        <v>3335.8082309999991</v>
      </c>
      <c r="N16" s="198"/>
      <c r="O16" s="147">
        <f>IF(B16="RMC-10-70KMS",O11,IF(B16="RMC-10-100000KMS",V11,IF(B16="RMC-40-70KMS",U11, IF(B16="RMC-10-40KMS",X11, IF(B16="RMC-10-60KMS",Y11, IF(B16="RMC-40-100000KMS",W11,0))))))</f>
        <v>6400</v>
      </c>
    </row>
    <row r="17" spans="1:23" ht="24.6" x14ac:dyDescent="0.4">
      <c r="A17" s="11">
        <f>A15+A16</f>
        <v>3467</v>
      </c>
      <c r="B17" s="37"/>
      <c r="C17" s="20"/>
      <c r="D17" s="29">
        <f>SUM(D10:D16)</f>
        <v>19573.342499999999</v>
      </c>
      <c r="E17" s="48"/>
      <c r="F17" s="48"/>
      <c r="G17" s="54"/>
      <c r="H17" s="33">
        <f>+SUM(H12:H16)+(H7)</f>
        <v>28501.604576999998</v>
      </c>
      <c r="I17" s="33"/>
      <c r="J17" s="20"/>
      <c r="K17" s="199"/>
      <c r="L17" s="199"/>
      <c r="M17" s="199"/>
      <c r="N17" s="198"/>
      <c r="O17" s="147">
        <f>IF(B11="FO Ceramic+ Intr&amp;Extr CeramicGold WdwTnt",2700,IF(B11="FO Mirror Camera Sensor",2000))</f>
        <v>2700</v>
      </c>
      <c r="T17" s="1">
        <f>19615-791</f>
        <v>18824</v>
      </c>
    </row>
    <row r="18" spans="1:23" ht="24.6" x14ac:dyDescent="0.4">
      <c r="A18" s="12" t="s">
        <v>29</v>
      </c>
      <c r="B18" s="55" t="s">
        <v>30</v>
      </c>
      <c r="C18" s="197"/>
      <c r="D18" s="57">
        <v>0</v>
      </c>
      <c r="E18" s="38"/>
      <c r="F18" s="20"/>
      <c r="G18" s="20"/>
      <c r="H18" s="37"/>
      <c r="I18" s="37"/>
      <c r="J18" s="37"/>
      <c r="K18" s="37"/>
      <c r="L18" s="37"/>
      <c r="M18" s="37"/>
      <c r="N18" s="37"/>
      <c r="O18" s="9" t="b">
        <f>IF(M21="5000-99999",1.99%)</f>
        <v>0</v>
      </c>
      <c r="U18" s="196" t="s">
        <v>52</v>
      </c>
      <c r="V18" s="196" t="s">
        <v>52</v>
      </c>
    </row>
    <row r="19" spans="1:23" ht="24.6" x14ac:dyDescent="0.4">
      <c r="A19" s="11">
        <f>B8*3.15%</f>
        <v>3367.35</v>
      </c>
      <c r="B19" s="58" t="s">
        <v>31</v>
      </c>
      <c r="C19" s="59"/>
      <c r="D19" s="60">
        <f>IF(K21="DIB EXPAT",O13,IF(K21="DIB LOCAL GVH",U13,IF(K21="Emirates NBD",O14,IF(K21="ADCB",O15,IF(K21="ADCB PAY IN 2027",O19,IF(K21="Ajman Bank",O18,IF(K21="SIB STL",Z13,IF(K21="SIB NON STL",AA13,))))))))</f>
        <v>3.8900000000000004E-2</v>
      </c>
      <c r="E19" s="20"/>
      <c r="F19" s="195"/>
      <c r="G19" s="141" t="s">
        <v>73</v>
      </c>
      <c r="H19" s="142"/>
      <c r="I19" s="143"/>
      <c r="J19" s="109">
        <f>(U19*20/100)/365</f>
        <v>67.890410958904113</v>
      </c>
      <c r="K19" s="37"/>
      <c r="L19" s="37"/>
      <c r="M19" s="37"/>
      <c r="N19" s="34">
        <f>D7</f>
        <v>112245</v>
      </c>
      <c r="O19" s="194" t="b">
        <f>IF(M21="5000-11999",3.35%,IF(M21="12000-19999",3.35%,IF(M21="20000-39999",2.85%,IF(M21="40000-69999",2.85%,IF(M21="70000-99999",2.85%)))))</f>
        <v>0</v>
      </c>
      <c r="P19" s="2">
        <f>81400-2500</f>
        <v>78900</v>
      </c>
      <c r="U19" s="193">
        <f>V19</f>
        <v>123900</v>
      </c>
      <c r="V19" s="192">
        <f>(B7+D10+D11+D12+D13+D16)*1.05</f>
        <v>123900</v>
      </c>
    </row>
    <row r="20" spans="1:23" ht="24.6" x14ac:dyDescent="0.4">
      <c r="A20" s="11"/>
      <c r="B20" s="58" t="s">
        <v>32</v>
      </c>
      <c r="C20" s="59"/>
      <c r="D20" s="63">
        <v>0.2</v>
      </c>
      <c r="E20" s="37"/>
      <c r="F20" s="37"/>
      <c r="G20" s="38"/>
      <c r="H20" s="38"/>
      <c r="I20" s="38"/>
      <c r="J20" s="103"/>
      <c r="K20" s="104" t="s">
        <v>33</v>
      </c>
      <c r="L20" s="104" t="s">
        <v>17</v>
      </c>
      <c r="M20" s="104">
        <f>IF(L20="YES",O12,IF(L20="NO",0))</f>
        <v>0</v>
      </c>
      <c r="N20" s="34">
        <f>B8-M20</f>
        <v>106900</v>
      </c>
      <c r="O20" s="187"/>
      <c r="P20" s="191"/>
      <c r="T20" s="1">
        <f>1992+1084</f>
        <v>3076</v>
      </c>
      <c r="U20" s="186"/>
      <c r="V20" s="2"/>
    </row>
    <row r="21" spans="1:23" ht="24.6" x14ac:dyDescent="0.4">
      <c r="A21" s="13">
        <f>A19+A20</f>
        <v>3367.35</v>
      </c>
      <c r="B21" s="37"/>
      <c r="C21" s="20"/>
      <c r="D21" s="37"/>
      <c r="E21" s="37"/>
      <c r="F21" s="37"/>
      <c r="G21" s="37"/>
      <c r="H21" s="37"/>
      <c r="I21" s="37"/>
      <c r="J21" s="190" t="s">
        <v>34</v>
      </c>
      <c r="K21" s="16" t="s">
        <v>139</v>
      </c>
      <c r="L21" s="16" t="s">
        <v>35</v>
      </c>
      <c r="M21" s="189" t="s">
        <v>80</v>
      </c>
      <c r="N21" s="188"/>
      <c r="O21" s="187"/>
      <c r="T21" s="1">
        <f>25973-12973</f>
        <v>13000</v>
      </c>
      <c r="U21" s="186">
        <f>M14+N7</f>
        <v>3350.3692986749998</v>
      </c>
    </row>
    <row r="22" spans="1:23" s="179" customFormat="1" ht="24.6" x14ac:dyDescent="0.4">
      <c r="A22" s="185"/>
      <c r="B22" s="184" t="s">
        <v>51</v>
      </c>
      <c r="C22" s="183"/>
      <c r="D22" s="183"/>
      <c r="E22" s="183"/>
      <c r="F22" s="183"/>
      <c r="G22" s="183"/>
      <c r="H22" s="183"/>
      <c r="I22" s="183"/>
      <c r="J22" s="183"/>
      <c r="K22" s="183"/>
      <c r="L22" s="183"/>
      <c r="M22" s="183"/>
      <c r="N22" s="182"/>
      <c r="O22" s="181"/>
      <c r="P22" s="180"/>
    </row>
    <row r="23" spans="1:23" s="168" customFormat="1" ht="26.4" x14ac:dyDescent="0.5">
      <c r="A23" s="175" t="s">
        <v>36</v>
      </c>
      <c r="B23" s="172" t="s">
        <v>138</v>
      </c>
      <c r="C23" s="169"/>
      <c r="D23" s="169"/>
      <c r="E23" s="169"/>
      <c r="F23" s="169"/>
      <c r="G23" s="169"/>
      <c r="H23" s="176"/>
      <c r="I23" s="176"/>
      <c r="J23" s="169"/>
      <c r="K23" s="169"/>
      <c r="L23" s="169"/>
      <c r="M23" s="169"/>
      <c r="N23" s="178"/>
      <c r="O23" s="170"/>
      <c r="P23" s="169"/>
    </row>
    <row r="24" spans="1:23" s="168" customFormat="1" ht="26.4" x14ac:dyDescent="0.5">
      <c r="A24" s="175" t="s">
        <v>36</v>
      </c>
      <c r="B24" s="172" t="s">
        <v>137</v>
      </c>
      <c r="C24" s="169"/>
      <c r="D24" s="169"/>
      <c r="E24" s="169"/>
      <c r="F24" s="169"/>
      <c r="G24" s="169"/>
      <c r="H24" s="177">
        <f>H7/365</f>
        <v>72.533338356164379</v>
      </c>
      <c r="I24" s="177">
        <f>H7+H12+H16</f>
        <v>28186.604576999998</v>
      </c>
      <c r="J24" s="169"/>
      <c r="K24" s="169"/>
      <c r="L24" s="169"/>
      <c r="M24" s="169"/>
      <c r="N24" s="173"/>
      <c r="O24" s="170"/>
      <c r="P24" s="169">
        <f>1232+480</f>
        <v>1712</v>
      </c>
      <c r="T24" s="168">
        <f>88704/1.05</f>
        <v>84480</v>
      </c>
    </row>
    <row r="25" spans="1:23" s="168" customFormat="1" ht="26.4" x14ac:dyDescent="0.5">
      <c r="A25" s="175" t="s">
        <v>36</v>
      </c>
      <c r="B25" s="172" t="s">
        <v>136</v>
      </c>
      <c r="C25" s="169"/>
      <c r="D25" s="169"/>
      <c r="E25" s="169"/>
      <c r="F25" s="169"/>
      <c r="G25" s="169"/>
      <c r="H25" s="176"/>
      <c r="I25" s="176"/>
      <c r="J25" s="169"/>
      <c r="K25" s="169"/>
      <c r="L25" s="169"/>
      <c r="M25" s="169"/>
      <c r="N25" s="173"/>
      <c r="O25" s="170"/>
      <c r="P25" s="169"/>
      <c r="Q25" s="168">
        <f>79400-5233.33</f>
        <v>74166.67</v>
      </c>
      <c r="R25" s="168">
        <f>Q25*1.05</f>
        <v>77875.003500000006</v>
      </c>
      <c r="W25" s="168">
        <f>1999+1224</f>
        <v>3223</v>
      </c>
    </row>
    <row r="26" spans="1:23" s="168" customFormat="1" ht="26.4" x14ac:dyDescent="0.5">
      <c r="A26" s="175" t="s">
        <v>36</v>
      </c>
      <c r="B26" s="172" t="s">
        <v>135</v>
      </c>
      <c r="C26" s="169"/>
      <c r="D26" s="169"/>
      <c r="E26" s="169"/>
      <c r="F26" s="169"/>
      <c r="G26" s="169"/>
      <c r="H26" s="169"/>
      <c r="I26" s="169"/>
      <c r="J26" s="169"/>
      <c r="K26" s="169"/>
      <c r="L26" s="169"/>
      <c r="M26" s="169"/>
      <c r="N26" s="173"/>
      <c r="O26" s="170" t="s">
        <v>37</v>
      </c>
      <c r="P26" s="169"/>
      <c r="R26" s="168">
        <f>R25+2469</f>
        <v>80344.003500000006</v>
      </c>
    </row>
    <row r="27" spans="1:23" s="168" customFormat="1" ht="26.4" x14ac:dyDescent="0.5">
      <c r="A27" s="175" t="s">
        <v>36</v>
      </c>
      <c r="B27" s="172" t="s">
        <v>134</v>
      </c>
      <c r="C27" s="169"/>
      <c r="D27" s="169"/>
      <c r="E27" s="169"/>
      <c r="F27" s="169"/>
      <c r="G27" s="169"/>
      <c r="H27" s="169"/>
      <c r="I27" s="169"/>
      <c r="J27" s="169"/>
      <c r="K27" s="169"/>
      <c r="L27" s="169"/>
      <c r="M27" s="169"/>
      <c r="N27" s="173"/>
      <c r="O27" s="170">
        <f>129500-110900</f>
        <v>18600</v>
      </c>
      <c r="P27" s="169"/>
      <c r="W27" s="174">
        <f>N7+L14</f>
        <v>4430.3151512374998</v>
      </c>
    </row>
    <row r="28" spans="1:23" s="168" customFormat="1" ht="26.4" x14ac:dyDescent="0.5">
      <c r="B28" s="172" t="s">
        <v>133</v>
      </c>
      <c r="C28" s="169"/>
      <c r="D28" s="169"/>
      <c r="E28" s="169"/>
      <c r="F28" s="169"/>
      <c r="G28" s="169"/>
      <c r="H28" s="169"/>
      <c r="I28" s="169"/>
      <c r="J28" s="169"/>
      <c r="K28" s="169"/>
      <c r="L28" s="169"/>
      <c r="M28" s="169"/>
      <c r="N28" s="173"/>
      <c r="O28" s="170">
        <f>85000-69900</f>
        <v>15100</v>
      </c>
      <c r="P28" s="169"/>
    </row>
    <row r="29" spans="1:23" s="168" customFormat="1" ht="26.4" x14ac:dyDescent="0.5">
      <c r="B29" s="172" t="s">
        <v>132</v>
      </c>
      <c r="C29" s="169"/>
      <c r="D29" s="169"/>
      <c r="E29" s="169"/>
      <c r="F29" s="169"/>
      <c r="G29" s="169"/>
      <c r="H29" s="169"/>
      <c r="I29" s="169"/>
      <c r="J29" s="169"/>
      <c r="K29" s="169"/>
      <c r="L29" s="169"/>
      <c r="M29" s="169"/>
      <c r="N29" s="171"/>
      <c r="O29" s="170"/>
      <c r="P29" s="169"/>
    </row>
    <row r="30" spans="1:23" x14ac:dyDescent="0.3">
      <c r="B30" s="167" t="s">
        <v>38</v>
      </c>
      <c r="C30" s="166"/>
      <c r="D30" s="166"/>
      <c r="E30" s="166"/>
      <c r="F30" s="166"/>
      <c r="G30" s="166"/>
      <c r="H30" s="166"/>
      <c r="I30" s="166"/>
      <c r="J30" s="166"/>
      <c r="K30" s="166"/>
      <c r="L30" s="166"/>
      <c r="M30" s="166"/>
      <c r="N30" s="165"/>
      <c r="O30" s="147"/>
    </row>
    <row r="31" spans="1:23" x14ac:dyDescent="0.3">
      <c r="B31" s="146"/>
      <c r="C31" s="145"/>
      <c r="D31" s="145"/>
      <c r="E31" s="145"/>
      <c r="F31" s="145"/>
      <c r="G31" s="145"/>
      <c r="H31" s="145"/>
      <c r="I31" s="145"/>
      <c r="J31" s="145"/>
      <c r="K31" s="145"/>
      <c r="L31" s="145"/>
      <c r="M31" s="145"/>
      <c r="N31" s="144"/>
      <c r="O31" s="147"/>
    </row>
    <row r="32" spans="1:23" s="86" customFormat="1" ht="20.399999999999999" x14ac:dyDescent="0.35">
      <c r="B32" s="118" t="s">
        <v>39</v>
      </c>
      <c r="C32" s="119"/>
      <c r="D32" s="119"/>
      <c r="E32" s="119"/>
      <c r="F32" s="119"/>
      <c r="G32" s="119"/>
      <c r="H32" s="119"/>
      <c r="I32" s="119"/>
      <c r="J32" s="119"/>
      <c r="K32" s="119"/>
      <c r="L32" s="119"/>
      <c r="M32" s="119"/>
      <c r="N32" s="120"/>
      <c r="O32" s="92"/>
      <c r="P32" s="83"/>
    </row>
    <row r="33" spans="2:16" s="86" customFormat="1" ht="20.399999999999999" x14ac:dyDescent="0.35">
      <c r="B33" s="118" t="s">
        <v>40</v>
      </c>
      <c r="C33" s="119"/>
      <c r="D33" s="119"/>
      <c r="E33" s="119"/>
      <c r="F33" s="119"/>
      <c r="G33" s="119"/>
      <c r="H33" s="119"/>
      <c r="I33" s="119"/>
      <c r="J33" s="119"/>
      <c r="K33" s="119"/>
      <c r="L33" s="119"/>
      <c r="M33" s="119"/>
      <c r="N33" s="120"/>
      <c r="O33" s="92"/>
      <c r="P33" s="83"/>
    </row>
    <row r="34" spans="2:16" s="86" customFormat="1" ht="20.399999999999999" x14ac:dyDescent="0.35">
      <c r="B34" s="107" t="s">
        <v>131</v>
      </c>
      <c r="C34" s="108"/>
      <c r="D34" s="108"/>
      <c r="E34" s="108"/>
      <c r="F34" s="108"/>
      <c r="G34" s="164" t="s">
        <v>130</v>
      </c>
      <c r="H34" s="164"/>
      <c r="I34" s="163"/>
      <c r="J34" s="163"/>
      <c r="K34" s="163"/>
      <c r="L34" s="163"/>
      <c r="M34" s="162" t="s">
        <v>129</v>
      </c>
      <c r="N34" s="161"/>
      <c r="O34" s="83"/>
      <c r="P34" s="83"/>
    </row>
    <row r="35" spans="2:16" x14ac:dyDescent="0.3">
      <c r="B35" s="160"/>
      <c r="C35" s="159"/>
      <c r="D35" s="159"/>
      <c r="E35" s="159"/>
      <c r="F35" s="159"/>
      <c r="G35" s="159"/>
      <c r="H35" s="159"/>
      <c r="I35" s="159"/>
      <c r="J35" s="159"/>
      <c r="K35" s="159"/>
      <c r="L35" s="159"/>
      <c r="M35" s="159"/>
      <c r="N35" s="158"/>
    </row>
    <row r="36" spans="2:16" x14ac:dyDescent="0.3">
      <c r="B36" s="160"/>
      <c r="C36" s="159"/>
      <c r="D36" s="159"/>
      <c r="E36" s="159"/>
      <c r="F36" s="159"/>
      <c r="G36" s="159"/>
      <c r="H36" s="159"/>
      <c r="I36" s="159"/>
      <c r="J36" s="159"/>
      <c r="K36" s="159"/>
      <c r="L36" s="159"/>
      <c r="M36" s="159"/>
      <c r="N36" s="158"/>
    </row>
    <row r="37" spans="2:16" x14ac:dyDescent="0.3">
      <c r="B37" s="160"/>
      <c r="C37" s="159"/>
      <c r="D37" s="159"/>
      <c r="E37" s="159"/>
      <c r="F37" s="159"/>
      <c r="G37" s="159"/>
      <c r="H37" s="159"/>
      <c r="I37" s="159"/>
      <c r="J37" s="159"/>
      <c r="K37" s="159"/>
      <c r="L37" s="159"/>
      <c r="M37" s="159"/>
      <c r="N37" s="158"/>
    </row>
    <row r="38" spans="2:16" ht="16.8" x14ac:dyDescent="0.3">
      <c r="B38" s="149" t="s">
        <v>128</v>
      </c>
      <c r="C38" s="157"/>
      <c r="D38" s="154"/>
      <c r="E38" s="151"/>
      <c r="F38" s="151"/>
      <c r="G38" s="151"/>
      <c r="H38" s="151"/>
      <c r="I38" s="151"/>
      <c r="J38" s="152"/>
      <c r="K38" s="151"/>
      <c r="L38" s="151"/>
      <c r="M38" s="151"/>
      <c r="N38" s="156"/>
    </row>
    <row r="39" spans="2:16" ht="16.8" x14ac:dyDescent="0.3">
      <c r="B39" s="149" t="s">
        <v>127</v>
      </c>
      <c r="C39" s="155"/>
      <c r="D39" s="154"/>
      <c r="E39" s="151"/>
      <c r="F39" s="151"/>
      <c r="G39" s="151"/>
      <c r="H39" s="151"/>
      <c r="I39" s="151"/>
      <c r="J39" s="152"/>
      <c r="K39" s="151"/>
      <c r="L39" s="151"/>
      <c r="M39" s="151"/>
      <c r="N39" s="150"/>
    </row>
    <row r="40" spans="2:16" ht="16.8" x14ac:dyDescent="0.3">
      <c r="B40" s="149" t="s">
        <v>126</v>
      </c>
      <c r="C40" s="153"/>
      <c r="D40" s="151"/>
      <c r="E40" s="151"/>
      <c r="F40" s="151"/>
      <c r="G40" s="151"/>
      <c r="H40" s="151"/>
      <c r="I40" s="151"/>
      <c r="J40" s="152"/>
      <c r="K40" s="151"/>
      <c r="L40" s="151"/>
      <c r="M40" s="151"/>
      <c r="N40" s="150"/>
    </row>
    <row r="41" spans="2:16" ht="16.8" x14ac:dyDescent="0.3">
      <c r="B41" s="149" t="s">
        <v>125</v>
      </c>
      <c r="N41" s="148"/>
    </row>
    <row r="42" spans="2:16" ht="16.8" x14ac:dyDescent="0.3">
      <c r="B42" s="149" t="s">
        <v>124</v>
      </c>
      <c r="N42" s="148"/>
    </row>
    <row r="43" spans="2:16" ht="16.8" x14ac:dyDescent="0.3">
      <c r="B43" s="149" t="s">
        <v>123</v>
      </c>
      <c r="N43" s="148"/>
    </row>
    <row r="44" spans="2:16" ht="16.8" x14ac:dyDescent="0.3">
      <c r="B44" s="149" t="s">
        <v>122</v>
      </c>
      <c r="N44" s="148"/>
    </row>
    <row r="45" spans="2:16" ht="16.8" x14ac:dyDescent="0.3">
      <c r="B45" s="149" t="s">
        <v>121</v>
      </c>
      <c r="N45" s="148"/>
    </row>
    <row r="46" spans="2:16" ht="16.8" x14ac:dyDescent="0.3">
      <c r="B46" s="149" t="s">
        <v>120</v>
      </c>
      <c r="N46" s="148"/>
    </row>
    <row r="47" spans="2:16" x14ac:dyDescent="0.3">
      <c r="B47" s="146" t="s">
        <v>39</v>
      </c>
      <c r="C47" s="145"/>
      <c r="D47" s="145"/>
      <c r="E47" s="145"/>
      <c r="F47" s="145"/>
      <c r="G47" s="145"/>
      <c r="H47" s="145"/>
      <c r="I47" s="145"/>
      <c r="J47" s="145"/>
      <c r="K47" s="145"/>
      <c r="L47" s="145"/>
      <c r="M47" s="145"/>
      <c r="N47" s="144"/>
      <c r="O47" s="147"/>
    </row>
    <row r="48" spans="2:16" x14ac:dyDescent="0.3">
      <c r="B48" s="146" t="s">
        <v>40</v>
      </c>
      <c r="C48" s="145"/>
      <c r="D48" s="145"/>
      <c r="E48" s="145"/>
      <c r="F48" s="145"/>
      <c r="G48" s="145"/>
      <c r="H48" s="145"/>
      <c r="I48" s="145"/>
      <c r="J48" s="145"/>
      <c r="K48" s="145"/>
      <c r="L48" s="145"/>
      <c r="M48" s="145"/>
      <c r="N48" s="144"/>
      <c r="O48" s="147"/>
    </row>
    <row r="49" spans="2:14" x14ac:dyDescent="0.3">
      <c r="B49" s="146" t="s">
        <v>119</v>
      </c>
      <c r="C49" s="145"/>
      <c r="D49" s="145"/>
      <c r="E49" s="145"/>
      <c r="F49" s="145"/>
      <c r="G49" s="145"/>
      <c r="H49" s="145"/>
      <c r="I49" s="145"/>
      <c r="J49" s="145"/>
      <c r="K49" s="145"/>
      <c r="L49" s="145"/>
      <c r="M49" s="145"/>
      <c r="N49" s="144"/>
    </row>
    <row r="50" spans="2:14" ht="25.8" x14ac:dyDescent="0.3">
      <c r="C50" s="15" t="s">
        <v>41</v>
      </c>
    </row>
    <row r="51" spans="2:14" ht="25.8" x14ac:dyDescent="0.3">
      <c r="C51" s="15" t="s">
        <v>42</v>
      </c>
    </row>
    <row r="52" spans="2:14" ht="25.8" x14ac:dyDescent="0.3">
      <c r="C52" s="15" t="s">
        <v>43</v>
      </c>
    </row>
    <row r="53" spans="2:14" ht="25.8" x14ac:dyDescent="0.3">
      <c r="C53" s="15" t="s">
        <v>44</v>
      </c>
    </row>
    <row r="54" spans="2:14" ht="25.8" x14ac:dyDescent="0.3">
      <c r="C54" s="15" t="s">
        <v>45</v>
      </c>
    </row>
  </sheetData>
  <dataConsolidate/>
  <mergeCells count="11">
    <mergeCell ref="F8:G8"/>
    <mergeCell ref="F9:G9"/>
    <mergeCell ref="G19:I19"/>
    <mergeCell ref="B22:N22"/>
    <mergeCell ref="B30:N30"/>
    <mergeCell ref="B32:N32"/>
    <mergeCell ref="B33:N33"/>
    <mergeCell ref="B47:N47"/>
    <mergeCell ref="B48:N48"/>
    <mergeCell ref="B49:N49"/>
    <mergeCell ref="B31:N31"/>
  </mergeCells>
  <dataValidations count="11">
    <dataValidation type="list" allowBlank="1" showInputMessage="1" showErrorMessage="1" sqref="H34" xr:uid="{42372711-86E0-4404-9AA6-FFB0FD4D9124}">
      <formula1>"ALAA HAMMAD,KHALED QASSEM,RAMY RAOUF,SIMON LOBO,MHAREN CLEMENTE GARADO"</formula1>
    </dataValidation>
    <dataValidation type="list" allowBlank="1" showInputMessage="1" showErrorMessage="1" sqref="M34" xr:uid="{0D5FFC3D-BDBF-4BBD-AFB5-45FE5429DF0C}">
      <formula1>"Alaa Hammad,Bachir Ibrahim Mourad,Khaled Qassem,Ramy Raoof,Simon Lobo,Mharen Clemente Garado,Ranjith"</formula1>
    </dataValidation>
    <dataValidation type="list" allowBlank="1" showInputMessage="1" showErrorMessage="1" sqref="B11" xr:uid="{2AE49203-D913-4137-98CE-9E4F61CB5411}">
      <formula1>"FO Ceramic+ Intr&amp;Extr CeramicGold WdwTnt,FO Mirror Camera Sensor"</formula1>
    </dataValidation>
    <dataValidation type="list" allowBlank="1" showInputMessage="1" showErrorMessage="1" sqref="B12" xr:uid="{A7E9C2FA-0916-48AF-BF76-4A0D02CFA4A6}">
      <formula1>"FO Exterior ceramic All Cars SCOTCHGUARD,FO Mirror Camera Sensor,FO PPF Gold Package "</formula1>
    </dataValidation>
    <dataValidation type="list" allowBlank="1" showInputMessage="1" showErrorMessage="1" sqref="K20" xr:uid="{28882F51-F23E-41D3-A9BC-131C0F165EEC}">
      <formula1>"Esaad,Emirates Platinum,Fazaa,Humat Alwatan,Permissible,ASX,XPMLP,XP,MON,MON G57,OUT,F08,P08,F06,P06,F03,F03-1,P03,EC,G37,G38,G40,G43"</formula1>
    </dataValidation>
    <dataValidation type="list" allowBlank="1" showInputMessage="1" showErrorMessage="1" sqref="B16" xr:uid="{CC29D3C4-CA11-4EFB-8EA8-82A2FE29C4B8}">
      <formula1>"RMC-10-40KMS,RMC-10-60KMS,RMC-10-70KMS,RMC-10-100000KMS,RMC-40-70KMS,RMC-40-100000KMS"</formula1>
    </dataValidation>
    <dataValidation type="list" allowBlank="1" showInputMessage="1" showErrorMessage="1" sqref="K24" xr:uid="{12EC4B8B-C3E9-4B33-B218-04C3CF44CF2E}">
      <formula1>"RMC-10-70K,RMC-10-100000K,RMC-40-70K"</formula1>
    </dataValidation>
    <dataValidation type="list" allowBlank="1" showInputMessage="1" showErrorMessage="1" sqref="D5" xr:uid="{7E4B6454-CD89-4DD9-9CEF-7B1FF9CF8169}">
      <formula1>"MIG09,MIG10,H16,P16,H17,H48,H43,H40,H42,H44,H45,H38,H37,EH40,EH43,ML,HL,PR, MLP,HLP,PRP,XPML,XPHL,XPMLP, XPMLP-01,XC, G10,P10, G03, P03, G06,P06,G12,P12,G05,P05,G08,P08,G09,P09,H57,P57,H64,H59,P59,H61,P61"</formula1>
    </dataValidation>
    <dataValidation type="list" allowBlank="1" showInputMessage="1" showErrorMessage="1" sqref="M21" xr:uid="{5B26E900-3DFD-4178-862B-9F54E5D28E47}">
      <formula1>"3000-4999,5000-9999,5000-99999,10000-14999,15000-24999,25000-34999,35000-99999,5000-11999,12000-19999,20000-39999,40000-69999,70000-99999"</formula1>
    </dataValidation>
    <dataValidation type="list" allowBlank="1" showInputMessage="1" showErrorMessage="1" sqref="C10:C16 L20 L24:L25 G14:G15 J10" xr:uid="{63C3B658-E763-4663-95C4-94FF87CF7B5E}">
      <formula1>"YES,NO"</formula1>
    </dataValidation>
    <dataValidation type="list" allowBlank="1" showInputMessage="1" showErrorMessage="1" sqref="K21" xr:uid="{A68CBA3A-9069-4965-A647-FC2455B14E82}">
      <formula1>"ADCB,ADCB PAY IN 2027,Ajman Bank,ADIB,DIB EXPAT,DIB LOCAL GVH,Emirates NBD,EIB,FAB,RAK,SIB STL,SIB NON STL"</formula1>
    </dataValidation>
  </dataValidations>
  <pageMargins left="0.23622047244094491" right="0.23622047244094491" top="0.74803149606299213" bottom="0.74803149606299213" header="0.31496062992125984" footer="0.31496062992125984"/>
  <pageSetup paperSize="9" scale="40" orientation="landscape" horizontalDpi="4294967295" verticalDpi="4294967295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8ADB21-C262-4976-B040-0C6FB7788649}">
  <sheetPr>
    <pageSetUpPr fitToPage="1"/>
  </sheetPr>
  <dimension ref="A1:AA54"/>
  <sheetViews>
    <sheetView topLeftCell="B1" zoomScaleNormal="100" workbookViewId="0">
      <selection activeCell="D5" sqref="D5"/>
    </sheetView>
  </sheetViews>
  <sheetFormatPr defaultColWidth="9.109375" defaultRowHeight="15.6" x14ac:dyDescent="0.3"/>
  <cols>
    <col min="1" max="1" width="16" style="1" hidden="1" customWidth="1"/>
    <col min="2" max="2" width="75.109375" style="2" customWidth="1"/>
    <col min="3" max="3" width="26.88671875" style="3" customWidth="1"/>
    <col min="4" max="4" width="23.88671875" style="2" customWidth="1"/>
    <col min="5" max="5" width="23.33203125" style="2" customWidth="1"/>
    <col min="6" max="6" width="19.88671875" style="2" customWidth="1"/>
    <col min="7" max="7" width="23.33203125" style="2" customWidth="1"/>
    <col min="8" max="8" width="24.44140625" style="2" customWidth="1"/>
    <col min="9" max="9" width="27.109375" style="2" customWidth="1"/>
    <col min="10" max="10" width="26.6640625" style="2" customWidth="1"/>
    <col min="11" max="11" width="25.44140625" style="2" customWidth="1"/>
    <col min="12" max="12" width="20.5546875" style="2" customWidth="1"/>
    <col min="13" max="13" width="20.109375" style="2" customWidth="1"/>
    <col min="14" max="14" width="19.5546875" style="2" customWidth="1"/>
    <col min="15" max="15" width="15.109375" style="2" bestFit="1" customWidth="1"/>
    <col min="16" max="16" width="12.6640625" style="2" hidden="1" customWidth="1"/>
    <col min="17" max="17" width="12.6640625" style="1" hidden="1" customWidth="1"/>
    <col min="18" max="18" width="15.6640625" style="1" hidden="1" customWidth="1"/>
    <col min="19" max="19" width="13" style="1" hidden="1" customWidth="1"/>
    <col min="20" max="20" width="17.109375" style="1" hidden="1" customWidth="1"/>
    <col min="21" max="21" width="14.5546875" style="1" bestFit="1" customWidth="1"/>
    <col min="22" max="22" width="19" style="1" customWidth="1"/>
    <col min="23" max="23" width="22.5546875" style="1" bestFit="1" customWidth="1"/>
    <col min="24" max="25" width="9.109375" style="1"/>
    <col min="26" max="26" width="14" style="1" bestFit="1" customWidth="1"/>
    <col min="27" max="27" width="22.33203125" style="1" bestFit="1" customWidth="1"/>
    <col min="28" max="16384" width="9.109375" style="1"/>
  </cols>
  <sheetData>
    <row r="1" spans="1:27" ht="15.75" customHeight="1" x14ac:dyDescent="0.3">
      <c r="B1" s="222" t="s">
        <v>148</v>
      </c>
      <c r="C1" s="221"/>
      <c r="D1" s="221"/>
      <c r="E1" s="221"/>
      <c r="F1" s="221"/>
      <c r="G1" s="221"/>
      <c r="H1" s="221"/>
      <c r="I1" s="221"/>
      <c r="J1" s="221"/>
      <c r="K1" s="221"/>
      <c r="L1" s="221"/>
      <c r="M1" s="221"/>
      <c r="N1" s="220"/>
    </row>
    <row r="2" spans="1:27" ht="15.75" customHeight="1" x14ac:dyDescent="0.3">
      <c r="B2" s="219" t="s">
        <v>147</v>
      </c>
      <c r="C2" s="218"/>
      <c r="D2" s="218"/>
      <c r="E2" s="218"/>
      <c r="F2" s="218"/>
      <c r="G2" s="218"/>
      <c r="H2" s="218"/>
      <c r="I2" s="218"/>
      <c r="J2" s="218"/>
      <c r="K2" s="218"/>
      <c r="L2" s="218"/>
      <c r="M2" s="218"/>
      <c r="N2" s="217"/>
      <c r="Q2" s="2"/>
      <c r="S2" s="186"/>
    </row>
    <row r="3" spans="1:27" ht="15.75" customHeight="1" x14ac:dyDescent="0.3">
      <c r="B3" s="219" t="s">
        <v>146</v>
      </c>
      <c r="C3" s="218"/>
      <c r="D3" s="218"/>
      <c r="E3" s="218"/>
      <c r="F3" s="218"/>
      <c r="G3" s="218"/>
      <c r="H3" s="218"/>
      <c r="I3" s="218"/>
      <c r="J3" s="218"/>
      <c r="K3" s="218"/>
      <c r="L3" s="218"/>
      <c r="M3" s="218"/>
      <c r="N3" s="217"/>
      <c r="O3" s="3"/>
      <c r="P3" s="3"/>
      <c r="Q3" s="153"/>
      <c r="R3" s="153"/>
      <c r="S3" s="216" t="e">
        <f>N7+J14</f>
        <v>#VALUE!</v>
      </c>
      <c r="T3" s="216"/>
      <c r="U3" s="153"/>
      <c r="V3" s="153"/>
      <c r="W3" s="153"/>
      <c r="AA3" s="1">
        <f>273000/5</f>
        <v>54600</v>
      </c>
    </row>
    <row r="4" spans="1:27" ht="15.75" customHeight="1" x14ac:dyDescent="0.3">
      <c r="B4" s="215"/>
      <c r="C4" s="214"/>
      <c r="D4" s="214"/>
      <c r="E4" s="214"/>
      <c r="F4" s="214"/>
      <c r="G4" s="214"/>
      <c r="H4" s="214"/>
      <c r="I4" s="214"/>
      <c r="J4" s="214"/>
      <c r="K4" s="214"/>
      <c r="L4" s="214"/>
      <c r="M4" s="214"/>
      <c r="N4" s="213"/>
      <c r="O4" s="212" t="s">
        <v>0</v>
      </c>
      <c r="P4" s="212"/>
      <c r="Q4" s="210"/>
      <c r="R4" s="210"/>
      <c r="S4" s="211"/>
      <c r="T4" s="211"/>
      <c r="U4" s="210" t="s">
        <v>1</v>
      </c>
      <c r="V4" s="210" t="s">
        <v>2</v>
      </c>
      <c r="W4" s="210" t="s">
        <v>3</v>
      </c>
    </row>
    <row r="5" spans="1:27" ht="25.2" thickBot="1" x14ac:dyDescent="0.45">
      <c r="B5" s="17"/>
      <c r="C5" s="18" t="str">
        <f>IF(D5="MIG09","Mirage G09",IF(D5="MIG10","MirageG10",IF(D5="H16","Attrage H16",IF(D5="P16","Attrage P16",IF(D5="H17","Attrage H17",IF(D5="H48","ASX H48",IF(D5="H43","ASX H43",IF(D5="H40","ASX H40",IF(D5="H42","ASX H42",IF(D5="H44","ASX H44",IF(D5="H45","ASX H45",IF(D5="H38","Eclipse H38",IF(D5="H37","Eclipse H37",IF(D5="EH40","Eclipse H40",IF(D5="EH43","Eclipse H43",IF(D5="XPML","Xpander ML",IF(D5="ML","Destinator ML",IF(D5="HL","Destinator HL",IF(D5="PR","Destinator PR",IF(D5="MLP","Destinator MLP",IF(D5="HLP","Destinator HLP",IF(D5="PRP","Destinator PRP",IF(D5="XPHL","Xpander HL",IF(D5="XPMLP","Xpander ML P",IF(D5="XPMLP-01","Xpander ML P-01",IF(D5="XC","Xpander Cross",IF(D5="G03","Outlander G03",IF(D5="P03","Outlander P03",IF(D5="G06","Outlander G06",IF(D5="P06","Outlander P06",IF(D5="OTP06-01","Outlander P06-01",IF(D5="G08","Outlander G08",IF(D5="P08","Outlander P08",IF(D5="H57","Montero H57",IF(D5="P57","Montero P57",IF(D5="H64","Montero G64",IF(D5="H59","Montero G59",IF(D5="P59","Montero G59 P",IF(D5="H61","Montero G61",IF(D5="P61","Montero P61",IF(D5="G10","Outlander G10",IF(D5="P10","Outlander P10",IF(D5="G12","Outlander G12",IF(D5="P12","Outlander P12",IF(D5="G05","Outlander G05",IF(D5="P05","Outlander P05",IF(D5="G09","Outlander G09",IF(D5="P09","Outlander P09",))))))))))))))))))))))))))))))))))))))))))))))))</f>
        <v>Eclipse H40</v>
      </c>
      <c r="D5" s="19" t="s">
        <v>184</v>
      </c>
      <c r="E5" s="20" t="s">
        <v>145</v>
      </c>
      <c r="F5" s="37"/>
      <c r="G5" s="37"/>
      <c r="H5" s="37"/>
      <c r="I5" s="20"/>
      <c r="J5" s="34"/>
      <c r="K5" s="209">
        <v>0</v>
      </c>
      <c r="L5" s="208">
        <v>3.39E-2</v>
      </c>
      <c r="M5" s="208">
        <v>6.7799999999999999E-2</v>
      </c>
      <c r="N5" s="208">
        <v>0.1017</v>
      </c>
      <c r="O5" s="147">
        <f>K7+K14</f>
        <v>12777.867962475</v>
      </c>
      <c r="S5" s="186"/>
      <c r="U5" s="186">
        <f>L7+L14</f>
        <v>5275.5376516937504</v>
      </c>
      <c r="V5" s="186">
        <f>M7+M14</f>
        <v>3567.4903957874999</v>
      </c>
      <c r="W5" s="186">
        <f>N7+N14</f>
        <v>2507.7884016937501</v>
      </c>
    </row>
    <row r="6" spans="1:27" s="5" customFormat="1" ht="99" thickBot="1" x14ac:dyDescent="0.35">
      <c r="A6" s="4" t="s">
        <v>4</v>
      </c>
      <c r="B6" s="26" t="s">
        <v>5</v>
      </c>
      <c r="C6" s="27" t="s">
        <v>6</v>
      </c>
      <c r="D6" s="27" t="s">
        <v>144</v>
      </c>
      <c r="E6" s="27" t="s">
        <v>7</v>
      </c>
      <c r="F6" s="27" t="s">
        <v>8</v>
      </c>
      <c r="G6" s="28" t="s">
        <v>9</v>
      </c>
      <c r="H6" s="28" t="s">
        <v>143</v>
      </c>
      <c r="I6" s="28" t="s">
        <v>10</v>
      </c>
      <c r="J6" s="28" t="s">
        <v>142</v>
      </c>
      <c r="K6" s="28" t="s">
        <v>11</v>
      </c>
      <c r="L6" s="28" t="s">
        <v>12</v>
      </c>
      <c r="M6" s="28" t="s">
        <v>13</v>
      </c>
      <c r="N6" s="28" t="s">
        <v>14</v>
      </c>
      <c r="O6" s="207"/>
      <c r="P6" s="206"/>
      <c r="T6" s="205"/>
      <c r="U6" s="205">
        <f>N7+L14</f>
        <v>4168.4379516937506</v>
      </c>
      <c r="V6" s="205">
        <f>N7+K14</f>
        <v>10286.893637475001</v>
      </c>
      <c r="W6" s="205" t="e">
        <f>N7+J14</f>
        <v>#VALUE!</v>
      </c>
    </row>
    <row r="7" spans="1:27" ht="25.2" thickBot="1" x14ac:dyDescent="0.45">
      <c r="A7" s="6">
        <f>B8</f>
        <v>99900</v>
      </c>
      <c r="B7" s="29">
        <f>IF(L20="YES",C8*1,IF(L20="NO",B8*1))</f>
        <v>99900</v>
      </c>
      <c r="C7" s="29">
        <f>B7*5/100</f>
        <v>4995</v>
      </c>
      <c r="D7" s="203">
        <f>B7+C7</f>
        <v>104895</v>
      </c>
      <c r="E7" s="29">
        <f>D17</f>
        <v>19098.716250000001</v>
      </c>
      <c r="F7" s="29">
        <f>(C7)+(D10+D11+D12+D13+D16)*5/100</f>
        <v>5550</v>
      </c>
      <c r="G7" s="30">
        <f>B7+E7+F7</f>
        <v>124548.71625</v>
      </c>
      <c r="H7" s="29">
        <f>G7*D20</f>
        <v>24909.74325</v>
      </c>
      <c r="I7" s="30">
        <f>(G7-H7)</f>
        <v>99638.972999999998</v>
      </c>
      <c r="J7" s="30">
        <f>(((I7*D19)*1)+I7)/12</f>
        <v>8626.2440874750009</v>
      </c>
      <c r="K7" s="30">
        <f>(((I7*D19)*2)+I7)/24</f>
        <v>4474.6202124749998</v>
      </c>
      <c r="L7" s="30">
        <f>(((I7*D19)*3)+I7)/36</f>
        <v>3090.7455874749999</v>
      </c>
      <c r="M7" s="30">
        <f>(((I7*D19)*4)+I7)/48</f>
        <v>2398.8082749749997</v>
      </c>
      <c r="N7" s="30">
        <f>((((I7*D19)*5)+I7)/60)</f>
        <v>1983.6458874749999</v>
      </c>
      <c r="O7" s="147"/>
      <c r="P7" s="2">
        <f>H7+H16</f>
        <v>25955.952466499999</v>
      </c>
      <c r="T7" s="186">
        <f>25973/2</f>
        <v>12986.5</v>
      </c>
    </row>
    <row r="8" spans="1:27" ht="24.6" x14ac:dyDescent="0.4">
      <c r="A8" s="7">
        <v>0.2</v>
      </c>
      <c r="B8" s="31">
        <f>IF(D5="MIG09",39900,IF(D5="MIG10",41900,IF(D5="H16",41900,IF(D5="P16",47400,IF(D5="H17",47900,IF(D5="H48",67900,IF(D5="H43",70900,IF(D5="H40",72900,IF(D5="H42",74900,IF(D5="H44",73900,IF(D5="H45",79900,IF(D5="H38",86900,IF(D5="H37",79900,IF(D5="EH40",99900,IF(D5="EH43",106900,IF(D5="ML",71900,IF(D5="HL",83900,IF(D5="PR",95900,IF(D5="MLP",80900,IF(D5="HLP",91900,IF(D5="PRP",102900,IF(D5="XPML",69900,IF(D5="XPHL",71000,IF(D5="XPMLP",75900,IF(D5="XPMLP-01",77800,IF(D5="XC",84900,IF(D5="G10",81900,IF(D5="P10",93900,IF(D5="G12",97900,IF(D5="P12",105900,IF(D5="G05",104900,IF(D5="P05",105900,IF(D5="G03",92900,IF(D5="P03",100900,IF(D5="G06",109900,IF(D5="P06",114900,IF(D5="OTP06-01",118900,IF(D5="G08",125900,IF(D5="P08",132900,IF(D5="OTP06-01",109900,IF(D5="G09",129900,IF(D5="P09",134900,IF(D5="H57",105900,IF(D5="P57",113900,IF(D5="H64",116900,IF(D5="H59",127900,IF(D5="P59",134900,IF(D5="H61",134900,IF(D5="P61",138900)))))))))))))))))))))))))))))))))))))))))))))))))</f>
        <v>99900</v>
      </c>
      <c r="C8" s="32">
        <f>IF(L20="YES",N20,IF(L20="NO",N20))</f>
        <v>99900</v>
      </c>
      <c r="D8" s="29">
        <v>0</v>
      </c>
      <c r="E8" s="33"/>
      <c r="F8" s="139"/>
      <c r="G8" s="140"/>
      <c r="H8" s="110">
        <f>G7*20/100</f>
        <v>24909.743250000003</v>
      </c>
      <c r="I8" s="34"/>
      <c r="J8" s="34" t="s">
        <v>15</v>
      </c>
      <c r="K8" s="34">
        <f>(I7*K5+I7)/24</f>
        <v>4151.6238750000002</v>
      </c>
      <c r="L8" s="34">
        <f>(I7*L5+I7)/36</f>
        <v>2861.5759495749999</v>
      </c>
      <c r="M8" s="34">
        <f>(I7*M5+I7)/48</f>
        <v>2216.5519868625001</v>
      </c>
      <c r="N8" s="34">
        <f>(I7*N5+I7)/60</f>
        <v>1829.537609235</v>
      </c>
      <c r="O8" s="147">
        <v>0</v>
      </c>
      <c r="P8" s="2">
        <f>P7/12</f>
        <v>2162.9960388750001</v>
      </c>
      <c r="T8" s="1">
        <f>25973-12973</f>
        <v>13000</v>
      </c>
    </row>
    <row r="9" spans="1:27" ht="24.6" x14ac:dyDescent="0.4">
      <c r="A9" s="8">
        <f>B8/(100%-A8)</f>
        <v>124875</v>
      </c>
      <c r="B9" s="109">
        <f>B7-B8</f>
        <v>0</v>
      </c>
      <c r="C9" s="109"/>
      <c r="D9" s="36"/>
      <c r="E9" s="33"/>
      <c r="F9" s="139"/>
      <c r="G9" s="140"/>
      <c r="H9" s="33"/>
      <c r="I9" s="37" t="s">
        <v>16</v>
      </c>
      <c r="J9" s="38">
        <f>(J7*12)-I7</f>
        <v>3875.9560497000057</v>
      </c>
      <c r="K9" s="38">
        <f>(K7*24)-I7</f>
        <v>7751.9120993999968</v>
      </c>
      <c r="L9" s="38">
        <f>(L7*36)-I7</f>
        <v>11627.868149100002</v>
      </c>
      <c r="M9" s="38">
        <f>(M7*48)-I7</f>
        <v>15503.824198799994</v>
      </c>
      <c r="N9" s="38">
        <f>(N7*60)-I7</f>
        <v>19379.780248499999</v>
      </c>
      <c r="O9" s="147"/>
      <c r="T9" s="1">
        <f>T8/12</f>
        <v>1083.3333333333333</v>
      </c>
      <c r="Z9" s="1" t="s">
        <v>86</v>
      </c>
    </row>
    <row r="10" spans="1:27" ht="24.6" x14ac:dyDescent="0.4">
      <c r="A10" s="8"/>
      <c r="B10" s="37" t="s">
        <v>141</v>
      </c>
      <c r="C10" s="20" t="s">
        <v>17</v>
      </c>
      <c r="D10" s="36">
        <f>IF(C10="YES",700,IF(C10="NO",0))</f>
        <v>0</v>
      </c>
      <c r="E10" s="39"/>
      <c r="F10" s="40"/>
      <c r="G10" s="40"/>
      <c r="H10" s="33"/>
      <c r="I10" s="44" t="s">
        <v>85</v>
      </c>
      <c r="J10" s="117" t="s">
        <v>19</v>
      </c>
      <c r="K10" s="117">
        <f>IF(J10="YES",Z10,IF(J10="NO",0))</f>
        <v>1000</v>
      </c>
      <c r="L10" s="41">
        <f>(L8*36)-I7</f>
        <v>3377.7611846999935</v>
      </c>
      <c r="M10" s="41">
        <f>(M8*48)-I7</f>
        <v>6755.522369400016</v>
      </c>
      <c r="N10" s="41">
        <f>(N8*60)-I7</f>
        <v>10133.283554099995</v>
      </c>
      <c r="O10" s="147">
        <f>IF(D5="XC",3690,IF(D5="XPML",3690,IF(D5="XPHL",3690,IF(D5="XPMLP",3690,IF(D5="XPMLP-01",3690,IF(D5="Xpander P",3690,IF(D5="ML",3690,IF(D5="HL",3690,IF(D5="PR",(U19*3/100+510)*1.05,IF(D5="MLP",3690,IF(D5="HLP",(U19*3/100+510)*1.05,IF(D5="PRP",(U19*3/100+510)*1.05,IF(D5="H57",(U19*2.75/100+510)*1.05,IF(D5="P57",(U19*2.75/100+510)*1.05,IF(D5="H64",(U19*2.75/100+510)*1.05,IF(D5="H59",(U19*2.75/100+510)*1.05,IF(D5="P59",(U19*2.75/100+510)*1.05,IF(D5="H61",(U19*2.75/100+510)*1.05,IF(D5="P61",(U19*2.75/100+510)*1.05,IF(D5="G03",(U19*3/100+510)*1.05,IF(D5="G10",(U19*3/100+510)*1.05,IF(D5="P10",(U19*3/100+510)*1.05,IF(D5="G12",(U19*3/100+510)*1.05,IF(D5="P12",(U19*3/100+510)*1.05,IF(D5="G05",(U19*3/100+510)*1.05,IF(D5="P05",(U19*3/100+510)*1.05,IF(D5="P03",(U19*3/100+510)*1.05,IF(D5="G06",(U19*3/100+510)*1.05,IF(D5="P06",(U19*3/100+510)*1.05,IF(D5="OTP06-01",(U19*3/100+510)*1.05,IF(D5="G08",(U19*3/100+510)*1.05,IF(D5="P08",(U19*3/100+510)*1.05,IF(D5="G09",(U19*3/100+510)*1.05,IF(D5="P09",(U19*3/100+510)*1.05,IF(D5="H38",3625,IF(D5="H37",3625,IF(D5="EH40",(U19*3/100+450)*1.05,IF(D5="EH43",(U19*3/100+450)*1.05,IF(D5="H48",3625,IF(D5="H43",3625,IF(D5="H40",3625,IF(D5="H42",3625,IF(D5="H44",3625,IF(D5="H45",3625,IF(D5="ASX HL 4WD",3625,IF(D5="H16",3625,IF(D5="H17",3625,IF(D5="P16",3625,IF(D5="Attrage S",3625,IF(D5="MIG09",3625,IF(D5="MIG10",3625,IF(D5="Xpander HL",3690))))))))))))))))))))))))))))))))))))))))))))))))))))</f>
        <v>4143.8249999999998</v>
      </c>
      <c r="P10" s="204"/>
      <c r="Q10" s="204">
        <f>5.25*3</f>
        <v>15.75</v>
      </c>
      <c r="Z10" s="1">
        <f>IF(D5="MIG09",1000,IF(D5="MIG10",1000,IF(D5="H16",1000,IF(D5="P16",1000,IF(D5="H17",1000,IF(D5="H48",1000,IF(D5="H43",1000,IF(D5="H40",1000,IF(D5="H42",1000,IF(D5="H44",1000,IF(D5="H45",1000,IF(D5="H38",1000,IF(D5="H37",1000,IF(D5="EH40",1000,IF(D5="EH43",1000,IF(D5="ML",1000,IF(D5="HL",1000,IF(D5="PR",1000,IF(D5="MLP",1000,IF(D5="HLP",1000,IF(D5="PRP",1000,IF(D5="XPML",1000,IF(D5="XPHL",1000,IF(D5="XPMLP",1000,IF(D5="XPMLP-01",1000,IF(D5="XC",1000,IF(D5="G10",1000,IF(D5="P10",1000,IF(D5="G12",1000,IF(D5="P12",1000,IF(D5="G05",1000,IF(D5="P05",1000,IF(D5="G03",1000,IF(D5="P03",1000,IF(D5="G06",1000,IF(D5="P06",1000,IF(D5="OTP06-01",1000,IF(D5="G08",1000,IF(D5="P08",1000,IF(D5="OTP06-01",1000,IF(D5="G09",1000,IF(D5="P09",1000,IF(D5="H57",1000,IF(D5="P57",1000,IF(D5="H64",1000,IF(D5="H59",1000,IF(D5="P59",1000,IF(D5="H61",1000,IF(D5="P61",1000)))))))))))))))))))))))))))))))))))))))))))))))))</f>
        <v>1000</v>
      </c>
    </row>
    <row r="11" spans="1:27" ht="24.6" x14ac:dyDescent="0.4">
      <c r="A11" s="8"/>
      <c r="B11" s="37" t="s">
        <v>18</v>
      </c>
      <c r="C11" s="20" t="s">
        <v>19</v>
      </c>
      <c r="D11" s="203">
        <f>IF(C11="YES",O17,IF(C11="NO",0))</f>
        <v>2700</v>
      </c>
      <c r="E11" s="39"/>
      <c r="F11" s="40"/>
      <c r="G11" s="40"/>
      <c r="H11" s="33"/>
      <c r="I11" s="33"/>
      <c r="J11" s="44" t="s">
        <v>76</v>
      </c>
      <c r="K11" s="44">
        <f>H8-K10</f>
        <v>23909.743250000003</v>
      </c>
      <c r="L11" s="37"/>
      <c r="M11" s="37"/>
      <c r="N11" s="38"/>
      <c r="O11" s="147">
        <f>IF(D5="XC",6100,IF(D5="XPML",6100,IF(D5="XPHL",6100,IF(D5="XPMLP",6100,IF(D5="XPMLP-01",6100,IF(D5="Xpander P",6100,IF(D5="ML",6600,IF(D5="HL",6600,IF(D5="PR",6600,IF(D5="MLP",6600,IF(D5="HLP",6600,IF(D5="PRP",6600,IF(D5="H57",5900,IF(D5="P57",5900,IF(D5="H64",5900,IF(D5="H59",5900,IF(D5="P59",5900,IF(D5="H61",5900,IF(D5="P61",5900,IF(D5="G03",6700,IF(D5="G10",6700,IF(D5="P10",6700,IF(D5="G12",6700,IF(D5="P12",6700,IF(D5="G05",6700,IF(D5="P05",6700,IF(D5="P03",6700,IF(D5="G06",6700,IF(D5="P06",6700,IF(D5="OTP06-01",6700,IF(D5="G08",6700,IF(D5="G09",6700,IF(D5="G08",6700,IF(D5="P08",6700,IF(D5="P09",6700,IF(D5="H37",6400,IF(D5="H38",6400,IF(D5="EH40",6400,IF(D5="EH43",6400,IF(D5="H48",6600,IF(D5="H43",6600,IF(D5="H40",6600,IF(D5="H42",6600,IF(D5="H44",6600,IF(D5="H45",6600,IF(D5="ASX HL 4WD",6600,IF(D5="H16",5400,IF(D5="H17",5400,IF(D5="P16",5400,IF(D5="Attrage S",5400,IF(D5="MIG09",5400,IF(D5="MIG10",5400,IF(D5="Xpander HL",6000)))))))))))))))))))))))))))))))))))))))))))))))))))))</f>
        <v>6400</v>
      </c>
      <c r="P11" s="147"/>
      <c r="Q11" s="147"/>
      <c r="R11" s="147"/>
      <c r="S11" s="147"/>
      <c r="T11" s="147"/>
      <c r="U11" s="147">
        <f>IF(D5="XC",4900,IF(D5="XPML",4900,IF(D5="XPHL",4900,IF(D5="XPMLP",4900,IF(D5="XPMLP-01",4900,IF(D5="Xpander P",4900,IF(D5="ML",5400,IF(D5="HL",5400,IF(D5="PR",5400,IF(D5="MLP",5400,IF(D5="HLP",5400,IF(D5="PRP",5400,IF(D5="H57",4600,IF(D5="P57",4600,IF(D5="MOG64",4600,IF(D5="H59",4600,IF(D5="P59",4600,IF(D5="H61",4600,IF(D5="P61",4600,IF(D5="G03",5500,IF(D5="P03",5500,IF(D5="G10",5500,IF(D5="P10",5500,IF(D5="G12",5500,IF(D5="P12",5500,IF(D5="G05",5500,IF(D5="P05",5500,IF(D5="G06",5500,IF(D5="P06",5500,IF(D5="OTP06-01",5500,IF(D5="F08",5500,IF(D5="P08",5500,IF(D5="G09",5500,IF(D5="P09",5500,IF(D5="H38",5200,IF(D5="H37",5200,IF(D5="EH40",5200,IF(D5="EH43",5200,IF(D5="H48",5300,IF(D5="H43",5300,IF(D5="H40",5300,IF(D5="H42",5300,IF(D5="H44",5300,IF(D5="H45",5300,IF(D5="ASX HL",5300,IF(D5="ASX P",5300,IF(D5="ASX HL 4WD",5300,IF(D5="H16",4200,IF(D5="H17",4200,IF(D5="P16",4200,IF(D5="Attrage S",4200,IF(D5="MIG09",4200,IF(D5="MIG10",4200,IF(D5="Xpander HL",4900))))))))))))))))))))))))))))))))))))))))))))))))))))))</f>
        <v>5200</v>
      </c>
      <c r="V11" s="147">
        <f>IF(D5="XC",9700,IF(D5="XPML",9700,IF(D5="XPHL",9700,IF(D5="XPMLP",9700,IF(D5="XPMLP-01",9700,IF(D5="XPMLP-01",9700,IF(D5="Xpander P",9700,IF(D5="ML",10800,IF(D5="HL",10800,IF(D5="PR",10800,IF(D5="MLP",10800,IF(D5="HLP",10800,IF(D5="PRP",10800,IF(D5="H57",9300,IF(D5="P57",9300,IF(D5="MG64",9300,IF(D5="H59",9300,IF(D5="P59",9300,IF(D5="H61",9300,IF(D5="P61",9300,IF(D5="G03",11000,IF(D5="G10",11000,IF(D5="P10",11000,IF(D5="G12",11000,IF(D5="P12",11000,IF(D5="G05",11000,IF(D5="P05",11000,IF(D5="P03",11000,IF(D5="G06",11000,IF(D5="P06",11000,IF(D5="OTP06-01",11000,IF(D5="G08",11000,IF(D5="P08",11000,IF(D5="G09",11000,IF(D5="P09",11000,IF(D5="H38",10400,IF(D5="H37",10400,IF(D5="EH40",10400,IF(D5="EH43",10400,IF(D5="H48",10700,IF(D5="H43",10700,IF(D5="H40",10700,IF(D5="H42",10700,IF(D5="H44",10800,IF(D5="H45",10800,IF(D5="ASX HL",12200,IF(D5="ASX P",12200,IF(D5="ASX HL 4WD",12200,IF(D5="H16",8500,IF(D5="H17",8500,IF(D5="P16",8500,IF(D5="Attrage S",9600,IF(D5="MIG09",8500,IF(D5="MIG10",8500,IF(D5="Xpander HL",11300)))))))))))))))))))))))))))))))))))))))))))))))))))))))</f>
        <v>10400</v>
      </c>
      <c r="W11" s="147">
        <f>IF(D5="XC",9200,IF(D5="XPML",9200,IF(D5="XPHL",9200,IF(D5="XPMLP",9200,IF(D5="XPMLP-01",9200,IF(D5="Xpander P",9200,IF(D5="ML",10000,IF(D5="HL",10000,IF(D5="PR",10000,IF(D5="MLP",10000,IF(D5="HLP",10000,IF(D5="PRP",10000,IF(D5="H57",8700,IF(D5="P57",8700,IF(D5="H64",8700,IF(D5="H59",8700,IF(D5="P59",8700,IF(D5="H61",8700,IF(D5="P61",8700,IF(D5="G03",10400,IF(D5="P03",10400,IF(D5="G10",10400,IF(D5="P10",10400,IF(D5="G12",10400,IF(D5="P12",10400,IF(D5="G05",10400,IF(D5="P05",10400,IF(D5="G06",10400,IF(D5="P06",10400,IF(D5="OTP06-01",10400,IF(D5="G08",10400,IF(D5="P08",10400,IF(D5="G09",10400,IF(D5="P09",10400,IF(D5="H38",9800,IF(D5="H37",9800,IF(D5="EH40",9800,IF(D5="EH43",9800,IF(D5="H48",10100,IF(D5="H43",10100,IF(D5="H40",10100,IF(D5="H42",10100,IF(D5="H44",10100,IF(D5="H45",10100,IF(D5="ASX HL",10100,IF(D5="ASX P",10100,IF(D5="ASX HL 4WD",10100,IF(D5="H16",7900,IF(D5="H17",7900,IF(D5="P16",7900,IF(D5="Attrage S",7900,IF(D5="MIG09",7900,IF(D5="MIG10",7900,IF(D5="Xpander HL",9200))))))))))))))))))))))))))))))))))))))))))))))))))))))</f>
        <v>9800</v>
      </c>
      <c r="X11" s="147">
        <f>IF(D5="XC",4500,IF(D5="XPML",4500,IF(D5="XPHL",4500,IF(D5="XPMLP",4500,IF(D5="XPMLP-01",4500,IF(D5="Xpander P",4500,IF(D5="ML",5000,IF(D5="HL",5000,IF(D5="PR",5000,IF(D5="MLP",5000,IF(D5="HLP",5000,IF(D5="PRP",5000,IF(D5="H57",8700,IF(D5="P57",8700,IF(D5="MOG64",4300,IF(D5="H59",4300,IF(D5="P59",4300,IF(D5="H61",4300,IF(D5="P61",4300,IF(D5="G03",5000,IF(D5="P03",5000,IF(D5="G10",5000,IF(D5="P10",5000,IF(D5="G12",5000,IF(D5="P12",5000,IF(D5="G05",5000,IF(D5="P05",5000,IF(D5="G06",5000,IF(D5="P06",5000,IF(D5="OTP06-01",5000,IF(D5="G08",5000,IF(D5="P08",5000,IF(D5="G09",5000,IF(D5="P09",5000,IF(D5="H38",4900,IF(D5="H37",4900,IF(D5="EH40",4900,IF(D5="EH43",4900,IF(D5="H48",4900,IF(D5="H43",4900,IF(D5="H40",4900,IF(D5="H42",4900,IF(D5="H44",4900,IF(D5="H45",4900,IF(D5="ASX HL",4900,IF(D5="ASX P",4900,IF(D5="ASX HL 4WD",4900,IF(D5="H16",3700,IF(D5="H17",3700,IF(D5="P16",3700,IF(D5="Attrage S",3700,IF(D5="MIG09",3700,IF(D5="MIG10",3700,IF(D5="Xpander HL",4500))))))))))))))))))))))))))))))))))))))))))))))))))))))</f>
        <v>4900</v>
      </c>
      <c r="Y11" s="147">
        <f>IF(D5="XC",5400,IF(D5="XPML ",5400,IF(D5="XPHL",5400,IF(D5="XPMLP",5400,IF(D5="XPMLP-01",5400,IF(D5="Xpander P",5400,IF(D5="ML",6000,IF(D5="HL",6000,IF(D5="PR",6000,IF(D5="MLP",6000,IF(D5="HLP",6000,IF(D5="PRP",6000,IF(D5="H57",5200,IF(D5="57",5200,IF(D5="H64",5200,IF(D5="H59",5200,IF(D5="P59",5200,IF(D5="H61",5200,IF(D5="P61",5200,IF(D5="G03",6000,IF(D5="P03",6000,IF(D5="G10",6000,IF(D5="P10",6000,IF(D5="G12",6000,IF(D5="P12",6000,IF(D5="G05",6000,IF(D5="P05",6000,IF(D5="G06",6000,IF(D5="P06",6000,IF(D5="OTP06-01",6000,IF(D5="G08",6000,IF(D5="P08",6000,IF(D5="G09",6000,IF(D5="P09",6000,IF(D5="H38",5700,IF(D5="H37",5700,IF(D5="EH40",5700,IF(D5="EH43",5700,IF(D5="H48",5900,IF(D5="H43",5900,IF(D5="H40",5900,IF(D5="H42",5900,IF(D5="H44",5900,IF(D5="H45",5900,IF(D5="ASX HL",5900,IF(D5="ASX P",5900,IF(D5="ASX HL 4WD",5900,IF(D5="H16",4500,IF(D5="H17",4500,IF(D5="P16",4500,IF(D5="Attrage S",4500,IF(D5="MIG09",4500,IF(D5="MIG10",4500,IF(D5="Xpander HL",5400))))))))))))))))))))))))))))))))))))))))))))))))))))))</f>
        <v>5700</v>
      </c>
    </row>
    <row r="12" spans="1:27" ht="24.6" x14ac:dyDescent="0.4">
      <c r="A12" s="8"/>
      <c r="B12" s="37" t="s">
        <v>20</v>
      </c>
      <c r="C12" s="20" t="s">
        <v>17</v>
      </c>
      <c r="D12" s="36">
        <f>IF(C12="YES",2000,IF(C12="NO",0))</f>
        <v>0</v>
      </c>
      <c r="E12" s="43"/>
      <c r="F12" s="43" t="s">
        <v>21</v>
      </c>
      <c r="G12" s="40"/>
      <c r="H12" s="33">
        <v>600</v>
      </c>
      <c r="I12" s="33"/>
      <c r="J12" s="202" t="s">
        <v>140</v>
      </c>
      <c r="K12" s="45">
        <v>0</v>
      </c>
      <c r="L12" s="45">
        <v>5.2499999999999998E-2</v>
      </c>
      <c r="M12" s="45">
        <v>0.126</v>
      </c>
      <c r="N12" s="201">
        <v>0.26250000000000001</v>
      </c>
      <c r="O12" s="147">
        <f>IF(K20="Esaad",B8*3/100,IF(K20="Emirates Platinum",B8*3/100,IF(K20="Fazaa",B8*3/100,IF(K20="Humat Alwatan",B8*3/100,IF(K20="Permissible",2000,IF(K20="ASX",8400,IF(K20="XPMLP",15100,IF(K20="XP",7200,IF(K20="G43",11000,IF(K20="EC",17000,IF(K20="G37",17000,IF(K20="G38",15000,IF(K20="G40",11000,IF(K20="OUT",3000,IF(K20="F08",14400,IF(K20="P08",11100,IF(K20="F06",13100,IF(K20="P06",13400,IF(K20="F03",3500,IF(K20="F03-1",13500,IF(K20="P03",13100,IF(K20="MON",10000,IF(K20="MON G57",9000,0)))))))))))))))))))))))</f>
        <v>2000</v>
      </c>
      <c r="Z12" s="86" t="s">
        <v>83</v>
      </c>
      <c r="AA12" s="86" t="s">
        <v>84</v>
      </c>
    </row>
    <row r="13" spans="1:27" ht="24.6" x14ac:dyDescent="0.4">
      <c r="A13" s="8">
        <f>B8*1.26582</f>
        <v>126455.41799999999</v>
      </c>
      <c r="B13" s="37" t="s">
        <v>23</v>
      </c>
      <c r="C13" s="20" t="s">
        <v>19</v>
      </c>
      <c r="D13" s="36">
        <f>IF(C13="YES",2000,IF(C13="NO",0))</f>
        <v>2000</v>
      </c>
      <c r="E13" s="47"/>
      <c r="F13" s="47" t="s">
        <v>75</v>
      </c>
      <c r="G13" s="51"/>
      <c r="H13" s="39">
        <v>315</v>
      </c>
      <c r="I13" s="33"/>
      <c r="J13" s="44" t="s">
        <v>54</v>
      </c>
      <c r="K13" s="29" t="s">
        <v>79</v>
      </c>
      <c r="L13" s="29" t="s">
        <v>25</v>
      </c>
      <c r="M13" s="29" t="s">
        <v>0</v>
      </c>
      <c r="N13" s="57" t="s">
        <v>26</v>
      </c>
      <c r="O13" s="9">
        <f>IF(M21="3000-4999",6%,IF(M21="5000-9999",4.75%,IF(M21="10000-14999",3.15%,IF(M21="15000-24999",2.5%,IF(M21="25000-34999",2.25%,IF(M21="35000-99999",2.15%))))))</f>
        <v>4.7500000000000001E-2</v>
      </c>
      <c r="Q13" s="2">
        <f>H7/12</f>
        <v>2075.8119375000001</v>
      </c>
      <c r="U13" s="9">
        <f>IF(M21="3000-4999",6%,IF(M21="5000-9999",3.25%,IF(M21="10000-14999",3%,IF(M21="15000-24999",2.25%,IF(M21="25000-34999",2.15%,IF(M21="35000-99999",1.99%))))))</f>
        <v>3.2500000000000001E-2</v>
      </c>
      <c r="Z13" s="99">
        <f>IF(M21="5000-9999",2.49%,IF(M21="10000-19999",2.19%,IF(M21="20000-34999",2.09%,IF(M21="35000-49999",1.89%,IF(M21="50000-99999",1.79%)))))</f>
        <v>2.4900000000000002E-2</v>
      </c>
      <c r="AA13" s="99">
        <f>IF(M21="5000-9999",2.59%,IF(M21="10000-19999",2.29%,IF(M21="20000-34999",2.19%,IF(M21="35000-49999",1.99%,IF(M21="50000-99999",1.89%)))))</f>
        <v>2.5899999999999999E-2</v>
      </c>
    </row>
    <row r="14" spans="1:27" ht="24.6" x14ac:dyDescent="0.4">
      <c r="A14" s="10" t="s">
        <v>27</v>
      </c>
      <c r="B14" s="37" t="s">
        <v>24</v>
      </c>
      <c r="C14" s="20" t="s">
        <v>19</v>
      </c>
      <c r="D14" s="50">
        <f>IF(C14="YES",U19*3.15*1.05/100,IF(C14="NO",U19*0/100))</f>
        <v>3854.8912500000001</v>
      </c>
      <c r="E14" s="48"/>
      <c r="F14" s="48" t="s">
        <v>24</v>
      </c>
      <c r="G14" s="51" t="s">
        <v>17</v>
      </c>
      <c r="H14" s="39">
        <f>IF(G14="YES",U19*3.15*1.05/100,IF(G14="NO",U19*0/100))</f>
        <v>0</v>
      </c>
      <c r="I14" s="33"/>
      <c r="J14" s="44" t="s">
        <v>55</v>
      </c>
      <c r="K14" s="44">
        <f>(H8*K12+H8)/3</f>
        <v>8303.2477500000005</v>
      </c>
      <c r="L14" s="44">
        <f>(H8*L12+H8)/12</f>
        <v>2184.7920642187505</v>
      </c>
      <c r="M14" s="44">
        <f>(H8*M12+H8)/24</f>
        <v>1168.6821208125002</v>
      </c>
      <c r="N14" s="200">
        <f>(H7*N12+H7)/60</f>
        <v>524.14251421875008</v>
      </c>
      <c r="O14" s="9">
        <f>IF(M21="3000-4999",3.89%,IF(M21="5000-9999",3.89%,IF(M21="10000-14999",3.89%,IF(M21="15000-24999",2.69%,IF(M21="25000-34999",2.69%,IF(M21="35000-99999",2.39%,IF(M21="76000-99999",2.5%)))))))</f>
        <v>3.8900000000000004E-2</v>
      </c>
    </row>
    <row r="15" spans="1:27" ht="24.6" x14ac:dyDescent="0.4">
      <c r="A15" s="11">
        <f>(B7*3%)+10+120</f>
        <v>3127</v>
      </c>
      <c r="B15" s="37" t="s">
        <v>28</v>
      </c>
      <c r="C15" s="20" t="s">
        <v>19</v>
      </c>
      <c r="D15" s="29">
        <f>IF(C15="YES",O10,IF(C15="NO",0))</f>
        <v>4143.8249999999998</v>
      </c>
      <c r="E15" s="48"/>
      <c r="F15" s="48" t="s">
        <v>53</v>
      </c>
      <c r="G15" s="51" t="s">
        <v>17</v>
      </c>
      <c r="H15" s="39">
        <f>IF(G15="YES",O10,IF(G15="NO",0))</f>
        <v>0</v>
      </c>
      <c r="I15" s="33"/>
      <c r="J15" s="44"/>
      <c r="K15" s="44"/>
      <c r="L15" s="44"/>
      <c r="M15" s="44"/>
      <c r="N15" s="198"/>
      <c r="O15" s="9" t="b">
        <f>IF(M21="3000-4999",4.99%, IF(M21="5000-11999",2.75%,IF(M21="12000-19999",2.75%,IF(M21="20000-39999",2.25%,IF(M21="40000-69999",2.25%,IF(M21="70000-99999",2.25%))))))</f>
        <v>0</v>
      </c>
      <c r="P15" s="191"/>
    </row>
    <row r="16" spans="1:27" ht="24.6" x14ac:dyDescent="0.4">
      <c r="A16" s="11">
        <f>((B7-B8)*3%+10+120)</f>
        <v>130</v>
      </c>
      <c r="B16" s="37" t="s">
        <v>78</v>
      </c>
      <c r="C16" s="20" t="s">
        <v>19</v>
      </c>
      <c r="D16" s="29">
        <f>IF(C16="YES",O16,IF(C16="NO",0))</f>
        <v>6400</v>
      </c>
      <c r="E16" s="47"/>
      <c r="F16" s="47" t="s">
        <v>74</v>
      </c>
      <c r="G16" s="54"/>
      <c r="H16" s="33">
        <f>I7*1.05%</f>
        <v>1046.2092165000001</v>
      </c>
      <c r="I16" s="33"/>
      <c r="J16" s="44" t="s">
        <v>16</v>
      </c>
      <c r="K16" s="44">
        <f>(K14*3)-H8</f>
        <v>0</v>
      </c>
      <c r="L16" s="44">
        <f>(L14*12)-H8</f>
        <v>1307.7615206250011</v>
      </c>
      <c r="M16" s="44">
        <f>(M14*24)-H8</f>
        <v>3138.627649500002</v>
      </c>
      <c r="N16" s="198"/>
      <c r="O16" s="147">
        <f>IF(B16="RMC-10-70KMS",O11,IF(B16="RMC-10-100000KMS",V11,IF(B16="RMC-40-70KMS",U11, IF(B16="RMC-10-40KMS",X11, IF(B16="RMC-10-60KMS",Y11, IF(B16="RMC-40-100000KMS",W11,0))))))</f>
        <v>6400</v>
      </c>
    </row>
    <row r="17" spans="1:23" ht="24.6" x14ac:dyDescent="0.4">
      <c r="A17" s="11">
        <f>A15+A16</f>
        <v>3257</v>
      </c>
      <c r="B17" s="37"/>
      <c r="C17" s="20"/>
      <c r="D17" s="29">
        <f>SUM(D10:D16)</f>
        <v>19098.716250000001</v>
      </c>
      <c r="E17" s="48"/>
      <c r="F17" s="48"/>
      <c r="G17" s="54"/>
      <c r="H17" s="33">
        <f>+SUM(H12:H16)+(H7)</f>
        <v>26870.952466499999</v>
      </c>
      <c r="I17" s="33"/>
      <c r="J17" s="20"/>
      <c r="K17" s="199"/>
      <c r="L17" s="199"/>
      <c r="M17" s="199"/>
      <c r="N17" s="198"/>
      <c r="O17" s="147">
        <f>IF(B11="FO Ceramic+ Intr&amp;Extr CeramicGold WdwTnt",2700,IF(B11="FO Mirror Camera Sensor",2000))</f>
        <v>2700</v>
      </c>
      <c r="T17" s="1">
        <f>19615-791</f>
        <v>18824</v>
      </c>
    </row>
    <row r="18" spans="1:23" ht="24.6" x14ac:dyDescent="0.4">
      <c r="A18" s="12" t="s">
        <v>29</v>
      </c>
      <c r="B18" s="55" t="s">
        <v>30</v>
      </c>
      <c r="C18" s="197"/>
      <c r="D18" s="57">
        <v>0</v>
      </c>
      <c r="E18" s="38"/>
      <c r="F18" s="20"/>
      <c r="G18" s="20"/>
      <c r="H18" s="37"/>
      <c r="I18" s="37"/>
      <c r="J18" s="37"/>
      <c r="K18" s="37"/>
      <c r="L18" s="37"/>
      <c r="M18" s="37"/>
      <c r="N18" s="37"/>
      <c r="O18" s="9" t="b">
        <f>IF(M21="5000-99999",1.99%)</f>
        <v>0</v>
      </c>
      <c r="U18" s="196" t="s">
        <v>52</v>
      </c>
      <c r="V18" s="196" t="s">
        <v>52</v>
      </c>
    </row>
    <row r="19" spans="1:23" ht="24.6" x14ac:dyDescent="0.4">
      <c r="A19" s="11">
        <f>B8*3.15%</f>
        <v>3146.85</v>
      </c>
      <c r="B19" s="58" t="s">
        <v>31</v>
      </c>
      <c r="C19" s="59"/>
      <c r="D19" s="60">
        <f>IF(K21="DIB EXPAT",O13,IF(K21="DIB LOCAL GVH",U13,IF(K21="Emirates NBD",O14,IF(K21="ADCB",O15,IF(K21="ADCB PAY IN 2027",O19,IF(K21="Ajman Bank",O18,IF(K21="SIB STL",Z13,IF(K21="SIB NON STL",AA13,))))))))</f>
        <v>3.8900000000000004E-2</v>
      </c>
      <c r="E19" s="20"/>
      <c r="F19" s="195"/>
      <c r="G19" s="141" t="s">
        <v>73</v>
      </c>
      <c r="H19" s="142"/>
      <c r="I19" s="143"/>
      <c r="J19" s="109">
        <f>(U19*20/100)/365</f>
        <v>63.863013698630134</v>
      </c>
      <c r="K19" s="37"/>
      <c r="L19" s="37"/>
      <c r="M19" s="37"/>
      <c r="N19" s="34">
        <f>D7</f>
        <v>104895</v>
      </c>
      <c r="O19" s="194" t="b">
        <f>IF(M21="5000-11999",3.35%,IF(M21="12000-19999",3.35%,IF(M21="20000-39999",2.85%,IF(M21="40000-69999",2.85%,IF(M21="70000-99999",2.85%)))))</f>
        <v>0</v>
      </c>
      <c r="P19" s="2">
        <f>81400-2500</f>
        <v>78900</v>
      </c>
      <c r="U19" s="193">
        <f>V19</f>
        <v>116550</v>
      </c>
      <c r="V19" s="192">
        <f>(B7+D10+D11+D12+D13+D16)*1.05</f>
        <v>116550</v>
      </c>
    </row>
    <row r="20" spans="1:23" ht="24.6" x14ac:dyDescent="0.4">
      <c r="A20" s="11"/>
      <c r="B20" s="58" t="s">
        <v>32</v>
      </c>
      <c r="C20" s="59"/>
      <c r="D20" s="63">
        <v>0.2</v>
      </c>
      <c r="E20" s="37"/>
      <c r="F20" s="37"/>
      <c r="G20" s="38"/>
      <c r="H20" s="38"/>
      <c r="I20" s="38"/>
      <c r="J20" s="103"/>
      <c r="K20" s="104" t="s">
        <v>33</v>
      </c>
      <c r="L20" s="104" t="s">
        <v>17</v>
      </c>
      <c r="M20" s="104">
        <f>IF(L20="YES",O12,IF(L20="NO",0))</f>
        <v>0</v>
      </c>
      <c r="N20" s="34">
        <f>B8-M20</f>
        <v>99900</v>
      </c>
      <c r="O20" s="187"/>
      <c r="P20" s="191"/>
      <c r="T20" s="1">
        <f>1992+1084</f>
        <v>3076</v>
      </c>
      <c r="U20" s="186"/>
      <c r="V20" s="2"/>
    </row>
    <row r="21" spans="1:23" ht="24.6" x14ac:dyDescent="0.4">
      <c r="A21" s="13">
        <f>A19+A20</f>
        <v>3146.85</v>
      </c>
      <c r="B21" s="37"/>
      <c r="C21" s="20"/>
      <c r="D21" s="37"/>
      <c r="E21" s="37"/>
      <c r="F21" s="37"/>
      <c r="G21" s="37"/>
      <c r="H21" s="37"/>
      <c r="I21" s="37"/>
      <c r="J21" s="190" t="s">
        <v>34</v>
      </c>
      <c r="K21" s="16" t="s">
        <v>139</v>
      </c>
      <c r="L21" s="16" t="s">
        <v>35</v>
      </c>
      <c r="M21" s="189" t="s">
        <v>80</v>
      </c>
      <c r="N21" s="188"/>
      <c r="O21" s="187"/>
      <c r="T21" s="1">
        <f>25973-12973</f>
        <v>13000</v>
      </c>
      <c r="U21" s="186">
        <f>M14+N7</f>
        <v>3152.3280082874999</v>
      </c>
    </row>
    <row r="22" spans="1:23" s="179" customFormat="1" ht="24.6" x14ac:dyDescent="0.4">
      <c r="A22" s="185"/>
      <c r="B22" s="184" t="s">
        <v>51</v>
      </c>
      <c r="C22" s="183"/>
      <c r="D22" s="183"/>
      <c r="E22" s="183"/>
      <c r="F22" s="183"/>
      <c r="G22" s="183"/>
      <c r="H22" s="183"/>
      <c r="I22" s="183"/>
      <c r="J22" s="183"/>
      <c r="K22" s="183"/>
      <c r="L22" s="183"/>
      <c r="M22" s="183"/>
      <c r="N22" s="182"/>
      <c r="O22" s="181"/>
      <c r="P22" s="180"/>
    </row>
    <row r="23" spans="1:23" s="168" customFormat="1" ht="26.4" x14ac:dyDescent="0.5">
      <c r="A23" s="175" t="s">
        <v>36</v>
      </c>
      <c r="B23" s="172" t="s">
        <v>138</v>
      </c>
      <c r="C23" s="169"/>
      <c r="D23" s="169"/>
      <c r="E23" s="169"/>
      <c r="F23" s="169"/>
      <c r="G23" s="169"/>
      <c r="H23" s="176"/>
      <c r="I23" s="176"/>
      <c r="J23" s="169"/>
      <c r="K23" s="169"/>
      <c r="L23" s="169"/>
      <c r="M23" s="169"/>
      <c r="N23" s="178"/>
      <c r="O23" s="170"/>
      <c r="P23" s="169"/>
    </row>
    <row r="24" spans="1:23" s="168" customFormat="1" ht="26.4" x14ac:dyDescent="0.5">
      <c r="A24" s="175" t="s">
        <v>36</v>
      </c>
      <c r="B24" s="172" t="s">
        <v>137</v>
      </c>
      <c r="C24" s="169"/>
      <c r="D24" s="169"/>
      <c r="E24" s="169"/>
      <c r="F24" s="169"/>
      <c r="G24" s="169"/>
      <c r="H24" s="177">
        <f>H7/365</f>
        <v>68.245871917808216</v>
      </c>
      <c r="I24" s="177">
        <f>H7+H12+H16</f>
        <v>26555.952466499999</v>
      </c>
      <c r="J24" s="169"/>
      <c r="K24" s="169"/>
      <c r="L24" s="169"/>
      <c r="M24" s="169"/>
      <c r="N24" s="173"/>
      <c r="O24" s="170"/>
      <c r="P24" s="169">
        <f>1232+480</f>
        <v>1712</v>
      </c>
      <c r="T24" s="168">
        <f>88704/1.05</f>
        <v>84480</v>
      </c>
    </row>
    <row r="25" spans="1:23" s="168" customFormat="1" ht="26.4" x14ac:dyDescent="0.5">
      <c r="A25" s="175" t="s">
        <v>36</v>
      </c>
      <c r="B25" s="172" t="s">
        <v>136</v>
      </c>
      <c r="C25" s="169"/>
      <c r="D25" s="169"/>
      <c r="E25" s="169"/>
      <c r="F25" s="169"/>
      <c r="G25" s="169"/>
      <c r="H25" s="176"/>
      <c r="I25" s="176"/>
      <c r="J25" s="169"/>
      <c r="K25" s="169"/>
      <c r="L25" s="169"/>
      <c r="M25" s="169"/>
      <c r="N25" s="173"/>
      <c r="O25" s="170"/>
      <c r="P25" s="169"/>
      <c r="Q25" s="168">
        <f>79400-5233.33</f>
        <v>74166.67</v>
      </c>
      <c r="R25" s="168">
        <f>Q25*1.05</f>
        <v>77875.003500000006</v>
      </c>
      <c r="W25" s="168">
        <f>1999+1224</f>
        <v>3223</v>
      </c>
    </row>
    <row r="26" spans="1:23" s="168" customFormat="1" ht="26.4" x14ac:dyDescent="0.5">
      <c r="A26" s="175" t="s">
        <v>36</v>
      </c>
      <c r="B26" s="172" t="s">
        <v>135</v>
      </c>
      <c r="C26" s="169"/>
      <c r="D26" s="169"/>
      <c r="E26" s="169"/>
      <c r="F26" s="169"/>
      <c r="G26" s="169"/>
      <c r="H26" s="169"/>
      <c r="I26" s="169"/>
      <c r="J26" s="169"/>
      <c r="K26" s="169"/>
      <c r="L26" s="169"/>
      <c r="M26" s="169"/>
      <c r="N26" s="173"/>
      <c r="O26" s="170" t="s">
        <v>37</v>
      </c>
      <c r="P26" s="169"/>
      <c r="R26" s="168">
        <f>R25+2469</f>
        <v>80344.003500000006</v>
      </c>
    </row>
    <row r="27" spans="1:23" s="168" customFormat="1" ht="26.4" x14ac:dyDescent="0.5">
      <c r="A27" s="175" t="s">
        <v>36</v>
      </c>
      <c r="B27" s="172" t="s">
        <v>134</v>
      </c>
      <c r="C27" s="169"/>
      <c r="D27" s="169"/>
      <c r="E27" s="169"/>
      <c r="F27" s="169"/>
      <c r="G27" s="169"/>
      <c r="H27" s="169"/>
      <c r="I27" s="169"/>
      <c r="J27" s="169"/>
      <c r="K27" s="169"/>
      <c r="L27" s="169"/>
      <c r="M27" s="169"/>
      <c r="N27" s="173"/>
      <c r="O27" s="170">
        <f>129500-110900</f>
        <v>18600</v>
      </c>
      <c r="P27" s="169"/>
      <c r="W27" s="174">
        <f>N7+L14</f>
        <v>4168.4379516937506</v>
      </c>
    </row>
    <row r="28" spans="1:23" s="168" customFormat="1" ht="26.4" x14ac:dyDescent="0.5">
      <c r="B28" s="172" t="s">
        <v>133</v>
      </c>
      <c r="C28" s="169"/>
      <c r="D28" s="169"/>
      <c r="E28" s="169"/>
      <c r="F28" s="169"/>
      <c r="G28" s="169"/>
      <c r="H28" s="169"/>
      <c r="I28" s="169"/>
      <c r="J28" s="169"/>
      <c r="K28" s="169"/>
      <c r="L28" s="169"/>
      <c r="M28" s="169"/>
      <c r="N28" s="173"/>
      <c r="O28" s="170">
        <f>85000-69900</f>
        <v>15100</v>
      </c>
      <c r="P28" s="169"/>
    </row>
    <row r="29" spans="1:23" s="168" customFormat="1" ht="26.4" x14ac:dyDescent="0.5">
      <c r="B29" s="172" t="s">
        <v>132</v>
      </c>
      <c r="C29" s="169"/>
      <c r="D29" s="169"/>
      <c r="E29" s="169"/>
      <c r="F29" s="169"/>
      <c r="G29" s="169"/>
      <c r="H29" s="169"/>
      <c r="I29" s="169"/>
      <c r="J29" s="169"/>
      <c r="K29" s="169"/>
      <c r="L29" s="169"/>
      <c r="M29" s="169"/>
      <c r="N29" s="171"/>
      <c r="O29" s="170"/>
      <c r="P29" s="169"/>
    </row>
    <row r="30" spans="1:23" x14ac:dyDescent="0.3">
      <c r="B30" s="167" t="s">
        <v>38</v>
      </c>
      <c r="C30" s="166"/>
      <c r="D30" s="166"/>
      <c r="E30" s="166"/>
      <c r="F30" s="166"/>
      <c r="G30" s="166"/>
      <c r="H30" s="166"/>
      <c r="I30" s="166"/>
      <c r="J30" s="166"/>
      <c r="K30" s="166"/>
      <c r="L30" s="166"/>
      <c r="M30" s="166"/>
      <c r="N30" s="165"/>
      <c r="O30" s="147"/>
    </row>
    <row r="31" spans="1:23" x14ac:dyDescent="0.3">
      <c r="B31" s="146"/>
      <c r="C31" s="145"/>
      <c r="D31" s="145"/>
      <c r="E31" s="145"/>
      <c r="F31" s="145"/>
      <c r="G31" s="145"/>
      <c r="H31" s="145"/>
      <c r="I31" s="145"/>
      <c r="J31" s="145"/>
      <c r="K31" s="145"/>
      <c r="L31" s="145"/>
      <c r="M31" s="145"/>
      <c r="N31" s="144"/>
      <c r="O31" s="147"/>
    </row>
    <row r="32" spans="1:23" s="86" customFormat="1" ht="20.399999999999999" x14ac:dyDescent="0.35">
      <c r="B32" s="118" t="s">
        <v>39</v>
      </c>
      <c r="C32" s="119"/>
      <c r="D32" s="119"/>
      <c r="E32" s="119"/>
      <c r="F32" s="119"/>
      <c r="G32" s="119"/>
      <c r="H32" s="119"/>
      <c r="I32" s="119"/>
      <c r="J32" s="119"/>
      <c r="K32" s="119"/>
      <c r="L32" s="119"/>
      <c r="M32" s="119"/>
      <c r="N32" s="120"/>
      <c r="O32" s="92"/>
      <c r="P32" s="83"/>
    </row>
    <row r="33" spans="2:16" s="86" customFormat="1" ht="20.399999999999999" x14ac:dyDescent="0.35">
      <c r="B33" s="118" t="s">
        <v>40</v>
      </c>
      <c r="C33" s="119"/>
      <c r="D33" s="119"/>
      <c r="E33" s="119"/>
      <c r="F33" s="119"/>
      <c r="G33" s="119"/>
      <c r="H33" s="119"/>
      <c r="I33" s="119"/>
      <c r="J33" s="119"/>
      <c r="K33" s="119"/>
      <c r="L33" s="119"/>
      <c r="M33" s="119"/>
      <c r="N33" s="120"/>
      <c r="O33" s="92"/>
      <c r="P33" s="83"/>
    </row>
    <row r="34" spans="2:16" s="86" customFormat="1" ht="20.399999999999999" x14ac:dyDescent="0.35">
      <c r="B34" s="107" t="s">
        <v>131</v>
      </c>
      <c r="C34" s="108"/>
      <c r="D34" s="108"/>
      <c r="E34" s="108"/>
      <c r="F34" s="108"/>
      <c r="G34" s="164" t="s">
        <v>130</v>
      </c>
      <c r="H34" s="164"/>
      <c r="I34" s="163"/>
      <c r="J34" s="163"/>
      <c r="K34" s="163"/>
      <c r="L34" s="163"/>
      <c r="M34" s="162" t="s">
        <v>129</v>
      </c>
      <c r="N34" s="161"/>
      <c r="O34" s="83"/>
      <c r="P34" s="83"/>
    </row>
    <row r="35" spans="2:16" x14ac:dyDescent="0.3">
      <c r="B35" s="160"/>
      <c r="C35" s="159"/>
      <c r="D35" s="159"/>
      <c r="E35" s="159"/>
      <c r="F35" s="159"/>
      <c r="G35" s="159"/>
      <c r="H35" s="159"/>
      <c r="I35" s="159"/>
      <c r="J35" s="159"/>
      <c r="K35" s="159"/>
      <c r="L35" s="159"/>
      <c r="M35" s="159"/>
      <c r="N35" s="158"/>
    </row>
    <row r="36" spans="2:16" x14ac:dyDescent="0.3">
      <c r="B36" s="160"/>
      <c r="C36" s="159"/>
      <c r="D36" s="159"/>
      <c r="E36" s="159"/>
      <c r="F36" s="159"/>
      <c r="G36" s="159"/>
      <c r="H36" s="159"/>
      <c r="I36" s="159"/>
      <c r="J36" s="159"/>
      <c r="K36" s="159"/>
      <c r="L36" s="159"/>
      <c r="M36" s="159"/>
      <c r="N36" s="158"/>
    </row>
    <row r="37" spans="2:16" x14ac:dyDescent="0.3">
      <c r="B37" s="160"/>
      <c r="C37" s="159"/>
      <c r="D37" s="159"/>
      <c r="E37" s="159"/>
      <c r="F37" s="159"/>
      <c r="G37" s="159"/>
      <c r="H37" s="159"/>
      <c r="I37" s="159"/>
      <c r="J37" s="159"/>
      <c r="K37" s="159"/>
      <c r="L37" s="159"/>
      <c r="M37" s="159"/>
      <c r="N37" s="158"/>
    </row>
    <row r="38" spans="2:16" ht="16.8" x14ac:dyDescent="0.3">
      <c r="B38" s="149" t="s">
        <v>128</v>
      </c>
      <c r="C38" s="157"/>
      <c r="D38" s="154"/>
      <c r="E38" s="151"/>
      <c r="F38" s="151"/>
      <c r="G38" s="151"/>
      <c r="H38" s="151"/>
      <c r="I38" s="151"/>
      <c r="J38" s="152"/>
      <c r="K38" s="151"/>
      <c r="L38" s="151"/>
      <c r="M38" s="151"/>
      <c r="N38" s="156"/>
    </row>
    <row r="39" spans="2:16" ht="16.8" x14ac:dyDescent="0.3">
      <c r="B39" s="149" t="s">
        <v>127</v>
      </c>
      <c r="C39" s="155"/>
      <c r="D39" s="154"/>
      <c r="E39" s="151"/>
      <c r="F39" s="151"/>
      <c r="G39" s="151"/>
      <c r="H39" s="151"/>
      <c r="I39" s="151"/>
      <c r="J39" s="152"/>
      <c r="K39" s="151"/>
      <c r="L39" s="151"/>
      <c r="M39" s="151"/>
      <c r="N39" s="150"/>
    </row>
    <row r="40" spans="2:16" ht="16.8" x14ac:dyDescent="0.3">
      <c r="B40" s="149" t="s">
        <v>126</v>
      </c>
      <c r="C40" s="153"/>
      <c r="D40" s="151"/>
      <c r="E40" s="151"/>
      <c r="F40" s="151"/>
      <c r="G40" s="151"/>
      <c r="H40" s="151"/>
      <c r="I40" s="151"/>
      <c r="J40" s="152"/>
      <c r="K40" s="151"/>
      <c r="L40" s="151"/>
      <c r="M40" s="151"/>
      <c r="N40" s="150"/>
    </row>
    <row r="41" spans="2:16" ht="16.8" x14ac:dyDescent="0.3">
      <c r="B41" s="149" t="s">
        <v>125</v>
      </c>
      <c r="N41" s="148"/>
    </row>
    <row r="42" spans="2:16" ht="16.8" x14ac:dyDescent="0.3">
      <c r="B42" s="149" t="s">
        <v>124</v>
      </c>
      <c r="N42" s="148"/>
    </row>
    <row r="43" spans="2:16" ht="16.8" x14ac:dyDescent="0.3">
      <c r="B43" s="149" t="s">
        <v>123</v>
      </c>
      <c r="N43" s="148"/>
    </row>
    <row r="44" spans="2:16" ht="16.8" x14ac:dyDescent="0.3">
      <c r="B44" s="149" t="s">
        <v>122</v>
      </c>
      <c r="N44" s="148"/>
    </row>
    <row r="45" spans="2:16" ht="16.8" x14ac:dyDescent="0.3">
      <c r="B45" s="149" t="s">
        <v>121</v>
      </c>
      <c r="N45" s="148"/>
    </row>
    <row r="46" spans="2:16" ht="16.8" x14ac:dyDescent="0.3">
      <c r="B46" s="149" t="s">
        <v>120</v>
      </c>
      <c r="N46" s="148"/>
    </row>
    <row r="47" spans="2:16" x14ac:dyDescent="0.3">
      <c r="B47" s="146" t="s">
        <v>39</v>
      </c>
      <c r="C47" s="145"/>
      <c r="D47" s="145"/>
      <c r="E47" s="145"/>
      <c r="F47" s="145"/>
      <c r="G47" s="145"/>
      <c r="H47" s="145"/>
      <c r="I47" s="145"/>
      <c r="J47" s="145"/>
      <c r="K47" s="145"/>
      <c r="L47" s="145"/>
      <c r="M47" s="145"/>
      <c r="N47" s="144"/>
      <c r="O47" s="147"/>
    </row>
    <row r="48" spans="2:16" x14ac:dyDescent="0.3">
      <c r="B48" s="146" t="s">
        <v>40</v>
      </c>
      <c r="C48" s="145"/>
      <c r="D48" s="145"/>
      <c r="E48" s="145"/>
      <c r="F48" s="145"/>
      <c r="G48" s="145"/>
      <c r="H48" s="145"/>
      <c r="I48" s="145"/>
      <c r="J48" s="145"/>
      <c r="K48" s="145"/>
      <c r="L48" s="145"/>
      <c r="M48" s="145"/>
      <c r="N48" s="144"/>
      <c r="O48" s="147"/>
    </row>
    <row r="49" spans="2:14" x14ac:dyDescent="0.3">
      <c r="B49" s="146" t="s">
        <v>119</v>
      </c>
      <c r="C49" s="145"/>
      <c r="D49" s="145"/>
      <c r="E49" s="145"/>
      <c r="F49" s="145"/>
      <c r="G49" s="145"/>
      <c r="H49" s="145"/>
      <c r="I49" s="145"/>
      <c r="J49" s="145"/>
      <c r="K49" s="145"/>
      <c r="L49" s="145"/>
      <c r="M49" s="145"/>
      <c r="N49" s="144"/>
    </row>
    <row r="50" spans="2:14" ht="25.8" x14ac:dyDescent="0.3">
      <c r="C50" s="15" t="s">
        <v>41</v>
      </c>
    </row>
    <row r="51" spans="2:14" ht="25.8" x14ac:dyDescent="0.3">
      <c r="C51" s="15" t="s">
        <v>42</v>
      </c>
    </row>
    <row r="52" spans="2:14" ht="25.8" x14ac:dyDescent="0.3">
      <c r="C52" s="15" t="s">
        <v>43</v>
      </c>
    </row>
    <row r="53" spans="2:14" ht="25.8" x14ac:dyDescent="0.3">
      <c r="C53" s="15" t="s">
        <v>44</v>
      </c>
    </row>
    <row r="54" spans="2:14" ht="25.8" x14ac:dyDescent="0.3">
      <c r="C54" s="15" t="s">
        <v>45</v>
      </c>
    </row>
  </sheetData>
  <dataConsolidate/>
  <mergeCells count="11">
    <mergeCell ref="F8:G8"/>
    <mergeCell ref="F9:G9"/>
    <mergeCell ref="G19:I19"/>
    <mergeCell ref="B22:N22"/>
    <mergeCell ref="B30:N30"/>
    <mergeCell ref="B32:N32"/>
    <mergeCell ref="B33:N33"/>
    <mergeCell ref="B47:N47"/>
    <mergeCell ref="B48:N48"/>
    <mergeCell ref="B49:N49"/>
    <mergeCell ref="B31:N31"/>
  </mergeCells>
  <dataValidations count="11">
    <dataValidation type="list" allowBlank="1" showInputMessage="1" showErrorMessage="1" sqref="H34" xr:uid="{C11055C3-4875-466E-B2C6-B180ADC5CF95}">
      <formula1>"ALAA HAMMAD,KHALED QASSEM,RAMY RAOUF,SIMON LOBO,MHAREN CLEMENTE GARADO"</formula1>
    </dataValidation>
    <dataValidation type="list" allowBlank="1" showInputMessage="1" showErrorMessage="1" sqref="M34" xr:uid="{9D27BBCE-D93E-43AC-8CFF-2F7DE6184021}">
      <formula1>"Alaa Hammad,Bachir Ibrahim Mourad,Khaled Qassem,Ramy Raoof,Simon Lobo,Mharen Clemente Garado,Ranjith"</formula1>
    </dataValidation>
    <dataValidation type="list" allowBlank="1" showInputMessage="1" showErrorMessage="1" sqref="B11" xr:uid="{46107514-FB4C-44DD-B82E-37950C99B06F}">
      <formula1>"FO Ceramic+ Intr&amp;Extr CeramicGold WdwTnt,FO Mirror Camera Sensor"</formula1>
    </dataValidation>
    <dataValidation type="list" allowBlank="1" showInputMessage="1" showErrorMessage="1" sqref="B12" xr:uid="{4C2B51EB-44EE-40BA-B3E3-A2A0C6888B04}">
      <formula1>"FO Exterior ceramic All Cars SCOTCHGUARD,FO Mirror Camera Sensor,FO PPF Gold Package "</formula1>
    </dataValidation>
    <dataValidation type="list" allowBlank="1" showInputMessage="1" showErrorMessage="1" sqref="K20" xr:uid="{60918381-4C9D-46D0-92C3-F1592B2F4095}">
      <formula1>"Esaad,Emirates Platinum,Fazaa,Humat Alwatan,Permissible,ASX,XPMLP,XP,MON,MON G57,OUT,F08,P08,F06,P06,F03,F03-1,P03,EC,G37,G38,G40,G43"</formula1>
    </dataValidation>
    <dataValidation type="list" allowBlank="1" showInputMessage="1" showErrorMessage="1" sqref="B16" xr:uid="{5177A944-F058-4A11-8B68-514040058BA9}">
      <formula1>"RMC-10-40KMS,RMC-10-60KMS,RMC-10-70KMS,RMC-10-100000KMS,RMC-40-70KMS,RMC-40-100000KMS"</formula1>
    </dataValidation>
    <dataValidation type="list" allowBlank="1" showInputMessage="1" showErrorMessage="1" sqref="K24" xr:uid="{C9060ABD-8083-4268-80F0-DAE6D904847D}">
      <formula1>"RMC-10-70K,RMC-10-100000K,RMC-40-70K"</formula1>
    </dataValidation>
    <dataValidation type="list" allowBlank="1" showInputMessage="1" showErrorMessage="1" sqref="D5" xr:uid="{5F6BD396-C6C5-495D-881F-6B7EC26E50EB}">
      <formula1>"MIG09,MIG10,H16,P16,H17,H48,H43,H40,H42,H44,H45,H38,H37,EH40,EH43,ML,HL,PR, MLP,HLP,PRP,XPML,XPHL,XPMLP, XPMLP-01,XC, G10,P10, G03, P03, G06,P06,G12,P12,G05,P05,G08,P08,G09,P09,H57,P57,H64,H59,P59,H61,P61"</formula1>
    </dataValidation>
    <dataValidation type="list" allowBlank="1" showInputMessage="1" showErrorMessage="1" sqref="M21" xr:uid="{8F75CC92-85A0-4B07-96C5-FF9944C40AEF}">
      <formula1>"3000-4999,5000-9999,5000-99999,10000-14999,15000-24999,25000-34999,35000-99999,5000-11999,12000-19999,20000-39999,40000-69999,70000-99999"</formula1>
    </dataValidation>
    <dataValidation type="list" allowBlank="1" showInputMessage="1" showErrorMessage="1" sqref="C10:C16 L20 L24:L25 G14:G15 J10" xr:uid="{F0528C77-9325-468A-BA16-19A32F0D124E}">
      <formula1>"YES,NO"</formula1>
    </dataValidation>
    <dataValidation type="list" allowBlank="1" showInputMessage="1" showErrorMessage="1" sqref="K21" xr:uid="{3ECEC8B1-7503-44BA-AE0B-7FF598B83191}">
      <formula1>"ADCB,ADCB PAY IN 2027,Ajman Bank,ADIB,DIB EXPAT,DIB LOCAL GVH,Emirates NBD,EIB,FAB,RAK,SIB STL,SIB NON STL"</formula1>
    </dataValidation>
  </dataValidations>
  <pageMargins left="0.23622047244094491" right="0.23622047244094491" top="0.74803149606299213" bottom="0.74803149606299213" header="0.31496062992125984" footer="0.31496062992125984"/>
  <pageSetup paperSize="9" scale="40" orientation="landscape" horizontalDpi="4294967295" verticalDpi="4294967295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1D544-E80D-47B5-A00A-6EB73AF335D1}">
  <sheetPr>
    <pageSetUpPr fitToPage="1"/>
  </sheetPr>
  <dimension ref="A1:AA54"/>
  <sheetViews>
    <sheetView topLeftCell="B1" zoomScaleNormal="100" workbookViewId="0">
      <selection activeCell="D5" sqref="D5"/>
    </sheetView>
  </sheetViews>
  <sheetFormatPr defaultColWidth="9.109375" defaultRowHeight="15.6" x14ac:dyDescent="0.3"/>
  <cols>
    <col min="1" max="1" width="16" style="1" hidden="1" customWidth="1"/>
    <col min="2" max="2" width="75.109375" style="2" customWidth="1"/>
    <col min="3" max="3" width="26.88671875" style="3" customWidth="1"/>
    <col min="4" max="4" width="23.88671875" style="2" customWidth="1"/>
    <col min="5" max="5" width="23.33203125" style="2" customWidth="1"/>
    <col min="6" max="6" width="19.88671875" style="2" customWidth="1"/>
    <col min="7" max="7" width="23.33203125" style="2" customWidth="1"/>
    <col min="8" max="8" width="24.44140625" style="2" customWidth="1"/>
    <col min="9" max="9" width="27.109375" style="2" customWidth="1"/>
    <col min="10" max="10" width="26.6640625" style="2" customWidth="1"/>
    <col min="11" max="11" width="25.44140625" style="2" customWidth="1"/>
    <col min="12" max="12" width="20.5546875" style="2" customWidth="1"/>
    <col min="13" max="13" width="20.109375" style="2" customWidth="1"/>
    <col min="14" max="14" width="19.5546875" style="2" customWidth="1"/>
    <col min="15" max="15" width="15.109375" style="2" bestFit="1" customWidth="1"/>
    <col min="16" max="16" width="12.6640625" style="2" hidden="1" customWidth="1"/>
    <col min="17" max="17" width="12.6640625" style="1" hidden="1" customWidth="1"/>
    <col min="18" max="18" width="15.6640625" style="1" hidden="1" customWidth="1"/>
    <col min="19" max="19" width="13" style="1" hidden="1" customWidth="1"/>
    <col min="20" max="20" width="17.109375" style="1" hidden="1" customWidth="1"/>
    <col min="21" max="21" width="14.5546875" style="1" bestFit="1" customWidth="1"/>
    <col min="22" max="22" width="19" style="1" customWidth="1"/>
    <col min="23" max="23" width="22.5546875" style="1" bestFit="1" customWidth="1"/>
    <col min="24" max="25" width="9.109375" style="1"/>
    <col min="26" max="26" width="14" style="1" bestFit="1" customWidth="1"/>
    <col min="27" max="27" width="22.33203125" style="1" bestFit="1" customWidth="1"/>
    <col min="28" max="16384" width="9.109375" style="1"/>
  </cols>
  <sheetData>
    <row r="1" spans="1:27" ht="15.75" customHeight="1" x14ac:dyDescent="0.3">
      <c r="B1" s="222" t="s">
        <v>148</v>
      </c>
      <c r="C1" s="221"/>
      <c r="D1" s="221"/>
      <c r="E1" s="221"/>
      <c r="F1" s="221"/>
      <c r="G1" s="221"/>
      <c r="H1" s="221"/>
      <c r="I1" s="221"/>
      <c r="J1" s="221"/>
      <c r="K1" s="221"/>
      <c r="L1" s="221"/>
      <c r="M1" s="221"/>
      <c r="N1" s="220"/>
    </row>
    <row r="2" spans="1:27" ht="15.75" customHeight="1" x14ac:dyDescent="0.3">
      <c r="B2" s="219" t="s">
        <v>147</v>
      </c>
      <c r="C2" s="218"/>
      <c r="D2" s="218"/>
      <c r="E2" s="218"/>
      <c r="F2" s="218"/>
      <c r="G2" s="218"/>
      <c r="H2" s="218"/>
      <c r="I2" s="218"/>
      <c r="J2" s="218"/>
      <c r="K2" s="218"/>
      <c r="L2" s="218"/>
      <c r="M2" s="218"/>
      <c r="N2" s="217"/>
      <c r="Q2" s="2"/>
      <c r="S2" s="186"/>
    </row>
    <row r="3" spans="1:27" ht="15.75" customHeight="1" x14ac:dyDescent="0.3">
      <c r="B3" s="219" t="s">
        <v>146</v>
      </c>
      <c r="C3" s="218"/>
      <c r="D3" s="218"/>
      <c r="E3" s="218"/>
      <c r="F3" s="218"/>
      <c r="G3" s="218"/>
      <c r="H3" s="218"/>
      <c r="I3" s="218"/>
      <c r="J3" s="218"/>
      <c r="K3" s="218"/>
      <c r="L3" s="218"/>
      <c r="M3" s="218"/>
      <c r="N3" s="217"/>
      <c r="O3" s="3"/>
      <c r="P3" s="3"/>
      <c r="Q3" s="153"/>
      <c r="R3" s="153"/>
      <c r="S3" s="216" t="e">
        <f>N7+J14</f>
        <v>#VALUE!</v>
      </c>
      <c r="T3" s="216"/>
      <c r="U3" s="153"/>
      <c r="V3" s="153"/>
      <c r="W3" s="153"/>
      <c r="AA3" s="1">
        <f>273000/5</f>
        <v>54600</v>
      </c>
    </row>
    <row r="4" spans="1:27" ht="15.75" customHeight="1" x14ac:dyDescent="0.3">
      <c r="B4" s="215"/>
      <c r="C4" s="214"/>
      <c r="D4" s="214"/>
      <c r="E4" s="214"/>
      <c r="F4" s="214"/>
      <c r="G4" s="214"/>
      <c r="H4" s="214"/>
      <c r="I4" s="214"/>
      <c r="J4" s="214"/>
      <c r="K4" s="214"/>
      <c r="L4" s="214"/>
      <c r="M4" s="214"/>
      <c r="N4" s="213"/>
      <c r="O4" s="212" t="s">
        <v>0</v>
      </c>
      <c r="P4" s="212"/>
      <c r="Q4" s="210"/>
      <c r="R4" s="210"/>
      <c r="S4" s="211"/>
      <c r="T4" s="211"/>
      <c r="U4" s="210" t="s">
        <v>1</v>
      </c>
      <c r="V4" s="210" t="s">
        <v>2</v>
      </c>
      <c r="W4" s="210" t="s">
        <v>3</v>
      </c>
    </row>
    <row r="5" spans="1:27" ht="25.2" thickBot="1" x14ac:dyDescent="0.45">
      <c r="B5" s="17"/>
      <c r="C5" s="18" t="str">
        <f>IF(D5="MIG09","Mirage G09",IF(D5="MIG10","MirageG10",IF(D5="H16","Attrage H16",IF(D5="P16","Attrage P16",IF(D5="H17","Attrage H17",IF(D5="H48","ASX H48",IF(D5="H43","ASX H43",IF(D5="H40","ASX H40",IF(D5="H42","ASX H42",IF(D5="H44","ASX H44",IF(D5="H45","ASX H45",IF(D5="H38","Eclipse H38",IF(D5="H37","Eclipse H37",IF(D5="EH40","Eclipse H40",IF(D5="EH43","Eclipse H43",IF(D5="XPML","Xpander ML",IF(D5="ML","Destinator ML",IF(D5="HL","Destinator HL",IF(D5="PR","Destinator PR",IF(D5="MLP","Destinator MLP",IF(D5="HLP","Destinator HLP",IF(D5="PRP","Destinator PRP",IF(D5="XPHL","Xpander HL",IF(D5="XPMLP","Xpander ML P",IF(D5="XPMLP-01","Xpander ML P-01",IF(D5="XC","Xpander Cross",IF(D5="G03","Outlander G03",IF(D5="P03","Outlander P03",IF(D5="G06","Outlander G06",IF(D5="P06","Outlander P06",IF(D5="OTP06-01","Outlander P06-01",IF(D5="G08","Outlander G08",IF(D5="P08","Outlander P08",IF(D5="H57","Montero H57",IF(D5="P57","Montero P57",IF(D5="H64","Montero G64",IF(D5="H59","Montero G59",IF(D5="P59","Montero G59 P",IF(D5="H61","Montero G61",IF(D5="P61","Montero P61",IF(D5="G10","Outlander G10",IF(D5="P10","Outlander P10",IF(D5="G12","Outlander G12",IF(D5="P12","Outlander P12",IF(D5="G05","Outlander G05",IF(D5="P05","Outlander P05",IF(D5="G09","Outlander G09",IF(D5="P09","Outlander P09",))))))))))))))))))))))))))))))))))))))))))))))))</f>
        <v>ASX H43</v>
      </c>
      <c r="D5" s="19" t="s">
        <v>183</v>
      </c>
      <c r="E5" s="20" t="s">
        <v>145</v>
      </c>
      <c r="F5" s="37"/>
      <c r="G5" s="37"/>
      <c r="H5" s="37"/>
      <c r="I5" s="20"/>
      <c r="J5" s="34"/>
      <c r="K5" s="209">
        <v>0</v>
      </c>
      <c r="L5" s="208">
        <v>3.39E-2</v>
      </c>
      <c r="M5" s="208">
        <v>6.7799999999999999E-2</v>
      </c>
      <c r="N5" s="208">
        <v>0.1017</v>
      </c>
      <c r="O5" s="147">
        <f>K7+K14</f>
        <v>9519.6049554283327</v>
      </c>
      <c r="S5" s="186"/>
      <c r="U5" s="186">
        <f>L7+L14</f>
        <v>3930.314080494305</v>
      </c>
      <c r="V5" s="186">
        <f>M7+M14</f>
        <v>2657.8064000908334</v>
      </c>
      <c r="W5" s="186">
        <f>N7+N14</f>
        <v>1868.3206749387498</v>
      </c>
    </row>
    <row r="6" spans="1:27" s="5" customFormat="1" ht="99" thickBot="1" x14ac:dyDescent="0.35">
      <c r="A6" s="4" t="s">
        <v>4</v>
      </c>
      <c r="B6" s="26" t="s">
        <v>5</v>
      </c>
      <c r="C6" s="27" t="s">
        <v>6</v>
      </c>
      <c r="D6" s="27" t="s">
        <v>144</v>
      </c>
      <c r="E6" s="27" t="s">
        <v>7</v>
      </c>
      <c r="F6" s="27" t="s">
        <v>8</v>
      </c>
      <c r="G6" s="28" t="s">
        <v>9</v>
      </c>
      <c r="H6" s="28" t="s">
        <v>143</v>
      </c>
      <c r="I6" s="28" t="s">
        <v>10</v>
      </c>
      <c r="J6" s="28" t="s">
        <v>142</v>
      </c>
      <c r="K6" s="28" t="s">
        <v>11</v>
      </c>
      <c r="L6" s="28" t="s">
        <v>12</v>
      </c>
      <c r="M6" s="28" t="s">
        <v>13</v>
      </c>
      <c r="N6" s="28" t="s">
        <v>14</v>
      </c>
      <c r="O6" s="207"/>
      <c r="P6" s="206"/>
      <c r="T6" s="205"/>
      <c r="U6" s="205">
        <f>N7+L14</f>
        <v>3105.5167182720834</v>
      </c>
      <c r="V6" s="205">
        <f>N7+K14</f>
        <v>7663.8108904283336</v>
      </c>
      <c r="W6" s="205" t="e">
        <f>N7+J14</f>
        <v>#VALUE!</v>
      </c>
    </row>
    <row r="7" spans="1:27" ht="25.2" thickBot="1" x14ac:dyDescent="0.45">
      <c r="A7" s="6">
        <f>B8</f>
        <v>70900</v>
      </c>
      <c r="B7" s="29">
        <f>IF(L20="YES",C8*1,IF(L20="NO",B8*1))</f>
        <v>70900</v>
      </c>
      <c r="C7" s="29">
        <f>B7*5/100</f>
        <v>3545</v>
      </c>
      <c r="D7" s="203">
        <f>B7+C7</f>
        <v>74445</v>
      </c>
      <c r="E7" s="29">
        <f>D17</f>
        <v>17779.703249999999</v>
      </c>
      <c r="F7" s="29">
        <f>(C7)+(D10+D11+D12+D13+D16)*5/100</f>
        <v>4110</v>
      </c>
      <c r="G7" s="30">
        <f>B7+E7+F7</f>
        <v>92789.703249999991</v>
      </c>
      <c r="H7" s="29">
        <f>G7*D20</f>
        <v>18557.94065</v>
      </c>
      <c r="I7" s="30">
        <f>(G7-H7)</f>
        <v>74231.762599999987</v>
      </c>
      <c r="J7" s="30">
        <f>(((I7*D19)*1)+I7)/12</f>
        <v>6426.6148470949993</v>
      </c>
      <c r="K7" s="30">
        <f>(((I7*D19)*2)+I7)/24</f>
        <v>3333.6247387616659</v>
      </c>
      <c r="L7" s="30">
        <f>(((I7*D19)*3)+I7)/36</f>
        <v>2302.6280359838884</v>
      </c>
      <c r="M7" s="30">
        <f>(((I7*D19)*4)+I7)/48</f>
        <v>1787.1296845949998</v>
      </c>
      <c r="N7" s="30">
        <f>((((I7*D19)*5)+I7)/60)</f>
        <v>1477.8306737616665</v>
      </c>
      <c r="O7" s="147"/>
      <c r="P7" s="2">
        <f>H7+H16</f>
        <v>19337.374157300001</v>
      </c>
      <c r="T7" s="186">
        <f>25973/2</f>
        <v>12986.5</v>
      </c>
    </row>
    <row r="8" spans="1:27" ht="24.6" x14ac:dyDescent="0.4">
      <c r="A8" s="7">
        <v>0.2</v>
      </c>
      <c r="B8" s="31">
        <f>IF(D5="MIG09",39900,IF(D5="MIG10",41900,IF(D5="H16",41900,IF(D5="P16",47400,IF(D5="H17",47900,IF(D5="H48",67900,IF(D5="H43",70900,IF(D5="H40",72900,IF(D5="H42",74900,IF(D5="H44",73900,IF(D5="H45",79900,IF(D5="H38",86900,IF(D5="H37",79900,IF(D5="EH40",99900,IF(D5="EH43",106900,IF(D5="ML",71900,IF(D5="HL",83900,IF(D5="PR",95900,IF(D5="MLP",80900,IF(D5="HLP",91900,IF(D5="PRP",102900,IF(D5="XPML",69900,IF(D5="XPHL",71000,IF(D5="XPMLP",75900,IF(D5="XPMLP-01",77800,IF(D5="XC",84900,IF(D5="G10",81900,IF(D5="P10",93900,IF(D5="G12",97900,IF(D5="P12",105900,IF(D5="G05",104900,IF(D5="P05",105900,IF(D5="G03",92900,IF(D5="P03",100900,IF(D5="G06",109900,IF(D5="P06",114900,IF(D5="OTP06-01",118900,IF(D5="G08",125900,IF(D5="P08",132900,IF(D5="OTP06-01",109900,IF(D5="G09",129900,IF(D5="P09",134900,IF(D5="H57",105900,IF(D5="P57",113900,IF(D5="H64",116900,IF(D5="H59",127900,IF(D5="P59",134900,IF(D5="H61",134900,IF(D5="P61",138900)))))))))))))))))))))))))))))))))))))))))))))))))</f>
        <v>70900</v>
      </c>
      <c r="C8" s="32">
        <f>IF(L20="YES",N20,IF(L20="NO",N20))</f>
        <v>70900</v>
      </c>
      <c r="D8" s="29">
        <v>0</v>
      </c>
      <c r="E8" s="33"/>
      <c r="F8" s="139"/>
      <c r="G8" s="140"/>
      <c r="H8" s="110">
        <f>G7*20/100</f>
        <v>18557.94065</v>
      </c>
      <c r="I8" s="34"/>
      <c r="J8" s="34" t="s">
        <v>15</v>
      </c>
      <c r="K8" s="34">
        <f>(I7*K5+I7)/24</f>
        <v>3092.990108333333</v>
      </c>
      <c r="L8" s="34">
        <f>(I7*L5+I7)/36</f>
        <v>2131.8949820038888</v>
      </c>
      <c r="M8" s="34">
        <f>(I7*M5+I7)/48</f>
        <v>1651.3474188391665</v>
      </c>
      <c r="N8" s="34">
        <f>(I7*N5+I7)/60</f>
        <v>1363.018880940333</v>
      </c>
      <c r="O8" s="147">
        <v>0</v>
      </c>
      <c r="P8" s="2">
        <f>P7/12</f>
        <v>1611.4478464416668</v>
      </c>
      <c r="T8" s="1">
        <f>25973-12973</f>
        <v>13000</v>
      </c>
    </row>
    <row r="9" spans="1:27" ht="24.6" x14ac:dyDescent="0.4">
      <c r="A9" s="8">
        <f>B8/(100%-A8)</f>
        <v>88625</v>
      </c>
      <c r="B9" s="109">
        <f>B7-B8</f>
        <v>0</v>
      </c>
      <c r="C9" s="109"/>
      <c r="D9" s="36"/>
      <c r="E9" s="33"/>
      <c r="F9" s="139"/>
      <c r="G9" s="140"/>
      <c r="H9" s="33"/>
      <c r="I9" s="37" t="s">
        <v>16</v>
      </c>
      <c r="J9" s="38">
        <f>(J7*12)-I7</f>
        <v>2887.615565140004</v>
      </c>
      <c r="K9" s="38">
        <f>(K7*24)-I7</f>
        <v>5775.2311302799935</v>
      </c>
      <c r="L9" s="38">
        <f>(L7*36)-I7</f>
        <v>8662.8466954199976</v>
      </c>
      <c r="M9" s="38">
        <f>(M7*48)-I7</f>
        <v>11550.462260560002</v>
      </c>
      <c r="N9" s="38">
        <f>(N7*60)-I7</f>
        <v>14438.077825700006</v>
      </c>
      <c r="O9" s="147"/>
      <c r="T9" s="1">
        <f>T8/12</f>
        <v>1083.3333333333333</v>
      </c>
      <c r="Z9" s="1" t="s">
        <v>86</v>
      </c>
    </row>
    <row r="10" spans="1:27" ht="24.6" x14ac:dyDescent="0.4">
      <c r="A10" s="8"/>
      <c r="B10" s="37" t="s">
        <v>141</v>
      </c>
      <c r="C10" s="20" t="s">
        <v>17</v>
      </c>
      <c r="D10" s="36">
        <f>IF(C10="YES",700,IF(C10="NO",0))</f>
        <v>0</v>
      </c>
      <c r="E10" s="39"/>
      <c r="F10" s="40"/>
      <c r="G10" s="40"/>
      <c r="H10" s="33"/>
      <c r="I10" s="44" t="s">
        <v>85</v>
      </c>
      <c r="J10" s="117" t="s">
        <v>19</v>
      </c>
      <c r="K10" s="117">
        <f>IF(J10="YES",Z10,IF(J10="NO",0))</f>
        <v>1000</v>
      </c>
      <c r="L10" s="41">
        <f>(L8*36)-I7</f>
        <v>2516.4567521400168</v>
      </c>
      <c r="M10" s="41">
        <f>(M8*48)-I7</f>
        <v>5032.9135042800044</v>
      </c>
      <c r="N10" s="41">
        <f>(N8*60)-I7</f>
        <v>7549.3702564199921</v>
      </c>
      <c r="O10" s="147">
        <f>IF(D5="XC",3690,IF(D5="XPML",3690,IF(D5="XPHL",3690,IF(D5="XPMLP",3690,IF(D5="XPMLP-01",3690,IF(D5="Xpander P",3690,IF(D5="ML",3690,IF(D5="HL",3690,IF(D5="PR",(U19*3/100+510)*1.05,IF(D5="MLP",3690,IF(D5="HLP",(U19*3/100+510)*1.05,IF(D5="PRP",(U19*3/100+510)*1.05,IF(D5="H57",(U19*2.75/100+510)*1.05,IF(D5="P57",(U19*2.75/100+510)*1.05,IF(D5="H64",(U19*2.75/100+510)*1.05,IF(D5="H59",(U19*2.75/100+510)*1.05,IF(D5="P59",(U19*2.75/100+510)*1.05,IF(D5="H61",(U19*2.75/100+510)*1.05,IF(D5="P61",(U19*2.75/100+510)*1.05,IF(D5="G03",(U19*3/100+510)*1.05,IF(D5="G10",(U19*3/100+510)*1.05,IF(D5="P10",(U19*3/100+510)*1.05,IF(D5="G12",(U19*3/100+510)*1.05,IF(D5="P12",(U19*3/100+510)*1.05,IF(D5="G05",(U19*3/100+510)*1.05,IF(D5="P05",(U19*3/100+510)*1.05,IF(D5="P03",(U19*3/100+510)*1.05,IF(D5="G06",(U19*3/100+510)*1.05,IF(D5="P06",(U19*3/100+510)*1.05,IF(D5="OTP06-01",(U19*3/100+510)*1.05,IF(D5="G08",(U19*3/100+510)*1.05,IF(D5="P08",(U19*3/100+510)*1.05,IF(D5="G09",(U19*3/100+510)*1.05,IF(D5="P09",(U19*3/100+510)*1.05,IF(D5="H38",3625,IF(D5="H37",3625,IF(D5="EH40",(U19*3/100+450)*1.05,IF(D5="EH43",(U19*3/100+450)*1.05,IF(D5="H48",3625,IF(D5="H43",3625,IF(D5="H40",3625,IF(D5="H42",3625,IF(D5="H44",3625,IF(D5="H45",3625,IF(D5="ASX HL 4WD",3625,IF(D5="H16",3625,IF(D5="H17",3625,IF(D5="P16",3625,IF(D5="Attrage S",3625,IF(D5="MIG09",3625,IF(D5="MIG10",3625,IF(D5="Xpander HL",3690))))))))))))))))))))))))))))))))))))))))))))))))))))</f>
        <v>3625</v>
      </c>
      <c r="P10" s="204"/>
      <c r="Q10" s="204">
        <f>5.25*3</f>
        <v>15.75</v>
      </c>
      <c r="Z10" s="1">
        <f>IF(D5="MIG09",1000,IF(D5="MIG10",1000,IF(D5="H16",1000,IF(D5="P16",1000,IF(D5="H17",1000,IF(D5="H48",1000,IF(D5="H43",1000,IF(D5="H40",1000,IF(D5="H42",1000,IF(D5="H44",1000,IF(D5="H45",1000,IF(D5="H38",1000,IF(D5="H37",1000,IF(D5="EH40",1000,IF(D5="EH43",1000,IF(D5="ML",1000,IF(D5="HL",1000,IF(D5="PR",1000,IF(D5="MLP",1000,IF(D5="HLP",1000,IF(D5="PRP",1000,IF(D5="XPML",1000,IF(D5="XPHL",1000,IF(D5="XPMLP",1000,IF(D5="XPMLP-01",1000,IF(D5="XC",1000,IF(D5="G10",1000,IF(D5="P10",1000,IF(D5="G12",1000,IF(D5="P12",1000,IF(D5="G05",1000,IF(D5="P05",1000,IF(D5="G03",1000,IF(D5="P03",1000,IF(D5="G06",1000,IF(D5="P06",1000,IF(D5="OTP06-01",1000,IF(D5="G08",1000,IF(D5="P08",1000,IF(D5="OTP06-01",1000,IF(D5="G09",1000,IF(D5="P09",1000,IF(D5="H57",1000,IF(D5="P57",1000,IF(D5="H64",1000,IF(D5="H59",1000,IF(D5="P59",1000,IF(D5="H61",1000,IF(D5="P61",1000)))))))))))))))))))))))))))))))))))))))))))))))))</f>
        <v>1000</v>
      </c>
    </row>
    <row r="11" spans="1:27" ht="24.6" x14ac:dyDescent="0.4">
      <c r="A11" s="8"/>
      <c r="B11" s="37" t="s">
        <v>18</v>
      </c>
      <c r="C11" s="20" t="s">
        <v>19</v>
      </c>
      <c r="D11" s="203">
        <f>IF(C11="YES",O17,IF(C11="NO",0))</f>
        <v>2700</v>
      </c>
      <c r="E11" s="39"/>
      <c r="F11" s="40"/>
      <c r="G11" s="40"/>
      <c r="H11" s="33"/>
      <c r="I11" s="33"/>
      <c r="J11" s="44" t="s">
        <v>76</v>
      </c>
      <c r="K11" s="44">
        <f>H8-K10</f>
        <v>17557.94065</v>
      </c>
      <c r="L11" s="37"/>
      <c r="M11" s="37"/>
      <c r="N11" s="38"/>
      <c r="O11" s="147">
        <f>IF(D5="XC",6100,IF(D5="XPML",6100,IF(D5="XPHL",6100,IF(D5="XPMLP",6100,IF(D5="XPMLP-01",6100,IF(D5="Xpander P",6100,IF(D5="ML",6600,IF(D5="HL",6600,IF(D5="PR",6600,IF(D5="MLP",6600,IF(D5="HLP",6600,IF(D5="PRP",6600,IF(D5="H57",5900,IF(D5="P57",5900,IF(D5="H64",5900,IF(D5="H59",5900,IF(D5="P59",5900,IF(D5="H61",5900,IF(D5="P61",5900,IF(D5="G03",6700,IF(D5="G10",6700,IF(D5="P10",6700,IF(D5="G12",6700,IF(D5="P12",6700,IF(D5="G05",6700,IF(D5="P05",6700,IF(D5="P03",6700,IF(D5="G06",6700,IF(D5="P06",6700,IF(D5="OTP06-01",6700,IF(D5="G08",6700,IF(D5="G09",6700,IF(D5="G08",6700,IF(D5="P08",6700,IF(D5="P09",6700,IF(D5="H37",6400,IF(D5="H38",6400,IF(D5="EH40",6400,IF(D5="EH43",6400,IF(D5="H48",6600,IF(D5="H43",6600,IF(D5="H40",6600,IF(D5="H42",6600,IF(D5="H44",6600,IF(D5="H45",6600,IF(D5="ASX HL 4WD",6600,IF(D5="H16",5400,IF(D5="H17",5400,IF(D5="P16",5400,IF(D5="Attrage S",5400,IF(D5="MIG09",5400,IF(D5="MIG10",5400,IF(D5="Xpander HL",6000)))))))))))))))))))))))))))))))))))))))))))))))))))))</f>
        <v>6600</v>
      </c>
      <c r="P11" s="147"/>
      <c r="Q11" s="147"/>
      <c r="R11" s="147"/>
      <c r="S11" s="147"/>
      <c r="T11" s="147"/>
      <c r="U11" s="147">
        <f>IF(D5="XC",4900,IF(D5="XPML",4900,IF(D5="XPHL",4900,IF(D5="XPMLP",4900,IF(D5="XPMLP-01",4900,IF(D5="Xpander P",4900,IF(D5="ML",5400,IF(D5="HL",5400,IF(D5="PR",5400,IF(D5="MLP",5400,IF(D5="HLP",5400,IF(D5="PRP",5400,IF(D5="H57",4600,IF(D5="P57",4600,IF(D5="MOG64",4600,IF(D5="H59",4600,IF(D5="P59",4600,IF(D5="H61",4600,IF(D5="P61",4600,IF(D5="G03",5500,IF(D5="P03",5500,IF(D5="G10",5500,IF(D5="P10",5500,IF(D5="G12",5500,IF(D5="P12",5500,IF(D5="G05",5500,IF(D5="P05",5500,IF(D5="G06",5500,IF(D5="P06",5500,IF(D5="OTP06-01",5500,IF(D5="F08",5500,IF(D5="P08",5500,IF(D5="G09",5500,IF(D5="P09",5500,IF(D5="H38",5200,IF(D5="H37",5200,IF(D5="EH40",5200,IF(D5="EH43",5200,IF(D5="H48",5300,IF(D5="H43",5300,IF(D5="H40",5300,IF(D5="H42",5300,IF(D5="H44",5300,IF(D5="H45",5300,IF(D5="ASX HL",5300,IF(D5="ASX P",5300,IF(D5="ASX HL 4WD",5300,IF(D5="H16",4200,IF(D5="H17",4200,IF(D5="P16",4200,IF(D5="Attrage S",4200,IF(D5="MIG09",4200,IF(D5="MIG10",4200,IF(D5="Xpander HL",4900))))))))))))))))))))))))))))))))))))))))))))))))))))))</f>
        <v>5300</v>
      </c>
      <c r="V11" s="147">
        <f>IF(D5="XC",9700,IF(D5="XPML",9700,IF(D5="XPHL",9700,IF(D5="XPMLP",9700,IF(D5="XPMLP-01",9700,IF(D5="XPMLP-01",9700,IF(D5="Xpander P",9700,IF(D5="ML",10800,IF(D5="HL",10800,IF(D5="PR",10800,IF(D5="MLP",10800,IF(D5="HLP",10800,IF(D5="PRP",10800,IF(D5="H57",9300,IF(D5="P57",9300,IF(D5="MG64",9300,IF(D5="H59",9300,IF(D5="P59",9300,IF(D5="H61",9300,IF(D5="P61",9300,IF(D5="G03",11000,IF(D5="G10",11000,IF(D5="P10",11000,IF(D5="G12",11000,IF(D5="P12",11000,IF(D5="G05",11000,IF(D5="P05",11000,IF(D5="P03",11000,IF(D5="G06",11000,IF(D5="P06",11000,IF(D5="OTP06-01",11000,IF(D5="G08",11000,IF(D5="P08",11000,IF(D5="G09",11000,IF(D5="P09",11000,IF(D5="H38",10400,IF(D5="H37",10400,IF(D5="EH40",10400,IF(D5="EH43",10400,IF(D5="H48",10700,IF(D5="H43",10700,IF(D5="H40",10700,IF(D5="H42",10700,IF(D5="H44",10800,IF(D5="H45",10800,IF(D5="ASX HL",12200,IF(D5="ASX P",12200,IF(D5="ASX HL 4WD",12200,IF(D5="H16",8500,IF(D5="H17",8500,IF(D5="P16",8500,IF(D5="Attrage S",9600,IF(D5="MIG09",8500,IF(D5="MIG10",8500,IF(D5="Xpander HL",11300)))))))))))))))))))))))))))))))))))))))))))))))))))))))</f>
        <v>10700</v>
      </c>
      <c r="W11" s="147">
        <f>IF(D5="XC",9200,IF(D5="XPML",9200,IF(D5="XPHL",9200,IF(D5="XPMLP",9200,IF(D5="XPMLP-01",9200,IF(D5="Xpander P",9200,IF(D5="ML",10000,IF(D5="HL",10000,IF(D5="PR",10000,IF(D5="MLP",10000,IF(D5="HLP",10000,IF(D5="PRP",10000,IF(D5="H57",8700,IF(D5="P57",8700,IF(D5="H64",8700,IF(D5="H59",8700,IF(D5="P59",8700,IF(D5="H61",8700,IF(D5="P61",8700,IF(D5="G03",10400,IF(D5="P03",10400,IF(D5="G10",10400,IF(D5="P10",10400,IF(D5="G12",10400,IF(D5="P12",10400,IF(D5="G05",10400,IF(D5="P05",10400,IF(D5="G06",10400,IF(D5="P06",10400,IF(D5="OTP06-01",10400,IF(D5="G08",10400,IF(D5="P08",10400,IF(D5="G09",10400,IF(D5="P09",10400,IF(D5="H38",9800,IF(D5="H37",9800,IF(D5="EH40",9800,IF(D5="EH43",9800,IF(D5="H48",10100,IF(D5="H43",10100,IF(D5="H40",10100,IF(D5="H42",10100,IF(D5="H44",10100,IF(D5="H45",10100,IF(D5="ASX HL",10100,IF(D5="ASX P",10100,IF(D5="ASX HL 4WD",10100,IF(D5="H16",7900,IF(D5="H17",7900,IF(D5="P16",7900,IF(D5="Attrage S",7900,IF(D5="MIG09",7900,IF(D5="MIG10",7900,IF(D5="Xpander HL",9200))))))))))))))))))))))))))))))))))))))))))))))))))))))</f>
        <v>10100</v>
      </c>
      <c r="X11" s="147">
        <f>IF(D5="XC",4500,IF(D5="XPML",4500,IF(D5="XPHL",4500,IF(D5="XPMLP",4500,IF(D5="XPMLP-01",4500,IF(D5="Xpander P",4500,IF(D5="ML",5000,IF(D5="HL",5000,IF(D5="PR",5000,IF(D5="MLP",5000,IF(D5="HLP",5000,IF(D5="PRP",5000,IF(D5="H57",8700,IF(D5="P57",8700,IF(D5="MOG64",4300,IF(D5="H59",4300,IF(D5="P59",4300,IF(D5="H61",4300,IF(D5="P61",4300,IF(D5="G03",5000,IF(D5="P03",5000,IF(D5="G10",5000,IF(D5="P10",5000,IF(D5="G12",5000,IF(D5="P12",5000,IF(D5="G05",5000,IF(D5="P05",5000,IF(D5="G06",5000,IF(D5="P06",5000,IF(D5="OTP06-01",5000,IF(D5="G08",5000,IF(D5="P08",5000,IF(D5="G09",5000,IF(D5="P09",5000,IF(D5="H38",4900,IF(D5="H37",4900,IF(D5="EH40",4900,IF(D5="EH43",4900,IF(D5="H48",4900,IF(D5="H43",4900,IF(D5="H40",4900,IF(D5="H42",4900,IF(D5="H44",4900,IF(D5="H45",4900,IF(D5="ASX HL",4900,IF(D5="ASX P",4900,IF(D5="ASX HL 4WD",4900,IF(D5="H16",3700,IF(D5="H17",3700,IF(D5="P16",3700,IF(D5="Attrage S",3700,IF(D5="MIG09",3700,IF(D5="MIG10",3700,IF(D5="Xpander HL",4500))))))))))))))))))))))))))))))))))))))))))))))))))))))</f>
        <v>4900</v>
      </c>
      <c r="Y11" s="147">
        <f>IF(D5="XC",5400,IF(D5="XPML ",5400,IF(D5="XPHL",5400,IF(D5="XPMLP",5400,IF(D5="XPMLP-01",5400,IF(D5="Xpander P",5400,IF(D5="ML",6000,IF(D5="HL",6000,IF(D5="PR",6000,IF(D5="MLP",6000,IF(D5="HLP",6000,IF(D5="PRP",6000,IF(D5="H57",5200,IF(D5="57",5200,IF(D5="H64",5200,IF(D5="H59",5200,IF(D5="P59",5200,IF(D5="H61",5200,IF(D5="P61",5200,IF(D5="G03",6000,IF(D5="P03",6000,IF(D5="G10",6000,IF(D5="P10",6000,IF(D5="G12",6000,IF(D5="P12",6000,IF(D5="G05",6000,IF(D5="P05",6000,IF(D5="G06",6000,IF(D5="P06",6000,IF(D5="OTP06-01",6000,IF(D5="G08",6000,IF(D5="P08",6000,IF(D5="G09",6000,IF(D5="P09",6000,IF(D5="H38",5700,IF(D5="H37",5700,IF(D5="EH40",5700,IF(D5="EH43",5700,IF(D5="H48",5900,IF(D5="H43",5900,IF(D5="H40",5900,IF(D5="H42",5900,IF(D5="H44",5900,IF(D5="H45",5900,IF(D5="ASX HL",5900,IF(D5="ASX P",5900,IF(D5="ASX HL 4WD",5900,IF(D5="H16",4500,IF(D5="H17",4500,IF(D5="P16",4500,IF(D5="Attrage S",4500,IF(D5="MIG09",4500,IF(D5="MIG10",4500,IF(D5="Xpander HL",5400))))))))))))))))))))))))))))))))))))))))))))))))))))))</f>
        <v>5900</v>
      </c>
    </row>
    <row r="12" spans="1:27" ht="24.6" x14ac:dyDescent="0.4">
      <c r="A12" s="8"/>
      <c r="B12" s="37" t="s">
        <v>20</v>
      </c>
      <c r="C12" s="20" t="s">
        <v>17</v>
      </c>
      <c r="D12" s="36">
        <f>IF(C12="YES",2000,IF(C12="NO",0))</f>
        <v>0</v>
      </c>
      <c r="E12" s="43"/>
      <c r="F12" s="43" t="s">
        <v>21</v>
      </c>
      <c r="G12" s="40"/>
      <c r="H12" s="33">
        <v>600</v>
      </c>
      <c r="I12" s="33"/>
      <c r="J12" s="202" t="s">
        <v>140</v>
      </c>
      <c r="K12" s="45">
        <v>0</v>
      </c>
      <c r="L12" s="45">
        <v>5.2499999999999998E-2</v>
      </c>
      <c r="M12" s="45">
        <v>0.126</v>
      </c>
      <c r="N12" s="201">
        <v>0.26250000000000001</v>
      </c>
      <c r="O12" s="147">
        <f>IF(K20="Esaad",B8*3/100,IF(K20="Emirates Platinum",B8*3/100,IF(K20="Fazaa",B8*3/100,IF(K20="Humat Alwatan",B8*3/100,IF(K20="Permissible",2000,IF(K20="ASX",8400,IF(K20="XPMLP",15100,IF(K20="XP",7200,IF(K20="G43",11000,IF(K20="EC",17000,IF(K20="G37",17000,IF(K20="G38",15000,IF(K20="G40",11000,IF(K20="OUT",3000,IF(K20="F08",14400,IF(K20="P08",11100,IF(K20="F06",13100,IF(K20="P06",13400,IF(K20="F03",3500,IF(K20="F03-1",13500,IF(K20="P03",13100,IF(K20="MON",10000,IF(K20="MON G57",9000,0)))))))))))))))))))))))</f>
        <v>2000</v>
      </c>
      <c r="Z12" s="86" t="s">
        <v>83</v>
      </c>
      <c r="AA12" s="86" t="s">
        <v>84</v>
      </c>
    </row>
    <row r="13" spans="1:27" ht="24.6" x14ac:dyDescent="0.4">
      <c r="A13" s="8">
        <f>B8*1.26582</f>
        <v>89746.637999999992</v>
      </c>
      <c r="B13" s="37" t="s">
        <v>23</v>
      </c>
      <c r="C13" s="20" t="s">
        <v>19</v>
      </c>
      <c r="D13" s="36">
        <f>IF(C13="YES",2000,IF(C13="NO",0))</f>
        <v>2000</v>
      </c>
      <c r="E13" s="47"/>
      <c r="F13" s="47" t="s">
        <v>75</v>
      </c>
      <c r="G13" s="51"/>
      <c r="H13" s="39">
        <v>315</v>
      </c>
      <c r="I13" s="33"/>
      <c r="J13" s="44" t="s">
        <v>54</v>
      </c>
      <c r="K13" s="29" t="s">
        <v>79</v>
      </c>
      <c r="L13" s="29" t="s">
        <v>25</v>
      </c>
      <c r="M13" s="29" t="s">
        <v>0</v>
      </c>
      <c r="N13" s="57" t="s">
        <v>26</v>
      </c>
      <c r="O13" s="9">
        <f>IF(M21="3000-4999",6%,IF(M21="5000-9999",4.75%,IF(M21="10000-14999",3.15%,IF(M21="15000-24999",2.5%,IF(M21="25000-34999",2.25%,IF(M21="35000-99999",2.15%))))))</f>
        <v>4.7500000000000001E-2</v>
      </c>
      <c r="Q13" s="2">
        <f>H7/12</f>
        <v>1546.4950541666667</v>
      </c>
      <c r="U13" s="9">
        <f>IF(M21="3000-4999",6%,IF(M21="5000-9999",3.25%,IF(M21="10000-14999",3%,IF(M21="15000-24999",2.25%,IF(M21="25000-34999",2.15%,IF(M21="35000-99999",1.99%))))))</f>
        <v>3.2500000000000001E-2</v>
      </c>
      <c r="Z13" s="99">
        <f>IF(M21="5000-9999",2.49%,IF(M21="10000-19999",2.19%,IF(M21="20000-34999",2.09%,IF(M21="35000-49999",1.89%,IF(M21="50000-99999",1.79%)))))</f>
        <v>2.4900000000000002E-2</v>
      </c>
      <c r="AA13" s="99">
        <f>IF(M21="5000-9999",2.59%,IF(M21="10000-19999",2.29%,IF(M21="20000-34999",2.19%,IF(M21="35000-49999",1.99%,IF(M21="50000-99999",1.89%)))))</f>
        <v>2.5899999999999999E-2</v>
      </c>
    </row>
    <row r="14" spans="1:27" ht="24.6" x14ac:dyDescent="0.4">
      <c r="A14" s="10" t="s">
        <v>27</v>
      </c>
      <c r="B14" s="37" t="s">
        <v>24</v>
      </c>
      <c r="C14" s="20" t="s">
        <v>19</v>
      </c>
      <c r="D14" s="50">
        <f>IF(C14="YES",U19*3.15*1.05/100,IF(C14="NO",U19*0/100))</f>
        <v>2854.70325</v>
      </c>
      <c r="E14" s="48"/>
      <c r="F14" s="48" t="s">
        <v>24</v>
      </c>
      <c r="G14" s="51" t="s">
        <v>17</v>
      </c>
      <c r="H14" s="39">
        <f>IF(G14="YES",U19*3.15*1.05/100,IF(G14="NO",U19*0/100))</f>
        <v>0</v>
      </c>
      <c r="I14" s="33"/>
      <c r="J14" s="44" t="s">
        <v>55</v>
      </c>
      <c r="K14" s="44">
        <f>(H8*K12+H8)/3</f>
        <v>6185.9802166666668</v>
      </c>
      <c r="L14" s="44">
        <f>(H8*L12+H8)/12</f>
        <v>1627.6860445104167</v>
      </c>
      <c r="M14" s="44">
        <f>(H8*M12+H8)/24</f>
        <v>870.67671549583338</v>
      </c>
      <c r="N14" s="200">
        <f>(H7*N12+H7)/60</f>
        <v>390.49000117708334</v>
      </c>
      <c r="O14" s="9">
        <f>IF(M21="3000-4999",3.89%,IF(M21="5000-9999",3.89%,IF(M21="10000-14999",3.89%,IF(M21="15000-24999",2.69%,IF(M21="25000-34999",2.69%,IF(M21="35000-99999",2.39%,IF(M21="76000-99999",2.5%)))))))</f>
        <v>3.8900000000000004E-2</v>
      </c>
    </row>
    <row r="15" spans="1:27" ht="24.6" x14ac:dyDescent="0.4">
      <c r="A15" s="11">
        <f>(B7*3%)+10+120</f>
        <v>2257</v>
      </c>
      <c r="B15" s="37" t="s">
        <v>28</v>
      </c>
      <c r="C15" s="20" t="s">
        <v>19</v>
      </c>
      <c r="D15" s="29">
        <f>IF(C15="YES",O10,IF(C15="NO",0))</f>
        <v>3625</v>
      </c>
      <c r="E15" s="48"/>
      <c r="F15" s="48" t="s">
        <v>53</v>
      </c>
      <c r="G15" s="51" t="s">
        <v>17</v>
      </c>
      <c r="H15" s="39">
        <f>IF(G15="YES",O10,IF(G15="NO",0))</f>
        <v>0</v>
      </c>
      <c r="I15" s="33"/>
      <c r="J15" s="44"/>
      <c r="K15" s="44"/>
      <c r="L15" s="44"/>
      <c r="M15" s="44"/>
      <c r="N15" s="198"/>
      <c r="O15" s="9" t="b">
        <f>IF(M21="3000-4999",4.99%, IF(M21="5000-11999",2.75%,IF(M21="12000-19999",2.75%,IF(M21="20000-39999",2.25%,IF(M21="40000-69999",2.25%,IF(M21="70000-99999",2.25%))))))</f>
        <v>0</v>
      </c>
      <c r="P15" s="191"/>
    </row>
    <row r="16" spans="1:27" ht="24.6" x14ac:dyDescent="0.4">
      <c r="A16" s="11">
        <f>((B7-B8)*3%+10+120)</f>
        <v>130</v>
      </c>
      <c r="B16" s="37" t="s">
        <v>78</v>
      </c>
      <c r="C16" s="20" t="s">
        <v>19</v>
      </c>
      <c r="D16" s="29">
        <f>IF(C16="YES",O16,IF(C16="NO",0))</f>
        <v>6600</v>
      </c>
      <c r="E16" s="47"/>
      <c r="F16" s="47" t="s">
        <v>74</v>
      </c>
      <c r="G16" s="54"/>
      <c r="H16" s="33">
        <f>I7*1.05%</f>
        <v>779.43350729999986</v>
      </c>
      <c r="I16" s="33"/>
      <c r="J16" s="44" t="s">
        <v>16</v>
      </c>
      <c r="K16" s="44">
        <f>(K14*3)-H8</f>
        <v>0</v>
      </c>
      <c r="L16" s="44">
        <f>(L14*12)-H8</f>
        <v>974.29188412499934</v>
      </c>
      <c r="M16" s="44">
        <f>(M14*24)-H8</f>
        <v>2338.3005219000006</v>
      </c>
      <c r="N16" s="198"/>
      <c r="O16" s="147">
        <f>IF(B16="RMC-10-70KMS",O11,IF(B16="RMC-10-100000KMS",V11,IF(B16="RMC-40-70KMS",U11, IF(B16="RMC-10-40KMS",X11, IF(B16="RMC-10-60KMS",Y11, IF(B16="RMC-40-100000KMS",W11,0))))))</f>
        <v>6600</v>
      </c>
    </row>
    <row r="17" spans="1:23" ht="24.6" x14ac:dyDescent="0.4">
      <c r="A17" s="11">
        <f>A15+A16</f>
        <v>2387</v>
      </c>
      <c r="B17" s="37"/>
      <c r="C17" s="20"/>
      <c r="D17" s="29">
        <f>SUM(D10:D16)</f>
        <v>17779.703249999999</v>
      </c>
      <c r="E17" s="48"/>
      <c r="F17" s="48"/>
      <c r="G17" s="54"/>
      <c r="H17" s="33">
        <f>+SUM(H12:H16)+(H7)</f>
        <v>20252.374157300001</v>
      </c>
      <c r="I17" s="33"/>
      <c r="J17" s="20"/>
      <c r="K17" s="199"/>
      <c r="L17" s="199"/>
      <c r="M17" s="199"/>
      <c r="N17" s="198"/>
      <c r="O17" s="147">
        <f>IF(B11="FO Ceramic+ Intr&amp;Extr CeramicGold WdwTnt",2700,IF(B11="FO Mirror Camera Sensor",2000))</f>
        <v>2700</v>
      </c>
      <c r="T17" s="1">
        <f>19615-791</f>
        <v>18824</v>
      </c>
    </row>
    <row r="18" spans="1:23" ht="24.6" x14ac:dyDescent="0.4">
      <c r="A18" s="12" t="s">
        <v>29</v>
      </c>
      <c r="B18" s="55" t="s">
        <v>30</v>
      </c>
      <c r="C18" s="197"/>
      <c r="D18" s="57">
        <v>0</v>
      </c>
      <c r="E18" s="38"/>
      <c r="F18" s="20"/>
      <c r="G18" s="20"/>
      <c r="H18" s="37"/>
      <c r="I18" s="37"/>
      <c r="J18" s="37"/>
      <c r="K18" s="37"/>
      <c r="L18" s="37"/>
      <c r="M18" s="37"/>
      <c r="N18" s="37"/>
      <c r="O18" s="9" t="b">
        <f>IF(M21="5000-99999",1.99%)</f>
        <v>0</v>
      </c>
      <c r="U18" s="196" t="s">
        <v>52</v>
      </c>
      <c r="V18" s="196" t="s">
        <v>52</v>
      </c>
    </row>
    <row r="19" spans="1:23" ht="24.6" x14ac:dyDescent="0.4">
      <c r="A19" s="11">
        <f>B8*3.15%</f>
        <v>2233.35</v>
      </c>
      <c r="B19" s="58" t="s">
        <v>31</v>
      </c>
      <c r="C19" s="59"/>
      <c r="D19" s="60">
        <f>IF(K21="DIB EXPAT",O13,IF(K21="DIB LOCAL GVH",U13,IF(K21="Emirates NBD",O14,IF(K21="ADCB",O15,IF(K21="ADCB PAY IN 2027",O19,IF(K21="Ajman Bank",O18,IF(K21="SIB STL",Z13,IF(K21="SIB NON STL",AA13,))))))))</f>
        <v>3.8900000000000004E-2</v>
      </c>
      <c r="E19" s="20"/>
      <c r="F19" s="195"/>
      <c r="G19" s="141" t="s">
        <v>73</v>
      </c>
      <c r="H19" s="142"/>
      <c r="I19" s="143"/>
      <c r="J19" s="109">
        <f>(U19*20/100)/365</f>
        <v>47.293150684931504</v>
      </c>
      <c r="K19" s="37"/>
      <c r="L19" s="37"/>
      <c r="M19" s="37"/>
      <c r="N19" s="34">
        <f>D7</f>
        <v>74445</v>
      </c>
      <c r="O19" s="194" t="b">
        <f>IF(M21="5000-11999",3.35%,IF(M21="12000-19999",3.35%,IF(M21="20000-39999",2.85%,IF(M21="40000-69999",2.85%,IF(M21="70000-99999",2.85%)))))</f>
        <v>0</v>
      </c>
      <c r="P19" s="2">
        <f>81400-2500</f>
        <v>78900</v>
      </c>
      <c r="U19" s="193">
        <f>V19</f>
        <v>86310</v>
      </c>
      <c r="V19" s="192">
        <f>(B7+D10+D11+D12+D13+D16)*1.05</f>
        <v>86310</v>
      </c>
    </row>
    <row r="20" spans="1:23" ht="24.6" x14ac:dyDescent="0.4">
      <c r="A20" s="11"/>
      <c r="B20" s="58" t="s">
        <v>32</v>
      </c>
      <c r="C20" s="59"/>
      <c r="D20" s="63">
        <v>0.2</v>
      </c>
      <c r="E20" s="37"/>
      <c r="F20" s="37"/>
      <c r="G20" s="38"/>
      <c r="H20" s="38"/>
      <c r="I20" s="38"/>
      <c r="J20" s="103"/>
      <c r="K20" s="104" t="s">
        <v>33</v>
      </c>
      <c r="L20" s="104" t="s">
        <v>17</v>
      </c>
      <c r="M20" s="104">
        <f>IF(L20="YES",O12,IF(L20="NO",0))</f>
        <v>0</v>
      </c>
      <c r="N20" s="34">
        <f>B8-M20</f>
        <v>70900</v>
      </c>
      <c r="O20" s="187"/>
      <c r="P20" s="191"/>
      <c r="T20" s="1">
        <f>1992+1084</f>
        <v>3076</v>
      </c>
      <c r="U20" s="186"/>
      <c r="V20" s="2"/>
    </row>
    <row r="21" spans="1:23" ht="24.6" x14ac:dyDescent="0.4">
      <c r="A21" s="13">
        <f>A19+A20</f>
        <v>2233.35</v>
      </c>
      <c r="B21" s="37"/>
      <c r="C21" s="20"/>
      <c r="D21" s="37"/>
      <c r="E21" s="37"/>
      <c r="F21" s="37"/>
      <c r="G21" s="37"/>
      <c r="H21" s="37"/>
      <c r="I21" s="37"/>
      <c r="J21" s="190" t="s">
        <v>34</v>
      </c>
      <c r="K21" s="16" t="s">
        <v>139</v>
      </c>
      <c r="L21" s="16" t="s">
        <v>35</v>
      </c>
      <c r="M21" s="189" t="s">
        <v>80</v>
      </c>
      <c r="N21" s="188"/>
      <c r="O21" s="187"/>
      <c r="T21" s="1">
        <f>25973-12973</f>
        <v>13000</v>
      </c>
      <c r="U21" s="186">
        <f>M14+N7</f>
        <v>2348.5073892575001</v>
      </c>
    </row>
    <row r="22" spans="1:23" s="179" customFormat="1" ht="24.6" x14ac:dyDescent="0.4">
      <c r="A22" s="185"/>
      <c r="B22" s="184" t="s">
        <v>51</v>
      </c>
      <c r="C22" s="183"/>
      <c r="D22" s="183"/>
      <c r="E22" s="183"/>
      <c r="F22" s="183"/>
      <c r="G22" s="183"/>
      <c r="H22" s="183"/>
      <c r="I22" s="183"/>
      <c r="J22" s="183"/>
      <c r="K22" s="183"/>
      <c r="L22" s="183"/>
      <c r="M22" s="183"/>
      <c r="N22" s="182"/>
      <c r="O22" s="181"/>
      <c r="P22" s="180"/>
    </row>
    <row r="23" spans="1:23" s="168" customFormat="1" ht="26.4" x14ac:dyDescent="0.5">
      <c r="A23" s="175" t="s">
        <v>36</v>
      </c>
      <c r="B23" s="172" t="s">
        <v>138</v>
      </c>
      <c r="C23" s="169"/>
      <c r="D23" s="169"/>
      <c r="E23" s="169"/>
      <c r="F23" s="169"/>
      <c r="G23" s="169"/>
      <c r="H23" s="176"/>
      <c r="I23" s="176"/>
      <c r="J23" s="169"/>
      <c r="K23" s="169"/>
      <c r="L23" s="169"/>
      <c r="M23" s="169"/>
      <c r="N23" s="178"/>
      <c r="O23" s="170"/>
      <c r="P23" s="169"/>
    </row>
    <row r="24" spans="1:23" s="168" customFormat="1" ht="26.4" x14ac:dyDescent="0.5">
      <c r="A24" s="175" t="s">
        <v>36</v>
      </c>
      <c r="B24" s="172" t="s">
        <v>137</v>
      </c>
      <c r="C24" s="169"/>
      <c r="D24" s="169"/>
      <c r="E24" s="169"/>
      <c r="F24" s="169"/>
      <c r="G24" s="169"/>
      <c r="H24" s="177">
        <f>H7/365</f>
        <v>50.843673013698634</v>
      </c>
      <c r="I24" s="177">
        <f>H7+H12+H16</f>
        <v>19937.374157300001</v>
      </c>
      <c r="J24" s="169"/>
      <c r="K24" s="169"/>
      <c r="L24" s="169"/>
      <c r="M24" s="169"/>
      <c r="N24" s="173"/>
      <c r="O24" s="170"/>
      <c r="P24" s="169">
        <f>1232+480</f>
        <v>1712</v>
      </c>
      <c r="T24" s="168">
        <f>88704/1.05</f>
        <v>84480</v>
      </c>
    </row>
    <row r="25" spans="1:23" s="168" customFormat="1" ht="26.4" x14ac:dyDescent="0.5">
      <c r="A25" s="175" t="s">
        <v>36</v>
      </c>
      <c r="B25" s="172" t="s">
        <v>136</v>
      </c>
      <c r="C25" s="169"/>
      <c r="D25" s="169"/>
      <c r="E25" s="169"/>
      <c r="F25" s="169"/>
      <c r="G25" s="169"/>
      <c r="H25" s="176"/>
      <c r="I25" s="176"/>
      <c r="J25" s="169"/>
      <c r="K25" s="169"/>
      <c r="L25" s="169"/>
      <c r="M25" s="169"/>
      <c r="N25" s="173"/>
      <c r="O25" s="170"/>
      <c r="P25" s="169"/>
      <c r="Q25" s="168">
        <f>79400-5233.33</f>
        <v>74166.67</v>
      </c>
      <c r="R25" s="168">
        <f>Q25*1.05</f>
        <v>77875.003500000006</v>
      </c>
      <c r="W25" s="168">
        <f>1999+1224</f>
        <v>3223</v>
      </c>
    </row>
    <row r="26" spans="1:23" s="168" customFormat="1" ht="26.4" x14ac:dyDescent="0.5">
      <c r="A26" s="175" t="s">
        <v>36</v>
      </c>
      <c r="B26" s="172" t="s">
        <v>135</v>
      </c>
      <c r="C26" s="169"/>
      <c r="D26" s="169"/>
      <c r="E26" s="169"/>
      <c r="F26" s="169"/>
      <c r="G26" s="169"/>
      <c r="H26" s="169"/>
      <c r="I26" s="169"/>
      <c r="J26" s="169"/>
      <c r="K26" s="169"/>
      <c r="L26" s="169"/>
      <c r="M26" s="169"/>
      <c r="N26" s="173"/>
      <c r="O26" s="170" t="s">
        <v>37</v>
      </c>
      <c r="P26" s="169"/>
      <c r="R26" s="168">
        <f>R25+2469</f>
        <v>80344.003500000006</v>
      </c>
    </row>
    <row r="27" spans="1:23" s="168" customFormat="1" ht="26.4" x14ac:dyDescent="0.5">
      <c r="A27" s="175" t="s">
        <v>36</v>
      </c>
      <c r="B27" s="172" t="s">
        <v>134</v>
      </c>
      <c r="C27" s="169"/>
      <c r="D27" s="169"/>
      <c r="E27" s="169"/>
      <c r="F27" s="169"/>
      <c r="G27" s="169"/>
      <c r="H27" s="169"/>
      <c r="I27" s="169"/>
      <c r="J27" s="169"/>
      <c r="K27" s="169"/>
      <c r="L27" s="169"/>
      <c r="M27" s="169"/>
      <c r="N27" s="173"/>
      <c r="O27" s="170">
        <f>129500-110900</f>
        <v>18600</v>
      </c>
      <c r="P27" s="169"/>
      <c r="W27" s="174">
        <f>N7+L14</f>
        <v>3105.5167182720834</v>
      </c>
    </row>
    <row r="28" spans="1:23" s="168" customFormat="1" ht="26.4" x14ac:dyDescent="0.5">
      <c r="B28" s="172" t="s">
        <v>133</v>
      </c>
      <c r="C28" s="169"/>
      <c r="D28" s="169"/>
      <c r="E28" s="169"/>
      <c r="F28" s="169"/>
      <c r="G28" s="169"/>
      <c r="H28" s="169"/>
      <c r="I28" s="169"/>
      <c r="J28" s="169"/>
      <c r="K28" s="169"/>
      <c r="L28" s="169"/>
      <c r="M28" s="169"/>
      <c r="N28" s="173"/>
      <c r="O28" s="170">
        <f>85000-69900</f>
        <v>15100</v>
      </c>
      <c r="P28" s="169"/>
    </row>
    <row r="29" spans="1:23" s="168" customFormat="1" ht="26.4" x14ac:dyDescent="0.5">
      <c r="B29" s="172" t="s">
        <v>132</v>
      </c>
      <c r="C29" s="169"/>
      <c r="D29" s="169"/>
      <c r="E29" s="169"/>
      <c r="F29" s="169"/>
      <c r="G29" s="169"/>
      <c r="H29" s="169"/>
      <c r="I29" s="169"/>
      <c r="J29" s="169"/>
      <c r="K29" s="169"/>
      <c r="L29" s="169"/>
      <c r="M29" s="169"/>
      <c r="N29" s="171"/>
      <c r="O29" s="170"/>
      <c r="P29" s="169"/>
    </row>
    <row r="30" spans="1:23" x14ac:dyDescent="0.3">
      <c r="B30" s="167" t="s">
        <v>38</v>
      </c>
      <c r="C30" s="166"/>
      <c r="D30" s="166"/>
      <c r="E30" s="166"/>
      <c r="F30" s="166"/>
      <c r="G30" s="166"/>
      <c r="H30" s="166"/>
      <c r="I30" s="166"/>
      <c r="J30" s="166"/>
      <c r="K30" s="166"/>
      <c r="L30" s="166"/>
      <c r="M30" s="166"/>
      <c r="N30" s="165"/>
      <c r="O30" s="147"/>
    </row>
    <row r="31" spans="1:23" x14ac:dyDescent="0.3">
      <c r="B31" s="146"/>
      <c r="C31" s="145"/>
      <c r="D31" s="145"/>
      <c r="E31" s="145"/>
      <c r="F31" s="145"/>
      <c r="G31" s="145"/>
      <c r="H31" s="145"/>
      <c r="I31" s="145"/>
      <c r="J31" s="145"/>
      <c r="K31" s="145"/>
      <c r="L31" s="145"/>
      <c r="M31" s="145"/>
      <c r="N31" s="144"/>
      <c r="O31" s="147"/>
    </row>
    <row r="32" spans="1:23" s="86" customFormat="1" ht="20.399999999999999" x14ac:dyDescent="0.35">
      <c r="B32" s="118" t="s">
        <v>39</v>
      </c>
      <c r="C32" s="119"/>
      <c r="D32" s="119"/>
      <c r="E32" s="119"/>
      <c r="F32" s="119"/>
      <c r="G32" s="119"/>
      <c r="H32" s="119"/>
      <c r="I32" s="119"/>
      <c r="J32" s="119"/>
      <c r="K32" s="119"/>
      <c r="L32" s="119"/>
      <c r="M32" s="119"/>
      <c r="N32" s="120"/>
      <c r="O32" s="92"/>
      <c r="P32" s="83"/>
    </row>
    <row r="33" spans="2:16" s="86" customFormat="1" ht="20.399999999999999" x14ac:dyDescent="0.35">
      <c r="B33" s="118" t="s">
        <v>40</v>
      </c>
      <c r="C33" s="119"/>
      <c r="D33" s="119"/>
      <c r="E33" s="119"/>
      <c r="F33" s="119"/>
      <c r="G33" s="119"/>
      <c r="H33" s="119"/>
      <c r="I33" s="119"/>
      <c r="J33" s="119"/>
      <c r="K33" s="119"/>
      <c r="L33" s="119"/>
      <c r="M33" s="119"/>
      <c r="N33" s="120"/>
      <c r="O33" s="92"/>
      <c r="P33" s="83"/>
    </row>
    <row r="34" spans="2:16" s="86" customFormat="1" ht="20.399999999999999" x14ac:dyDescent="0.35">
      <c r="B34" s="107" t="s">
        <v>131</v>
      </c>
      <c r="C34" s="108"/>
      <c r="D34" s="108"/>
      <c r="E34" s="108"/>
      <c r="F34" s="108"/>
      <c r="G34" s="164" t="s">
        <v>130</v>
      </c>
      <c r="H34" s="164"/>
      <c r="I34" s="163"/>
      <c r="J34" s="163"/>
      <c r="K34" s="163"/>
      <c r="L34" s="163"/>
      <c r="M34" s="162" t="s">
        <v>129</v>
      </c>
      <c r="N34" s="161"/>
      <c r="O34" s="83"/>
      <c r="P34" s="83"/>
    </row>
    <row r="35" spans="2:16" x14ac:dyDescent="0.3">
      <c r="B35" s="160"/>
      <c r="C35" s="159"/>
      <c r="D35" s="159"/>
      <c r="E35" s="159"/>
      <c r="F35" s="159"/>
      <c r="G35" s="159"/>
      <c r="H35" s="159"/>
      <c r="I35" s="159"/>
      <c r="J35" s="159"/>
      <c r="K35" s="159"/>
      <c r="L35" s="159"/>
      <c r="M35" s="159"/>
      <c r="N35" s="158"/>
    </row>
    <row r="36" spans="2:16" x14ac:dyDescent="0.3">
      <c r="B36" s="160"/>
      <c r="C36" s="159"/>
      <c r="D36" s="159"/>
      <c r="E36" s="159"/>
      <c r="F36" s="159"/>
      <c r="G36" s="159"/>
      <c r="H36" s="159"/>
      <c r="I36" s="159"/>
      <c r="J36" s="159"/>
      <c r="K36" s="159"/>
      <c r="L36" s="159"/>
      <c r="M36" s="159"/>
      <c r="N36" s="158"/>
    </row>
    <row r="37" spans="2:16" x14ac:dyDescent="0.3">
      <c r="B37" s="160"/>
      <c r="C37" s="159"/>
      <c r="D37" s="159"/>
      <c r="E37" s="159"/>
      <c r="F37" s="159"/>
      <c r="G37" s="159"/>
      <c r="H37" s="159"/>
      <c r="I37" s="159"/>
      <c r="J37" s="159"/>
      <c r="K37" s="159"/>
      <c r="L37" s="159"/>
      <c r="M37" s="159"/>
      <c r="N37" s="158"/>
    </row>
    <row r="38" spans="2:16" ht="16.8" x14ac:dyDescent="0.3">
      <c r="B38" s="149" t="s">
        <v>128</v>
      </c>
      <c r="C38" s="157"/>
      <c r="D38" s="154"/>
      <c r="E38" s="151"/>
      <c r="F38" s="151"/>
      <c r="G38" s="151"/>
      <c r="H38" s="151"/>
      <c r="I38" s="151"/>
      <c r="J38" s="152"/>
      <c r="K38" s="151"/>
      <c r="L38" s="151"/>
      <c r="M38" s="151"/>
      <c r="N38" s="156"/>
    </row>
    <row r="39" spans="2:16" ht="16.8" x14ac:dyDescent="0.3">
      <c r="B39" s="149" t="s">
        <v>127</v>
      </c>
      <c r="C39" s="155"/>
      <c r="D39" s="154"/>
      <c r="E39" s="151"/>
      <c r="F39" s="151"/>
      <c r="G39" s="151"/>
      <c r="H39" s="151"/>
      <c r="I39" s="151"/>
      <c r="J39" s="152"/>
      <c r="K39" s="151"/>
      <c r="L39" s="151"/>
      <c r="M39" s="151"/>
      <c r="N39" s="150"/>
    </row>
    <row r="40" spans="2:16" ht="16.8" x14ac:dyDescent="0.3">
      <c r="B40" s="149" t="s">
        <v>126</v>
      </c>
      <c r="C40" s="153"/>
      <c r="D40" s="151"/>
      <c r="E40" s="151"/>
      <c r="F40" s="151"/>
      <c r="G40" s="151"/>
      <c r="H40" s="151"/>
      <c r="I40" s="151"/>
      <c r="J40" s="152"/>
      <c r="K40" s="151"/>
      <c r="L40" s="151"/>
      <c r="M40" s="151"/>
      <c r="N40" s="150"/>
    </row>
    <row r="41" spans="2:16" ht="16.8" x14ac:dyDescent="0.3">
      <c r="B41" s="149" t="s">
        <v>125</v>
      </c>
      <c r="N41" s="148"/>
    </row>
    <row r="42" spans="2:16" ht="16.8" x14ac:dyDescent="0.3">
      <c r="B42" s="149" t="s">
        <v>124</v>
      </c>
      <c r="N42" s="148"/>
    </row>
    <row r="43" spans="2:16" ht="16.8" x14ac:dyDescent="0.3">
      <c r="B43" s="149" t="s">
        <v>123</v>
      </c>
      <c r="N43" s="148"/>
    </row>
    <row r="44" spans="2:16" ht="16.8" x14ac:dyDescent="0.3">
      <c r="B44" s="149" t="s">
        <v>122</v>
      </c>
      <c r="N44" s="148"/>
    </row>
    <row r="45" spans="2:16" ht="16.8" x14ac:dyDescent="0.3">
      <c r="B45" s="149" t="s">
        <v>121</v>
      </c>
      <c r="N45" s="148"/>
    </row>
    <row r="46" spans="2:16" ht="16.8" x14ac:dyDescent="0.3">
      <c r="B46" s="149" t="s">
        <v>120</v>
      </c>
      <c r="N46" s="148"/>
    </row>
    <row r="47" spans="2:16" x14ac:dyDescent="0.3">
      <c r="B47" s="146" t="s">
        <v>39</v>
      </c>
      <c r="C47" s="145"/>
      <c r="D47" s="145"/>
      <c r="E47" s="145"/>
      <c r="F47" s="145"/>
      <c r="G47" s="145"/>
      <c r="H47" s="145"/>
      <c r="I47" s="145"/>
      <c r="J47" s="145"/>
      <c r="K47" s="145"/>
      <c r="L47" s="145"/>
      <c r="M47" s="145"/>
      <c r="N47" s="144"/>
      <c r="O47" s="147"/>
    </row>
    <row r="48" spans="2:16" x14ac:dyDescent="0.3">
      <c r="B48" s="146" t="s">
        <v>40</v>
      </c>
      <c r="C48" s="145"/>
      <c r="D48" s="145"/>
      <c r="E48" s="145"/>
      <c r="F48" s="145"/>
      <c r="G48" s="145"/>
      <c r="H48" s="145"/>
      <c r="I48" s="145"/>
      <c r="J48" s="145"/>
      <c r="K48" s="145"/>
      <c r="L48" s="145"/>
      <c r="M48" s="145"/>
      <c r="N48" s="144"/>
      <c r="O48" s="147"/>
    </row>
    <row r="49" spans="2:14" x14ac:dyDescent="0.3">
      <c r="B49" s="146" t="s">
        <v>119</v>
      </c>
      <c r="C49" s="145"/>
      <c r="D49" s="145"/>
      <c r="E49" s="145"/>
      <c r="F49" s="145"/>
      <c r="G49" s="145"/>
      <c r="H49" s="145"/>
      <c r="I49" s="145"/>
      <c r="J49" s="145"/>
      <c r="K49" s="145"/>
      <c r="L49" s="145"/>
      <c r="M49" s="145"/>
      <c r="N49" s="144"/>
    </row>
    <row r="50" spans="2:14" ht="25.8" x14ac:dyDescent="0.3">
      <c r="C50" s="15" t="s">
        <v>41</v>
      </c>
    </row>
    <row r="51" spans="2:14" ht="25.8" x14ac:dyDescent="0.3">
      <c r="C51" s="15" t="s">
        <v>42</v>
      </c>
    </row>
    <row r="52" spans="2:14" ht="25.8" x14ac:dyDescent="0.3">
      <c r="C52" s="15" t="s">
        <v>43</v>
      </c>
    </row>
    <row r="53" spans="2:14" ht="25.8" x14ac:dyDescent="0.3">
      <c r="C53" s="15" t="s">
        <v>44</v>
      </c>
    </row>
    <row r="54" spans="2:14" ht="25.8" x14ac:dyDescent="0.3">
      <c r="C54" s="15" t="s">
        <v>45</v>
      </c>
    </row>
  </sheetData>
  <dataConsolidate/>
  <mergeCells count="11">
    <mergeCell ref="F8:G8"/>
    <mergeCell ref="F9:G9"/>
    <mergeCell ref="G19:I19"/>
    <mergeCell ref="B22:N22"/>
    <mergeCell ref="B30:N30"/>
    <mergeCell ref="B32:N32"/>
    <mergeCell ref="B33:N33"/>
    <mergeCell ref="B47:N47"/>
    <mergeCell ref="B48:N48"/>
    <mergeCell ref="B49:N49"/>
    <mergeCell ref="B31:N31"/>
  </mergeCells>
  <dataValidations count="11">
    <dataValidation type="list" allowBlank="1" showInputMessage="1" showErrorMessage="1" sqref="H34" xr:uid="{BE9AFA1D-DF53-4499-93C3-A2A64811A3C7}">
      <formula1>"ALAA HAMMAD,KHALED QASSEM,RAMY RAOUF,SIMON LOBO,MHAREN CLEMENTE GARADO"</formula1>
    </dataValidation>
    <dataValidation type="list" allowBlank="1" showInputMessage="1" showErrorMessage="1" sqref="M34" xr:uid="{F6AABF43-720C-4984-8F76-FD87651E7601}">
      <formula1>"Alaa Hammad,Bachir Ibrahim Mourad,Khaled Qassem,Ramy Raoof,Simon Lobo,Mharen Clemente Garado,Ranjith"</formula1>
    </dataValidation>
    <dataValidation type="list" allowBlank="1" showInputMessage="1" showErrorMessage="1" sqref="B11" xr:uid="{BDA0A70C-D4BB-4AAA-8DCE-5297FF97C99D}">
      <formula1>"FO Ceramic+ Intr&amp;Extr CeramicGold WdwTnt,FO Mirror Camera Sensor"</formula1>
    </dataValidation>
    <dataValidation type="list" allowBlank="1" showInputMessage="1" showErrorMessage="1" sqref="B12" xr:uid="{68F60167-D1DF-4F62-96A1-E753023BEC47}">
      <formula1>"FO Exterior ceramic All Cars SCOTCHGUARD,FO Mirror Camera Sensor,FO PPF Gold Package "</formula1>
    </dataValidation>
    <dataValidation type="list" allowBlank="1" showInputMessage="1" showErrorMessage="1" sqref="K20" xr:uid="{A5F68580-D5A6-43E0-AD1B-D07F1E7835B7}">
      <formula1>"Esaad,Emirates Platinum,Fazaa,Humat Alwatan,Permissible,ASX,XPMLP,XP,MON,MON G57,OUT,F08,P08,F06,P06,F03,F03-1,P03,EC,G37,G38,G40,G43"</formula1>
    </dataValidation>
    <dataValidation type="list" allowBlank="1" showInputMessage="1" showErrorMessage="1" sqref="B16" xr:uid="{3FEAB03E-6F03-4A25-B8C3-CF46F950E5F4}">
      <formula1>"RMC-10-40KMS,RMC-10-60KMS,RMC-10-70KMS,RMC-10-100000KMS,RMC-40-70KMS,RMC-40-100000KMS"</formula1>
    </dataValidation>
    <dataValidation type="list" allowBlank="1" showInputMessage="1" showErrorMessage="1" sqref="K24" xr:uid="{167F7E71-B9F0-4FCA-9CC3-DE9D5FF3811D}">
      <formula1>"RMC-10-70K,RMC-10-100000K,RMC-40-70K"</formula1>
    </dataValidation>
    <dataValidation type="list" allowBlank="1" showInputMessage="1" showErrorMessage="1" sqref="D5" xr:uid="{4F0A3AC8-DE88-4C14-BE48-429FA7358BC3}">
      <formula1>"MIG09,MIG10,H16,P16,H17,H48,H43,H40,H42,H44,H45,H38,H37,EH40,EH43,ML,HL,PR, MLP,HLP,PRP,XPML,XPHL,XPMLP, XPMLP-01,XC, G10,P10, G03, P03, G06,P06,G12,P12,G05,P05,G08,P08,G09,P09,H57,P57,H64,H59,P59,H61,P61"</formula1>
    </dataValidation>
    <dataValidation type="list" allowBlank="1" showInputMessage="1" showErrorMessage="1" sqref="M21" xr:uid="{AA181F34-6C14-4BCC-8B47-356EBB3D98F0}">
      <formula1>"3000-4999,5000-9999,5000-99999,10000-14999,15000-24999,25000-34999,35000-99999,5000-11999,12000-19999,20000-39999,40000-69999,70000-99999"</formula1>
    </dataValidation>
    <dataValidation type="list" allowBlank="1" showInputMessage="1" showErrorMessage="1" sqref="C10:C16 L20 L24:L25 G14:G15 J10" xr:uid="{2A27C523-D474-43F0-AA3C-969AE39A1C02}">
      <formula1>"YES,NO"</formula1>
    </dataValidation>
    <dataValidation type="list" allowBlank="1" showInputMessage="1" showErrorMessage="1" sqref="K21" xr:uid="{3862C3DC-1891-4B22-8D66-90269915637E}">
      <formula1>"ADCB,ADCB PAY IN 2027,Ajman Bank,ADIB,DIB EXPAT,DIB LOCAL GVH,Emirates NBD,EIB,FAB,RAK,SIB STL,SIB NON STL"</formula1>
    </dataValidation>
  </dataValidations>
  <pageMargins left="0.23622047244094491" right="0.23622047244094491" top="0.74803149606299213" bottom="0.74803149606299213" header="0.31496062992125984" footer="0.31496062992125984"/>
  <pageSetup paperSize="9" scale="40" orientation="landscape" horizontalDpi="4294967295" verticalDpi="4294967295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7ADBF-7E21-451F-8148-853608AF9C4C}">
  <sheetPr>
    <pageSetUpPr fitToPage="1"/>
  </sheetPr>
  <dimension ref="A1:AA54"/>
  <sheetViews>
    <sheetView topLeftCell="U1" zoomScaleNormal="100" workbookViewId="0">
      <selection activeCell="D5" sqref="D5"/>
    </sheetView>
  </sheetViews>
  <sheetFormatPr defaultColWidth="9.109375" defaultRowHeight="15.6" x14ac:dyDescent="0.3"/>
  <cols>
    <col min="1" max="1" width="16" style="1" hidden="1" customWidth="1"/>
    <col min="2" max="2" width="75.109375" style="2" customWidth="1"/>
    <col min="3" max="3" width="26.88671875" style="3" customWidth="1"/>
    <col min="4" max="4" width="23.88671875" style="2" customWidth="1"/>
    <col min="5" max="5" width="23.33203125" style="2" customWidth="1"/>
    <col min="6" max="6" width="19.88671875" style="2" customWidth="1"/>
    <col min="7" max="7" width="23.33203125" style="2" customWidth="1"/>
    <col min="8" max="8" width="24.44140625" style="2" customWidth="1"/>
    <col min="9" max="9" width="27.109375" style="2" customWidth="1"/>
    <col min="10" max="10" width="26.6640625" style="2" customWidth="1"/>
    <col min="11" max="11" width="25.44140625" style="2" customWidth="1"/>
    <col min="12" max="12" width="20.5546875" style="2" customWidth="1"/>
    <col min="13" max="13" width="20.109375" style="2" customWidth="1"/>
    <col min="14" max="14" width="19.5546875" style="2" customWidth="1"/>
    <col min="15" max="15" width="15.109375" style="2" bestFit="1" customWidth="1"/>
    <col min="16" max="16" width="12.6640625" style="2" hidden="1" customWidth="1"/>
    <col min="17" max="17" width="12.6640625" style="1" hidden="1" customWidth="1"/>
    <col min="18" max="18" width="15.6640625" style="1" hidden="1" customWidth="1"/>
    <col min="19" max="19" width="13" style="1" hidden="1" customWidth="1"/>
    <col min="20" max="20" width="17.109375" style="1" hidden="1" customWidth="1"/>
    <col min="21" max="21" width="14.5546875" style="1" bestFit="1" customWidth="1"/>
    <col min="22" max="22" width="19" style="1" customWidth="1"/>
    <col min="23" max="23" width="22.5546875" style="1" bestFit="1" customWidth="1"/>
    <col min="24" max="25" width="9.109375" style="1"/>
    <col min="26" max="26" width="14" style="1" bestFit="1" customWidth="1"/>
    <col min="27" max="27" width="22.33203125" style="1" bestFit="1" customWidth="1"/>
    <col min="28" max="16384" width="9.109375" style="1"/>
  </cols>
  <sheetData>
    <row r="1" spans="1:27" ht="15.75" customHeight="1" x14ac:dyDescent="0.3">
      <c r="B1" s="222" t="s">
        <v>148</v>
      </c>
      <c r="C1" s="221"/>
      <c r="D1" s="221"/>
      <c r="E1" s="221"/>
      <c r="F1" s="221"/>
      <c r="G1" s="221"/>
      <c r="H1" s="221"/>
      <c r="I1" s="221"/>
      <c r="J1" s="221"/>
      <c r="K1" s="221"/>
      <c r="L1" s="221"/>
      <c r="M1" s="221"/>
      <c r="N1" s="220"/>
    </row>
    <row r="2" spans="1:27" ht="15.75" customHeight="1" x14ac:dyDescent="0.3">
      <c r="B2" s="219" t="s">
        <v>147</v>
      </c>
      <c r="C2" s="218"/>
      <c r="D2" s="218"/>
      <c r="E2" s="218"/>
      <c r="F2" s="218"/>
      <c r="G2" s="218"/>
      <c r="H2" s="218"/>
      <c r="I2" s="218"/>
      <c r="J2" s="218"/>
      <c r="K2" s="218"/>
      <c r="L2" s="218"/>
      <c r="M2" s="218"/>
      <c r="N2" s="217"/>
      <c r="Q2" s="2"/>
      <c r="S2" s="186"/>
    </row>
    <row r="3" spans="1:27" ht="15.75" customHeight="1" x14ac:dyDescent="0.3">
      <c r="B3" s="219" t="s">
        <v>146</v>
      </c>
      <c r="C3" s="218"/>
      <c r="D3" s="218"/>
      <c r="E3" s="218"/>
      <c r="F3" s="218"/>
      <c r="G3" s="218"/>
      <c r="H3" s="218"/>
      <c r="I3" s="218"/>
      <c r="J3" s="218"/>
      <c r="K3" s="218"/>
      <c r="L3" s="218"/>
      <c r="M3" s="218"/>
      <c r="N3" s="217"/>
      <c r="O3" s="3"/>
      <c r="P3" s="3"/>
      <c r="Q3" s="153"/>
      <c r="R3" s="153"/>
      <c r="S3" s="216" t="e">
        <f>N7+J14</f>
        <v>#VALUE!</v>
      </c>
      <c r="T3" s="216"/>
      <c r="U3" s="153"/>
      <c r="V3" s="153"/>
      <c r="W3" s="153"/>
      <c r="AA3" s="1">
        <f>273000/5</f>
        <v>54600</v>
      </c>
    </row>
    <row r="4" spans="1:27" ht="15.75" customHeight="1" x14ac:dyDescent="0.3">
      <c r="B4" s="215"/>
      <c r="C4" s="214"/>
      <c r="D4" s="214"/>
      <c r="E4" s="214"/>
      <c r="F4" s="214"/>
      <c r="G4" s="214"/>
      <c r="H4" s="214"/>
      <c r="I4" s="214"/>
      <c r="J4" s="214"/>
      <c r="K4" s="214"/>
      <c r="L4" s="214"/>
      <c r="M4" s="214"/>
      <c r="N4" s="213"/>
      <c r="O4" s="212" t="s">
        <v>0</v>
      </c>
      <c r="P4" s="212"/>
      <c r="Q4" s="210"/>
      <c r="R4" s="210"/>
      <c r="S4" s="211"/>
      <c r="T4" s="211"/>
      <c r="U4" s="210" t="s">
        <v>1</v>
      </c>
      <c r="V4" s="210" t="s">
        <v>2</v>
      </c>
      <c r="W4" s="210" t="s">
        <v>3</v>
      </c>
    </row>
    <row r="5" spans="1:27" ht="25.2" thickBot="1" x14ac:dyDescent="0.45">
      <c r="B5" s="17"/>
      <c r="C5" s="18" t="str">
        <f>IF(D5="MIG09","Mirage G09",IF(D5="MIG10","MirageG10",IF(D5="H16","Attrage H16",IF(D5="P16","Attrage P16",IF(D5="H17","Attrage H17",IF(D5="H48","ASX H48",IF(D5="H43","ASX H43",IF(D5="H40","ASX H40",IF(D5="H42","ASX H42",IF(D5="H44","ASX H44",IF(D5="H45","ASX H45",IF(D5="H38","Eclipse H38",IF(D5="H37","Eclipse H37",IF(D5="EH40","Eclipse H40",IF(D5="EH43","Eclipse H43",IF(D5="XPML","Xpander ML",IF(D5="ML","Destinator ML",IF(D5="HL","Destinator HL",IF(D5="PR","Destinator PR",IF(D5="MLP","Destinator MLP",IF(D5="HLP","Destinator HLP",IF(D5="PRP","Destinator PRP",IF(D5="XPHL","Xpander HL",IF(D5="XPMLP","Xpander ML P",IF(D5="XPMLP-01","Xpander ML P-01",IF(D5="XC","Xpander Cross",IF(D5="G03","Outlander G03",IF(D5="P03","Outlander P03",IF(D5="G06","Outlander G06",IF(D5="P06","Outlander P06",IF(D5="OTP06-01","Outlander P06-01",IF(D5="G08","Outlander G08",IF(D5="P08","Outlander P08",IF(D5="H57","Montero H57",IF(D5="P57","Montero P57",IF(D5="H64","Montero G64",IF(D5="H59","Montero G59",IF(D5="P59","Montero G59 P",IF(D5="H61","Montero G61",IF(D5="P61","Montero P61",IF(D5="G10","Outlander G10",IF(D5="P10","Outlander P10",IF(D5="G12","Outlander G12",IF(D5="P12","Outlander P12",IF(D5="G05","Outlander G05",IF(D5="P05","Outlander P05",IF(D5="G09","Outlander G09",IF(D5="P09","Outlander P09",))))))))))))))))))))))))))))))))))))))))))))))))</f>
        <v>ASX H40</v>
      </c>
      <c r="D5" s="19" t="s">
        <v>182</v>
      </c>
      <c r="E5" s="20" t="s">
        <v>145</v>
      </c>
      <c r="F5" s="37"/>
      <c r="G5" s="37"/>
      <c r="H5" s="37"/>
      <c r="I5" s="20"/>
      <c r="J5" s="34"/>
      <c r="K5" s="209">
        <v>0</v>
      </c>
      <c r="L5" s="208">
        <v>3.39E-2</v>
      </c>
      <c r="M5" s="208">
        <v>6.7799999999999999E-2</v>
      </c>
      <c r="N5" s="208">
        <v>0.1017</v>
      </c>
      <c r="O5" s="147">
        <f>K7+K14</f>
        <v>9742.1768318783325</v>
      </c>
      <c r="S5" s="186"/>
      <c r="U5" s="186">
        <f>L7+L14</f>
        <v>4022.2062739234721</v>
      </c>
      <c r="V5" s="186">
        <f>M7+M14</f>
        <v>2719.946894415833</v>
      </c>
      <c r="W5" s="186">
        <f>N7+N14</f>
        <v>1912.0027017012499</v>
      </c>
    </row>
    <row r="6" spans="1:27" s="5" customFormat="1" ht="99" thickBot="1" x14ac:dyDescent="0.35">
      <c r="A6" s="4" t="s">
        <v>4</v>
      </c>
      <c r="B6" s="26" t="s">
        <v>5</v>
      </c>
      <c r="C6" s="27" t="s">
        <v>6</v>
      </c>
      <c r="D6" s="27" t="s">
        <v>144</v>
      </c>
      <c r="E6" s="27" t="s">
        <v>7</v>
      </c>
      <c r="F6" s="27" t="s">
        <v>8</v>
      </c>
      <c r="G6" s="28" t="s">
        <v>9</v>
      </c>
      <c r="H6" s="28" t="s">
        <v>143</v>
      </c>
      <c r="I6" s="28" t="s">
        <v>10</v>
      </c>
      <c r="J6" s="28" t="s">
        <v>142</v>
      </c>
      <c r="K6" s="28" t="s">
        <v>11</v>
      </c>
      <c r="L6" s="28" t="s">
        <v>12</v>
      </c>
      <c r="M6" s="28" t="s">
        <v>13</v>
      </c>
      <c r="N6" s="28" t="s">
        <v>14</v>
      </c>
      <c r="O6" s="207"/>
      <c r="P6" s="206"/>
      <c r="T6" s="205"/>
      <c r="U6" s="205">
        <f>N7+L14</f>
        <v>3178.1248450345829</v>
      </c>
      <c r="V6" s="205">
        <f>N7+K14</f>
        <v>7842.9936168783324</v>
      </c>
      <c r="W6" s="205" t="e">
        <f>N7+J14</f>
        <v>#VALUE!</v>
      </c>
    </row>
    <row r="7" spans="1:27" ht="25.2" thickBot="1" x14ac:dyDescent="0.45">
      <c r="A7" s="6">
        <f>B8</f>
        <v>72900</v>
      </c>
      <c r="B7" s="29">
        <f>IF(L20="YES",C8*1,IF(L20="NO",B8*1))</f>
        <v>72900</v>
      </c>
      <c r="C7" s="29">
        <f>B7*5/100</f>
        <v>3645</v>
      </c>
      <c r="D7" s="203">
        <f>B7+C7</f>
        <v>76545</v>
      </c>
      <c r="E7" s="29">
        <f>D17</f>
        <v>17849.160749999999</v>
      </c>
      <c r="F7" s="29">
        <f>(C7)+(D10+D11+D12+D13+D16)*5/100</f>
        <v>4210</v>
      </c>
      <c r="G7" s="30">
        <f>B7+E7+F7</f>
        <v>94959.160749999995</v>
      </c>
      <c r="H7" s="29">
        <f>G7*D20</f>
        <v>18991.832149999998</v>
      </c>
      <c r="I7" s="30">
        <f>(G7-H7)</f>
        <v>75967.328599999993</v>
      </c>
      <c r="J7" s="30">
        <f>(((I7*D19)*1)+I7)/12</f>
        <v>6576.8714735450003</v>
      </c>
      <c r="K7" s="30">
        <f>(((I7*D19)*2)+I7)/24</f>
        <v>3411.5661152116663</v>
      </c>
      <c r="L7" s="30">
        <f>(((I7*D19)*3)+I7)/36</f>
        <v>2356.4643291005555</v>
      </c>
      <c r="M7" s="30">
        <f>(((I7*D19)*4)+I7)/48</f>
        <v>1828.9134360449998</v>
      </c>
      <c r="N7" s="30">
        <f>((((I7*D19)*5)+I7)/60)</f>
        <v>1512.3829002116665</v>
      </c>
      <c r="O7" s="147"/>
      <c r="P7" s="2">
        <f>H7+H16</f>
        <v>19789.489100299998</v>
      </c>
      <c r="T7" s="186">
        <f>25973/2</f>
        <v>12986.5</v>
      </c>
    </row>
    <row r="8" spans="1:27" ht="24.6" x14ac:dyDescent="0.4">
      <c r="A8" s="7">
        <v>0.2</v>
      </c>
      <c r="B8" s="31">
        <f>IF(D5="MIG09",39900,IF(D5="MIG10",41900,IF(D5="H16",41900,IF(D5="P16",47400,IF(D5="H17",47900,IF(D5="H48",67900,IF(D5="H43",70900,IF(D5="H40",72900,IF(D5="H42",74900,IF(D5="H44",73900,IF(D5="H45",79900,IF(D5="H38",86900,IF(D5="H37",79900,IF(D5="EH40",99900,IF(D5="EH43",106900,IF(D5="ML",71900,IF(D5="HL",83900,IF(D5="PR",95900,IF(D5="MLP",80900,IF(D5="HLP",91900,IF(D5="PRP",102900,IF(D5="XPML",69900,IF(D5="XPHL",71000,IF(D5="XPMLP",75900,IF(D5="XPMLP-01",77800,IF(D5="XC",84900,IF(D5="G10",81900,IF(D5="P10",93900,IF(D5="G12",97900,IF(D5="P12",105900,IF(D5="G05",104900,IF(D5="P05",105900,IF(D5="G03",92900,IF(D5="P03",100900,IF(D5="G06",109900,IF(D5="P06",114900,IF(D5="OTP06-01",118900,IF(D5="G08",125900,IF(D5="P08",132900,IF(D5="OTP06-01",109900,IF(D5="G09",129900,IF(D5="P09",134900,IF(D5="H57",105900,IF(D5="P57",113900,IF(D5="H64",116900,IF(D5="H59",127900,IF(D5="P59",134900,IF(D5="H61",134900,IF(D5="P61",138900)))))))))))))))))))))))))))))))))))))))))))))))))</f>
        <v>72900</v>
      </c>
      <c r="C8" s="32">
        <f>IF(L20="YES",N20,IF(L20="NO",N20))</f>
        <v>72900</v>
      </c>
      <c r="D8" s="29">
        <v>0</v>
      </c>
      <c r="E8" s="33"/>
      <c r="F8" s="139"/>
      <c r="G8" s="140"/>
      <c r="H8" s="110">
        <f>G7*20/100</f>
        <v>18991.832149999998</v>
      </c>
      <c r="I8" s="34"/>
      <c r="J8" s="34" t="s">
        <v>15</v>
      </c>
      <c r="K8" s="34">
        <f>(I7*K5+I7)/24</f>
        <v>3165.3053583333331</v>
      </c>
      <c r="L8" s="34">
        <f>(I7*L5+I7)/36</f>
        <v>2181.7394733205556</v>
      </c>
      <c r="M8" s="34">
        <f>(I7*M5+I7)/48</f>
        <v>1689.9565308141664</v>
      </c>
      <c r="N8" s="34">
        <f>(I7*N5+I7)/60</f>
        <v>1394.8867653103332</v>
      </c>
      <c r="O8" s="147">
        <v>0</v>
      </c>
      <c r="P8" s="2">
        <f>P7/12</f>
        <v>1649.1240916916665</v>
      </c>
      <c r="T8" s="1">
        <f>25973-12973</f>
        <v>13000</v>
      </c>
    </row>
    <row r="9" spans="1:27" ht="24.6" x14ac:dyDescent="0.4">
      <c r="A9" s="8">
        <f>B8/(100%-A8)</f>
        <v>91125</v>
      </c>
      <c r="B9" s="109">
        <f>B7-B8</f>
        <v>0</v>
      </c>
      <c r="C9" s="109"/>
      <c r="D9" s="36"/>
      <c r="E9" s="33"/>
      <c r="F9" s="139"/>
      <c r="G9" s="140"/>
      <c r="H9" s="33"/>
      <c r="I9" s="37" t="s">
        <v>16</v>
      </c>
      <c r="J9" s="38">
        <f>(J7*12)-I7</f>
        <v>2955.1290825400065</v>
      </c>
      <c r="K9" s="38">
        <f>(K7*24)-I7</f>
        <v>5910.2581650799984</v>
      </c>
      <c r="L9" s="38">
        <f>(L7*36)-I7</f>
        <v>8865.3872476200049</v>
      </c>
      <c r="M9" s="38">
        <f>(M7*48)-I7</f>
        <v>11820.516330159997</v>
      </c>
      <c r="N9" s="38">
        <f>(N7*60)-I7</f>
        <v>14775.645412700003</v>
      </c>
      <c r="O9" s="147"/>
      <c r="T9" s="1">
        <f>T8/12</f>
        <v>1083.3333333333333</v>
      </c>
      <c r="Z9" s="1" t="s">
        <v>86</v>
      </c>
    </row>
    <row r="10" spans="1:27" ht="24.6" x14ac:dyDescent="0.4">
      <c r="A10" s="8"/>
      <c r="B10" s="37" t="s">
        <v>141</v>
      </c>
      <c r="C10" s="20" t="s">
        <v>17</v>
      </c>
      <c r="D10" s="36">
        <f>IF(C10="YES",700,IF(C10="NO",0))</f>
        <v>0</v>
      </c>
      <c r="E10" s="39"/>
      <c r="F10" s="40"/>
      <c r="G10" s="40"/>
      <c r="H10" s="33"/>
      <c r="I10" s="44" t="s">
        <v>85</v>
      </c>
      <c r="J10" s="117" t="s">
        <v>19</v>
      </c>
      <c r="K10" s="117">
        <f>IF(J10="YES",Z10,IF(J10="NO",0))</f>
        <v>1000</v>
      </c>
      <c r="L10" s="41">
        <f>(L8*36)-I7</f>
        <v>2575.2924395400041</v>
      </c>
      <c r="M10" s="41">
        <f>(M8*48)-I7</f>
        <v>5150.5848790799937</v>
      </c>
      <c r="N10" s="41">
        <f>(N8*60)-I7</f>
        <v>7725.8773186199978</v>
      </c>
      <c r="O10" s="147">
        <f>IF(D5="XC",3690,IF(D5="XPML",3690,IF(D5="XPHL",3690,IF(D5="XPMLP",3690,IF(D5="XPMLP-01",3690,IF(D5="Xpander P",3690,IF(D5="ML",3690,IF(D5="HL",3690,IF(D5="PR",(U19*3/100+510)*1.05,IF(D5="MLP",3690,IF(D5="HLP",(U19*3/100+510)*1.05,IF(D5="PRP",(U19*3/100+510)*1.05,IF(D5="H57",(U19*2.75/100+510)*1.05,IF(D5="P57",(U19*2.75/100+510)*1.05,IF(D5="H64",(U19*2.75/100+510)*1.05,IF(D5="H59",(U19*2.75/100+510)*1.05,IF(D5="P59",(U19*2.75/100+510)*1.05,IF(D5="H61",(U19*2.75/100+510)*1.05,IF(D5="P61",(U19*2.75/100+510)*1.05,IF(D5="G03",(U19*3/100+510)*1.05,IF(D5="G10",(U19*3/100+510)*1.05,IF(D5="P10",(U19*3/100+510)*1.05,IF(D5="G12",(U19*3/100+510)*1.05,IF(D5="P12",(U19*3/100+510)*1.05,IF(D5="G05",(U19*3/100+510)*1.05,IF(D5="P05",(U19*3/100+510)*1.05,IF(D5="P03",(U19*3/100+510)*1.05,IF(D5="G06",(U19*3/100+510)*1.05,IF(D5="P06",(U19*3/100+510)*1.05,IF(D5="OTP06-01",(U19*3/100+510)*1.05,IF(D5="G08",(U19*3/100+510)*1.05,IF(D5="P08",(U19*3/100+510)*1.05,IF(D5="G09",(U19*3/100+510)*1.05,IF(D5="P09",(U19*3/100+510)*1.05,IF(D5="H38",3625,IF(D5="H37",3625,IF(D5="EH40",(U19*3/100+450)*1.05,IF(D5="EH43",(U19*3/100+450)*1.05,IF(D5="H48",3625,IF(D5="H43",3625,IF(D5="H40",3625,IF(D5="H42",3625,IF(D5="H44",3625,IF(D5="H45",3625,IF(D5="ASX HL 4WD",3625,IF(D5="H16",3625,IF(D5="H17",3625,IF(D5="P16",3625,IF(D5="Attrage S",3625,IF(D5="MIG09",3625,IF(D5="MIG10",3625,IF(D5="Xpander HL",3690))))))))))))))))))))))))))))))))))))))))))))))))))))</f>
        <v>3625</v>
      </c>
      <c r="P10" s="204"/>
      <c r="Q10" s="204">
        <f>5.25*3</f>
        <v>15.75</v>
      </c>
      <c r="Z10" s="1">
        <f>IF(D5="MIG09",1000,IF(D5="MIG10",1000,IF(D5="H16",1000,IF(D5="P16",1000,IF(D5="H17",1000,IF(D5="H48",1000,IF(D5="H43",1000,IF(D5="H40",1000,IF(D5="H42",1000,IF(D5="H44",1000,IF(D5="H45",1000,IF(D5="H38",1000,IF(D5="H37",1000,IF(D5="EH40",1000,IF(D5="EH43",1000,IF(D5="ML",1000,IF(D5="HL",1000,IF(D5="PR",1000,IF(D5="MLP",1000,IF(D5="HLP",1000,IF(D5="PRP",1000,IF(D5="XPML",1000,IF(D5="XPHL",1000,IF(D5="XPMLP",1000,IF(D5="XPMLP-01",1000,IF(D5="XC",1000,IF(D5="G10",1000,IF(D5="P10",1000,IF(D5="G12",1000,IF(D5="P12",1000,IF(D5="G05",1000,IF(D5="P05",1000,IF(D5="G03",1000,IF(D5="P03",1000,IF(D5="G06",1000,IF(D5="P06",1000,IF(D5="OTP06-01",1000,IF(D5="G08",1000,IF(D5="P08",1000,IF(D5="OTP06-01",1000,IF(D5="G09",1000,IF(D5="P09",1000,IF(D5="H57",1000,IF(D5="P57",1000,IF(D5="H64",1000,IF(D5="H59",1000,IF(D5="P59",1000,IF(D5="H61",1000,IF(D5="P61",1000)))))))))))))))))))))))))))))))))))))))))))))))))</f>
        <v>1000</v>
      </c>
    </row>
    <row r="11" spans="1:27" ht="24.6" x14ac:dyDescent="0.4">
      <c r="A11" s="8"/>
      <c r="B11" s="37" t="s">
        <v>18</v>
      </c>
      <c r="C11" s="20" t="s">
        <v>19</v>
      </c>
      <c r="D11" s="203">
        <f>IF(C11="YES",O17,IF(C11="NO",0))</f>
        <v>2700</v>
      </c>
      <c r="E11" s="39"/>
      <c r="F11" s="40"/>
      <c r="G11" s="40"/>
      <c r="H11" s="33"/>
      <c r="I11" s="33"/>
      <c r="J11" s="44" t="s">
        <v>76</v>
      </c>
      <c r="K11" s="44">
        <f>H8-K10</f>
        <v>17991.832149999998</v>
      </c>
      <c r="L11" s="37"/>
      <c r="M11" s="37"/>
      <c r="N11" s="38"/>
      <c r="O11" s="147">
        <f>IF(D5="XC",6100,IF(D5="XPML",6100,IF(D5="XPHL",6100,IF(D5="XPMLP",6100,IF(D5="XPMLP-01",6100,IF(D5="Xpander P",6100,IF(D5="ML",6600,IF(D5="HL",6600,IF(D5="PR",6600,IF(D5="MLP",6600,IF(D5="HLP",6600,IF(D5="PRP",6600,IF(D5="H57",5900,IF(D5="P57",5900,IF(D5="H64",5900,IF(D5="H59",5900,IF(D5="P59",5900,IF(D5="H61",5900,IF(D5="P61",5900,IF(D5="G03",6700,IF(D5="G10",6700,IF(D5="P10",6700,IF(D5="G12",6700,IF(D5="P12",6700,IF(D5="G05",6700,IF(D5="P05",6700,IF(D5="P03",6700,IF(D5="G06",6700,IF(D5="P06",6700,IF(D5="OTP06-01",6700,IF(D5="G08",6700,IF(D5="G09",6700,IF(D5="G08",6700,IF(D5="P08",6700,IF(D5="P09",6700,IF(D5="H37",6400,IF(D5="H38",6400,IF(D5="EH40",6400,IF(D5="EH43",6400,IF(D5="H48",6600,IF(D5="H43",6600,IF(D5="H40",6600,IF(D5="H42",6600,IF(D5="H44",6600,IF(D5="H45",6600,IF(D5="ASX HL 4WD",6600,IF(D5="H16",5400,IF(D5="H17",5400,IF(D5="P16",5400,IF(D5="Attrage S",5400,IF(D5="MIG09",5400,IF(D5="MIG10",5400,IF(D5="Xpander HL",6000)))))))))))))))))))))))))))))))))))))))))))))))))))))</f>
        <v>6600</v>
      </c>
      <c r="P11" s="147"/>
      <c r="Q11" s="147"/>
      <c r="R11" s="147"/>
      <c r="S11" s="147"/>
      <c r="T11" s="147"/>
      <c r="U11" s="147">
        <f>IF(D5="XC",4900,IF(D5="XPML",4900,IF(D5="XPHL",4900,IF(D5="XPMLP",4900,IF(D5="XPMLP-01",4900,IF(D5="Xpander P",4900,IF(D5="ML",5400,IF(D5="HL",5400,IF(D5="PR",5400,IF(D5="MLP",5400,IF(D5="HLP",5400,IF(D5="PRP",5400,IF(D5="H57",4600,IF(D5="P57",4600,IF(D5="MOG64",4600,IF(D5="H59",4600,IF(D5="P59",4600,IF(D5="H61",4600,IF(D5="P61",4600,IF(D5="G03",5500,IF(D5="P03",5500,IF(D5="G10",5500,IF(D5="P10",5500,IF(D5="G12",5500,IF(D5="P12",5500,IF(D5="G05",5500,IF(D5="P05",5500,IF(D5="G06",5500,IF(D5="P06",5500,IF(D5="OTP06-01",5500,IF(D5="F08",5500,IF(D5="P08",5500,IF(D5="G09",5500,IF(D5="P09",5500,IF(D5="H38",5200,IF(D5="H37",5200,IF(D5="EH40",5200,IF(D5="EH43",5200,IF(D5="H48",5300,IF(D5="H43",5300,IF(D5="H40",5300,IF(D5="H42",5300,IF(D5="H44",5300,IF(D5="H45",5300,IF(D5="ASX HL",5300,IF(D5="ASX P",5300,IF(D5="ASX HL 4WD",5300,IF(D5="H16",4200,IF(D5="H17",4200,IF(D5="P16",4200,IF(D5="Attrage S",4200,IF(D5="MIG09",4200,IF(D5="MIG10",4200,IF(D5="Xpander HL",4900))))))))))))))))))))))))))))))))))))))))))))))))))))))</f>
        <v>5300</v>
      </c>
      <c r="V11" s="147">
        <f>IF(D5="XC",9700,IF(D5="XPML",9700,IF(D5="XPHL",9700,IF(D5="XPMLP",9700,IF(D5="XPMLP-01",9700,IF(D5="XPMLP-01",9700,IF(D5="Xpander P",9700,IF(D5="ML",10800,IF(D5="HL",10800,IF(D5="PR",10800,IF(D5="MLP",10800,IF(D5="HLP",10800,IF(D5="PRP",10800,IF(D5="H57",9300,IF(D5="P57",9300,IF(D5="MG64",9300,IF(D5="H59",9300,IF(D5="P59",9300,IF(D5="H61",9300,IF(D5="P61",9300,IF(D5="G03",11000,IF(D5="G10",11000,IF(D5="P10",11000,IF(D5="G12",11000,IF(D5="P12",11000,IF(D5="G05",11000,IF(D5="P05",11000,IF(D5="P03",11000,IF(D5="G06",11000,IF(D5="P06",11000,IF(D5="OTP06-01",11000,IF(D5="G08",11000,IF(D5="P08",11000,IF(D5="G09",11000,IF(D5="P09",11000,IF(D5="H38",10400,IF(D5="H37",10400,IF(D5="EH40",10400,IF(D5="EH43",10400,IF(D5="H48",10700,IF(D5="H43",10700,IF(D5="H40",10700,IF(D5="H42",10700,IF(D5="H44",10800,IF(D5="H45",10800,IF(D5="ASX HL",12200,IF(D5="ASX P",12200,IF(D5="ASX HL 4WD",12200,IF(D5="H16",8500,IF(D5="H17",8500,IF(D5="P16",8500,IF(D5="Attrage S",9600,IF(D5="MIG09",8500,IF(D5="MIG10",8500,IF(D5="Xpander HL",11300)))))))))))))))))))))))))))))))))))))))))))))))))))))))</f>
        <v>10700</v>
      </c>
      <c r="W11" s="147">
        <f>IF(D5="XC",9200,IF(D5="XPML",9200,IF(D5="XPHL",9200,IF(D5="XPMLP",9200,IF(D5="XPMLP-01",9200,IF(D5="Xpander P",9200,IF(D5="ML",10000,IF(D5="HL",10000,IF(D5="PR",10000,IF(D5="MLP",10000,IF(D5="HLP",10000,IF(D5="PRP",10000,IF(D5="H57",8700,IF(D5="P57",8700,IF(D5="H64",8700,IF(D5="H59",8700,IF(D5="P59",8700,IF(D5="H61",8700,IF(D5="P61",8700,IF(D5="G03",10400,IF(D5="P03",10400,IF(D5="G10",10400,IF(D5="P10",10400,IF(D5="G12",10400,IF(D5="P12",10400,IF(D5="G05",10400,IF(D5="P05",10400,IF(D5="G06",10400,IF(D5="P06",10400,IF(D5="OTP06-01",10400,IF(D5="G08",10400,IF(D5="P08",10400,IF(D5="G09",10400,IF(D5="P09",10400,IF(D5="H38",9800,IF(D5="H37",9800,IF(D5="EH40",9800,IF(D5="EH43",9800,IF(D5="H48",10100,IF(D5="H43",10100,IF(D5="H40",10100,IF(D5="H42",10100,IF(D5="H44",10100,IF(D5="H45",10100,IF(D5="ASX HL",10100,IF(D5="ASX P",10100,IF(D5="ASX HL 4WD",10100,IF(D5="H16",7900,IF(D5="H17",7900,IF(D5="P16",7900,IF(D5="Attrage S",7900,IF(D5="MIG09",7900,IF(D5="MIG10",7900,IF(D5="Xpander HL",9200))))))))))))))))))))))))))))))))))))))))))))))))))))))</f>
        <v>10100</v>
      </c>
      <c r="X11" s="147">
        <f>IF(D5="XC",4500,IF(D5="XPML",4500,IF(D5="XPHL",4500,IF(D5="XPMLP",4500,IF(D5="XPMLP-01",4500,IF(D5="Xpander P",4500,IF(D5="ML",5000,IF(D5="HL",5000,IF(D5="PR",5000,IF(D5="MLP",5000,IF(D5="HLP",5000,IF(D5="PRP",5000,IF(D5="H57",8700,IF(D5="P57",8700,IF(D5="MOG64",4300,IF(D5="H59",4300,IF(D5="P59",4300,IF(D5="H61",4300,IF(D5="P61",4300,IF(D5="G03",5000,IF(D5="P03",5000,IF(D5="G10",5000,IF(D5="P10",5000,IF(D5="G12",5000,IF(D5="P12",5000,IF(D5="G05",5000,IF(D5="P05",5000,IF(D5="G06",5000,IF(D5="P06",5000,IF(D5="OTP06-01",5000,IF(D5="G08",5000,IF(D5="P08",5000,IF(D5="G09",5000,IF(D5="P09",5000,IF(D5="H38",4900,IF(D5="H37",4900,IF(D5="EH40",4900,IF(D5="EH43",4900,IF(D5="H48",4900,IF(D5="H43",4900,IF(D5="H40",4900,IF(D5="H42",4900,IF(D5="H44",4900,IF(D5="H45",4900,IF(D5="ASX HL",4900,IF(D5="ASX P",4900,IF(D5="ASX HL 4WD",4900,IF(D5="H16",3700,IF(D5="H17",3700,IF(D5="P16",3700,IF(D5="Attrage S",3700,IF(D5="MIG09",3700,IF(D5="MIG10",3700,IF(D5="Xpander HL",4500))))))))))))))))))))))))))))))))))))))))))))))))))))))</f>
        <v>4900</v>
      </c>
      <c r="Y11" s="147">
        <f>IF(D5="XC",5400,IF(D5="XPML ",5400,IF(D5="XPHL",5400,IF(D5="XPMLP",5400,IF(D5="XPMLP-01",5400,IF(D5="Xpander P",5400,IF(D5="ML",6000,IF(D5="HL",6000,IF(D5="PR",6000,IF(D5="MLP",6000,IF(D5="HLP",6000,IF(D5="PRP",6000,IF(D5="H57",5200,IF(D5="57",5200,IF(D5="H64",5200,IF(D5="H59",5200,IF(D5="P59",5200,IF(D5="H61",5200,IF(D5="P61",5200,IF(D5="G03",6000,IF(D5="P03",6000,IF(D5="G10",6000,IF(D5="P10",6000,IF(D5="G12",6000,IF(D5="P12",6000,IF(D5="G05",6000,IF(D5="P05",6000,IF(D5="G06",6000,IF(D5="P06",6000,IF(D5="OTP06-01",6000,IF(D5="G08",6000,IF(D5="P08",6000,IF(D5="G09",6000,IF(D5="P09",6000,IF(D5="H38",5700,IF(D5="H37",5700,IF(D5="EH40",5700,IF(D5="EH43",5700,IF(D5="H48",5900,IF(D5="H43",5900,IF(D5="H40",5900,IF(D5="H42",5900,IF(D5="H44",5900,IF(D5="H45",5900,IF(D5="ASX HL",5900,IF(D5="ASX P",5900,IF(D5="ASX HL 4WD",5900,IF(D5="H16",4500,IF(D5="H17",4500,IF(D5="P16",4500,IF(D5="Attrage S",4500,IF(D5="MIG09",4500,IF(D5="MIG10",4500,IF(D5="Xpander HL",5400))))))))))))))))))))))))))))))))))))))))))))))))))))))</f>
        <v>5900</v>
      </c>
    </row>
    <row r="12" spans="1:27" ht="24.6" x14ac:dyDescent="0.4">
      <c r="A12" s="8"/>
      <c r="B12" s="37" t="s">
        <v>20</v>
      </c>
      <c r="C12" s="20" t="s">
        <v>17</v>
      </c>
      <c r="D12" s="36">
        <f>IF(C12="YES",2000,IF(C12="NO",0))</f>
        <v>0</v>
      </c>
      <c r="E12" s="43"/>
      <c r="F12" s="43" t="s">
        <v>21</v>
      </c>
      <c r="G12" s="40"/>
      <c r="H12" s="33">
        <v>600</v>
      </c>
      <c r="I12" s="33"/>
      <c r="J12" s="202" t="s">
        <v>140</v>
      </c>
      <c r="K12" s="45">
        <v>0</v>
      </c>
      <c r="L12" s="45">
        <v>5.2499999999999998E-2</v>
      </c>
      <c r="M12" s="45">
        <v>0.126</v>
      </c>
      <c r="N12" s="201">
        <v>0.26250000000000001</v>
      </c>
      <c r="O12" s="147">
        <f>IF(K20="Esaad",B8*3/100,IF(K20="Emirates Platinum",B8*3/100,IF(K20="Fazaa",B8*3/100,IF(K20="Humat Alwatan",B8*3/100,IF(K20="Permissible",2000,IF(K20="ASX",8400,IF(K20="XPMLP",15100,IF(K20="XP",7200,IF(K20="G43",11000,IF(K20="EC",17000,IF(K20="G37",17000,IF(K20="G38",15000,IF(K20="G40",11000,IF(K20="OUT",3000,IF(K20="F08",14400,IF(K20="P08",11100,IF(K20="F06",13100,IF(K20="P06",13400,IF(K20="F03",3500,IF(K20="F03-1",13500,IF(K20="P03",13100,IF(K20="MON",10000,IF(K20="MON G57",9000,0)))))))))))))))))))))))</f>
        <v>2000</v>
      </c>
      <c r="Z12" s="86" t="s">
        <v>83</v>
      </c>
      <c r="AA12" s="86" t="s">
        <v>84</v>
      </c>
    </row>
    <row r="13" spans="1:27" ht="24.6" x14ac:dyDescent="0.4">
      <c r="A13" s="8">
        <f>B8*1.26582</f>
        <v>92278.277999999991</v>
      </c>
      <c r="B13" s="37" t="s">
        <v>23</v>
      </c>
      <c r="C13" s="20" t="s">
        <v>19</v>
      </c>
      <c r="D13" s="36">
        <f>IF(C13="YES",2000,IF(C13="NO",0))</f>
        <v>2000</v>
      </c>
      <c r="E13" s="47"/>
      <c r="F13" s="47" t="s">
        <v>75</v>
      </c>
      <c r="G13" s="51"/>
      <c r="H13" s="39">
        <v>315</v>
      </c>
      <c r="I13" s="33"/>
      <c r="J13" s="44" t="s">
        <v>54</v>
      </c>
      <c r="K13" s="29" t="s">
        <v>79</v>
      </c>
      <c r="L13" s="29" t="s">
        <v>25</v>
      </c>
      <c r="M13" s="29" t="s">
        <v>0</v>
      </c>
      <c r="N13" s="57" t="s">
        <v>26</v>
      </c>
      <c r="O13" s="9">
        <f>IF(M21="3000-4999",6%,IF(M21="5000-9999",4.75%,IF(M21="10000-14999",3.15%,IF(M21="15000-24999",2.5%,IF(M21="25000-34999",2.25%,IF(M21="35000-99999",2.15%))))))</f>
        <v>4.7500000000000001E-2</v>
      </c>
      <c r="Q13" s="2">
        <f>H7/12</f>
        <v>1582.6526791666665</v>
      </c>
      <c r="U13" s="9">
        <f>IF(M21="3000-4999",6%,IF(M21="5000-9999",3.25%,IF(M21="10000-14999",3%,IF(M21="15000-24999",2.25%,IF(M21="25000-34999",2.15%,IF(M21="35000-99999",1.99%))))))</f>
        <v>3.2500000000000001E-2</v>
      </c>
      <c r="Z13" s="99">
        <f>IF(M21="5000-9999",2.49%,IF(M21="10000-19999",2.19%,IF(M21="20000-34999",2.09%,IF(M21="35000-49999",1.89%,IF(M21="50000-99999",1.79%)))))</f>
        <v>2.4900000000000002E-2</v>
      </c>
      <c r="AA13" s="99">
        <f>IF(M21="5000-9999",2.59%,IF(M21="10000-19999",2.29%,IF(M21="20000-34999",2.19%,IF(M21="35000-49999",1.99%,IF(M21="50000-99999",1.89%)))))</f>
        <v>2.5899999999999999E-2</v>
      </c>
    </row>
    <row r="14" spans="1:27" ht="24.6" x14ac:dyDescent="0.4">
      <c r="A14" s="10" t="s">
        <v>27</v>
      </c>
      <c r="B14" s="37" t="s">
        <v>24</v>
      </c>
      <c r="C14" s="20" t="s">
        <v>19</v>
      </c>
      <c r="D14" s="50">
        <f>IF(C14="YES",U19*3.15*1.05/100,IF(C14="NO",U19*0/100))</f>
        <v>2924.16075</v>
      </c>
      <c r="E14" s="48"/>
      <c r="F14" s="48" t="s">
        <v>24</v>
      </c>
      <c r="G14" s="51" t="s">
        <v>17</v>
      </c>
      <c r="H14" s="39">
        <f>IF(G14="YES",U19*3.15*1.05/100,IF(G14="NO",U19*0/100))</f>
        <v>0</v>
      </c>
      <c r="I14" s="33"/>
      <c r="J14" s="44" t="s">
        <v>55</v>
      </c>
      <c r="K14" s="44">
        <f>(H8*K12+H8)/3</f>
        <v>6330.6107166666661</v>
      </c>
      <c r="L14" s="44">
        <f>(H8*L12+H8)/12</f>
        <v>1665.7419448229166</v>
      </c>
      <c r="M14" s="44">
        <f>(H8*M12+H8)/24</f>
        <v>891.03345837083327</v>
      </c>
      <c r="N14" s="200">
        <f>(H7*N12+H7)/60</f>
        <v>399.61980148958332</v>
      </c>
      <c r="O14" s="9">
        <f>IF(M21="3000-4999",3.89%,IF(M21="5000-9999",3.89%,IF(M21="10000-14999",3.89%,IF(M21="15000-24999",2.69%,IF(M21="25000-34999",2.69%,IF(M21="35000-99999",2.39%,IF(M21="76000-99999",2.5%)))))))</f>
        <v>3.8900000000000004E-2</v>
      </c>
    </row>
    <row r="15" spans="1:27" ht="24.6" x14ac:dyDescent="0.4">
      <c r="A15" s="11">
        <f>(B7*3%)+10+120</f>
        <v>2317</v>
      </c>
      <c r="B15" s="37" t="s">
        <v>28</v>
      </c>
      <c r="C15" s="20" t="s">
        <v>19</v>
      </c>
      <c r="D15" s="29">
        <f>IF(C15="YES",O10,IF(C15="NO",0))</f>
        <v>3625</v>
      </c>
      <c r="E15" s="48"/>
      <c r="F15" s="48" t="s">
        <v>53</v>
      </c>
      <c r="G15" s="51" t="s">
        <v>17</v>
      </c>
      <c r="H15" s="39">
        <f>IF(G15="YES",O10,IF(G15="NO",0))</f>
        <v>0</v>
      </c>
      <c r="I15" s="33"/>
      <c r="J15" s="44"/>
      <c r="K15" s="44"/>
      <c r="L15" s="44"/>
      <c r="M15" s="44"/>
      <c r="N15" s="198"/>
      <c r="O15" s="9" t="b">
        <f>IF(M21="3000-4999",4.99%, IF(M21="5000-11999",2.75%,IF(M21="12000-19999",2.75%,IF(M21="20000-39999",2.25%,IF(M21="40000-69999",2.25%,IF(M21="70000-99999",2.25%))))))</f>
        <v>0</v>
      </c>
      <c r="P15" s="191"/>
    </row>
    <row r="16" spans="1:27" ht="24.6" x14ac:dyDescent="0.4">
      <c r="A16" s="11">
        <f>((B7-B8)*3%+10+120)</f>
        <v>130</v>
      </c>
      <c r="B16" s="37" t="s">
        <v>78</v>
      </c>
      <c r="C16" s="20" t="s">
        <v>19</v>
      </c>
      <c r="D16" s="29">
        <f>IF(C16="YES",O16,IF(C16="NO",0))</f>
        <v>6600</v>
      </c>
      <c r="E16" s="47"/>
      <c r="F16" s="47" t="s">
        <v>74</v>
      </c>
      <c r="G16" s="54"/>
      <c r="H16" s="33">
        <f>I7*1.05%</f>
        <v>797.65695029999995</v>
      </c>
      <c r="I16" s="33"/>
      <c r="J16" s="44" t="s">
        <v>16</v>
      </c>
      <c r="K16" s="44">
        <f>(K14*3)-H8</f>
        <v>0</v>
      </c>
      <c r="L16" s="44">
        <f>(L14*12)-H8</f>
        <v>997.07118787500076</v>
      </c>
      <c r="M16" s="44">
        <f>(M14*24)-H8</f>
        <v>2392.9708509000011</v>
      </c>
      <c r="N16" s="198"/>
      <c r="O16" s="147">
        <f>IF(B16="RMC-10-70KMS",O11,IF(B16="RMC-10-100000KMS",V11,IF(B16="RMC-40-70KMS",U11, IF(B16="RMC-10-40KMS",X11, IF(B16="RMC-10-60KMS",Y11, IF(B16="RMC-40-100000KMS",W11,0))))))</f>
        <v>6600</v>
      </c>
    </row>
    <row r="17" spans="1:23" ht="24.6" x14ac:dyDescent="0.4">
      <c r="A17" s="11">
        <f>A15+A16</f>
        <v>2447</v>
      </c>
      <c r="B17" s="37"/>
      <c r="C17" s="20"/>
      <c r="D17" s="29">
        <f>SUM(D10:D16)</f>
        <v>17849.160749999999</v>
      </c>
      <c r="E17" s="48"/>
      <c r="F17" s="48"/>
      <c r="G17" s="54"/>
      <c r="H17" s="33">
        <f>+SUM(H12:H16)+(H7)</f>
        <v>20704.489100299998</v>
      </c>
      <c r="I17" s="33"/>
      <c r="J17" s="20"/>
      <c r="K17" s="199"/>
      <c r="L17" s="199"/>
      <c r="M17" s="199"/>
      <c r="N17" s="198"/>
      <c r="O17" s="147">
        <f>IF(B11="FO Ceramic+ Intr&amp;Extr CeramicGold WdwTnt",2700,IF(B11="FO Mirror Camera Sensor",2000))</f>
        <v>2700</v>
      </c>
      <c r="T17" s="1">
        <f>19615-791</f>
        <v>18824</v>
      </c>
    </row>
    <row r="18" spans="1:23" ht="24.6" x14ac:dyDescent="0.4">
      <c r="A18" s="12" t="s">
        <v>29</v>
      </c>
      <c r="B18" s="55" t="s">
        <v>30</v>
      </c>
      <c r="C18" s="197"/>
      <c r="D18" s="57">
        <v>0</v>
      </c>
      <c r="E18" s="38"/>
      <c r="F18" s="20"/>
      <c r="G18" s="20"/>
      <c r="H18" s="37"/>
      <c r="I18" s="37"/>
      <c r="J18" s="37"/>
      <c r="K18" s="37"/>
      <c r="L18" s="37"/>
      <c r="M18" s="37"/>
      <c r="N18" s="37"/>
      <c r="O18" s="9" t="b">
        <f>IF(M21="5000-99999",1.99%)</f>
        <v>0</v>
      </c>
      <c r="U18" s="196" t="s">
        <v>52</v>
      </c>
      <c r="V18" s="196" t="s">
        <v>52</v>
      </c>
    </row>
    <row r="19" spans="1:23" ht="24.6" x14ac:dyDescent="0.4">
      <c r="A19" s="11">
        <f>B8*3.15%</f>
        <v>2296.35</v>
      </c>
      <c r="B19" s="58" t="s">
        <v>31</v>
      </c>
      <c r="C19" s="59"/>
      <c r="D19" s="60">
        <f>IF(K21="DIB EXPAT",O13,IF(K21="DIB LOCAL GVH",U13,IF(K21="Emirates NBD",O14,IF(K21="ADCB",O15,IF(K21="ADCB PAY IN 2027",O19,IF(K21="Ajman Bank",O18,IF(K21="SIB STL",Z13,IF(K21="SIB NON STL",AA13,))))))))</f>
        <v>3.8900000000000004E-2</v>
      </c>
      <c r="E19" s="20"/>
      <c r="F19" s="195"/>
      <c r="G19" s="141" t="s">
        <v>73</v>
      </c>
      <c r="H19" s="142"/>
      <c r="I19" s="143"/>
      <c r="J19" s="109">
        <f>(U19*20/100)/365</f>
        <v>48.443835616438356</v>
      </c>
      <c r="K19" s="37"/>
      <c r="L19" s="37"/>
      <c r="M19" s="37"/>
      <c r="N19" s="34">
        <f>D7</f>
        <v>76545</v>
      </c>
      <c r="O19" s="194" t="b">
        <f>IF(M21="5000-11999",3.35%,IF(M21="12000-19999",3.35%,IF(M21="20000-39999",2.85%,IF(M21="40000-69999",2.85%,IF(M21="70000-99999",2.85%)))))</f>
        <v>0</v>
      </c>
      <c r="P19" s="2">
        <f>81400-2500</f>
        <v>78900</v>
      </c>
      <c r="U19" s="193">
        <f>V19</f>
        <v>88410</v>
      </c>
      <c r="V19" s="192">
        <f>(B7+D10+D11+D12+D13+D16)*1.05</f>
        <v>88410</v>
      </c>
    </row>
    <row r="20" spans="1:23" ht="24.6" x14ac:dyDescent="0.4">
      <c r="A20" s="11"/>
      <c r="B20" s="58" t="s">
        <v>32</v>
      </c>
      <c r="C20" s="59"/>
      <c r="D20" s="63">
        <v>0.2</v>
      </c>
      <c r="E20" s="37"/>
      <c r="F20" s="37"/>
      <c r="G20" s="38"/>
      <c r="H20" s="38"/>
      <c r="I20" s="38"/>
      <c r="J20" s="103"/>
      <c r="K20" s="104" t="s">
        <v>33</v>
      </c>
      <c r="L20" s="104" t="s">
        <v>17</v>
      </c>
      <c r="M20" s="104">
        <f>IF(L20="YES",O12,IF(L20="NO",0))</f>
        <v>0</v>
      </c>
      <c r="N20" s="34">
        <f>B8-M20</f>
        <v>72900</v>
      </c>
      <c r="O20" s="187"/>
      <c r="P20" s="191"/>
      <c r="T20" s="1">
        <f>1992+1084</f>
        <v>3076</v>
      </c>
      <c r="U20" s="186"/>
      <c r="V20" s="2"/>
    </row>
    <row r="21" spans="1:23" ht="24.6" x14ac:dyDescent="0.4">
      <c r="A21" s="13">
        <f>A19+A20</f>
        <v>2296.35</v>
      </c>
      <c r="B21" s="37"/>
      <c r="C21" s="20"/>
      <c r="D21" s="37"/>
      <c r="E21" s="37"/>
      <c r="F21" s="37"/>
      <c r="G21" s="37"/>
      <c r="H21" s="37"/>
      <c r="I21" s="37"/>
      <c r="J21" s="190" t="s">
        <v>34</v>
      </c>
      <c r="K21" s="16" t="s">
        <v>139</v>
      </c>
      <c r="L21" s="16" t="s">
        <v>35</v>
      </c>
      <c r="M21" s="189" t="s">
        <v>80</v>
      </c>
      <c r="N21" s="188"/>
      <c r="O21" s="187"/>
      <c r="T21" s="1">
        <f>25973-12973</f>
        <v>13000</v>
      </c>
      <c r="U21" s="186">
        <f>M14+N7</f>
        <v>2403.4163585824999</v>
      </c>
    </row>
    <row r="22" spans="1:23" s="179" customFormat="1" ht="24.6" x14ac:dyDescent="0.4">
      <c r="A22" s="185"/>
      <c r="B22" s="184" t="s">
        <v>51</v>
      </c>
      <c r="C22" s="183"/>
      <c r="D22" s="183"/>
      <c r="E22" s="183"/>
      <c r="F22" s="183"/>
      <c r="G22" s="183"/>
      <c r="H22" s="183"/>
      <c r="I22" s="183"/>
      <c r="J22" s="183"/>
      <c r="K22" s="183"/>
      <c r="L22" s="183"/>
      <c r="M22" s="183"/>
      <c r="N22" s="182"/>
      <c r="O22" s="181"/>
      <c r="P22" s="180"/>
    </row>
    <row r="23" spans="1:23" s="168" customFormat="1" ht="26.4" x14ac:dyDescent="0.5">
      <c r="A23" s="175" t="s">
        <v>36</v>
      </c>
      <c r="B23" s="172" t="s">
        <v>138</v>
      </c>
      <c r="C23" s="169"/>
      <c r="D23" s="169"/>
      <c r="E23" s="169"/>
      <c r="F23" s="169"/>
      <c r="G23" s="169"/>
      <c r="H23" s="176"/>
      <c r="I23" s="176"/>
      <c r="J23" s="169"/>
      <c r="K23" s="169"/>
      <c r="L23" s="169"/>
      <c r="M23" s="169"/>
      <c r="N23" s="178"/>
      <c r="O23" s="170"/>
      <c r="P23" s="169"/>
    </row>
    <row r="24" spans="1:23" s="168" customFormat="1" ht="26.4" x14ac:dyDescent="0.5">
      <c r="A24" s="175" t="s">
        <v>36</v>
      </c>
      <c r="B24" s="172" t="s">
        <v>137</v>
      </c>
      <c r="C24" s="169"/>
      <c r="D24" s="169"/>
      <c r="E24" s="169"/>
      <c r="F24" s="169"/>
      <c r="G24" s="169"/>
      <c r="H24" s="177">
        <f>H7/365</f>
        <v>52.032416849315062</v>
      </c>
      <c r="I24" s="177">
        <f>H7+H12+H16</f>
        <v>20389.489100299998</v>
      </c>
      <c r="J24" s="169"/>
      <c r="K24" s="169"/>
      <c r="L24" s="169"/>
      <c r="M24" s="169"/>
      <c r="N24" s="173"/>
      <c r="O24" s="170"/>
      <c r="P24" s="169">
        <f>1232+480</f>
        <v>1712</v>
      </c>
      <c r="T24" s="168">
        <f>88704/1.05</f>
        <v>84480</v>
      </c>
    </row>
    <row r="25" spans="1:23" s="168" customFormat="1" ht="26.4" x14ac:dyDescent="0.5">
      <c r="A25" s="175" t="s">
        <v>36</v>
      </c>
      <c r="B25" s="172" t="s">
        <v>136</v>
      </c>
      <c r="C25" s="169"/>
      <c r="D25" s="169"/>
      <c r="E25" s="169"/>
      <c r="F25" s="169"/>
      <c r="G25" s="169"/>
      <c r="H25" s="176"/>
      <c r="I25" s="176"/>
      <c r="J25" s="169"/>
      <c r="K25" s="169"/>
      <c r="L25" s="169"/>
      <c r="M25" s="169"/>
      <c r="N25" s="173"/>
      <c r="O25" s="170"/>
      <c r="P25" s="169"/>
      <c r="Q25" s="168">
        <f>79400-5233.33</f>
        <v>74166.67</v>
      </c>
      <c r="R25" s="168">
        <f>Q25*1.05</f>
        <v>77875.003500000006</v>
      </c>
      <c r="W25" s="168">
        <f>1999+1224</f>
        <v>3223</v>
      </c>
    </row>
    <row r="26" spans="1:23" s="168" customFormat="1" ht="26.4" x14ac:dyDescent="0.5">
      <c r="A26" s="175" t="s">
        <v>36</v>
      </c>
      <c r="B26" s="172" t="s">
        <v>135</v>
      </c>
      <c r="C26" s="169"/>
      <c r="D26" s="169"/>
      <c r="E26" s="169"/>
      <c r="F26" s="169"/>
      <c r="G26" s="169"/>
      <c r="H26" s="169"/>
      <c r="I26" s="169"/>
      <c r="J26" s="169"/>
      <c r="K26" s="169"/>
      <c r="L26" s="169"/>
      <c r="M26" s="169"/>
      <c r="N26" s="173"/>
      <c r="O26" s="170" t="s">
        <v>37</v>
      </c>
      <c r="P26" s="169"/>
      <c r="R26" s="168">
        <f>R25+2469</f>
        <v>80344.003500000006</v>
      </c>
    </row>
    <row r="27" spans="1:23" s="168" customFormat="1" ht="26.4" x14ac:dyDescent="0.5">
      <c r="A27" s="175" t="s">
        <v>36</v>
      </c>
      <c r="B27" s="172" t="s">
        <v>134</v>
      </c>
      <c r="C27" s="169"/>
      <c r="D27" s="169"/>
      <c r="E27" s="169"/>
      <c r="F27" s="169"/>
      <c r="G27" s="169"/>
      <c r="H27" s="169"/>
      <c r="I27" s="169"/>
      <c r="J27" s="169"/>
      <c r="K27" s="169"/>
      <c r="L27" s="169"/>
      <c r="M27" s="169"/>
      <c r="N27" s="173"/>
      <c r="O27" s="170">
        <f>129500-110900</f>
        <v>18600</v>
      </c>
      <c r="P27" s="169"/>
      <c r="W27" s="174">
        <f>N7+L14</f>
        <v>3178.1248450345829</v>
      </c>
    </row>
    <row r="28" spans="1:23" s="168" customFormat="1" ht="26.4" x14ac:dyDescent="0.5">
      <c r="B28" s="172" t="s">
        <v>133</v>
      </c>
      <c r="C28" s="169"/>
      <c r="D28" s="169"/>
      <c r="E28" s="169"/>
      <c r="F28" s="169"/>
      <c r="G28" s="169"/>
      <c r="H28" s="169"/>
      <c r="I28" s="169"/>
      <c r="J28" s="169"/>
      <c r="K28" s="169"/>
      <c r="L28" s="169"/>
      <c r="M28" s="169"/>
      <c r="N28" s="173"/>
      <c r="O28" s="170">
        <f>85000-69900</f>
        <v>15100</v>
      </c>
      <c r="P28" s="169"/>
    </row>
    <row r="29" spans="1:23" s="168" customFormat="1" ht="26.4" x14ac:dyDescent="0.5">
      <c r="B29" s="172" t="s">
        <v>132</v>
      </c>
      <c r="C29" s="169"/>
      <c r="D29" s="169"/>
      <c r="E29" s="169"/>
      <c r="F29" s="169"/>
      <c r="G29" s="169"/>
      <c r="H29" s="169"/>
      <c r="I29" s="169"/>
      <c r="J29" s="169"/>
      <c r="K29" s="169"/>
      <c r="L29" s="169"/>
      <c r="M29" s="169"/>
      <c r="N29" s="171"/>
      <c r="O29" s="170"/>
      <c r="P29" s="169"/>
    </row>
    <row r="30" spans="1:23" x14ac:dyDescent="0.3">
      <c r="B30" s="167" t="s">
        <v>38</v>
      </c>
      <c r="C30" s="166"/>
      <c r="D30" s="166"/>
      <c r="E30" s="166"/>
      <c r="F30" s="166"/>
      <c r="G30" s="166"/>
      <c r="H30" s="166"/>
      <c r="I30" s="166"/>
      <c r="J30" s="166"/>
      <c r="K30" s="166"/>
      <c r="L30" s="166"/>
      <c r="M30" s="166"/>
      <c r="N30" s="165"/>
      <c r="O30" s="147"/>
    </row>
    <row r="31" spans="1:23" x14ac:dyDescent="0.3">
      <c r="B31" s="146"/>
      <c r="C31" s="145"/>
      <c r="D31" s="145"/>
      <c r="E31" s="145"/>
      <c r="F31" s="145"/>
      <c r="G31" s="145"/>
      <c r="H31" s="145"/>
      <c r="I31" s="145"/>
      <c r="J31" s="145"/>
      <c r="K31" s="145"/>
      <c r="L31" s="145"/>
      <c r="M31" s="145"/>
      <c r="N31" s="144"/>
      <c r="O31" s="147"/>
    </row>
    <row r="32" spans="1:23" s="86" customFormat="1" ht="20.399999999999999" x14ac:dyDescent="0.35">
      <c r="B32" s="118" t="s">
        <v>39</v>
      </c>
      <c r="C32" s="119"/>
      <c r="D32" s="119"/>
      <c r="E32" s="119"/>
      <c r="F32" s="119"/>
      <c r="G32" s="119"/>
      <c r="H32" s="119"/>
      <c r="I32" s="119"/>
      <c r="J32" s="119"/>
      <c r="K32" s="119"/>
      <c r="L32" s="119"/>
      <c r="M32" s="119"/>
      <c r="N32" s="120"/>
      <c r="O32" s="92"/>
      <c r="P32" s="83"/>
    </row>
    <row r="33" spans="2:16" s="86" customFormat="1" ht="20.399999999999999" x14ac:dyDescent="0.35">
      <c r="B33" s="118" t="s">
        <v>40</v>
      </c>
      <c r="C33" s="119"/>
      <c r="D33" s="119"/>
      <c r="E33" s="119"/>
      <c r="F33" s="119"/>
      <c r="G33" s="119"/>
      <c r="H33" s="119"/>
      <c r="I33" s="119"/>
      <c r="J33" s="119"/>
      <c r="K33" s="119"/>
      <c r="L33" s="119"/>
      <c r="M33" s="119"/>
      <c r="N33" s="120"/>
      <c r="O33" s="92"/>
      <c r="P33" s="83"/>
    </row>
    <row r="34" spans="2:16" s="86" customFormat="1" ht="20.399999999999999" x14ac:dyDescent="0.35">
      <c r="B34" s="107" t="s">
        <v>131</v>
      </c>
      <c r="C34" s="108"/>
      <c r="D34" s="108"/>
      <c r="E34" s="108"/>
      <c r="F34" s="108"/>
      <c r="G34" s="164" t="s">
        <v>130</v>
      </c>
      <c r="H34" s="164"/>
      <c r="I34" s="163"/>
      <c r="J34" s="163"/>
      <c r="K34" s="163"/>
      <c r="L34" s="163"/>
      <c r="M34" s="162" t="s">
        <v>129</v>
      </c>
      <c r="N34" s="161"/>
      <c r="O34" s="83"/>
      <c r="P34" s="83"/>
    </row>
    <row r="35" spans="2:16" x14ac:dyDescent="0.3">
      <c r="B35" s="160"/>
      <c r="C35" s="159"/>
      <c r="D35" s="159"/>
      <c r="E35" s="159"/>
      <c r="F35" s="159"/>
      <c r="G35" s="159"/>
      <c r="H35" s="159"/>
      <c r="I35" s="159"/>
      <c r="J35" s="159"/>
      <c r="K35" s="159"/>
      <c r="L35" s="159"/>
      <c r="M35" s="159"/>
      <c r="N35" s="158"/>
    </row>
    <row r="36" spans="2:16" x14ac:dyDescent="0.3">
      <c r="B36" s="160"/>
      <c r="C36" s="159"/>
      <c r="D36" s="159"/>
      <c r="E36" s="159"/>
      <c r="F36" s="159"/>
      <c r="G36" s="159"/>
      <c r="H36" s="159"/>
      <c r="I36" s="159"/>
      <c r="J36" s="159"/>
      <c r="K36" s="159"/>
      <c r="L36" s="159"/>
      <c r="M36" s="159"/>
      <c r="N36" s="158"/>
    </row>
    <row r="37" spans="2:16" x14ac:dyDescent="0.3">
      <c r="B37" s="160"/>
      <c r="C37" s="159"/>
      <c r="D37" s="159"/>
      <c r="E37" s="159"/>
      <c r="F37" s="159"/>
      <c r="G37" s="159"/>
      <c r="H37" s="159"/>
      <c r="I37" s="159"/>
      <c r="J37" s="159"/>
      <c r="K37" s="159"/>
      <c r="L37" s="159"/>
      <c r="M37" s="159"/>
      <c r="N37" s="158"/>
    </row>
    <row r="38" spans="2:16" ht="16.8" x14ac:dyDescent="0.3">
      <c r="B38" s="149" t="s">
        <v>128</v>
      </c>
      <c r="C38" s="157"/>
      <c r="D38" s="154"/>
      <c r="E38" s="151"/>
      <c r="F38" s="151"/>
      <c r="G38" s="151"/>
      <c r="H38" s="151"/>
      <c r="I38" s="151"/>
      <c r="J38" s="152"/>
      <c r="K38" s="151"/>
      <c r="L38" s="151"/>
      <c r="M38" s="151"/>
      <c r="N38" s="156"/>
    </row>
    <row r="39" spans="2:16" ht="16.8" x14ac:dyDescent="0.3">
      <c r="B39" s="149" t="s">
        <v>127</v>
      </c>
      <c r="C39" s="155"/>
      <c r="D39" s="154"/>
      <c r="E39" s="151"/>
      <c r="F39" s="151"/>
      <c r="G39" s="151"/>
      <c r="H39" s="151"/>
      <c r="I39" s="151"/>
      <c r="J39" s="152"/>
      <c r="K39" s="151"/>
      <c r="L39" s="151"/>
      <c r="M39" s="151"/>
      <c r="N39" s="150"/>
    </row>
    <row r="40" spans="2:16" ht="16.8" x14ac:dyDescent="0.3">
      <c r="B40" s="149" t="s">
        <v>126</v>
      </c>
      <c r="C40" s="153"/>
      <c r="D40" s="151"/>
      <c r="E40" s="151"/>
      <c r="F40" s="151"/>
      <c r="G40" s="151"/>
      <c r="H40" s="151"/>
      <c r="I40" s="151"/>
      <c r="J40" s="152"/>
      <c r="K40" s="151"/>
      <c r="L40" s="151"/>
      <c r="M40" s="151"/>
      <c r="N40" s="150"/>
    </row>
    <row r="41" spans="2:16" ht="16.8" x14ac:dyDescent="0.3">
      <c r="B41" s="149" t="s">
        <v>125</v>
      </c>
      <c r="N41" s="148"/>
    </row>
    <row r="42" spans="2:16" ht="16.8" x14ac:dyDescent="0.3">
      <c r="B42" s="149" t="s">
        <v>124</v>
      </c>
      <c r="N42" s="148"/>
    </row>
    <row r="43" spans="2:16" ht="16.8" x14ac:dyDescent="0.3">
      <c r="B43" s="149" t="s">
        <v>123</v>
      </c>
      <c r="N43" s="148"/>
    </row>
    <row r="44" spans="2:16" ht="16.8" x14ac:dyDescent="0.3">
      <c r="B44" s="149" t="s">
        <v>122</v>
      </c>
      <c r="N44" s="148"/>
    </row>
    <row r="45" spans="2:16" ht="16.8" x14ac:dyDescent="0.3">
      <c r="B45" s="149" t="s">
        <v>121</v>
      </c>
      <c r="N45" s="148"/>
    </row>
    <row r="46" spans="2:16" ht="16.8" x14ac:dyDescent="0.3">
      <c r="B46" s="149" t="s">
        <v>120</v>
      </c>
      <c r="N46" s="148"/>
    </row>
    <row r="47" spans="2:16" x14ac:dyDescent="0.3">
      <c r="B47" s="146" t="s">
        <v>39</v>
      </c>
      <c r="C47" s="145"/>
      <c r="D47" s="145"/>
      <c r="E47" s="145"/>
      <c r="F47" s="145"/>
      <c r="G47" s="145"/>
      <c r="H47" s="145"/>
      <c r="I47" s="145"/>
      <c r="J47" s="145"/>
      <c r="K47" s="145"/>
      <c r="L47" s="145"/>
      <c r="M47" s="145"/>
      <c r="N47" s="144"/>
      <c r="O47" s="147"/>
    </row>
    <row r="48" spans="2:16" x14ac:dyDescent="0.3">
      <c r="B48" s="146" t="s">
        <v>40</v>
      </c>
      <c r="C48" s="145"/>
      <c r="D48" s="145"/>
      <c r="E48" s="145"/>
      <c r="F48" s="145"/>
      <c r="G48" s="145"/>
      <c r="H48" s="145"/>
      <c r="I48" s="145"/>
      <c r="J48" s="145"/>
      <c r="K48" s="145"/>
      <c r="L48" s="145"/>
      <c r="M48" s="145"/>
      <c r="N48" s="144"/>
      <c r="O48" s="147"/>
    </row>
    <row r="49" spans="2:14" x14ac:dyDescent="0.3">
      <c r="B49" s="146" t="s">
        <v>119</v>
      </c>
      <c r="C49" s="145"/>
      <c r="D49" s="145"/>
      <c r="E49" s="145"/>
      <c r="F49" s="145"/>
      <c r="G49" s="145"/>
      <c r="H49" s="145"/>
      <c r="I49" s="145"/>
      <c r="J49" s="145"/>
      <c r="K49" s="145"/>
      <c r="L49" s="145"/>
      <c r="M49" s="145"/>
      <c r="N49" s="144"/>
    </row>
    <row r="50" spans="2:14" ht="25.8" x14ac:dyDescent="0.3">
      <c r="C50" s="15" t="s">
        <v>41</v>
      </c>
    </row>
    <row r="51" spans="2:14" ht="25.8" x14ac:dyDescent="0.3">
      <c r="C51" s="15" t="s">
        <v>42</v>
      </c>
    </row>
    <row r="52" spans="2:14" ht="25.8" x14ac:dyDescent="0.3">
      <c r="C52" s="15" t="s">
        <v>43</v>
      </c>
    </row>
    <row r="53" spans="2:14" ht="25.8" x14ac:dyDescent="0.3">
      <c r="C53" s="15" t="s">
        <v>44</v>
      </c>
    </row>
    <row r="54" spans="2:14" ht="25.8" x14ac:dyDescent="0.3">
      <c r="C54" s="15" t="s">
        <v>45</v>
      </c>
    </row>
  </sheetData>
  <dataConsolidate/>
  <mergeCells count="11">
    <mergeCell ref="F8:G8"/>
    <mergeCell ref="F9:G9"/>
    <mergeCell ref="G19:I19"/>
    <mergeCell ref="B22:N22"/>
    <mergeCell ref="B30:N30"/>
    <mergeCell ref="B32:N32"/>
    <mergeCell ref="B33:N33"/>
    <mergeCell ref="B47:N47"/>
    <mergeCell ref="B48:N48"/>
    <mergeCell ref="B49:N49"/>
    <mergeCell ref="B31:N31"/>
  </mergeCells>
  <dataValidations count="11">
    <dataValidation type="list" allowBlank="1" showInputMessage="1" showErrorMessage="1" sqref="H34" xr:uid="{CF90D944-7F5A-4B22-A2D1-42DA272C8867}">
      <formula1>"ALAA HAMMAD,KHALED QASSEM,RAMY RAOUF,SIMON LOBO,MHAREN CLEMENTE GARADO"</formula1>
    </dataValidation>
    <dataValidation type="list" allowBlank="1" showInputMessage="1" showErrorMessage="1" sqref="M34" xr:uid="{B57021EF-1E99-4A63-8265-9531FDF13A8D}">
      <formula1>"Alaa Hammad,Bachir Ibrahim Mourad,Khaled Qassem,Ramy Raoof,Simon Lobo,Mharen Clemente Garado,Ranjith"</formula1>
    </dataValidation>
    <dataValidation type="list" allowBlank="1" showInputMessage="1" showErrorMessage="1" sqref="B11" xr:uid="{24D92019-4740-42A4-A081-E0A691E0E5B0}">
      <formula1>"FO Ceramic+ Intr&amp;Extr CeramicGold WdwTnt,FO Mirror Camera Sensor"</formula1>
    </dataValidation>
    <dataValidation type="list" allowBlank="1" showInputMessage="1" showErrorMessage="1" sqref="B12" xr:uid="{D4063896-597B-443E-8348-150914A8C700}">
      <formula1>"FO Exterior ceramic All Cars SCOTCHGUARD,FO Mirror Camera Sensor,FO PPF Gold Package "</formula1>
    </dataValidation>
    <dataValidation type="list" allowBlank="1" showInputMessage="1" showErrorMessage="1" sqref="K20" xr:uid="{D029433E-97A5-43D3-BBEA-C0F9216864DD}">
      <formula1>"Esaad,Emirates Platinum,Fazaa,Humat Alwatan,Permissible,ASX,XPMLP,XP,MON,MON G57,OUT,F08,P08,F06,P06,F03,F03-1,P03,EC,G37,G38,G40,G43"</formula1>
    </dataValidation>
    <dataValidation type="list" allowBlank="1" showInputMessage="1" showErrorMessage="1" sqref="B16" xr:uid="{EA8B8D8C-D308-4142-BE70-51CFABFF38C6}">
      <formula1>"RMC-10-40KMS,RMC-10-60KMS,RMC-10-70KMS,RMC-10-100000KMS,RMC-40-70KMS,RMC-40-100000KMS"</formula1>
    </dataValidation>
    <dataValidation type="list" allowBlank="1" showInputMessage="1" showErrorMessage="1" sqref="K24" xr:uid="{BFC3BF48-421F-4FD5-84F2-6EE3931CDFE2}">
      <formula1>"RMC-10-70K,RMC-10-100000K,RMC-40-70K"</formula1>
    </dataValidation>
    <dataValidation type="list" allowBlank="1" showInputMessage="1" showErrorMessage="1" sqref="D5" xr:uid="{3299FFC6-0105-40F8-B7FC-654D4BEF4B63}">
      <formula1>"MIG09,MIG10,H16,P16,H17,H48,H43,H40,H42,H44,H45,H38,H37,EH40,EH43,ML,HL,PR, MLP,HLP,PRP,XPML,XPHL,XPMLP, XPMLP-01,XC, G10,P10, G03, P03, G06,P06,G12,P12,G05,P05,G08,P08,G09,P09,H57,P57,H64,H59,P59,H61,P61"</formula1>
    </dataValidation>
    <dataValidation type="list" allowBlank="1" showInputMessage="1" showErrorMessage="1" sqref="M21" xr:uid="{4DEDFF16-FFB0-4739-858E-7D9EE094E6F3}">
      <formula1>"3000-4999,5000-9999,5000-99999,10000-14999,15000-24999,25000-34999,35000-99999,5000-11999,12000-19999,20000-39999,40000-69999,70000-99999"</formula1>
    </dataValidation>
    <dataValidation type="list" allowBlank="1" showInputMessage="1" showErrorMessage="1" sqref="C10:C16 L20 L24:L25 G14:G15 J10" xr:uid="{B8DA1A47-62C3-4652-A914-CC3B98A15B1E}">
      <formula1>"YES,NO"</formula1>
    </dataValidation>
    <dataValidation type="list" allowBlank="1" showInputMessage="1" showErrorMessage="1" sqref="K21" xr:uid="{80B23138-B271-4F51-B2B5-3A26C303CC7C}">
      <formula1>"ADCB,ADCB PAY IN 2027,Ajman Bank,ADIB,DIB EXPAT,DIB LOCAL GVH,Emirates NBD,EIB,FAB,RAK,SIB STL,SIB NON STL"</formula1>
    </dataValidation>
  </dataValidations>
  <pageMargins left="0.23622047244094491" right="0.23622047244094491" top="0.74803149606299213" bottom="0.74803149606299213" header="0.31496062992125984" footer="0.31496062992125984"/>
  <pageSetup paperSize="9" scale="40" orientation="landscape" horizontalDpi="4294967295" verticalDpi="4294967295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0AC882-84BA-4BB9-89D7-D3FF598AC375}">
  <sheetPr>
    <pageSetUpPr fitToPage="1"/>
  </sheetPr>
  <dimension ref="A1:AA54"/>
  <sheetViews>
    <sheetView topLeftCell="B1" zoomScaleNormal="100" workbookViewId="0">
      <selection activeCell="D5" sqref="D5"/>
    </sheetView>
  </sheetViews>
  <sheetFormatPr defaultColWidth="9.109375" defaultRowHeight="15.6" x14ac:dyDescent="0.3"/>
  <cols>
    <col min="1" max="1" width="16" style="1" hidden="1" customWidth="1"/>
    <col min="2" max="2" width="75.109375" style="2" customWidth="1"/>
    <col min="3" max="3" width="26.88671875" style="3" customWidth="1"/>
    <col min="4" max="4" width="23.88671875" style="2" customWidth="1"/>
    <col min="5" max="5" width="23.33203125" style="2" customWidth="1"/>
    <col min="6" max="6" width="19.88671875" style="2" customWidth="1"/>
    <col min="7" max="7" width="23.33203125" style="2" customWidth="1"/>
    <col min="8" max="8" width="24.44140625" style="2" customWidth="1"/>
    <col min="9" max="9" width="27.109375" style="2" customWidth="1"/>
    <col min="10" max="10" width="26.6640625" style="2" customWidth="1"/>
    <col min="11" max="11" width="25.44140625" style="2" customWidth="1"/>
    <col min="12" max="12" width="20.5546875" style="2" customWidth="1"/>
    <col min="13" max="13" width="20.109375" style="2" customWidth="1"/>
    <col min="14" max="14" width="19.5546875" style="2" customWidth="1"/>
    <col min="15" max="15" width="15.109375" style="2" bestFit="1" customWidth="1"/>
    <col min="16" max="16" width="12.6640625" style="2" hidden="1" customWidth="1"/>
    <col min="17" max="17" width="12.6640625" style="1" hidden="1" customWidth="1"/>
    <col min="18" max="18" width="15.6640625" style="1" hidden="1" customWidth="1"/>
    <col min="19" max="19" width="13" style="1" hidden="1" customWidth="1"/>
    <col min="20" max="20" width="17.109375" style="1" hidden="1" customWidth="1"/>
    <col min="21" max="21" width="14.5546875" style="1" bestFit="1" customWidth="1"/>
    <col min="22" max="22" width="19" style="1" customWidth="1"/>
    <col min="23" max="23" width="22.5546875" style="1" bestFit="1" customWidth="1"/>
    <col min="24" max="25" width="9.109375" style="1"/>
    <col min="26" max="26" width="14" style="1" bestFit="1" customWidth="1"/>
    <col min="27" max="27" width="22.33203125" style="1" bestFit="1" customWidth="1"/>
    <col min="28" max="16384" width="9.109375" style="1"/>
  </cols>
  <sheetData>
    <row r="1" spans="1:27" ht="15.75" customHeight="1" x14ac:dyDescent="0.3">
      <c r="B1" s="222" t="s">
        <v>148</v>
      </c>
      <c r="C1" s="221"/>
      <c r="D1" s="221"/>
      <c r="E1" s="221"/>
      <c r="F1" s="221"/>
      <c r="G1" s="221"/>
      <c r="H1" s="221"/>
      <c r="I1" s="221"/>
      <c r="J1" s="221"/>
      <c r="K1" s="221"/>
      <c r="L1" s="221"/>
      <c r="M1" s="221"/>
      <c r="N1" s="220"/>
    </row>
    <row r="2" spans="1:27" ht="15.75" customHeight="1" x14ac:dyDescent="0.3">
      <c r="B2" s="219" t="s">
        <v>147</v>
      </c>
      <c r="C2" s="218"/>
      <c r="D2" s="218"/>
      <c r="E2" s="218"/>
      <c r="F2" s="218"/>
      <c r="G2" s="218"/>
      <c r="H2" s="218"/>
      <c r="I2" s="218"/>
      <c r="J2" s="218"/>
      <c r="K2" s="218"/>
      <c r="L2" s="218"/>
      <c r="M2" s="218"/>
      <c r="N2" s="217"/>
      <c r="Q2" s="2"/>
      <c r="S2" s="186"/>
    </row>
    <row r="3" spans="1:27" ht="15.75" customHeight="1" x14ac:dyDescent="0.3">
      <c r="B3" s="219" t="s">
        <v>146</v>
      </c>
      <c r="C3" s="218"/>
      <c r="D3" s="218"/>
      <c r="E3" s="218"/>
      <c r="F3" s="218"/>
      <c r="G3" s="218"/>
      <c r="H3" s="218"/>
      <c r="I3" s="218"/>
      <c r="J3" s="218"/>
      <c r="K3" s="218"/>
      <c r="L3" s="218"/>
      <c r="M3" s="218"/>
      <c r="N3" s="217"/>
      <c r="O3" s="3"/>
      <c r="P3" s="3"/>
      <c r="Q3" s="153"/>
      <c r="R3" s="153"/>
      <c r="S3" s="216" t="e">
        <f>N7+J14</f>
        <v>#VALUE!</v>
      </c>
      <c r="T3" s="216"/>
      <c r="U3" s="153"/>
      <c r="V3" s="153"/>
      <c r="W3" s="153"/>
      <c r="AA3" s="1">
        <f>273000/5</f>
        <v>54600</v>
      </c>
    </row>
    <row r="4" spans="1:27" ht="15.75" customHeight="1" x14ac:dyDescent="0.3">
      <c r="B4" s="215"/>
      <c r="C4" s="214"/>
      <c r="D4" s="214"/>
      <c r="E4" s="214"/>
      <c r="F4" s="214"/>
      <c r="G4" s="214"/>
      <c r="H4" s="214"/>
      <c r="I4" s="214"/>
      <c r="J4" s="214"/>
      <c r="K4" s="214"/>
      <c r="L4" s="214"/>
      <c r="M4" s="214"/>
      <c r="N4" s="213"/>
      <c r="O4" s="212" t="s">
        <v>0</v>
      </c>
      <c r="P4" s="212"/>
      <c r="Q4" s="210"/>
      <c r="R4" s="210"/>
      <c r="S4" s="211"/>
      <c r="T4" s="211"/>
      <c r="U4" s="210" t="s">
        <v>1</v>
      </c>
      <c r="V4" s="210" t="s">
        <v>2</v>
      </c>
      <c r="W4" s="210" t="s">
        <v>3</v>
      </c>
    </row>
    <row r="5" spans="1:27" ht="25.2" thickBot="1" x14ac:dyDescent="0.45">
      <c r="B5" s="17"/>
      <c r="C5" s="18" t="str">
        <f>IF(D5="MIG09","Mirage G09",IF(D5="MIG10","MirageG10",IF(D5="H16","Attrage H16",IF(D5="P16","Attrage P16",IF(D5="H17","Attrage H17",IF(D5="H48","ASX H48",IF(D5="H43","ASX H43",IF(D5="H40","ASX H40",IF(D5="H42","ASX H42",IF(D5="H44","ASX H44",IF(D5="H45","ASX H45",IF(D5="H38","Eclipse H38",IF(D5="H37","Eclipse H37",IF(D5="EH40","Eclipse H40",IF(D5="EH43","Eclipse H43",IF(D5="XPML","Xpander ML",IF(D5="ML","Destinator ML",IF(D5="HL","Destinator HL",IF(D5="PR","Destinator PR",IF(D5="MLP","Destinator MLP",IF(D5="HLP","Destinator HLP",IF(D5="PRP","Destinator PRP",IF(D5="XPHL","Xpander HL",IF(D5="XPMLP","Xpander ML P",IF(D5="XPMLP-01","Xpander ML P-01",IF(D5="XC","Xpander Cross",IF(D5="G03","Outlander G03",IF(D5="P03","Outlander P03",IF(D5="G06","Outlander G06",IF(D5="P06","Outlander P06",IF(D5="OTP06-01","Outlander P06-01",IF(D5="G08","Outlander G08",IF(D5="P08","Outlander P08",IF(D5="H57","Montero H57",IF(D5="P57","Montero P57",IF(D5="H64","Montero G64",IF(D5="H59","Montero G59",IF(D5="P59","Montero G59 P",IF(D5="H61","Montero G61",IF(D5="P61","Montero P61",IF(D5="G10","Outlander G10",IF(D5="P10","Outlander P10",IF(D5="G12","Outlander G12",IF(D5="P12","Outlander P12",IF(D5="G05","Outlander G05",IF(D5="P05","Outlander P05",IF(D5="G09","Outlander G09",IF(D5="P09","Outlander P09",))))))))))))))))))))))))))))))))))))))))))))))))</f>
        <v>ASX H44</v>
      </c>
      <c r="D5" s="19" t="s">
        <v>181</v>
      </c>
      <c r="E5" s="20" t="s">
        <v>145</v>
      </c>
      <c r="F5" s="37"/>
      <c r="G5" s="37"/>
      <c r="H5" s="37"/>
      <c r="I5" s="20"/>
      <c r="J5" s="34"/>
      <c r="K5" s="209">
        <v>0</v>
      </c>
      <c r="L5" s="208">
        <v>3.39E-2</v>
      </c>
      <c r="M5" s="208">
        <v>6.7799999999999999E-2</v>
      </c>
      <c r="N5" s="208">
        <v>0.1017</v>
      </c>
      <c r="O5" s="147">
        <f>K7+K14</f>
        <v>9853.4627701033332</v>
      </c>
      <c r="S5" s="186"/>
      <c r="U5" s="186">
        <f>L7+L14</f>
        <v>4068.1523706380558</v>
      </c>
      <c r="V5" s="186">
        <f>M7+M14</f>
        <v>2751.0171415783334</v>
      </c>
      <c r="W5" s="186">
        <f>N7+N14</f>
        <v>1933.8437150825002</v>
      </c>
    </row>
    <row r="6" spans="1:27" s="5" customFormat="1" ht="99" thickBot="1" x14ac:dyDescent="0.35">
      <c r="A6" s="4" t="s">
        <v>4</v>
      </c>
      <c r="B6" s="26" t="s">
        <v>5</v>
      </c>
      <c r="C6" s="27" t="s">
        <v>6</v>
      </c>
      <c r="D6" s="27" t="s">
        <v>144</v>
      </c>
      <c r="E6" s="27" t="s">
        <v>7</v>
      </c>
      <c r="F6" s="27" t="s">
        <v>8</v>
      </c>
      <c r="G6" s="28" t="s">
        <v>9</v>
      </c>
      <c r="H6" s="28" t="s">
        <v>143</v>
      </c>
      <c r="I6" s="28" t="s">
        <v>10</v>
      </c>
      <c r="J6" s="28" t="s">
        <v>142</v>
      </c>
      <c r="K6" s="28" t="s">
        <v>11</v>
      </c>
      <c r="L6" s="28" t="s">
        <v>12</v>
      </c>
      <c r="M6" s="28" t="s">
        <v>13</v>
      </c>
      <c r="N6" s="28" t="s">
        <v>14</v>
      </c>
      <c r="O6" s="207"/>
      <c r="P6" s="206"/>
      <c r="T6" s="205"/>
      <c r="U6" s="205">
        <f>N7+L14</f>
        <v>3214.4289084158336</v>
      </c>
      <c r="V6" s="205">
        <f>N7+K14</f>
        <v>7932.5849801033337</v>
      </c>
      <c r="W6" s="205" t="e">
        <f>N7+J14</f>
        <v>#VALUE!</v>
      </c>
    </row>
    <row r="7" spans="1:27" ht="25.2" thickBot="1" x14ac:dyDescent="0.45">
      <c r="A7" s="6">
        <f>B8</f>
        <v>73900</v>
      </c>
      <c r="B7" s="29">
        <f>IF(L20="YES",C8*1,IF(L20="NO",B8*1))</f>
        <v>73900</v>
      </c>
      <c r="C7" s="29">
        <f>B7*5/100</f>
        <v>3695</v>
      </c>
      <c r="D7" s="203">
        <f>B7+C7</f>
        <v>77595</v>
      </c>
      <c r="E7" s="29">
        <f>D17</f>
        <v>17883.889500000001</v>
      </c>
      <c r="F7" s="29">
        <f>(C7)+(D10+D11+D12+D13+D16)*5/100</f>
        <v>4260</v>
      </c>
      <c r="G7" s="30">
        <f>B7+E7+F7</f>
        <v>96043.889500000005</v>
      </c>
      <c r="H7" s="29">
        <f>G7*D20</f>
        <v>19208.777900000001</v>
      </c>
      <c r="I7" s="30">
        <f>(G7-H7)</f>
        <v>76835.111600000004</v>
      </c>
      <c r="J7" s="30">
        <f>(((I7*D19)*1)+I7)/12</f>
        <v>6651.9997867700004</v>
      </c>
      <c r="K7" s="30">
        <f>(((I7*D19)*2)+I7)/24</f>
        <v>3450.536803436667</v>
      </c>
      <c r="L7" s="30">
        <f>(((I7*D19)*3)+I7)/36</f>
        <v>2383.3824756588892</v>
      </c>
      <c r="M7" s="30">
        <f>(((I7*D19)*4)+I7)/48</f>
        <v>1849.8053117700001</v>
      </c>
      <c r="N7" s="30">
        <f>((((I7*D19)*5)+I7)/60)</f>
        <v>1529.6590134366668</v>
      </c>
      <c r="O7" s="147"/>
      <c r="P7" s="2">
        <f>H7+H16</f>
        <v>20015.546571800001</v>
      </c>
      <c r="T7" s="186">
        <f>25973/2</f>
        <v>12986.5</v>
      </c>
    </row>
    <row r="8" spans="1:27" ht="24.6" x14ac:dyDescent="0.4">
      <c r="A8" s="7">
        <v>0.2</v>
      </c>
      <c r="B8" s="31">
        <f>IF(D5="MIG09",39900,IF(D5="MIG10",41900,IF(D5="H16",41900,IF(D5="P16",47400,IF(D5="H17",47900,IF(D5="H48",67900,IF(D5="H43",70900,IF(D5="H40",72900,IF(D5="H42",74900,IF(D5="H44",73900,IF(D5="H45",79900,IF(D5="H38",86900,IF(D5="H37",79900,IF(D5="EH40",99900,IF(D5="EH43",106900,IF(D5="ML",71900,IF(D5="HL",83900,IF(D5="PR",95900,IF(D5="MLP",80900,IF(D5="HLP",91900,IF(D5="PRP",102900,IF(D5="XPML",69900,IF(D5="XPHL",71000,IF(D5="XPMLP",75900,IF(D5="XPMLP-01",77800,IF(D5="XC",84900,IF(D5="G10",81900,IF(D5="P10",93900,IF(D5="G12",97900,IF(D5="P12",105900,IF(D5="G05",104900,IF(D5="P05",105900,IF(D5="G03",92900,IF(D5="P03",100900,IF(D5="G06",109900,IF(D5="P06",114900,IF(D5="OTP06-01",118900,IF(D5="G08",125900,IF(D5="P08",132900,IF(D5="OTP06-01",109900,IF(D5="G09",129900,IF(D5="P09",134900,IF(D5="H57",105900,IF(D5="P57",113900,IF(D5="H64",116900,IF(D5="H59",127900,IF(D5="P59",134900,IF(D5="H61",134900,IF(D5="P61",138900)))))))))))))))))))))))))))))))))))))))))))))))))</f>
        <v>73900</v>
      </c>
      <c r="C8" s="32">
        <f>IF(L20="YES",N20,IF(L20="NO",N20))</f>
        <v>73900</v>
      </c>
      <c r="D8" s="29">
        <v>0</v>
      </c>
      <c r="E8" s="33"/>
      <c r="F8" s="139"/>
      <c r="G8" s="140"/>
      <c r="H8" s="110">
        <f>G7*20/100</f>
        <v>19208.777900000001</v>
      </c>
      <c r="I8" s="34"/>
      <c r="J8" s="34" t="s">
        <v>15</v>
      </c>
      <c r="K8" s="34">
        <f>(I7*K5+I7)/24</f>
        <v>3201.4629833333333</v>
      </c>
      <c r="L8" s="34">
        <f>(I7*L5+I7)/36</f>
        <v>2206.661718978889</v>
      </c>
      <c r="M8" s="34">
        <f>(I7*M5+I7)/48</f>
        <v>1709.2610868016666</v>
      </c>
      <c r="N8" s="34">
        <f>(I7*N5+I7)/60</f>
        <v>1410.8207074953336</v>
      </c>
      <c r="O8" s="147">
        <v>0</v>
      </c>
      <c r="P8" s="2">
        <f>P7/12</f>
        <v>1667.9622143166669</v>
      </c>
      <c r="T8" s="1">
        <f>25973-12973</f>
        <v>13000</v>
      </c>
    </row>
    <row r="9" spans="1:27" ht="24.6" x14ac:dyDescent="0.4">
      <c r="A9" s="8">
        <f>B8/(100%-A8)</f>
        <v>92375</v>
      </c>
      <c r="B9" s="109">
        <f>B7-B8</f>
        <v>0</v>
      </c>
      <c r="C9" s="109"/>
      <c r="D9" s="36"/>
      <c r="E9" s="33"/>
      <c r="F9" s="139"/>
      <c r="G9" s="140"/>
      <c r="H9" s="33"/>
      <c r="I9" s="37" t="s">
        <v>16</v>
      </c>
      <c r="J9" s="38">
        <f>(J7*12)-I7</f>
        <v>2988.8858412400004</v>
      </c>
      <c r="K9" s="38">
        <f>(K7*24)-I7</f>
        <v>5977.7716824800009</v>
      </c>
      <c r="L9" s="38">
        <f>(L7*36)-I7</f>
        <v>8966.6575237200013</v>
      </c>
      <c r="M9" s="38">
        <f>(M7*48)-I7</f>
        <v>11955.543364960002</v>
      </c>
      <c r="N9" s="38">
        <f>(N7*60)-I7</f>
        <v>14944.429206200002</v>
      </c>
      <c r="O9" s="147"/>
      <c r="T9" s="1">
        <f>T8/12</f>
        <v>1083.3333333333333</v>
      </c>
      <c r="Z9" s="1" t="s">
        <v>86</v>
      </c>
    </row>
    <row r="10" spans="1:27" ht="24.6" x14ac:dyDescent="0.4">
      <c r="A10" s="8"/>
      <c r="B10" s="37" t="s">
        <v>141</v>
      </c>
      <c r="C10" s="20" t="s">
        <v>17</v>
      </c>
      <c r="D10" s="36">
        <f>IF(C10="YES",700,IF(C10="NO",0))</f>
        <v>0</v>
      </c>
      <c r="E10" s="39"/>
      <c r="F10" s="40"/>
      <c r="G10" s="40"/>
      <c r="H10" s="33"/>
      <c r="I10" s="44" t="s">
        <v>85</v>
      </c>
      <c r="J10" s="117" t="s">
        <v>19</v>
      </c>
      <c r="K10" s="117">
        <f>IF(J10="YES",Z10,IF(J10="NO",0))</f>
        <v>1000</v>
      </c>
      <c r="L10" s="41">
        <f>(L8*36)-I7</f>
        <v>2604.7102832399978</v>
      </c>
      <c r="M10" s="41">
        <f>(M8*48)-I7</f>
        <v>5209.4205664799956</v>
      </c>
      <c r="N10" s="41">
        <f>(N8*60)-I7</f>
        <v>7814.130849720008</v>
      </c>
      <c r="O10" s="147">
        <f>IF(D5="XC",3690,IF(D5="XPML",3690,IF(D5="XPHL",3690,IF(D5="XPMLP",3690,IF(D5="XPMLP-01",3690,IF(D5="Xpander P",3690,IF(D5="ML",3690,IF(D5="HL",3690,IF(D5="PR",(U19*3/100+510)*1.05,IF(D5="MLP",3690,IF(D5="HLP",(U19*3/100+510)*1.05,IF(D5="PRP",(U19*3/100+510)*1.05,IF(D5="H57",(U19*2.75/100+510)*1.05,IF(D5="P57",(U19*2.75/100+510)*1.05,IF(D5="H64",(U19*2.75/100+510)*1.05,IF(D5="H59",(U19*2.75/100+510)*1.05,IF(D5="P59",(U19*2.75/100+510)*1.05,IF(D5="H61",(U19*2.75/100+510)*1.05,IF(D5="P61",(U19*2.75/100+510)*1.05,IF(D5="G03",(U19*3/100+510)*1.05,IF(D5="G10",(U19*3/100+510)*1.05,IF(D5="P10",(U19*3/100+510)*1.05,IF(D5="G12",(U19*3/100+510)*1.05,IF(D5="P12",(U19*3/100+510)*1.05,IF(D5="G05",(U19*3/100+510)*1.05,IF(D5="P05",(U19*3/100+510)*1.05,IF(D5="P03",(U19*3/100+510)*1.05,IF(D5="G06",(U19*3/100+510)*1.05,IF(D5="P06",(U19*3/100+510)*1.05,IF(D5="OTP06-01",(U19*3/100+510)*1.05,IF(D5="G08",(U19*3/100+510)*1.05,IF(D5="P08",(U19*3/100+510)*1.05,IF(D5="G09",(U19*3/100+510)*1.05,IF(D5="P09",(U19*3/100+510)*1.05,IF(D5="H38",3625,IF(D5="H37",3625,IF(D5="EH40",(U19*3/100+450)*1.05,IF(D5="EH43",(U19*3/100+450)*1.05,IF(D5="H48",3625,IF(D5="H43",3625,IF(D5="H40",3625,IF(D5="H42",3625,IF(D5="H44",3625,IF(D5="H45",3625,IF(D5="ASX HL 4WD",3625,IF(D5="H16",3625,IF(D5="H17",3625,IF(D5="P16",3625,IF(D5="Attrage S",3625,IF(D5="MIG09",3625,IF(D5="MIG10",3625,IF(D5="Xpander HL",3690))))))))))))))))))))))))))))))))))))))))))))))))))))</f>
        <v>3625</v>
      </c>
      <c r="P10" s="204"/>
      <c r="Q10" s="204">
        <f>5.25*3</f>
        <v>15.75</v>
      </c>
      <c r="Z10" s="1">
        <f>IF(D5="MIG09",1000,IF(D5="MIG10",1000,IF(D5="H16",1000,IF(D5="P16",1000,IF(D5="H17",1000,IF(D5="H48",1000,IF(D5="H43",1000,IF(D5="H40",1000,IF(D5="H42",1000,IF(D5="H44",1000,IF(D5="H45",1000,IF(D5="H38",1000,IF(D5="H37",1000,IF(D5="EH40",1000,IF(D5="EH43",1000,IF(D5="ML",1000,IF(D5="HL",1000,IF(D5="PR",1000,IF(D5="MLP",1000,IF(D5="HLP",1000,IF(D5="PRP",1000,IF(D5="XPML",1000,IF(D5="XPHL",1000,IF(D5="XPMLP",1000,IF(D5="XPMLP-01",1000,IF(D5="XC",1000,IF(D5="G10",1000,IF(D5="P10",1000,IF(D5="G12",1000,IF(D5="P12",1000,IF(D5="G05",1000,IF(D5="P05",1000,IF(D5="G03",1000,IF(D5="P03",1000,IF(D5="G06",1000,IF(D5="P06",1000,IF(D5="OTP06-01",1000,IF(D5="G08",1000,IF(D5="P08",1000,IF(D5="OTP06-01",1000,IF(D5="G09",1000,IF(D5="P09",1000,IF(D5="H57",1000,IF(D5="P57",1000,IF(D5="H64",1000,IF(D5="H59",1000,IF(D5="P59",1000,IF(D5="H61",1000,IF(D5="P61",1000)))))))))))))))))))))))))))))))))))))))))))))))))</f>
        <v>1000</v>
      </c>
    </row>
    <row r="11" spans="1:27" ht="24.6" x14ac:dyDescent="0.4">
      <c r="A11" s="8"/>
      <c r="B11" s="37" t="s">
        <v>18</v>
      </c>
      <c r="C11" s="20" t="s">
        <v>19</v>
      </c>
      <c r="D11" s="203">
        <f>IF(C11="YES",O17,IF(C11="NO",0))</f>
        <v>2700</v>
      </c>
      <c r="E11" s="39"/>
      <c r="F11" s="40"/>
      <c r="G11" s="40"/>
      <c r="H11" s="33"/>
      <c r="I11" s="33"/>
      <c r="J11" s="44" t="s">
        <v>76</v>
      </c>
      <c r="K11" s="44">
        <f>H8-K10</f>
        <v>18208.777900000001</v>
      </c>
      <c r="L11" s="37"/>
      <c r="M11" s="37"/>
      <c r="N11" s="38"/>
      <c r="O11" s="147">
        <f>IF(D5="XC",6100,IF(D5="XPML",6100,IF(D5="XPHL",6100,IF(D5="XPMLP",6100,IF(D5="XPMLP-01",6100,IF(D5="Xpander P",6100,IF(D5="ML",6600,IF(D5="HL",6600,IF(D5="PR",6600,IF(D5="MLP",6600,IF(D5="HLP",6600,IF(D5="PRP",6600,IF(D5="H57",5900,IF(D5="P57",5900,IF(D5="H64",5900,IF(D5="H59",5900,IF(D5="P59",5900,IF(D5="H61",5900,IF(D5="P61",5900,IF(D5="G03",6700,IF(D5="G10",6700,IF(D5="P10",6700,IF(D5="G12",6700,IF(D5="P12",6700,IF(D5="G05",6700,IF(D5="P05",6700,IF(D5="P03",6700,IF(D5="G06",6700,IF(D5="P06",6700,IF(D5="OTP06-01",6700,IF(D5="G08",6700,IF(D5="G09",6700,IF(D5="G08",6700,IF(D5="P08",6700,IF(D5="P09",6700,IF(D5="H37",6400,IF(D5="H38",6400,IF(D5="EH40",6400,IF(D5="EH43",6400,IF(D5="H48",6600,IF(D5="H43",6600,IF(D5="H40",6600,IF(D5="H42",6600,IF(D5="H44",6600,IF(D5="H45",6600,IF(D5="ASX HL 4WD",6600,IF(D5="H16",5400,IF(D5="H17",5400,IF(D5="P16",5400,IF(D5="Attrage S",5400,IF(D5="MIG09",5400,IF(D5="MIG10",5400,IF(D5="Xpander HL",6000)))))))))))))))))))))))))))))))))))))))))))))))))))))</f>
        <v>6600</v>
      </c>
      <c r="P11" s="147"/>
      <c r="Q11" s="147"/>
      <c r="R11" s="147"/>
      <c r="S11" s="147"/>
      <c r="T11" s="147"/>
      <c r="U11" s="147">
        <f>IF(D5="XC",4900,IF(D5="XPML",4900,IF(D5="XPHL",4900,IF(D5="XPMLP",4900,IF(D5="XPMLP-01",4900,IF(D5="Xpander P",4900,IF(D5="ML",5400,IF(D5="HL",5400,IF(D5="PR",5400,IF(D5="MLP",5400,IF(D5="HLP",5400,IF(D5="PRP",5400,IF(D5="H57",4600,IF(D5="P57",4600,IF(D5="MOG64",4600,IF(D5="H59",4600,IF(D5="P59",4600,IF(D5="H61",4600,IF(D5="P61",4600,IF(D5="G03",5500,IF(D5="P03",5500,IF(D5="G10",5500,IF(D5="P10",5500,IF(D5="G12",5500,IF(D5="P12",5500,IF(D5="G05",5500,IF(D5="P05",5500,IF(D5="G06",5500,IF(D5="P06",5500,IF(D5="OTP06-01",5500,IF(D5="F08",5500,IF(D5="P08",5500,IF(D5="G09",5500,IF(D5="P09",5500,IF(D5="H38",5200,IF(D5="H37",5200,IF(D5="EH40",5200,IF(D5="EH43",5200,IF(D5="H48",5300,IF(D5="H43",5300,IF(D5="H40",5300,IF(D5="H42",5300,IF(D5="H44",5300,IF(D5="H45",5300,IF(D5="ASX HL",5300,IF(D5="ASX P",5300,IF(D5="ASX HL 4WD",5300,IF(D5="H16",4200,IF(D5="H17",4200,IF(D5="P16",4200,IF(D5="Attrage S",4200,IF(D5="MIG09",4200,IF(D5="MIG10",4200,IF(D5="Xpander HL",4900))))))))))))))))))))))))))))))))))))))))))))))))))))))</f>
        <v>5300</v>
      </c>
      <c r="V11" s="147">
        <f>IF(D5="XC",9700,IF(D5="XPML",9700,IF(D5="XPHL",9700,IF(D5="XPMLP",9700,IF(D5="XPMLP-01",9700,IF(D5="XPMLP-01",9700,IF(D5="Xpander P",9700,IF(D5="ML",10800,IF(D5="HL",10800,IF(D5="PR",10800,IF(D5="MLP",10800,IF(D5="HLP",10800,IF(D5="PRP",10800,IF(D5="H57",9300,IF(D5="P57",9300,IF(D5="MG64",9300,IF(D5="H59",9300,IF(D5="P59",9300,IF(D5="H61",9300,IF(D5="P61",9300,IF(D5="G03",11000,IF(D5="G10",11000,IF(D5="P10",11000,IF(D5="G12",11000,IF(D5="P12",11000,IF(D5="G05",11000,IF(D5="P05",11000,IF(D5="P03",11000,IF(D5="G06",11000,IF(D5="P06",11000,IF(D5="OTP06-01",11000,IF(D5="G08",11000,IF(D5="P08",11000,IF(D5="G09",11000,IF(D5="P09",11000,IF(D5="H38",10400,IF(D5="H37",10400,IF(D5="EH40",10400,IF(D5="EH43",10400,IF(D5="H48",10700,IF(D5="H43",10700,IF(D5="H40",10700,IF(D5="H42",10700,IF(D5="H44",10800,IF(D5="H45",10800,IF(D5="ASX HL",12200,IF(D5="ASX P",12200,IF(D5="ASX HL 4WD",12200,IF(D5="H16",8500,IF(D5="H17",8500,IF(D5="P16",8500,IF(D5="Attrage S",9600,IF(D5="MIG09",8500,IF(D5="MIG10",8500,IF(D5="Xpander HL",11300)))))))))))))))))))))))))))))))))))))))))))))))))))))))</f>
        <v>10800</v>
      </c>
      <c r="W11" s="147">
        <f>IF(D5="XC",9200,IF(D5="XPML",9200,IF(D5="XPHL",9200,IF(D5="XPMLP",9200,IF(D5="XPMLP-01",9200,IF(D5="Xpander P",9200,IF(D5="ML",10000,IF(D5="HL",10000,IF(D5="PR",10000,IF(D5="MLP",10000,IF(D5="HLP",10000,IF(D5="PRP",10000,IF(D5="H57",8700,IF(D5="P57",8700,IF(D5="H64",8700,IF(D5="H59",8700,IF(D5="P59",8700,IF(D5="H61",8700,IF(D5="P61",8700,IF(D5="G03",10400,IF(D5="P03",10400,IF(D5="G10",10400,IF(D5="P10",10400,IF(D5="G12",10400,IF(D5="P12",10400,IF(D5="G05",10400,IF(D5="P05",10400,IF(D5="G06",10400,IF(D5="P06",10400,IF(D5="OTP06-01",10400,IF(D5="G08",10400,IF(D5="P08",10400,IF(D5="G09",10400,IF(D5="P09",10400,IF(D5="H38",9800,IF(D5="H37",9800,IF(D5="EH40",9800,IF(D5="EH43",9800,IF(D5="H48",10100,IF(D5="H43",10100,IF(D5="H40",10100,IF(D5="H42",10100,IF(D5="H44",10100,IF(D5="H45",10100,IF(D5="ASX HL",10100,IF(D5="ASX P",10100,IF(D5="ASX HL 4WD",10100,IF(D5="H16",7900,IF(D5="H17",7900,IF(D5="P16",7900,IF(D5="Attrage S",7900,IF(D5="MIG09",7900,IF(D5="MIG10",7900,IF(D5="Xpander HL",9200))))))))))))))))))))))))))))))))))))))))))))))))))))))</f>
        <v>10100</v>
      </c>
      <c r="X11" s="147">
        <f>IF(D5="XC",4500,IF(D5="XPML",4500,IF(D5="XPHL",4500,IF(D5="XPMLP",4500,IF(D5="XPMLP-01",4500,IF(D5="Xpander P",4500,IF(D5="ML",5000,IF(D5="HL",5000,IF(D5="PR",5000,IF(D5="MLP",5000,IF(D5="HLP",5000,IF(D5="PRP",5000,IF(D5="H57",8700,IF(D5="P57",8700,IF(D5="MOG64",4300,IF(D5="H59",4300,IF(D5="P59",4300,IF(D5="H61",4300,IF(D5="P61",4300,IF(D5="G03",5000,IF(D5="P03",5000,IF(D5="G10",5000,IF(D5="P10",5000,IF(D5="G12",5000,IF(D5="P12",5000,IF(D5="G05",5000,IF(D5="P05",5000,IF(D5="G06",5000,IF(D5="P06",5000,IF(D5="OTP06-01",5000,IF(D5="G08",5000,IF(D5="P08",5000,IF(D5="G09",5000,IF(D5="P09",5000,IF(D5="H38",4900,IF(D5="H37",4900,IF(D5="EH40",4900,IF(D5="EH43",4900,IF(D5="H48",4900,IF(D5="H43",4900,IF(D5="H40",4900,IF(D5="H42",4900,IF(D5="H44",4900,IF(D5="H45",4900,IF(D5="ASX HL",4900,IF(D5="ASX P",4900,IF(D5="ASX HL 4WD",4900,IF(D5="H16",3700,IF(D5="H17",3700,IF(D5="P16",3700,IF(D5="Attrage S",3700,IF(D5="MIG09",3700,IF(D5="MIG10",3700,IF(D5="Xpander HL",4500))))))))))))))))))))))))))))))))))))))))))))))))))))))</f>
        <v>4900</v>
      </c>
      <c r="Y11" s="147">
        <f>IF(D5="XC",5400,IF(D5="XPML ",5400,IF(D5="XPHL",5400,IF(D5="XPMLP",5400,IF(D5="XPMLP-01",5400,IF(D5="Xpander P",5400,IF(D5="ML",6000,IF(D5="HL",6000,IF(D5="PR",6000,IF(D5="MLP",6000,IF(D5="HLP",6000,IF(D5="PRP",6000,IF(D5="H57",5200,IF(D5="57",5200,IF(D5="H64",5200,IF(D5="H59",5200,IF(D5="P59",5200,IF(D5="H61",5200,IF(D5="P61",5200,IF(D5="G03",6000,IF(D5="P03",6000,IF(D5="G10",6000,IF(D5="P10",6000,IF(D5="G12",6000,IF(D5="P12",6000,IF(D5="G05",6000,IF(D5="P05",6000,IF(D5="G06",6000,IF(D5="P06",6000,IF(D5="OTP06-01",6000,IF(D5="G08",6000,IF(D5="P08",6000,IF(D5="G09",6000,IF(D5="P09",6000,IF(D5="H38",5700,IF(D5="H37",5700,IF(D5="EH40",5700,IF(D5="EH43",5700,IF(D5="H48",5900,IF(D5="H43",5900,IF(D5="H40",5900,IF(D5="H42",5900,IF(D5="H44",5900,IF(D5="H45",5900,IF(D5="ASX HL",5900,IF(D5="ASX P",5900,IF(D5="ASX HL 4WD",5900,IF(D5="H16",4500,IF(D5="H17",4500,IF(D5="P16",4500,IF(D5="Attrage S",4500,IF(D5="MIG09",4500,IF(D5="MIG10",4500,IF(D5="Xpander HL",5400))))))))))))))))))))))))))))))))))))))))))))))))))))))</f>
        <v>5900</v>
      </c>
    </row>
    <row r="12" spans="1:27" ht="24.6" x14ac:dyDescent="0.4">
      <c r="A12" s="8"/>
      <c r="B12" s="37" t="s">
        <v>20</v>
      </c>
      <c r="C12" s="20" t="s">
        <v>17</v>
      </c>
      <c r="D12" s="36">
        <f>IF(C12="YES",2000,IF(C12="NO",0))</f>
        <v>0</v>
      </c>
      <c r="E12" s="43"/>
      <c r="F12" s="43" t="s">
        <v>21</v>
      </c>
      <c r="G12" s="40"/>
      <c r="H12" s="33">
        <v>600</v>
      </c>
      <c r="I12" s="33"/>
      <c r="J12" s="202" t="s">
        <v>140</v>
      </c>
      <c r="K12" s="45">
        <v>0</v>
      </c>
      <c r="L12" s="45">
        <v>5.2499999999999998E-2</v>
      </c>
      <c r="M12" s="45">
        <v>0.126</v>
      </c>
      <c r="N12" s="201">
        <v>0.26250000000000001</v>
      </c>
      <c r="O12" s="147">
        <f>IF(K20="Esaad",B8*3/100,IF(K20="Emirates Platinum",B8*3/100,IF(K20="Fazaa",B8*3/100,IF(K20="Humat Alwatan",B8*3/100,IF(K20="Permissible",2000,IF(K20="ASX",8400,IF(K20="XPMLP",15100,IF(K20="XP",7200,IF(K20="G43",11000,IF(K20="EC",17000,IF(K20="G37",17000,IF(K20="G38",15000,IF(K20="G40",11000,IF(K20="OUT",3000,IF(K20="F08",14400,IF(K20="P08",11100,IF(K20="F06",13100,IF(K20="P06",13400,IF(K20="F03",3500,IF(K20="F03-1",13500,IF(K20="P03",13100,IF(K20="MON",10000,IF(K20="MON G57",9000,0)))))))))))))))))))))))</f>
        <v>2000</v>
      </c>
      <c r="Z12" s="86" t="s">
        <v>83</v>
      </c>
      <c r="AA12" s="86" t="s">
        <v>84</v>
      </c>
    </row>
    <row r="13" spans="1:27" ht="24.6" x14ac:dyDescent="0.4">
      <c r="A13" s="8">
        <f>B8*1.26582</f>
        <v>93544.097999999998</v>
      </c>
      <c r="B13" s="37" t="s">
        <v>23</v>
      </c>
      <c r="C13" s="20" t="s">
        <v>19</v>
      </c>
      <c r="D13" s="36">
        <f>IF(C13="YES",2000,IF(C13="NO",0))</f>
        <v>2000</v>
      </c>
      <c r="E13" s="47"/>
      <c r="F13" s="47" t="s">
        <v>75</v>
      </c>
      <c r="G13" s="51"/>
      <c r="H13" s="39">
        <v>315</v>
      </c>
      <c r="I13" s="33"/>
      <c r="J13" s="44" t="s">
        <v>54</v>
      </c>
      <c r="K13" s="29" t="s">
        <v>79</v>
      </c>
      <c r="L13" s="29" t="s">
        <v>25</v>
      </c>
      <c r="M13" s="29" t="s">
        <v>0</v>
      </c>
      <c r="N13" s="57" t="s">
        <v>26</v>
      </c>
      <c r="O13" s="9">
        <f>IF(M21="3000-4999",6%,IF(M21="5000-9999",4.75%,IF(M21="10000-14999",3.15%,IF(M21="15000-24999",2.5%,IF(M21="25000-34999",2.25%,IF(M21="35000-99999",2.15%))))))</f>
        <v>4.7500000000000001E-2</v>
      </c>
      <c r="Q13" s="2">
        <f>H7/12</f>
        <v>1600.7314916666667</v>
      </c>
      <c r="U13" s="9">
        <f>IF(M21="3000-4999",6%,IF(M21="5000-9999",3.25%,IF(M21="10000-14999",3%,IF(M21="15000-24999",2.25%,IF(M21="25000-34999",2.15%,IF(M21="35000-99999",1.99%))))))</f>
        <v>3.2500000000000001E-2</v>
      </c>
      <c r="Z13" s="99">
        <f>IF(M21="5000-9999",2.49%,IF(M21="10000-19999",2.19%,IF(M21="20000-34999",2.09%,IF(M21="35000-49999",1.89%,IF(M21="50000-99999",1.79%)))))</f>
        <v>2.4900000000000002E-2</v>
      </c>
      <c r="AA13" s="99">
        <f>IF(M21="5000-9999",2.59%,IF(M21="10000-19999",2.29%,IF(M21="20000-34999",2.19%,IF(M21="35000-49999",1.99%,IF(M21="50000-99999",1.89%)))))</f>
        <v>2.5899999999999999E-2</v>
      </c>
    </row>
    <row r="14" spans="1:27" ht="24.6" x14ac:dyDescent="0.4">
      <c r="A14" s="10" t="s">
        <v>27</v>
      </c>
      <c r="B14" s="37" t="s">
        <v>24</v>
      </c>
      <c r="C14" s="20" t="s">
        <v>19</v>
      </c>
      <c r="D14" s="50">
        <f>IF(C14="YES",U19*3.15*1.05/100,IF(C14="NO",U19*0/100))</f>
        <v>2958.8895000000002</v>
      </c>
      <c r="E14" s="48"/>
      <c r="F14" s="48" t="s">
        <v>24</v>
      </c>
      <c r="G14" s="51" t="s">
        <v>17</v>
      </c>
      <c r="H14" s="39">
        <f>IF(G14="YES",U19*3.15*1.05/100,IF(G14="NO",U19*0/100))</f>
        <v>0</v>
      </c>
      <c r="I14" s="33"/>
      <c r="J14" s="44" t="s">
        <v>55</v>
      </c>
      <c r="K14" s="44">
        <f>(H8*K12+H8)/3</f>
        <v>6402.9259666666667</v>
      </c>
      <c r="L14" s="44">
        <f>(H8*L12+H8)/12</f>
        <v>1684.7698949791668</v>
      </c>
      <c r="M14" s="44">
        <f>(H8*M12+H8)/24</f>
        <v>901.21182980833339</v>
      </c>
      <c r="N14" s="200">
        <f>(H7*N12+H7)/60</f>
        <v>404.18470164583334</v>
      </c>
      <c r="O14" s="9">
        <f>IF(M21="3000-4999",3.89%,IF(M21="5000-9999",3.89%,IF(M21="10000-14999",3.89%,IF(M21="15000-24999",2.69%,IF(M21="25000-34999",2.69%,IF(M21="35000-99999",2.39%,IF(M21="76000-99999",2.5%)))))))</f>
        <v>3.8900000000000004E-2</v>
      </c>
    </row>
    <row r="15" spans="1:27" ht="24.6" x14ac:dyDescent="0.4">
      <c r="A15" s="11">
        <f>(B7*3%)+10+120</f>
        <v>2347</v>
      </c>
      <c r="B15" s="37" t="s">
        <v>28</v>
      </c>
      <c r="C15" s="20" t="s">
        <v>19</v>
      </c>
      <c r="D15" s="29">
        <f>IF(C15="YES",O10,IF(C15="NO",0))</f>
        <v>3625</v>
      </c>
      <c r="E15" s="48"/>
      <c r="F15" s="48" t="s">
        <v>53</v>
      </c>
      <c r="G15" s="51" t="s">
        <v>17</v>
      </c>
      <c r="H15" s="39">
        <f>IF(G15="YES",O10,IF(G15="NO",0))</f>
        <v>0</v>
      </c>
      <c r="I15" s="33"/>
      <c r="J15" s="44"/>
      <c r="K15" s="44"/>
      <c r="L15" s="44"/>
      <c r="M15" s="44"/>
      <c r="N15" s="198"/>
      <c r="O15" s="9" t="b">
        <f>IF(M21="3000-4999",4.99%, IF(M21="5000-11999",2.75%,IF(M21="12000-19999",2.75%,IF(M21="20000-39999",2.25%,IF(M21="40000-69999",2.25%,IF(M21="70000-99999",2.25%))))))</f>
        <v>0</v>
      </c>
      <c r="P15" s="191"/>
    </row>
    <row r="16" spans="1:27" ht="24.6" x14ac:dyDescent="0.4">
      <c r="A16" s="11">
        <f>((B7-B8)*3%+10+120)</f>
        <v>130</v>
      </c>
      <c r="B16" s="37" t="s">
        <v>78</v>
      </c>
      <c r="C16" s="20" t="s">
        <v>19</v>
      </c>
      <c r="D16" s="29">
        <f>IF(C16="YES",O16,IF(C16="NO",0))</f>
        <v>6600</v>
      </c>
      <c r="E16" s="47"/>
      <c r="F16" s="47" t="s">
        <v>74</v>
      </c>
      <c r="G16" s="54"/>
      <c r="H16" s="33">
        <f>I7*1.05%</f>
        <v>806.76867180000011</v>
      </c>
      <c r="I16" s="33"/>
      <c r="J16" s="44" t="s">
        <v>16</v>
      </c>
      <c r="K16" s="44">
        <f>(K14*3)-H8</f>
        <v>0</v>
      </c>
      <c r="L16" s="44">
        <f>(L14*12)-H8</f>
        <v>1008.4608397500015</v>
      </c>
      <c r="M16" s="44">
        <f>(M14*24)-H8</f>
        <v>2420.3060154000013</v>
      </c>
      <c r="N16" s="198"/>
      <c r="O16" s="147">
        <f>IF(B16="RMC-10-70KMS",O11,IF(B16="RMC-10-100000KMS",V11,IF(B16="RMC-40-70KMS",U11, IF(B16="RMC-10-40KMS",X11, IF(B16="RMC-10-60KMS",Y11, IF(B16="RMC-40-100000KMS",W11,0))))))</f>
        <v>6600</v>
      </c>
    </row>
    <row r="17" spans="1:23" ht="24.6" x14ac:dyDescent="0.4">
      <c r="A17" s="11">
        <f>A15+A16</f>
        <v>2477</v>
      </c>
      <c r="B17" s="37"/>
      <c r="C17" s="20"/>
      <c r="D17" s="29">
        <f>SUM(D10:D16)</f>
        <v>17883.889500000001</v>
      </c>
      <c r="E17" s="48"/>
      <c r="F17" s="48"/>
      <c r="G17" s="54"/>
      <c r="H17" s="33">
        <f>+SUM(H12:H16)+(H7)</f>
        <v>20930.546571800001</v>
      </c>
      <c r="I17" s="33"/>
      <c r="J17" s="20"/>
      <c r="K17" s="199"/>
      <c r="L17" s="199"/>
      <c r="M17" s="199"/>
      <c r="N17" s="198"/>
      <c r="O17" s="147">
        <f>IF(B11="FO Ceramic+ Intr&amp;Extr CeramicGold WdwTnt",2700,IF(B11="FO Mirror Camera Sensor",2000))</f>
        <v>2700</v>
      </c>
      <c r="T17" s="1">
        <f>19615-791</f>
        <v>18824</v>
      </c>
    </row>
    <row r="18" spans="1:23" ht="24.6" x14ac:dyDescent="0.4">
      <c r="A18" s="12" t="s">
        <v>29</v>
      </c>
      <c r="B18" s="55" t="s">
        <v>30</v>
      </c>
      <c r="C18" s="197"/>
      <c r="D18" s="57">
        <v>0</v>
      </c>
      <c r="E18" s="38"/>
      <c r="F18" s="20"/>
      <c r="G18" s="20"/>
      <c r="H18" s="37"/>
      <c r="I18" s="37"/>
      <c r="J18" s="37"/>
      <c r="K18" s="37"/>
      <c r="L18" s="37"/>
      <c r="M18" s="37"/>
      <c r="N18" s="37"/>
      <c r="O18" s="9" t="b">
        <f>IF(M21="5000-99999",1.99%)</f>
        <v>0</v>
      </c>
      <c r="U18" s="196" t="s">
        <v>52</v>
      </c>
      <c r="V18" s="196" t="s">
        <v>52</v>
      </c>
    </row>
    <row r="19" spans="1:23" ht="24.6" x14ac:dyDescent="0.4">
      <c r="A19" s="11">
        <f>B8*3.15%</f>
        <v>2327.85</v>
      </c>
      <c r="B19" s="58" t="s">
        <v>31</v>
      </c>
      <c r="C19" s="59"/>
      <c r="D19" s="60">
        <f>IF(K21="DIB EXPAT",O13,IF(K21="DIB LOCAL GVH",U13,IF(K21="Emirates NBD",O14,IF(K21="ADCB",O15,IF(K21="ADCB PAY IN 2027",O19,IF(K21="Ajman Bank",O18,IF(K21="SIB STL",Z13,IF(K21="SIB NON STL",AA13,))))))))</f>
        <v>3.8900000000000004E-2</v>
      </c>
      <c r="E19" s="20"/>
      <c r="F19" s="195"/>
      <c r="G19" s="141" t="s">
        <v>73</v>
      </c>
      <c r="H19" s="142"/>
      <c r="I19" s="143"/>
      <c r="J19" s="109">
        <f>(U19*20/100)/365</f>
        <v>49.019178082191779</v>
      </c>
      <c r="K19" s="37"/>
      <c r="L19" s="37"/>
      <c r="M19" s="37"/>
      <c r="N19" s="34">
        <f>D7</f>
        <v>77595</v>
      </c>
      <c r="O19" s="194" t="b">
        <f>IF(M21="5000-11999",3.35%,IF(M21="12000-19999",3.35%,IF(M21="20000-39999",2.85%,IF(M21="40000-69999",2.85%,IF(M21="70000-99999",2.85%)))))</f>
        <v>0</v>
      </c>
      <c r="P19" s="2">
        <f>81400-2500</f>
        <v>78900</v>
      </c>
      <c r="U19" s="193">
        <f>V19</f>
        <v>89460</v>
      </c>
      <c r="V19" s="192">
        <f>(B7+D10+D11+D12+D13+D16)*1.05</f>
        <v>89460</v>
      </c>
    </row>
    <row r="20" spans="1:23" ht="24.6" x14ac:dyDescent="0.4">
      <c r="A20" s="11"/>
      <c r="B20" s="58" t="s">
        <v>32</v>
      </c>
      <c r="C20" s="59"/>
      <c r="D20" s="63">
        <v>0.2</v>
      </c>
      <c r="E20" s="37"/>
      <c r="F20" s="37"/>
      <c r="G20" s="38"/>
      <c r="H20" s="38"/>
      <c r="I20" s="38"/>
      <c r="J20" s="103"/>
      <c r="K20" s="104" t="s">
        <v>33</v>
      </c>
      <c r="L20" s="104" t="s">
        <v>17</v>
      </c>
      <c r="M20" s="104">
        <f>IF(L20="YES",O12,IF(L20="NO",0))</f>
        <v>0</v>
      </c>
      <c r="N20" s="34">
        <f>B8-M20</f>
        <v>73900</v>
      </c>
      <c r="O20" s="187"/>
      <c r="P20" s="191"/>
      <c r="T20" s="1">
        <f>1992+1084</f>
        <v>3076</v>
      </c>
      <c r="U20" s="186"/>
      <c r="V20" s="2"/>
    </row>
    <row r="21" spans="1:23" ht="24.6" x14ac:dyDescent="0.4">
      <c r="A21" s="13">
        <f>A19+A20</f>
        <v>2327.85</v>
      </c>
      <c r="B21" s="37"/>
      <c r="C21" s="20"/>
      <c r="D21" s="37"/>
      <c r="E21" s="37"/>
      <c r="F21" s="37"/>
      <c r="G21" s="37"/>
      <c r="H21" s="37"/>
      <c r="I21" s="37"/>
      <c r="J21" s="190" t="s">
        <v>34</v>
      </c>
      <c r="K21" s="16" t="s">
        <v>139</v>
      </c>
      <c r="L21" s="16" t="s">
        <v>35</v>
      </c>
      <c r="M21" s="189" t="s">
        <v>80</v>
      </c>
      <c r="N21" s="188"/>
      <c r="O21" s="187"/>
      <c r="T21" s="1">
        <f>25973-12973</f>
        <v>13000</v>
      </c>
      <c r="U21" s="186">
        <f>M14+N7</f>
        <v>2430.8708432450003</v>
      </c>
    </row>
    <row r="22" spans="1:23" s="179" customFormat="1" ht="24.6" x14ac:dyDescent="0.4">
      <c r="A22" s="185"/>
      <c r="B22" s="184" t="s">
        <v>51</v>
      </c>
      <c r="C22" s="183"/>
      <c r="D22" s="183"/>
      <c r="E22" s="183"/>
      <c r="F22" s="183"/>
      <c r="G22" s="183"/>
      <c r="H22" s="183"/>
      <c r="I22" s="183"/>
      <c r="J22" s="183"/>
      <c r="K22" s="183"/>
      <c r="L22" s="183"/>
      <c r="M22" s="183"/>
      <c r="N22" s="182"/>
      <c r="O22" s="181"/>
      <c r="P22" s="180"/>
    </row>
    <row r="23" spans="1:23" s="168" customFormat="1" ht="26.4" x14ac:dyDescent="0.5">
      <c r="A23" s="175" t="s">
        <v>36</v>
      </c>
      <c r="B23" s="172" t="s">
        <v>138</v>
      </c>
      <c r="C23" s="169"/>
      <c r="D23" s="169"/>
      <c r="E23" s="169"/>
      <c r="F23" s="169"/>
      <c r="G23" s="169"/>
      <c r="H23" s="176"/>
      <c r="I23" s="176"/>
      <c r="J23" s="169"/>
      <c r="K23" s="169"/>
      <c r="L23" s="169"/>
      <c r="M23" s="169"/>
      <c r="N23" s="178"/>
      <c r="O23" s="170"/>
      <c r="P23" s="169"/>
    </row>
    <row r="24" spans="1:23" s="168" customFormat="1" ht="26.4" x14ac:dyDescent="0.5">
      <c r="A24" s="175" t="s">
        <v>36</v>
      </c>
      <c r="B24" s="172" t="s">
        <v>137</v>
      </c>
      <c r="C24" s="169"/>
      <c r="D24" s="169"/>
      <c r="E24" s="169"/>
      <c r="F24" s="169"/>
      <c r="G24" s="169"/>
      <c r="H24" s="177">
        <f>H7/365</f>
        <v>52.626788767123287</v>
      </c>
      <c r="I24" s="177">
        <f>H7+H12+H16</f>
        <v>20615.546571800001</v>
      </c>
      <c r="J24" s="169"/>
      <c r="K24" s="169"/>
      <c r="L24" s="169"/>
      <c r="M24" s="169"/>
      <c r="N24" s="173"/>
      <c r="O24" s="170"/>
      <c r="P24" s="169">
        <f>1232+480</f>
        <v>1712</v>
      </c>
      <c r="T24" s="168">
        <f>88704/1.05</f>
        <v>84480</v>
      </c>
    </row>
    <row r="25" spans="1:23" s="168" customFormat="1" ht="26.4" x14ac:dyDescent="0.5">
      <c r="A25" s="175" t="s">
        <v>36</v>
      </c>
      <c r="B25" s="172" t="s">
        <v>136</v>
      </c>
      <c r="C25" s="169"/>
      <c r="D25" s="169"/>
      <c r="E25" s="169"/>
      <c r="F25" s="169"/>
      <c r="G25" s="169"/>
      <c r="H25" s="176"/>
      <c r="I25" s="176"/>
      <c r="J25" s="169"/>
      <c r="K25" s="169"/>
      <c r="L25" s="169"/>
      <c r="M25" s="169"/>
      <c r="N25" s="173"/>
      <c r="O25" s="170"/>
      <c r="P25" s="169"/>
      <c r="Q25" s="168">
        <f>79400-5233.33</f>
        <v>74166.67</v>
      </c>
      <c r="R25" s="168">
        <f>Q25*1.05</f>
        <v>77875.003500000006</v>
      </c>
      <c r="W25" s="168">
        <f>1999+1224</f>
        <v>3223</v>
      </c>
    </row>
    <row r="26" spans="1:23" s="168" customFormat="1" ht="26.4" x14ac:dyDescent="0.5">
      <c r="A26" s="175" t="s">
        <v>36</v>
      </c>
      <c r="B26" s="172" t="s">
        <v>135</v>
      </c>
      <c r="C26" s="169"/>
      <c r="D26" s="169"/>
      <c r="E26" s="169"/>
      <c r="F26" s="169"/>
      <c r="G26" s="169"/>
      <c r="H26" s="169"/>
      <c r="I26" s="169"/>
      <c r="J26" s="169"/>
      <c r="K26" s="169"/>
      <c r="L26" s="169"/>
      <c r="M26" s="169"/>
      <c r="N26" s="173"/>
      <c r="O26" s="170" t="s">
        <v>37</v>
      </c>
      <c r="P26" s="169"/>
      <c r="R26" s="168">
        <f>R25+2469</f>
        <v>80344.003500000006</v>
      </c>
    </row>
    <row r="27" spans="1:23" s="168" customFormat="1" ht="26.4" x14ac:dyDescent="0.5">
      <c r="A27" s="175" t="s">
        <v>36</v>
      </c>
      <c r="B27" s="172" t="s">
        <v>134</v>
      </c>
      <c r="C27" s="169"/>
      <c r="D27" s="169"/>
      <c r="E27" s="169"/>
      <c r="F27" s="169"/>
      <c r="G27" s="169"/>
      <c r="H27" s="169"/>
      <c r="I27" s="169"/>
      <c r="J27" s="169"/>
      <c r="K27" s="169"/>
      <c r="L27" s="169"/>
      <c r="M27" s="169"/>
      <c r="N27" s="173"/>
      <c r="O27" s="170">
        <f>129500-110900</f>
        <v>18600</v>
      </c>
      <c r="P27" s="169"/>
      <c r="W27" s="174">
        <f>N7+L14</f>
        <v>3214.4289084158336</v>
      </c>
    </row>
    <row r="28" spans="1:23" s="168" customFormat="1" ht="26.4" x14ac:dyDescent="0.5">
      <c r="B28" s="172" t="s">
        <v>133</v>
      </c>
      <c r="C28" s="169"/>
      <c r="D28" s="169"/>
      <c r="E28" s="169"/>
      <c r="F28" s="169"/>
      <c r="G28" s="169"/>
      <c r="H28" s="169"/>
      <c r="I28" s="169"/>
      <c r="J28" s="169"/>
      <c r="K28" s="169"/>
      <c r="L28" s="169"/>
      <c r="M28" s="169"/>
      <c r="N28" s="173"/>
      <c r="O28" s="170">
        <f>85000-69900</f>
        <v>15100</v>
      </c>
      <c r="P28" s="169"/>
    </row>
    <row r="29" spans="1:23" s="168" customFormat="1" ht="26.4" x14ac:dyDescent="0.5">
      <c r="B29" s="172" t="s">
        <v>132</v>
      </c>
      <c r="C29" s="169"/>
      <c r="D29" s="169"/>
      <c r="E29" s="169"/>
      <c r="F29" s="169"/>
      <c r="G29" s="169"/>
      <c r="H29" s="169"/>
      <c r="I29" s="169"/>
      <c r="J29" s="169"/>
      <c r="K29" s="169"/>
      <c r="L29" s="169"/>
      <c r="M29" s="169"/>
      <c r="N29" s="171"/>
      <c r="O29" s="170"/>
      <c r="P29" s="169"/>
    </row>
    <row r="30" spans="1:23" x14ac:dyDescent="0.3">
      <c r="B30" s="167" t="s">
        <v>38</v>
      </c>
      <c r="C30" s="166"/>
      <c r="D30" s="166"/>
      <c r="E30" s="166"/>
      <c r="F30" s="166"/>
      <c r="G30" s="166"/>
      <c r="H30" s="166"/>
      <c r="I30" s="166"/>
      <c r="J30" s="166"/>
      <c r="K30" s="166"/>
      <c r="L30" s="166"/>
      <c r="M30" s="166"/>
      <c r="N30" s="165"/>
      <c r="O30" s="147"/>
    </row>
    <row r="31" spans="1:23" x14ac:dyDescent="0.3">
      <c r="B31" s="146"/>
      <c r="C31" s="145"/>
      <c r="D31" s="145"/>
      <c r="E31" s="145"/>
      <c r="F31" s="145"/>
      <c r="G31" s="145"/>
      <c r="H31" s="145"/>
      <c r="I31" s="145"/>
      <c r="J31" s="145"/>
      <c r="K31" s="145"/>
      <c r="L31" s="145"/>
      <c r="M31" s="145"/>
      <c r="N31" s="144"/>
      <c r="O31" s="147"/>
    </row>
    <row r="32" spans="1:23" s="86" customFormat="1" ht="20.399999999999999" x14ac:dyDescent="0.35">
      <c r="B32" s="118" t="s">
        <v>39</v>
      </c>
      <c r="C32" s="119"/>
      <c r="D32" s="119"/>
      <c r="E32" s="119"/>
      <c r="F32" s="119"/>
      <c r="G32" s="119"/>
      <c r="H32" s="119"/>
      <c r="I32" s="119"/>
      <c r="J32" s="119"/>
      <c r="K32" s="119"/>
      <c r="L32" s="119"/>
      <c r="M32" s="119"/>
      <c r="N32" s="120"/>
      <c r="O32" s="92"/>
      <c r="P32" s="83"/>
    </row>
    <row r="33" spans="2:16" s="86" customFormat="1" ht="20.399999999999999" x14ac:dyDescent="0.35">
      <c r="B33" s="118" t="s">
        <v>40</v>
      </c>
      <c r="C33" s="119"/>
      <c r="D33" s="119"/>
      <c r="E33" s="119"/>
      <c r="F33" s="119"/>
      <c r="G33" s="119"/>
      <c r="H33" s="119"/>
      <c r="I33" s="119"/>
      <c r="J33" s="119"/>
      <c r="K33" s="119"/>
      <c r="L33" s="119"/>
      <c r="M33" s="119"/>
      <c r="N33" s="120"/>
      <c r="O33" s="92"/>
      <c r="P33" s="83"/>
    </row>
    <row r="34" spans="2:16" s="86" customFormat="1" ht="20.399999999999999" x14ac:dyDescent="0.35">
      <c r="B34" s="107" t="s">
        <v>131</v>
      </c>
      <c r="C34" s="108"/>
      <c r="D34" s="108"/>
      <c r="E34" s="108"/>
      <c r="F34" s="108"/>
      <c r="G34" s="164" t="s">
        <v>130</v>
      </c>
      <c r="H34" s="164"/>
      <c r="I34" s="163"/>
      <c r="J34" s="163"/>
      <c r="K34" s="163"/>
      <c r="L34" s="163"/>
      <c r="M34" s="162" t="s">
        <v>129</v>
      </c>
      <c r="N34" s="161"/>
      <c r="O34" s="83"/>
      <c r="P34" s="83"/>
    </row>
    <row r="35" spans="2:16" x14ac:dyDescent="0.3">
      <c r="B35" s="160"/>
      <c r="C35" s="159"/>
      <c r="D35" s="159"/>
      <c r="E35" s="159"/>
      <c r="F35" s="159"/>
      <c r="G35" s="159"/>
      <c r="H35" s="159"/>
      <c r="I35" s="159"/>
      <c r="J35" s="159"/>
      <c r="K35" s="159"/>
      <c r="L35" s="159"/>
      <c r="M35" s="159"/>
      <c r="N35" s="158"/>
    </row>
    <row r="36" spans="2:16" x14ac:dyDescent="0.3">
      <c r="B36" s="160"/>
      <c r="C36" s="159"/>
      <c r="D36" s="159"/>
      <c r="E36" s="159"/>
      <c r="F36" s="159"/>
      <c r="G36" s="159"/>
      <c r="H36" s="159"/>
      <c r="I36" s="159"/>
      <c r="J36" s="159"/>
      <c r="K36" s="159"/>
      <c r="L36" s="159"/>
      <c r="M36" s="159"/>
      <c r="N36" s="158"/>
    </row>
    <row r="37" spans="2:16" x14ac:dyDescent="0.3">
      <c r="B37" s="160"/>
      <c r="C37" s="159"/>
      <c r="D37" s="159"/>
      <c r="E37" s="159"/>
      <c r="F37" s="159"/>
      <c r="G37" s="159"/>
      <c r="H37" s="159"/>
      <c r="I37" s="159"/>
      <c r="J37" s="159"/>
      <c r="K37" s="159"/>
      <c r="L37" s="159"/>
      <c r="M37" s="159"/>
      <c r="N37" s="158"/>
    </row>
    <row r="38" spans="2:16" ht="16.8" x14ac:dyDescent="0.3">
      <c r="B38" s="149" t="s">
        <v>128</v>
      </c>
      <c r="C38" s="157"/>
      <c r="D38" s="154"/>
      <c r="E38" s="151"/>
      <c r="F38" s="151"/>
      <c r="G38" s="151"/>
      <c r="H38" s="151"/>
      <c r="I38" s="151"/>
      <c r="J38" s="152"/>
      <c r="K38" s="151"/>
      <c r="L38" s="151"/>
      <c r="M38" s="151"/>
      <c r="N38" s="156"/>
    </row>
    <row r="39" spans="2:16" ht="16.8" x14ac:dyDescent="0.3">
      <c r="B39" s="149" t="s">
        <v>127</v>
      </c>
      <c r="C39" s="155"/>
      <c r="D39" s="154"/>
      <c r="E39" s="151"/>
      <c r="F39" s="151"/>
      <c r="G39" s="151"/>
      <c r="H39" s="151"/>
      <c r="I39" s="151"/>
      <c r="J39" s="152"/>
      <c r="K39" s="151"/>
      <c r="L39" s="151"/>
      <c r="M39" s="151"/>
      <c r="N39" s="150"/>
    </row>
    <row r="40" spans="2:16" ht="16.8" x14ac:dyDescent="0.3">
      <c r="B40" s="149" t="s">
        <v>126</v>
      </c>
      <c r="C40" s="153"/>
      <c r="D40" s="151"/>
      <c r="E40" s="151"/>
      <c r="F40" s="151"/>
      <c r="G40" s="151"/>
      <c r="H40" s="151"/>
      <c r="I40" s="151"/>
      <c r="J40" s="152"/>
      <c r="K40" s="151"/>
      <c r="L40" s="151"/>
      <c r="M40" s="151"/>
      <c r="N40" s="150"/>
    </row>
    <row r="41" spans="2:16" ht="16.8" x14ac:dyDescent="0.3">
      <c r="B41" s="149" t="s">
        <v>125</v>
      </c>
      <c r="N41" s="148"/>
    </row>
    <row r="42" spans="2:16" ht="16.8" x14ac:dyDescent="0.3">
      <c r="B42" s="149" t="s">
        <v>124</v>
      </c>
      <c r="N42" s="148"/>
    </row>
    <row r="43" spans="2:16" ht="16.8" x14ac:dyDescent="0.3">
      <c r="B43" s="149" t="s">
        <v>123</v>
      </c>
      <c r="N43" s="148"/>
    </row>
    <row r="44" spans="2:16" ht="16.8" x14ac:dyDescent="0.3">
      <c r="B44" s="149" t="s">
        <v>122</v>
      </c>
      <c r="N44" s="148"/>
    </row>
    <row r="45" spans="2:16" ht="16.8" x14ac:dyDescent="0.3">
      <c r="B45" s="149" t="s">
        <v>121</v>
      </c>
      <c r="N45" s="148"/>
    </row>
    <row r="46" spans="2:16" ht="16.8" x14ac:dyDescent="0.3">
      <c r="B46" s="149" t="s">
        <v>120</v>
      </c>
      <c r="N46" s="148"/>
    </row>
    <row r="47" spans="2:16" x14ac:dyDescent="0.3">
      <c r="B47" s="146" t="s">
        <v>39</v>
      </c>
      <c r="C47" s="145"/>
      <c r="D47" s="145"/>
      <c r="E47" s="145"/>
      <c r="F47" s="145"/>
      <c r="G47" s="145"/>
      <c r="H47" s="145"/>
      <c r="I47" s="145"/>
      <c r="J47" s="145"/>
      <c r="K47" s="145"/>
      <c r="L47" s="145"/>
      <c r="M47" s="145"/>
      <c r="N47" s="144"/>
      <c r="O47" s="147"/>
    </row>
    <row r="48" spans="2:16" x14ac:dyDescent="0.3">
      <c r="B48" s="146" t="s">
        <v>40</v>
      </c>
      <c r="C48" s="145"/>
      <c r="D48" s="145"/>
      <c r="E48" s="145"/>
      <c r="F48" s="145"/>
      <c r="G48" s="145"/>
      <c r="H48" s="145"/>
      <c r="I48" s="145"/>
      <c r="J48" s="145"/>
      <c r="K48" s="145"/>
      <c r="L48" s="145"/>
      <c r="M48" s="145"/>
      <c r="N48" s="144"/>
      <c r="O48" s="147"/>
    </row>
    <row r="49" spans="2:14" x14ac:dyDescent="0.3">
      <c r="B49" s="146" t="s">
        <v>119</v>
      </c>
      <c r="C49" s="145"/>
      <c r="D49" s="145"/>
      <c r="E49" s="145"/>
      <c r="F49" s="145"/>
      <c r="G49" s="145"/>
      <c r="H49" s="145"/>
      <c r="I49" s="145"/>
      <c r="J49" s="145"/>
      <c r="K49" s="145"/>
      <c r="L49" s="145"/>
      <c r="M49" s="145"/>
      <c r="N49" s="144"/>
    </row>
    <row r="50" spans="2:14" ht="25.8" x14ac:dyDescent="0.3">
      <c r="C50" s="15" t="s">
        <v>41</v>
      </c>
    </row>
    <row r="51" spans="2:14" ht="25.8" x14ac:dyDescent="0.3">
      <c r="C51" s="15" t="s">
        <v>42</v>
      </c>
    </row>
    <row r="52" spans="2:14" ht="25.8" x14ac:dyDescent="0.3">
      <c r="C52" s="15" t="s">
        <v>43</v>
      </c>
    </row>
    <row r="53" spans="2:14" ht="25.8" x14ac:dyDescent="0.3">
      <c r="C53" s="15" t="s">
        <v>44</v>
      </c>
    </row>
    <row r="54" spans="2:14" ht="25.8" x14ac:dyDescent="0.3">
      <c r="C54" s="15" t="s">
        <v>45</v>
      </c>
    </row>
  </sheetData>
  <dataConsolidate/>
  <mergeCells count="11">
    <mergeCell ref="F8:G8"/>
    <mergeCell ref="F9:G9"/>
    <mergeCell ref="G19:I19"/>
    <mergeCell ref="B22:N22"/>
    <mergeCell ref="B30:N30"/>
    <mergeCell ref="B32:N32"/>
    <mergeCell ref="B33:N33"/>
    <mergeCell ref="B47:N47"/>
    <mergeCell ref="B48:N48"/>
    <mergeCell ref="B49:N49"/>
    <mergeCell ref="B31:N31"/>
  </mergeCells>
  <dataValidations count="11">
    <dataValidation type="list" allowBlank="1" showInputMessage="1" showErrorMessage="1" sqref="H34" xr:uid="{B6FBF805-F2F8-44F1-92E6-9AB9A6A33215}">
      <formula1>"ALAA HAMMAD,KHALED QASSEM,RAMY RAOUF,SIMON LOBO,MHAREN CLEMENTE GARADO"</formula1>
    </dataValidation>
    <dataValidation type="list" allowBlank="1" showInputMessage="1" showErrorMessage="1" sqref="M34" xr:uid="{AE9C8C8D-475F-48A7-98BE-6E01F085C946}">
      <formula1>"Alaa Hammad,Bachir Ibrahim Mourad,Khaled Qassem,Ramy Raoof,Simon Lobo,Mharen Clemente Garado,Ranjith"</formula1>
    </dataValidation>
    <dataValidation type="list" allowBlank="1" showInputMessage="1" showErrorMessage="1" sqref="B11" xr:uid="{F9B24E08-7AB8-4FAC-8669-62E64855EC90}">
      <formula1>"FO Ceramic+ Intr&amp;Extr CeramicGold WdwTnt,FO Mirror Camera Sensor"</formula1>
    </dataValidation>
    <dataValidation type="list" allowBlank="1" showInputMessage="1" showErrorMessage="1" sqref="B12" xr:uid="{AB291D88-D636-4D23-88B4-807D8588AABB}">
      <formula1>"FO Exterior ceramic All Cars SCOTCHGUARD,FO Mirror Camera Sensor,FO PPF Gold Package "</formula1>
    </dataValidation>
    <dataValidation type="list" allowBlank="1" showInputMessage="1" showErrorMessage="1" sqref="K20" xr:uid="{D3914535-0864-4FF8-80C2-FF2BF98C18B4}">
      <formula1>"Esaad,Emirates Platinum,Fazaa,Humat Alwatan,Permissible,ASX,XPMLP,XP,MON,MON G57,OUT,F08,P08,F06,P06,F03,F03-1,P03,EC,G37,G38,G40,G43"</formula1>
    </dataValidation>
    <dataValidation type="list" allowBlank="1" showInputMessage="1" showErrorMessage="1" sqref="B16" xr:uid="{002511EF-0E99-4F51-95DC-4B8A14476BAD}">
      <formula1>"RMC-10-40KMS,RMC-10-60KMS,RMC-10-70KMS,RMC-10-100000KMS,RMC-40-70KMS,RMC-40-100000KMS"</formula1>
    </dataValidation>
    <dataValidation type="list" allowBlank="1" showInputMessage="1" showErrorMessage="1" sqref="K24" xr:uid="{A59686D5-8B3A-4C97-AF3D-7764B36AABED}">
      <formula1>"RMC-10-70K,RMC-10-100000K,RMC-40-70K"</formula1>
    </dataValidation>
    <dataValidation type="list" allowBlank="1" showInputMessage="1" showErrorMessage="1" sqref="D5" xr:uid="{F638BFBC-7B74-46AF-AD06-FBF3A7A7EE8A}">
      <formula1>"MIG09,MIG10,H16,P16,H17,H48,H43,H40,H42,H44,H45,H38,H37,EH40,EH43,ML,HL,PR, MLP,HLP,PRP,XPML,XPHL,XPMLP, XPMLP-01,XC, G10,P10, G03, P03, G06,P06,G12,P12,G05,P05,G08,P08,G09,P09,H57,P57,H64,H59,P59,H61,P61"</formula1>
    </dataValidation>
    <dataValidation type="list" allowBlank="1" showInputMessage="1" showErrorMessage="1" sqref="M21" xr:uid="{C706FF59-62B9-4D59-B61A-D514FD051CE3}">
      <formula1>"3000-4999,5000-9999,5000-99999,10000-14999,15000-24999,25000-34999,35000-99999,5000-11999,12000-19999,20000-39999,40000-69999,70000-99999"</formula1>
    </dataValidation>
    <dataValidation type="list" allowBlank="1" showInputMessage="1" showErrorMessage="1" sqref="C10:C16 L20 L24:L25 G14:G15 J10" xr:uid="{27758519-20C9-4D12-8F0A-9BFCAB8349EA}">
      <formula1>"YES,NO"</formula1>
    </dataValidation>
    <dataValidation type="list" allowBlank="1" showInputMessage="1" showErrorMessage="1" sqref="K21" xr:uid="{5471A594-F2C6-4E0F-A4E9-0DAC7FB174FC}">
      <formula1>"ADCB,ADCB PAY IN 2027,Ajman Bank,ADIB,DIB EXPAT,DIB LOCAL GVH,Emirates NBD,EIB,FAB,RAK,SIB STL,SIB NON STL"</formula1>
    </dataValidation>
  </dataValidations>
  <pageMargins left="0.23622047244094491" right="0.23622047244094491" top="0.74803149606299213" bottom="0.74803149606299213" header="0.31496062992125984" footer="0.31496062992125984"/>
  <pageSetup paperSize="9" scale="40" orientation="landscape" horizontalDpi="4294967295" verticalDpi="4294967295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9E85EC-7FCC-4F64-AC65-FA14FB7A5E8F}">
  <sheetPr>
    <pageSetUpPr fitToPage="1"/>
  </sheetPr>
  <dimension ref="A1:AA54"/>
  <sheetViews>
    <sheetView topLeftCell="B1" zoomScaleNormal="100" workbookViewId="0">
      <selection activeCell="D5" sqref="D5"/>
    </sheetView>
  </sheetViews>
  <sheetFormatPr defaultColWidth="9.109375" defaultRowHeight="15.6" x14ac:dyDescent="0.3"/>
  <cols>
    <col min="1" max="1" width="16" style="1" hidden="1" customWidth="1"/>
    <col min="2" max="2" width="75.109375" style="2" customWidth="1"/>
    <col min="3" max="3" width="26.88671875" style="3" customWidth="1"/>
    <col min="4" max="4" width="23.88671875" style="2" customWidth="1"/>
    <col min="5" max="5" width="23.33203125" style="2" customWidth="1"/>
    <col min="6" max="6" width="19.88671875" style="2" customWidth="1"/>
    <col min="7" max="7" width="23.33203125" style="2" customWidth="1"/>
    <col min="8" max="8" width="24.44140625" style="2" customWidth="1"/>
    <col min="9" max="9" width="27.109375" style="2" customWidth="1"/>
    <col min="10" max="10" width="26.6640625" style="2" customWidth="1"/>
    <col min="11" max="11" width="25.44140625" style="2" customWidth="1"/>
    <col min="12" max="12" width="20.5546875" style="2" customWidth="1"/>
    <col min="13" max="13" width="20.109375" style="2" customWidth="1"/>
    <col min="14" max="14" width="19.5546875" style="2" customWidth="1"/>
    <col min="15" max="15" width="15.109375" style="2" bestFit="1" customWidth="1"/>
    <col min="16" max="16" width="12.6640625" style="2" hidden="1" customWidth="1"/>
    <col min="17" max="17" width="12.6640625" style="1" hidden="1" customWidth="1"/>
    <col min="18" max="18" width="15.6640625" style="1" hidden="1" customWidth="1"/>
    <col min="19" max="19" width="13" style="1" hidden="1" customWidth="1"/>
    <col min="20" max="20" width="17.109375" style="1" hidden="1" customWidth="1"/>
    <col min="21" max="21" width="14.5546875" style="1" bestFit="1" customWidth="1"/>
    <col min="22" max="22" width="19" style="1" customWidth="1"/>
    <col min="23" max="23" width="22.5546875" style="1" bestFit="1" customWidth="1"/>
    <col min="24" max="25" width="9.109375" style="1"/>
    <col min="26" max="26" width="14" style="1" bestFit="1" customWidth="1"/>
    <col min="27" max="27" width="22.33203125" style="1" bestFit="1" customWidth="1"/>
    <col min="28" max="16384" width="9.109375" style="1"/>
  </cols>
  <sheetData>
    <row r="1" spans="1:27" ht="15.75" customHeight="1" x14ac:dyDescent="0.3">
      <c r="B1" s="222" t="s">
        <v>148</v>
      </c>
      <c r="C1" s="221"/>
      <c r="D1" s="221"/>
      <c r="E1" s="221"/>
      <c r="F1" s="221"/>
      <c r="G1" s="221"/>
      <c r="H1" s="221"/>
      <c r="I1" s="221"/>
      <c r="J1" s="221"/>
      <c r="K1" s="221"/>
      <c r="L1" s="221"/>
      <c r="M1" s="221"/>
      <c r="N1" s="220"/>
    </row>
    <row r="2" spans="1:27" ht="15.75" customHeight="1" x14ac:dyDescent="0.3">
      <c r="B2" s="219" t="s">
        <v>147</v>
      </c>
      <c r="C2" s="218"/>
      <c r="D2" s="218"/>
      <c r="E2" s="218"/>
      <c r="F2" s="218"/>
      <c r="G2" s="218"/>
      <c r="H2" s="218"/>
      <c r="I2" s="218"/>
      <c r="J2" s="218"/>
      <c r="K2" s="218"/>
      <c r="L2" s="218"/>
      <c r="M2" s="218"/>
      <c r="N2" s="217"/>
      <c r="Q2" s="2"/>
      <c r="S2" s="186"/>
    </row>
    <row r="3" spans="1:27" ht="15.75" customHeight="1" x14ac:dyDescent="0.3">
      <c r="B3" s="219" t="s">
        <v>146</v>
      </c>
      <c r="C3" s="218"/>
      <c r="D3" s="218"/>
      <c r="E3" s="218"/>
      <c r="F3" s="218"/>
      <c r="G3" s="218"/>
      <c r="H3" s="218"/>
      <c r="I3" s="218"/>
      <c r="J3" s="218"/>
      <c r="K3" s="218"/>
      <c r="L3" s="218"/>
      <c r="M3" s="218"/>
      <c r="N3" s="217"/>
      <c r="O3" s="3"/>
      <c r="P3" s="3"/>
      <c r="Q3" s="153"/>
      <c r="R3" s="153"/>
      <c r="S3" s="216" t="e">
        <f>N7+J14</f>
        <v>#VALUE!</v>
      </c>
      <c r="T3" s="216"/>
      <c r="U3" s="153"/>
      <c r="V3" s="153"/>
      <c r="W3" s="153"/>
      <c r="AA3" s="1">
        <f>273000/5</f>
        <v>54600</v>
      </c>
    </row>
    <row r="4" spans="1:27" ht="15.75" customHeight="1" x14ac:dyDescent="0.3">
      <c r="B4" s="215"/>
      <c r="C4" s="214"/>
      <c r="D4" s="214"/>
      <c r="E4" s="214"/>
      <c r="F4" s="214"/>
      <c r="G4" s="214"/>
      <c r="H4" s="214"/>
      <c r="I4" s="214"/>
      <c r="J4" s="214"/>
      <c r="K4" s="214"/>
      <c r="L4" s="214"/>
      <c r="M4" s="214"/>
      <c r="N4" s="213"/>
      <c r="O4" s="212" t="s">
        <v>0</v>
      </c>
      <c r="P4" s="212"/>
      <c r="Q4" s="210"/>
      <c r="R4" s="210"/>
      <c r="S4" s="211"/>
      <c r="T4" s="211"/>
      <c r="U4" s="210" t="s">
        <v>1</v>
      </c>
      <c r="V4" s="210" t="s">
        <v>2</v>
      </c>
      <c r="W4" s="210" t="s">
        <v>3</v>
      </c>
    </row>
    <row r="5" spans="1:27" ht="25.2" thickBot="1" x14ac:dyDescent="0.45">
      <c r="B5" s="17"/>
      <c r="C5" s="18" t="str">
        <f>IF(D5="MIG09","Mirage G09",IF(D5="MIG10","MirageG10",IF(D5="H16","Attrage H16",IF(D5="P16","Attrage P16",IF(D5="H17","Attrage H17",IF(D5="H48","ASX H48",IF(D5="H43","ASX H43",IF(D5="H40","ASX H40",IF(D5="H42","ASX H42",IF(D5="H44","ASX H44",IF(D5="H45","ASX H45",IF(D5="H38","Eclipse H38",IF(D5="H37","Eclipse H37",IF(D5="EH40","Eclipse H40",IF(D5="EH43","Eclipse H43",IF(D5="XPML","Xpander ML",IF(D5="ML","Destinator ML",IF(D5="HL","Destinator HL",IF(D5="PR","Destinator PR",IF(D5="MLP","Destinator MLP",IF(D5="HLP","Destinator HLP",IF(D5="PRP","Destinator PRP",IF(D5="XPHL","Xpander HL",IF(D5="XPMLP","Xpander ML P",IF(D5="XPMLP-01","Xpander ML P-01",IF(D5="XC","Xpander Cross",IF(D5="G03","Outlander G03",IF(D5="P03","Outlander P03",IF(D5="G06","Outlander G06",IF(D5="P06","Outlander P06",IF(D5="OTP06-01","Outlander P06-01",IF(D5="G08","Outlander G08",IF(D5="P08","Outlander P08",IF(D5="H57","Montero H57",IF(D5="P57","Montero P57",IF(D5="H64","Montero G64",IF(D5="H59","Montero G59",IF(D5="P59","Montero G59 P",IF(D5="H61","Montero G61",IF(D5="P61","Montero P61",IF(D5="G10","Outlander G10",IF(D5="P10","Outlander P10",IF(D5="G12","Outlander G12",IF(D5="P12","Outlander P12",IF(D5="G05","Outlander G05",IF(D5="P05","Outlander P05",IF(D5="G09","Outlander G09",IF(D5="P09","Outlander P09",))))))))))))))))))))))))))))))))))))))))))))))))</f>
        <v>ASX H42</v>
      </c>
      <c r="D5" s="19" t="s">
        <v>180</v>
      </c>
      <c r="E5" s="20" t="s">
        <v>145</v>
      </c>
      <c r="F5" s="37"/>
      <c r="G5" s="37"/>
      <c r="H5" s="37"/>
      <c r="I5" s="20"/>
      <c r="J5" s="34"/>
      <c r="K5" s="209">
        <v>0</v>
      </c>
      <c r="L5" s="208">
        <v>3.39E-2</v>
      </c>
      <c r="M5" s="208">
        <v>6.7799999999999999E-2</v>
      </c>
      <c r="N5" s="208">
        <v>0.1017</v>
      </c>
      <c r="O5" s="147">
        <f>K7+K14</f>
        <v>9964.748708328334</v>
      </c>
      <c r="S5" s="186"/>
      <c r="U5" s="186">
        <f>L7+L14</f>
        <v>4114.0984673526382</v>
      </c>
      <c r="V5" s="186">
        <f>M7+M14</f>
        <v>2782.0873887408334</v>
      </c>
      <c r="W5" s="186">
        <f>N7+N14</f>
        <v>1955.6847284637499</v>
      </c>
    </row>
    <row r="6" spans="1:27" s="5" customFormat="1" ht="99" thickBot="1" x14ac:dyDescent="0.35">
      <c r="A6" s="4" t="s">
        <v>4</v>
      </c>
      <c r="B6" s="26" t="s">
        <v>5</v>
      </c>
      <c r="C6" s="27" t="s">
        <v>6</v>
      </c>
      <c r="D6" s="27" t="s">
        <v>144</v>
      </c>
      <c r="E6" s="27" t="s">
        <v>7</v>
      </c>
      <c r="F6" s="27" t="s">
        <v>8</v>
      </c>
      <c r="G6" s="28" t="s">
        <v>9</v>
      </c>
      <c r="H6" s="28" t="s">
        <v>143</v>
      </c>
      <c r="I6" s="28" t="s">
        <v>10</v>
      </c>
      <c r="J6" s="28" t="s">
        <v>142</v>
      </c>
      <c r="K6" s="28" t="s">
        <v>11</v>
      </c>
      <c r="L6" s="28" t="s">
        <v>12</v>
      </c>
      <c r="M6" s="28" t="s">
        <v>13</v>
      </c>
      <c r="N6" s="28" t="s">
        <v>14</v>
      </c>
      <c r="O6" s="207"/>
      <c r="P6" s="206"/>
      <c r="T6" s="205"/>
      <c r="U6" s="205">
        <f>N7+L14</f>
        <v>3250.7329717970833</v>
      </c>
      <c r="V6" s="205">
        <f>N7+K14</f>
        <v>8022.1763433283331</v>
      </c>
      <c r="W6" s="205" t="e">
        <f>N7+J14</f>
        <v>#VALUE!</v>
      </c>
    </row>
    <row r="7" spans="1:27" ht="25.2" thickBot="1" x14ac:dyDescent="0.45">
      <c r="A7" s="6">
        <f>B8</f>
        <v>74900</v>
      </c>
      <c r="B7" s="29">
        <f>IF(L20="YES",C8*1,IF(L20="NO",B8*1))</f>
        <v>74900</v>
      </c>
      <c r="C7" s="29">
        <f>B7*5/100</f>
        <v>3745</v>
      </c>
      <c r="D7" s="203">
        <f>B7+C7</f>
        <v>78645</v>
      </c>
      <c r="E7" s="29">
        <f>D17</f>
        <v>17918.61825</v>
      </c>
      <c r="F7" s="29">
        <f>(C7)+(D10+D11+D12+D13+D16)*5/100</f>
        <v>4310</v>
      </c>
      <c r="G7" s="30">
        <f>B7+E7+F7</f>
        <v>97128.61825</v>
      </c>
      <c r="H7" s="29">
        <f>G7*D20</f>
        <v>19425.72365</v>
      </c>
      <c r="I7" s="30">
        <f>(G7-H7)</f>
        <v>77702.8946</v>
      </c>
      <c r="J7" s="30">
        <f>(((I7*D19)*1)+I7)/12</f>
        <v>6727.1280999949995</v>
      </c>
      <c r="K7" s="30">
        <f>(((I7*D19)*2)+I7)/24</f>
        <v>3489.5074916616668</v>
      </c>
      <c r="L7" s="30">
        <f>(((I7*D19)*3)+I7)/36</f>
        <v>2410.3006222172221</v>
      </c>
      <c r="M7" s="30">
        <f>(((I7*D19)*4)+I7)/48</f>
        <v>1870.6971874950002</v>
      </c>
      <c r="N7" s="30">
        <f>((((I7*D19)*5)+I7)/60)</f>
        <v>1546.9351266616666</v>
      </c>
      <c r="O7" s="147"/>
      <c r="P7" s="2">
        <f>H7+H16</f>
        <v>20241.604043300002</v>
      </c>
      <c r="T7" s="186">
        <f>25973/2</f>
        <v>12986.5</v>
      </c>
    </row>
    <row r="8" spans="1:27" ht="24.6" x14ac:dyDescent="0.4">
      <c r="A8" s="7">
        <v>0.2</v>
      </c>
      <c r="B8" s="31">
        <f>IF(D5="MIG09",39900,IF(D5="MIG10",41900,IF(D5="H16",41900,IF(D5="P16",47400,IF(D5="H17",47900,IF(D5="H48",67900,IF(D5="H43",70900,IF(D5="H40",72900,IF(D5="H42",74900,IF(D5="H44",73900,IF(D5="H45",79900,IF(D5="H38",86900,IF(D5="H37",79900,IF(D5="EH40",99900,IF(D5="EH43",106900,IF(D5="ML",71900,IF(D5="HL",83900,IF(D5="PR",95900,IF(D5="MLP",80900,IF(D5="HLP",91900,IF(D5="PRP",102900,IF(D5="XPML",69900,IF(D5="XPHL",71000,IF(D5="XPMLP",75900,IF(D5="XPMLP-01",77800,IF(D5="XC",84900,IF(D5="G10",81900,IF(D5="P10",93900,IF(D5="G12",97900,IF(D5="P12",105900,IF(D5="G05",104900,IF(D5="P05",105900,IF(D5="G03",92900,IF(D5="P03",100900,IF(D5="G06",109900,IF(D5="P06",114900,IF(D5="OTP06-01",118900,IF(D5="G08",125900,IF(D5="P08",132900,IF(D5="OTP06-01",109900,IF(D5="G09",129900,IF(D5="P09",134900,IF(D5="H57",105900,IF(D5="P57",113900,IF(D5="H64",116900,IF(D5="H59",127900,IF(D5="P59",134900,IF(D5="H61",134900,IF(D5="P61",138900)))))))))))))))))))))))))))))))))))))))))))))))))</f>
        <v>74900</v>
      </c>
      <c r="C8" s="32">
        <f>IF(L20="YES",N20,IF(L20="NO",N20))</f>
        <v>74900</v>
      </c>
      <c r="D8" s="29">
        <v>0</v>
      </c>
      <c r="E8" s="33"/>
      <c r="F8" s="139"/>
      <c r="G8" s="140"/>
      <c r="H8" s="110">
        <f>G7*20/100</f>
        <v>19425.72365</v>
      </c>
      <c r="I8" s="34"/>
      <c r="J8" s="34" t="s">
        <v>15</v>
      </c>
      <c r="K8" s="34">
        <f>(I7*K5+I7)/24</f>
        <v>3237.6206083333332</v>
      </c>
      <c r="L8" s="34">
        <f>(I7*L5+I7)/36</f>
        <v>2231.5839646372224</v>
      </c>
      <c r="M8" s="34">
        <f>(I7*M5+I7)/48</f>
        <v>1728.5656427891665</v>
      </c>
      <c r="N8" s="34">
        <f>(I7*N5+I7)/60</f>
        <v>1426.7546496803334</v>
      </c>
      <c r="O8" s="147">
        <v>0</v>
      </c>
      <c r="P8" s="2">
        <f>P7/12</f>
        <v>1686.8003369416667</v>
      </c>
      <c r="T8" s="1">
        <f>25973-12973</f>
        <v>13000</v>
      </c>
    </row>
    <row r="9" spans="1:27" ht="24.6" x14ac:dyDescent="0.4">
      <c r="A9" s="8">
        <f>B8/(100%-A8)</f>
        <v>93625</v>
      </c>
      <c r="B9" s="109">
        <f>B7-B8</f>
        <v>0</v>
      </c>
      <c r="C9" s="109"/>
      <c r="D9" s="36"/>
      <c r="E9" s="33"/>
      <c r="F9" s="139"/>
      <c r="G9" s="140"/>
      <c r="H9" s="33"/>
      <c r="I9" s="37" t="s">
        <v>16</v>
      </c>
      <c r="J9" s="38">
        <f>(J7*12)-I7</f>
        <v>3022.6425999399944</v>
      </c>
      <c r="K9" s="38">
        <f>(K7*24)-I7</f>
        <v>6045.2851998800033</v>
      </c>
      <c r="L9" s="38">
        <f>(L7*36)-I7</f>
        <v>9067.9277998199977</v>
      </c>
      <c r="M9" s="38">
        <f>(M7*48)-I7</f>
        <v>12090.570399760007</v>
      </c>
      <c r="N9" s="38">
        <f>(N7*60)-I7</f>
        <v>15113.212999700001</v>
      </c>
      <c r="O9" s="147"/>
      <c r="T9" s="1">
        <f>T8/12</f>
        <v>1083.3333333333333</v>
      </c>
      <c r="Z9" s="1" t="s">
        <v>86</v>
      </c>
    </row>
    <row r="10" spans="1:27" ht="24.6" x14ac:dyDescent="0.4">
      <c r="A10" s="8"/>
      <c r="B10" s="37" t="s">
        <v>141</v>
      </c>
      <c r="C10" s="20" t="s">
        <v>17</v>
      </c>
      <c r="D10" s="36">
        <f>IF(C10="YES",700,IF(C10="NO",0))</f>
        <v>0</v>
      </c>
      <c r="E10" s="39"/>
      <c r="F10" s="40"/>
      <c r="G10" s="40"/>
      <c r="H10" s="33"/>
      <c r="I10" s="44" t="s">
        <v>85</v>
      </c>
      <c r="J10" s="117" t="s">
        <v>19</v>
      </c>
      <c r="K10" s="117">
        <f>IF(J10="YES",Z10,IF(J10="NO",0))</f>
        <v>1000</v>
      </c>
      <c r="L10" s="41">
        <f>(L8*36)-I7</f>
        <v>2634.128126940006</v>
      </c>
      <c r="M10" s="41">
        <f>(M8*48)-I7</f>
        <v>5268.2562538799975</v>
      </c>
      <c r="N10" s="41">
        <f>(N8*60)-I7</f>
        <v>7902.3843808200036</v>
      </c>
      <c r="O10" s="147">
        <f>IF(D5="XC",3690,IF(D5="XPML",3690,IF(D5="XPHL",3690,IF(D5="XPMLP",3690,IF(D5="XPMLP-01",3690,IF(D5="Xpander P",3690,IF(D5="ML",3690,IF(D5="HL",3690,IF(D5="PR",(U19*3/100+510)*1.05,IF(D5="MLP",3690,IF(D5="HLP",(U19*3/100+510)*1.05,IF(D5="PRP",(U19*3/100+510)*1.05,IF(D5="H57",(U19*2.75/100+510)*1.05,IF(D5="P57",(U19*2.75/100+510)*1.05,IF(D5="H64",(U19*2.75/100+510)*1.05,IF(D5="H59",(U19*2.75/100+510)*1.05,IF(D5="P59",(U19*2.75/100+510)*1.05,IF(D5="H61",(U19*2.75/100+510)*1.05,IF(D5="P61",(U19*2.75/100+510)*1.05,IF(D5="G03",(U19*3/100+510)*1.05,IF(D5="G10",(U19*3/100+510)*1.05,IF(D5="P10",(U19*3/100+510)*1.05,IF(D5="G12",(U19*3/100+510)*1.05,IF(D5="P12",(U19*3/100+510)*1.05,IF(D5="G05",(U19*3/100+510)*1.05,IF(D5="P05",(U19*3/100+510)*1.05,IF(D5="P03",(U19*3/100+510)*1.05,IF(D5="G06",(U19*3/100+510)*1.05,IF(D5="P06",(U19*3/100+510)*1.05,IF(D5="OTP06-01",(U19*3/100+510)*1.05,IF(D5="G08",(U19*3/100+510)*1.05,IF(D5="P08",(U19*3/100+510)*1.05,IF(D5="G09",(U19*3/100+510)*1.05,IF(D5="P09",(U19*3/100+510)*1.05,IF(D5="H38",3625,IF(D5="H37",3625,IF(D5="EH40",(U19*3/100+450)*1.05,IF(D5="EH43",(U19*3/100+450)*1.05,IF(D5="H48",3625,IF(D5="H43",3625,IF(D5="H40",3625,IF(D5="H42",3625,IF(D5="H44",3625,IF(D5="H45",3625,IF(D5="ASX HL 4WD",3625,IF(D5="H16",3625,IF(D5="H17",3625,IF(D5="P16",3625,IF(D5="Attrage S",3625,IF(D5="MIG09",3625,IF(D5="MIG10",3625,IF(D5="Xpander HL",3690))))))))))))))))))))))))))))))))))))))))))))))))))))</f>
        <v>3625</v>
      </c>
      <c r="P10" s="204"/>
      <c r="Q10" s="204">
        <f>5.25*3</f>
        <v>15.75</v>
      </c>
      <c r="Z10" s="1">
        <f>IF(D5="MIG09",1000,IF(D5="MIG10",1000,IF(D5="H16",1000,IF(D5="P16",1000,IF(D5="H17",1000,IF(D5="H48",1000,IF(D5="H43",1000,IF(D5="H40",1000,IF(D5="H42",1000,IF(D5="H44",1000,IF(D5="H45",1000,IF(D5="H38",1000,IF(D5="H37",1000,IF(D5="EH40",1000,IF(D5="EH43",1000,IF(D5="ML",1000,IF(D5="HL",1000,IF(D5="PR",1000,IF(D5="MLP",1000,IF(D5="HLP",1000,IF(D5="PRP",1000,IF(D5="XPML",1000,IF(D5="XPHL",1000,IF(D5="XPMLP",1000,IF(D5="XPMLP-01",1000,IF(D5="XC",1000,IF(D5="G10",1000,IF(D5="P10",1000,IF(D5="G12",1000,IF(D5="P12",1000,IF(D5="G05",1000,IF(D5="P05",1000,IF(D5="G03",1000,IF(D5="P03",1000,IF(D5="G06",1000,IF(D5="P06",1000,IF(D5="OTP06-01",1000,IF(D5="G08",1000,IF(D5="P08",1000,IF(D5="OTP06-01",1000,IF(D5="G09",1000,IF(D5="P09",1000,IF(D5="H57",1000,IF(D5="P57",1000,IF(D5="H64",1000,IF(D5="H59",1000,IF(D5="P59",1000,IF(D5="H61",1000,IF(D5="P61",1000)))))))))))))))))))))))))))))))))))))))))))))))))</f>
        <v>1000</v>
      </c>
    </row>
    <row r="11" spans="1:27" ht="24.6" x14ac:dyDescent="0.4">
      <c r="A11" s="8"/>
      <c r="B11" s="37" t="s">
        <v>18</v>
      </c>
      <c r="C11" s="20" t="s">
        <v>19</v>
      </c>
      <c r="D11" s="203">
        <f>IF(C11="YES",O17,IF(C11="NO",0))</f>
        <v>2700</v>
      </c>
      <c r="E11" s="39"/>
      <c r="F11" s="40"/>
      <c r="G11" s="40"/>
      <c r="H11" s="33"/>
      <c r="I11" s="33"/>
      <c r="J11" s="44" t="s">
        <v>76</v>
      </c>
      <c r="K11" s="44">
        <f>H8-K10</f>
        <v>18425.72365</v>
      </c>
      <c r="L11" s="37"/>
      <c r="M11" s="37"/>
      <c r="N11" s="38"/>
      <c r="O11" s="147">
        <f>IF(D5="XC",6100,IF(D5="XPML",6100,IF(D5="XPHL",6100,IF(D5="XPMLP",6100,IF(D5="XPMLP-01",6100,IF(D5="Xpander P",6100,IF(D5="ML",6600,IF(D5="HL",6600,IF(D5="PR",6600,IF(D5="MLP",6600,IF(D5="HLP",6600,IF(D5="PRP",6600,IF(D5="H57",5900,IF(D5="P57",5900,IF(D5="H64",5900,IF(D5="H59",5900,IF(D5="P59",5900,IF(D5="H61",5900,IF(D5="P61",5900,IF(D5="G03",6700,IF(D5="G10",6700,IF(D5="P10",6700,IF(D5="G12",6700,IF(D5="P12",6700,IF(D5="G05",6700,IF(D5="P05",6700,IF(D5="P03",6700,IF(D5="G06",6700,IF(D5="P06",6700,IF(D5="OTP06-01",6700,IF(D5="G08",6700,IF(D5="G09",6700,IF(D5="G08",6700,IF(D5="P08",6700,IF(D5="P09",6700,IF(D5="H37",6400,IF(D5="H38",6400,IF(D5="EH40",6400,IF(D5="EH43",6400,IF(D5="H48",6600,IF(D5="H43",6600,IF(D5="H40",6600,IF(D5="H42",6600,IF(D5="H44",6600,IF(D5="H45",6600,IF(D5="ASX HL 4WD",6600,IF(D5="H16",5400,IF(D5="H17",5400,IF(D5="P16",5400,IF(D5="Attrage S",5400,IF(D5="MIG09",5400,IF(D5="MIG10",5400,IF(D5="Xpander HL",6000)))))))))))))))))))))))))))))))))))))))))))))))))))))</f>
        <v>6600</v>
      </c>
      <c r="P11" s="147"/>
      <c r="Q11" s="147"/>
      <c r="R11" s="147"/>
      <c r="S11" s="147"/>
      <c r="T11" s="147"/>
      <c r="U11" s="147">
        <f>IF(D5="XC",4900,IF(D5="XPML",4900,IF(D5="XPHL",4900,IF(D5="XPMLP",4900,IF(D5="XPMLP-01",4900,IF(D5="Xpander P",4900,IF(D5="ML",5400,IF(D5="HL",5400,IF(D5="PR",5400,IF(D5="MLP",5400,IF(D5="HLP",5400,IF(D5="PRP",5400,IF(D5="H57",4600,IF(D5="P57",4600,IF(D5="MOG64",4600,IF(D5="H59",4600,IF(D5="P59",4600,IF(D5="H61",4600,IF(D5="P61",4600,IF(D5="G03",5500,IF(D5="P03",5500,IF(D5="G10",5500,IF(D5="P10",5500,IF(D5="G12",5500,IF(D5="P12",5500,IF(D5="G05",5500,IF(D5="P05",5500,IF(D5="G06",5500,IF(D5="P06",5500,IF(D5="OTP06-01",5500,IF(D5="F08",5500,IF(D5="P08",5500,IF(D5="G09",5500,IF(D5="P09",5500,IF(D5="H38",5200,IF(D5="H37",5200,IF(D5="EH40",5200,IF(D5="EH43",5200,IF(D5="H48",5300,IF(D5="H43",5300,IF(D5="H40",5300,IF(D5="H42",5300,IF(D5="H44",5300,IF(D5="H45",5300,IF(D5="ASX HL",5300,IF(D5="ASX P",5300,IF(D5="ASX HL 4WD",5300,IF(D5="H16",4200,IF(D5="H17",4200,IF(D5="P16",4200,IF(D5="Attrage S",4200,IF(D5="MIG09",4200,IF(D5="MIG10",4200,IF(D5="Xpander HL",4900))))))))))))))))))))))))))))))))))))))))))))))))))))))</f>
        <v>5300</v>
      </c>
      <c r="V11" s="147">
        <f>IF(D5="XC",9700,IF(D5="XPML",9700,IF(D5="XPHL",9700,IF(D5="XPMLP",9700,IF(D5="XPMLP-01",9700,IF(D5="XPMLP-01",9700,IF(D5="Xpander P",9700,IF(D5="ML",10800,IF(D5="HL",10800,IF(D5="PR",10800,IF(D5="MLP",10800,IF(D5="HLP",10800,IF(D5="PRP",10800,IF(D5="H57",9300,IF(D5="P57",9300,IF(D5="MG64",9300,IF(D5="H59",9300,IF(D5="P59",9300,IF(D5="H61",9300,IF(D5="P61",9300,IF(D5="G03",11000,IF(D5="G10",11000,IF(D5="P10",11000,IF(D5="G12",11000,IF(D5="P12",11000,IF(D5="G05",11000,IF(D5="P05",11000,IF(D5="P03",11000,IF(D5="G06",11000,IF(D5="P06",11000,IF(D5="OTP06-01",11000,IF(D5="G08",11000,IF(D5="P08",11000,IF(D5="G09",11000,IF(D5="P09",11000,IF(D5="H38",10400,IF(D5="H37",10400,IF(D5="EH40",10400,IF(D5="EH43",10400,IF(D5="H48",10700,IF(D5="H43",10700,IF(D5="H40",10700,IF(D5="H42",10700,IF(D5="H44",10800,IF(D5="H45",10800,IF(D5="ASX HL",12200,IF(D5="ASX P",12200,IF(D5="ASX HL 4WD",12200,IF(D5="H16",8500,IF(D5="H17",8500,IF(D5="P16",8500,IF(D5="Attrage S",9600,IF(D5="MIG09",8500,IF(D5="MIG10",8500,IF(D5="Xpander HL",11300)))))))))))))))))))))))))))))))))))))))))))))))))))))))</f>
        <v>10700</v>
      </c>
      <c r="W11" s="147">
        <f>IF(D5="XC",9200,IF(D5="XPML",9200,IF(D5="XPHL",9200,IF(D5="XPMLP",9200,IF(D5="XPMLP-01",9200,IF(D5="Xpander P",9200,IF(D5="ML",10000,IF(D5="HL",10000,IF(D5="PR",10000,IF(D5="MLP",10000,IF(D5="HLP",10000,IF(D5="PRP",10000,IF(D5="H57",8700,IF(D5="P57",8700,IF(D5="H64",8700,IF(D5="H59",8700,IF(D5="P59",8700,IF(D5="H61",8700,IF(D5="P61",8700,IF(D5="G03",10400,IF(D5="P03",10400,IF(D5="G10",10400,IF(D5="P10",10400,IF(D5="G12",10400,IF(D5="P12",10400,IF(D5="G05",10400,IF(D5="P05",10400,IF(D5="G06",10400,IF(D5="P06",10400,IF(D5="OTP06-01",10400,IF(D5="G08",10400,IF(D5="P08",10400,IF(D5="G09",10400,IF(D5="P09",10400,IF(D5="H38",9800,IF(D5="H37",9800,IF(D5="EH40",9800,IF(D5="EH43",9800,IF(D5="H48",10100,IF(D5="H43",10100,IF(D5="H40",10100,IF(D5="H42",10100,IF(D5="H44",10100,IF(D5="H45",10100,IF(D5="ASX HL",10100,IF(D5="ASX P",10100,IF(D5="ASX HL 4WD",10100,IF(D5="H16",7900,IF(D5="H17",7900,IF(D5="P16",7900,IF(D5="Attrage S",7900,IF(D5="MIG09",7900,IF(D5="MIG10",7900,IF(D5="Xpander HL",9200))))))))))))))))))))))))))))))))))))))))))))))))))))))</f>
        <v>10100</v>
      </c>
      <c r="X11" s="147">
        <f>IF(D5="XC",4500,IF(D5="XPML",4500,IF(D5="XPHL",4500,IF(D5="XPMLP",4500,IF(D5="XPMLP-01",4500,IF(D5="Xpander P",4500,IF(D5="ML",5000,IF(D5="HL",5000,IF(D5="PR",5000,IF(D5="MLP",5000,IF(D5="HLP",5000,IF(D5="PRP",5000,IF(D5="H57",8700,IF(D5="P57",8700,IF(D5="MOG64",4300,IF(D5="H59",4300,IF(D5="P59",4300,IF(D5="H61",4300,IF(D5="P61",4300,IF(D5="G03",5000,IF(D5="P03",5000,IF(D5="G10",5000,IF(D5="P10",5000,IF(D5="G12",5000,IF(D5="P12",5000,IF(D5="G05",5000,IF(D5="P05",5000,IF(D5="G06",5000,IF(D5="P06",5000,IF(D5="OTP06-01",5000,IF(D5="G08",5000,IF(D5="P08",5000,IF(D5="G09",5000,IF(D5="P09",5000,IF(D5="H38",4900,IF(D5="H37",4900,IF(D5="EH40",4900,IF(D5="EH43",4900,IF(D5="H48",4900,IF(D5="H43",4900,IF(D5="H40",4900,IF(D5="H42",4900,IF(D5="H44",4900,IF(D5="H45",4900,IF(D5="ASX HL",4900,IF(D5="ASX P",4900,IF(D5="ASX HL 4WD",4900,IF(D5="H16",3700,IF(D5="H17",3700,IF(D5="P16",3700,IF(D5="Attrage S",3700,IF(D5="MIG09",3700,IF(D5="MIG10",3700,IF(D5="Xpander HL",4500))))))))))))))))))))))))))))))))))))))))))))))))))))))</f>
        <v>4900</v>
      </c>
      <c r="Y11" s="147">
        <f>IF(D5="XC",5400,IF(D5="XPML ",5400,IF(D5="XPHL",5400,IF(D5="XPMLP",5400,IF(D5="XPMLP-01",5400,IF(D5="Xpander P",5400,IF(D5="ML",6000,IF(D5="HL",6000,IF(D5="PR",6000,IF(D5="MLP",6000,IF(D5="HLP",6000,IF(D5="PRP",6000,IF(D5="H57",5200,IF(D5="57",5200,IF(D5="H64",5200,IF(D5="H59",5200,IF(D5="P59",5200,IF(D5="H61",5200,IF(D5="P61",5200,IF(D5="G03",6000,IF(D5="P03",6000,IF(D5="G10",6000,IF(D5="P10",6000,IF(D5="G12",6000,IF(D5="P12",6000,IF(D5="G05",6000,IF(D5="P05",6000,IF(D5="G06",6000,IF(D5="P06",6000,IF(D5="OTP06-01",6000,IF(D5="G08",6000,IF(D5="P08",6000,IF(D5="G09",6000,IF(D5="P09",6000,IF(D5="H38",5700,IF(D5="H37",5700,IF(D5="EH40",5700,IF(D5="EH43",5700,IF(D5="H48",5900,IF(D5="H43",5900,IF(D5="H40",5900,IF(D5="H42",5900,IF(D5="H44",5900,IF(D5="H45",5900,IF(D5="ASX HL",5900,IF(D5="ASX P",5900,IF(D5="ASX HL 4WD",5900,IF(D5="H16",4500,IF(D5="H17",4500,IF(D5="P16",4500,IF(D5="Attrage S",4500,IF(D5="MIG09",4500,IF(D5="MIG10",4500,IF(D5="Xpander HL",5400))))))))))))))))))))))))))))))))))))))))))))))))))))))</f>
        <v>5900</v>
      </c>
    </row>
    <row r="12" spans="1:27" ht="24.6" x14ac:dyDescent="0.4">
      <c r="A12" s="8"/>
      <c r="B12" s="37" t="s">
        <v>20</v>
      </c>
      <c r="C12" s="20" t="s">
        <v>17</v>
      </c>
      <c r="D12" s="36">
        <f>IF(C12="YES",2000,IF(C12="NO",0))</f>
        <v>0</v>
      </c>
      <c r="E12" s="43"/>
      <c r="F12" s="43" t="s">
        <v>21</v>
      </c>
      <c r="G12" s="40"/>
      <c r="H12" s="33">
        <v>600</v>
      </c>
      <c r="I12" s="33"/>
      <c r="J12" s="202" t="s">
        <v>140</v>
      </c>
      <c r="K12" s="45">
        <v>0</v>
      </c>
      <c r="L12" s="45">
        <v>5.2499999999999998E-2</v>
      </c>
      <c r="M12" s="45">
        <v>0.126</v>
      </c>
      <c r="N12" s="201">
        <v>0.26250000000000001</v>
      </c>
      <c r="O12" s="147">
        <f>IF(K20="Esaad",B8*3/100,IF(K20="Emirates Platinum",B8*3/100,IF(K20="Fazaa",B8*3/100,IF(K20="Humat Alwatan",B8*3/100,IF(K20="Permissible",2000,IF(K20="ASX",8400,IF(K20="XPMLP",15100,IF(K20="XP",7200,IF(K20="G43",11000,IF(K20="EC",17000,IF(K20="G37",17000,IF(K20="G38",15000,IF(K20="G40",11000,IF(K20="OUT",3000,IF(K20="F08",14400,IF(K20="P08",11100,IF(K20="F06",13100,IF(K20="P06",13400,IF(K20="F03",3500,IF(K20="F03-1",13500,IF(K20="P03",13100,IF(K20="MON",10000,IF(K20="MON G57",9000,0)))))))))))))))))))))))</f>
        <v>2000</v>
      </c>
      <c r="Z12" s="86" t="s">
        <v>83</v>
      </c>
      <c r="AA12" s="86" t="s">
        <v>84</v>
      </c>
    </row>
    <row r="13" spans="1:27" ht="24.6" x14ac:dyDescent="0.4">
      <c r="A13" s="8">
        <f>B8*1.26582</f>
        <v>94809.917999999991</v>
      </c>
      <c r="B13" s="37" t="s">
        <v>23</v>
      </c>
      <c r="C13" s="20" t="s">
        <v>19</v>
      </c>
      <c r="D13" s="36">
        <f>IF(C13="YES",2000,IF(C13="NO",0))</f>
        <v>2000</v>
      </c>
      <c r="E13" s="47"/>
      <c r="F13" s="47" t="s">
        <v>75</v>
      </c>
      <c r="G13" s="51"/>
      <c r="H13" s="39">
        <v>315</v>
      </c>
      <c r="I13" s="33"/>
      <c r="J13" s="44" t="s">
        <v>54</v>
      </c>
      <c r="K13" s="29" t="s">
        <v>79</v>
      </c>
      <c r="L13" s="29" t="s">
        <v>25</v>
      </c>
      <c r="M13" s="29" t="s">
        <v>0</v>
      </c>
      <c r="N13" s="57" t="s">
        <v>26</v>
      </c>
      <c r="O13" s="9">
        <f>IF(M21="3000-4999",6%,IF(M21="5000-9999",4.75%,IF(M21="10000-14999",3.15%,IF(M21="15000-24999",2.5%,IF(M21="25000-34999",2.25%,IF(M21="35000-99999",2.15%))))))</f>
        <v>4.7500000000000001E-2</v>
      </c>
      <c r="Q13" s="2">
        <f>H7/12</f>
        <v>1618.8103041666666</v>
      </c>
      <c r="U13" s="9">
        <f>IF(M21="3000-4999",6%,IF(M21="5000-9999",3.25%,IF(M21="10000-14999",3%,IF(M21="15000-24999",2.25%,IF(M21="25000-34999",2.15%,IF(M21="35000-99999",1.99%))))))</f>
        <v>3.2500000000000001E-2</v>
      </c>
      <c r="Z13" s="99">
        <f>IF(M21="5000-9999",2.49%,IF(M21="10000-19999",2.19%,IF(M21="20000-34999",2.09%,IF(M21="35000-49999",1.89%,IF(M21="50000-99999",1.79%)))))</f>
        <v>2.4900000000000002E-2</v>
      </c>
      <c r="AA13" s="99">
        <f>IF(M21="5000-9999",2.59%,IF(M21="10000-19999",2.29%,IF(M21="20000-34999",2.19%,IF(M21="35000-49999",1.99%,IF(M21="50000-99999",1.89%)))))</f>
        <v>2.5899999999999999E-2</v>
      </c>
    </row>
    <row r="14" spans="1:27" ht="24.6" x14ac:dyDescent="0.4">
      <c r="A14" s="10" t="s">
        <v>27</v>
      </c>
      <c r="B14" s="37" t="s">
        <v>24</v>
      </c>
      <c r="C14" s="20" t="s">
        <v>19</v>
      </c>
      <c r="D14" s="50">
        <f>IF(C14="YES",U19*3.15*1.05/100,IF(C14="NO",U19*0/100))</f>
        <v>2993.61825</v>
      </c>
      <c r="E14" s="48"/>
      <c r="F14" s="48" t="s">
        <v>24</v>
      </c>
      <c r="G14" s="51" t="s">
        <v>17</v>
      </c>
      <c r="H14" s="39">
        <f>IF(G14="YES",U19*3.15*1.05/100,IF(G14="NO",U19*0/100))</f>
        <v>0</v>
      </c>
      <c r="I14" s="33"/>
      <c r="J14" s="44" t="s">
        <v>55</v>
      </c>
      <c r="K14" s="44">
        <f>(H8*K12+H8)/3</f>
        <v>6475.2412166666663</v>
      </c>
      <c r="L14" s="44">
        <f>(H8*L12+H8)/12</f>
        <v>1703.7978451354165</v>
      </c>
      <c r="M14" s="44">
        <f>(H8*M12+H8)/24</f>
        <v>911.3902012458334</v>
      </c>
      <c r="N14" s="200">
        <f>(H7*N12+H7)/60</f>
        <v>408.7496018020833</v>
      </c>
      <c r="O14" s="9">
        <f>IF(M21="3000-4999",3.89%,IF(M21="5000-9999",3.89%,IF(M21="10000-14999",3.89%,IF(M21="15000-24999",2.69%,IF(M21="25000-34999",2.69%,IF(M21="35000-99999",2.39%,IF(M21="76000-99999",2.5%)))))))</f>
        <v>3.8900000000000004E-2</v>
      </c>
    </row>
    <row r="15" spans="1:27" ht="24.6" x14ac:dyDescent="0.4">
      <c r="A15" s="11">
        <f>(B7*3%)+10+120</f>
        <v>2377</v>
      </c>
      <c r="B15" s="37" t="s">
        <v>28</v>
      </c>
      <c r="C15" s="20" t="s">
        <v>19</v>
      </c>
      <c r="D15" s="29">
        <f>IF(C15="YES",O10,IF(C15="NO",0))</f>
        <v>3625</v>
      </c>
      <c r="E15" s="48"/>
      <c r="F15" s="48" t="s">
        <v>53</v>
      </c>
      <c r="G15" s="51" t="s">
        <v>17</v>
      </c>
      <c r="H15" s="39">
        <f>IF(G15="YES",O10,IF(G15="NO",0))</f>
        <v>0</v>
      </c>
      <c r="I15" s="33"/>
      <c r="J15" s="44"/>
      <c r="K15" s="44"/>
      <c r="L15" s="44"/>
      <c r="M15" s="44"/>
      <c r="N15" s="198"/>
      <c r="O15" s="9" t="b">
        <f>IF(M21="3000-4999",4.99%, IF(M21="5000-11999",2.75%,IF(M21="12000-19999",2.75%,IF(M21="20000-39999",2.25%,IF(M21="40000-69999",2.25%,IF(M21="70000-99999",2.25%))))))</f>
        <v>0</v>
      </c>
      <c r="P15" s="191"/>
    </row>
    <row r="16" spans="1:27" ht="24.6" x14ac:dyDescent="0.4">
      <c r="A16" s="11">
        <f>((B7-B8)*3%+10+120)</f>
        <v>130</v>
      </c>
      <c r="B16" s="37" t="s">
        <v>78</v>
      </c>
      <c r="C16" s="20" t="s">
        <v>19</v>
      </c>
      <c r="D16" s="29">
        <f>IF(C16="YES",O16,IF(C16="NO",0))</f>
        <v>6600</v>
      </c>
      <c r="E16" s="47"/>
      <c r="F16" s="47" t="s">
        <v>74</v>
      </c>
      <c r="G16" s="54"/>
      <c r="H16" s="33">
        <f>I7*1.05%</f>
        <v>815.88039330000004</v>
      </c>
      <c r="I16" s="33"/>
      <c r="J16" s="44" t="s">
        <v>16</v>
      </c>
      <c r="K16" s="44">
        <f>(K14*3)-H8</f>
        <v>0</v>
      </c>
      <c r="L16" s="44">
        <f>(L14*12)-H8</f>
        <v>1019.8504916249985</v>
      </c>
      <c r="M16" s="44">
        <f>(M14*24)-H8</f>
        <v>2447.6411799000016</v>
      </c>
      <c r="N16" s="198"/>
      <c r="O16" s="147">
        <f>IF(B16="RMC-10-70KMS",O11,IF(B16="RMC-10-100000KMS",V11,IF(B16="RMC-40-70KMS",U11, IF(B16="RMC-10-40KMS",X11, IF(B16="RMC-10-60KMS",Y11, IF(B16="RMC-40-100000KMS",W11,0))))))</f>
        <v>6600</v>
      </c>
    </row>
    <row r="17" spans="1:23" ht="24.6" x14ac:dyDescent="0.4">
      <c r="A17" s="11">
        <f>A15+A16</f>
        <v>2507</v>
      </c>
      <c r="B17" s="37"/>
      <c r="C17" s="20"/>
      <c r="D17" s="29">
        <f>SUM(D10:D16)</f>
        <v>17918.61825</v>
      </c>
      <c r="E17" s="48"/>
      <c r="F17" s="48"/>
      <c r="G17" s="54"/>
      <c r="H17" s="33">
        <f>+SUM(H12:H16)+(H7)</f>
        <v>21156.604043300002</v>
      </c>
      <c r="I17" s="33"/>
      <c r="J17" s="20"/>
      <c r="K17" s="199"/>
      <c r="L17" s="199"/>
      <c r="M17" s="199"/>
      <c r="N17" s="198"/>
      <c r="O17" s="147">
        <f>IF(B11="FO Ceramic+ Intr&amp;Extr CeramicGold WdwTnt",2700,IF(B11="FO Mirror Camera Sensor",2000))</f>
        <v>2700</v>
      </c>
      <c r="T17" s="1">
        <f>19615-791</f>
        <v>18824</v>
      </c>
    </row>
    <row r="18" spans="1:23" ht="24.6" x14ac:dyDescent="0.4">
      <c r="A18" s="12" t="s">
        <v>29</v>
      </c>
      <c r="B18" s="55" t="s">
        <v>30</v>
      </c>
      <c r="C18" s="197"/>
      <c r="D18" s="57">
        <v>0</v>
      </c>
      <c r="E18" s="38"/>
      <c r="F18" s="20"/>
      <c r="G18" s="20"/>
      <c r="H18" s="37"/>
      <c r="I18" s="37"/>
      <c r="J18" s="37"/>
      <c r="K18" s="37"/>
      <c r="L18" s="37"/>
      <c r="M18" s="37"/>
      <c r="N18" s="37"/>
      <c r="O18" s="9" t="b">
        <f>IF(M21="5000-99999",1.99%)</f>
        <v>0</v>
      </c>
      <c r="U18" s="196" t="s">
        <v>52</v>
      </c>
      <c r="V18" s="196" t="s">
        <v>52</v>
      </c>
    </row>
    <row r="19" spans="1:23" ht="24.6" x14ac:dyDescent="0.4">
      <c r="A19" s="11">
        <f>B8*3.15%</f>
        <v>2359.35</v>
      </c>
      <c r="B19" s="58" t="s">
        <v>31</v>
      </c>
      <c r="C19" s="59"/>
      <c r="D19" s="60">
        <f>IF(K21="DIB EXPAT",O13,IF(K21="DIB LOCAL GVH",U13,IF(K21="Emirates NBD",O14,IF(K21="ADCB",O15,IF(K21="ADCB PAY IN 2027",O19,IF(K21="Ajman Bank",O18,IF(K21="SIB STL",Z13,IF(K21="SIB NON STL",AA13,))))))))</f>
        <v>3.8900000000000004E-2</v>
      </c>
      <c r="E19" s="20"/>
      <c r="F19" s="195"/>
      <c r="G19" s="141" t="s">
        <v>73</v>
      </c>
      <c r="H19" s="142"/>
      <c r="I19" s="143"/>
      <c r="J19" s="109">
        <f>(U19*20/100)/365</f>
        <v>49.594520547945208</v>
      </c>
      <c r="K19" s="37"/>
      <c r="L19" s="37"/>
      <c r="M19" s="37"/>
      <c r="N19" s="34">
        <f>D7</f>
        <v>78645</v>
      </c>
      <c r="O19" s="194" t="b">
        <f>IF(M21="5000-11999",3.35%,IF(M21="12000-19999",3.35%,IF(M21="20000-39999",2.85%,IF(M21="40000-69999",2.85%,IF(M21="70000-99999",2.85%)))))</f>
        <v>0</v>
      </c>
      <c r="P19" s="2">
        <f>81400-2500</f>
        <v>78900</v>
      </c>
      <c r="U19" s="193">
        <f>V19</f>
        <v>90510</v>
      </c>
      <c r="V19" s="192">
        <f>(B7+D10+D11+D12+D13+D16)*1.05</f>
        <v>90510</v>
      </c>
    </row>
    <row r="20" spans="1:23" ht="24.6" x14ac:dyDescent="0.4">
      <c r="A20" s="11"/>
      <c r="B20" s="58" t="s">
        <v>32</v>
      </c>
      <c r="C20" s="59"/>
      <c r="D20" s="63">
        <v>0.2</v>
      </c>
      <c r="E20" s="37"/>
      <c r="F20" s="37"/>
      <c r="G20" s="38"/>
      <c r="H20" s="38"/>
      <c r="I20" s="38"/>
      <c r="J20" s="103"/>
      <c r="K20" s="104" t="s">
        <v>33</v>
      </c>
      <c r="L20" s="104" t="s">
        <v>17</v>
      </c>
      <c r="M20" s="104">
        <f>IF(L20="YES",O12,IF(L20="NO",0))</f>
        <v>0</v>
      </c>
      <c r="N20" s="34">
        <f>B8-M20</f>
        <v>74900</v>
      </c>
      <c r="O20" s="187"/>
      <c r="P20" s="191"/>
      <c r="T20" s="1">
        <f>1992+1084</f>
        <v>3076</v>
      </c>
      <c r="U20" s="186"/>
      <c r="V20" s="2"/>
    </row>
    <row r="21" spans="1:23" ht="24.6" x14ac:dyDescent="0.4">
      <c r="A21" s="13">
        <f>A19+A20</f>
        <v>2359.35</v>
      </c>
      <c r="B21" s="37"/>
      <c r="C21" s="20"/>
      <c r="D21" s="37"/>
      <c r="E21" s="37"/>
      <c r="F21" s="37"/>
      <c r="G21" s="37"/>
      <c r="H21" s="37"/>
      <c r="I21" s="37"/>
      <c r="J21" s="190" t="s">
        <v>34</v>
      </c>
      <c r="K21" s="16" t="s">
        <v>139</v>
      </c>
      <c r="L21" s="16" t="s">
        <v>35</v>
      </c>
      <c r="M21" s="189" t="s">
        <v>80</v>
      </c>
      <c r="N21" s="188"/>
      <c r="O21" s="187"/>
      <c r="T21" s="1">
        <f>25973-12973</f>
        <v>13000</v>
      </c>
      <c r="U21" s="186">
        <f>M14+N7</f>
        <v>2458.3253279074997</v>
      </c>
    </row>
    <row r="22" spans="1:23" s="179" customFormat="1" ht="24.6" x14ac:dyDescent="0.4">
      <c r="A22" s="185"/>
      <c r="B22" s="184" t="s">
        <v>51</v>
      </c>
      <c r="C22" s="183"/>
      <c r="D22" s="183"/>
      <c r="E22" s="183"/>
      <c r="F22" s="183"/>
      <c r="G22" s="183"/>
      <c r="H22" s="183"/>
      <c r="I22" s="183"/>
      <c r="J22" s="183"/>
      <c r="K22" s="183"/>
      <c r="L22" s="183"/>
      <c r="M22" s="183"/>
      <c r="N22" s="182"/>
      <c r="O22" s="181"/>
      <c r="P22" s="180"/>
    </row>
    <row r="23" spans="1:23" s="168" customFormat="1" ht="26.4" x14ac:dyDescent="0.5">
      <c r="A23" s="175" t="s">
        <v>36</v>
      </c>
      <c r="B23" s="172" t="s">
        <v>138</v>
      </c>
      <c r="C23" s="169"/>
      <c r="D23" s="169"/>
      <c r="E23" s="169"/>
      <c r="F23" s="169"/>
      <c r="G23" s="169"/>
      <c r="H23" s="176"/>
      <c r="I23" s="176"/>
      <c r="J23" s="169"/>
      <c r="K23" s="169"/>
      <c r="L23" s="169"/>
      <c r="M23" s="169"/>
      <c r="N23" s="178"/>
      <c r="O23" s="170"/>
      <c r="P23" s="169"/>
    </row>
    <row r="24" spans="1:23" s="168" customFormat="1" ht="26.4" x14ac:dyDescent="0.5">
      <c r="A24" s="175" t="s">
        <v>36</v>
      </c>
      <c r="B24" s="172" t="s">
        <v>137</v>
      </c>
      <c r="C24" s="169"/>
      <c r="D24" s="169"/>
      <c r="E24" s="169"/>
      <c r="F24" s="169"/>
      <c r="G24" s="169"/>
      <c r="H24" s="177">
        <f>H7/365</f>
        <v>53.221160684931505</v>
      </c>
      <c r="I24" s="177">
        <f>H7+H12+H16</f>
        <v>20841.604043300002</v>
      </c>
      <c r="J24" s="169"/>
      <c r="K24" s="169"/>
      <c r="L24" s="169"/>
      <c r="M24" s="169"/>
      <c r="N24" s="173"/>
      <c r="O24" s="170"/>
      <c r="P24" s="169">
        <f>1232+480</f>
        <v>1712</v>
      </c>
      <c r="T24" s="168">
        <f>88704/1.05</f>
        <v>84480</v>
      </c>
    </row>
    <row r="25" spans="1:23" s="168" customFormat="1" ht="26.4" x14ac:dyDescent="0.5">
      <c r="A25" s="175" t="s">
        <v>36</v>
      </c>
      <c r="B25" s="172" t="s">
        <v>136</v>
      </c>
      <c r="C25" s="169"/>
      <c r="D25" s="169"/>
      <c r="E25" s="169"/>
      <c r="F25" s="169"/>
      <c r="G25" s="169"/>
      <c r="H25" s="176"/>
      <c r="I25" s="176"/>
      <c r="J25" s="169"/>
      <c r="K25" s="169"/>
      <c r="L25" s="169"/>
      <c r="M25" s="169"/>
      <c r="N25" s="173"/>
      <c r="O25" s="170"/>
      <c r="P25" s="169"/>
      <c r="Q25" s="168">
        <f>79400-5233.33</f>
        <v>74166.67</v>
      </c>
      <c r="R25" s="168">
        <f>Q25*1.05</f>
        <v>77875.003500000006</v>
      </c>
      <c r="W25" s="168">
        <f>1999+1224</f>
        <v>3223</v>
      </c>
    </row>
    <row r="26" spans="1:23" s="168" customFormat="1" ht="26.4" x14ac:dyDescent="0.5">
      <c r="A26" s="175" t="s">
        <v>36</v>
      </c>
      <c r="B26" s="172" t="s">
        <v>135</v>
      </c>
      <c r="C26" s="169"/>
      <c r="D26" s="169"/>
      <c r="E26" s="169"/>
      <c r="F26" s="169"/>
      <c r="G26" s="169"/>
      <c r="H26" s="169"/>
      <c r="I26" s="169"/>
      <c r="J26" s="169"/>
      <c r="K26" s="169"/>
      <c r="L26" s="169"/>
      <c r="M26" s="169"/>
      <c r="N26" s="173"/>
      <c r="O26" s="170" t="s">
        <v>37</v>
      </c>
      <c r="P26" s="169"/>
      <c r="R26" s="168">
        <f>R25+2469</f>
        <v>80344.003500000006</v>
      </c>
    </row>
    <row r="27" spans="1:23" s="168" customFormat="1" ht="26.4" x14ac:dyDescent="0.5">
      <c r="A27" s="175" t="s">
        <v>36</v>
      </c>
      <c r="B27" s="172" t="s">
        <v>134</v>
      </c>
      <c r="C27" s="169"/>
      <c r="D27" s="169"/>
      <c r="E27" s="169"/>
      <c r="F27" s="169"/>
      <c r="G27" s="169"/>
      <c r="H27" s="169"/>
      <c r="I27" s="169"/>
      <c r="J27" s="169"/>
      <c r="K27" s="169"/>
      <c r="L27" s="169"/>
      <c r="M27" s="169"/>
      <c r="N27" s="173"/>
      <c r="O27" s="170">
        <f>129500-110900</f>
        <v>18600</v>
      </c>
      <c r="P27" s="169"/>
      <c r="W27" s="174">
        <f>N7+L14</f>
        <v>3250.7329717970833</v>
      </c>
    </row>
    <row r="28" spans="1:23" s="168" customFormat="1" ht="26.4" x14ac:dyDescent="0.5">
      <c r="B28" s="172" t="s">
        <v>133</v>
      </c>
      <c r="C28" s="169"/>
      <c r="D28" s="169"/>
      <c r="E28" s="169"/>
      <c r="F28" s="169"/>
      <c r="G28" s="169"/>
      <c r="H28" s="169"/>
      <c r="I28" s="169"/>
      <c r="J28" s="169"/>
      <c r="K28" s="169"/>
      <c r="L28" s="169"/>
      <c r="M28" s="169"/>
      <c r="N28" s="173"/>
      <c r="O28" s="170">
        <f>85000-69900</f>
        <v>15100</v>
      </c>
      <c r="P28" s="169"/>
    </row>
    <row r="29" spans="1:23" s="168" customFormat="1" ht="26.4" x14ac:dyDescent="0.5">
      <c r="B29" s="172" t="s">
        <v>132</v>
      </c>
      <c r="C29" s="169"/>
      <c r="D29" s="169"/>
      <c r="E29" s="169"/>
      <c r="F29" s="169"/>
      <c r="G29" s="169"/>
      <c r="H29" s="169"/>
      <c r="I29" s="169"/>
      <c r="J29" s="169"/>
      <c r="K29" s="169"/>
      <c r="L29" s="169"/>
      <c r="M29" s="169"/>
      <c r="N29" s="171"/>
      <c r="O29" s="170"/>
      <c r="P29" s="169"/>
    </row>
    <row r="30" spans="1:23" x14ac:dyDescent="0.3">
      <c r="B30" s="167" t="s">
        <v>38</v>
      </c>
      <c r="C30" s="166"/>
      <c r="D30" s="166"/>
      <c r="E30" s="166"/>
      <c r="F30" s="166"/>
      <c r="G30" s="166"/>
      <c r="H30" s="166"/>
      <c r="I30" s="166"/>
      <c r="J30" s="166"/>
      <c r="K30" s="166"/>
      <c r="L30" s="166"/>
      <c r="M30" s="166"/>
      <c r="N30" s="165"/>
      <c r="O30" s="147"/>
    </row>
    <row r="31" spans="1:23" x14ac:dyDescent="0.3">
      <c r="B31" s="146"/>
      <c r="C31" s="145"/>
      <c r="D31" s="145"/>
      <c r="E31" s="145"/>
      <c r="F31" s="145"/>
      <c r="G31" s="145"/>
      <c r="H31" s="145"/>
      <c r="I31" s="145"/>
      <c r="J31" s="145"/>
      <c r="K31" s="145"/>
      <c r="L31" s="145"/>
      <c r="M31" s="145"/>
      <c r="N31" s="144"/>
      <c r="O31" s="147"/>
    </row>
    <row r="32" spans="1:23" s="86" customFormat="1" ht="20.399999999999999" x14ac:dyDescent="0.35">
      <c r="B32" s="118" t="s">
        <v>39</v>
      </c>
      <c r="C32" s="119"/>
      <c r="D32" s="119"/>
      <c r="E32" s="119"/>
      <c r="F32" s="119"/>
      <c r="G32" s="119"/>
      <c r="H32" s="119"/>
      <c r="I32" s="119"/>
      <c r="J32" s="119"/>
      <c r="K32" s="119"/>
      <c r="L32" s="119"/>
      <c r="M32" s="119"/>
      <c r="N32" s="120"/>
      <c r="O32" s="92"/>
      <c r="P32" s="83"/>
    </row>
    <row r="33" spans="2:16" s="86" customFormat="1" ht="20.399999999999999" x14ac:dyDescent="0.35">
      <c r="B33" s="118" t="s">
        <v>40</v>
      </c>
      <c r="C33" s="119"/>
      <c r="D33" s="119"/>
      <c r="E33" s="119"/>
      <c r="F33" s="119"/>
      <c r="G33" s="119"/>
      <c r="H33" s="119"/>
      <c r="I33" s="119"/>
      <c r="J33" s="119"/>
      <c r="K33" s="119"/>
      <c r="L33" s="119"/>
      <c r="M33" s="119"/>
      <c r="N33" s="120"/>
      <c r="O33" s="92"/>
      <c r="P33" s="83"/>
    </row>
    <row r="34" spans="2:16" s="86" customFormat="1" ht="20.399999999999999" x14ac:dyDescent="0.35">
      <c r="B34" s="107" t="s">
        <v>131</v>
      </c>
      <c r="C34" s="108"/>
      <c r="D34" s="108"/>
      <c r="E34" s="108"/>
      <c r="F34" s="108"/>
      <c r="G34" s="164" t="s">
        <v>130</v>
      </c>
      <c r="H34" s="164"/>
      <c r="I34" s="163"/>
      <c r="J34" s="163"/>
      <c r="K34" s="163"/>
      <c r="L34" s="163"/>
      <c r="M34" s="162" t="s">
        <v>129</v>
      </c>
      <c r="N34" s="161"/>
      <c r="O34" s="83"/>
      <c r="P34" s="83"/>
    </row>
    <row r="35" spans="2:16" x14ac:dyDescent="0.3">
      <c r="B35" s="160"/>
      <c r="C35" s="159"/>
      <c r="D35" s="159"/>
      <c r="E35" s="159"/>
      <c r="F35" s="159"/>
      <c r="G35" s="159"/>
      <c r="H35" s="159"/>
      <c r="I35" s="159"/>
      <c r="J35" s="159"/>
      <c r="K35" s="159"/>
      <c r="L35" s="159"/>
      <c r="M35" s="159"/>
      <c r="N35" s="158"/>
    </row>
    <row r="36" spans="2:16" x14ac:dyDescent="0.3">
      <c r="B36" s="160"/>
      <c r="C36" s="159"/>
      <c r="D36" s="159"/>
      <c r="E36" s="159"/>
      <c r="F36" s="159"/>
      <c r="G36" s="159"/>
      <c r="H36" s="159"/>
      <c r="I36" s="159"/>
      <c r="J36" s="159"/>
      <c r="K36" s="159"/>
      <c r="L36" s="159"/>
      <c r="M36" s="159"/>
      <c r="N36" s="158"/>
    </row>
    <row r="37" spans="2:16" x14ac:dyDescent="0.3">
      <c r="B37" s="160"/>
      <c r="C37" s="159"/>
      <c r="D37" s="159"/>
      <c r="E37" s="159"/>
      <c r="F37" s="159"/>
      <c r="G37" s="159"/>
      <c r="H37" s="159"/>
      <c r="I37" s="159"/>
      <c r="J37" s="159"/>
      <c r="K37" s="159"/>
      <c r="L37" s="159"/>
      <c r="M37" s="159"/>
      <c r="N37" s="158"/>
    </row>
    <row r="38" spans="2:16" ht="16.8" x14ac:dyDescent="0.3">
      <c r="B38" s="149" t="s">
        <v>128</v>
      </c>
      <c r="C38" s="157"/>
      <c r="D38" s="154"/>
      <c r="E38" s="151"/>
      <c r="F38" s="151"/>
      <c r="G38" s="151"/>
      <c r="H38" s="151"/>
      <c r="I38" s="151"/>
      <c r="J38" s="152"/>
      <c r="K38" s="151"/>
      <c r="L38" s="151"/>
      <c r="M38" s="151"/>
      <c r="N38" s="156"/>
    </row>
    <row r="39" spans="2:16" ht="16.8" x14ac:dyDescent="0.3">
      <c r="B39" s="149" t="s">
        <v>127</v>
      </c>
      <c r="C39" s="155"/>
      <c r="D39" s="154"/>
      <c r="E39" s="151"/>
      <c r="F39" s="151"/>
      <c r="G39" s="151"/>
      <c r="H39" s="151"/>
      <c r="I39" s="151"/>
      <c r="J39" s="152"/>
      <c r="K39" s="151"/>
      <c r="L39" s="151"/>
      <c r="M39" s="151"/>
      <c r="N39" s="150"/>
    </row>
    <row r="40" spans="2:16" ht="16.8" x14ac:dyDescent="0.3">
      <c r="B40" s="149" t="s">
        <v>126</v>
      </c>
      <c r="C40" s="153"/>
      <c r="D40" s="151"/>
      <c r="E40" s="151"/>
      <c r="F40" s="151"/>
      <c r="G40" s="151"/>
      <c r="H40" s="151"/>
      <c r="I40" s="151"/>
      <c r="J40" s="152"/>
      <c r="K40" s="151"/>
      <c r="L40" s="151"/>
      <c r="M40" s="151"/>
      <c r="N40" s="150"/>
    </row>
    <row r="41" spans="2:16" ht="16.8" x14ac:dyDescent="0.3">
      <c r="B41" s="149" t="s">
        <v>125</v>
      </c>
      <c r="N41" s="148"/>
    </row>
    <row r="42" spans="2:16" ht="16.8" x14ac:dyDescent="0.3">
      <c r="B42" s="149" t="s">
        <v>124</v>
      </c>
      <c r="N42" s="148"/>
    </row>
    <row r="43" spans="2:16" ht="16.8" x14ac:dyDescent="0.3">
      <c r="B43" s="149" t="s">
        <v>123</v>
      </c>
      <c r="N43" s="148"/>
    </row>
    <row r="44" spans="2:16" ht="16.8" x14ac:dyDescent="0.3">
      <c r="B44" s="149" t="s">
        <v>122</v>
      </c>
      <c r="N44" s="148"/>
    </row>
    <row r="45" spans="2:16" ht="16.8" x14ac:dyDescent="0.3">
      <c r="B45" s="149" t="s">
        <v>121</v>
      </c>
      <c r="N45" s="148"/>
    </row>
    <row r="46" spans="2:16" ht="16.8" x14ac:dyDescent="0.3">
      <c r="B46" s="149" t="s">
        <v>120</v>
      </c>
      <c r="N46" s="148"/>
    </row>
    <row r="47" spans="2:16" x14ac:dyDescent="0.3">
      <c r="B47" s="146" t="s">
        <v>39</v>
      </c>
      <c r="C47" s="145"/>
      <c r="D47" s="145"/>
      <c r="E47" s="145"/>
      <c r="F47" s="145"/>
      <c r="G47" s="145"/>
      <c r="H47" s="145"/>
      <c r="I47" s="145"/>
      <c r="J47" s="145"/>
      <c r="K47" s="145"/>
      <c r="L47" s="145"/>
      <c r="M47" s="145"/>
      <c r="N47" s="144"/>
      <c r="O47" s="147"/>
    </row>
    <row r="48" spans="2:16" x14ac:dyDescent="0.3">
      <c r="B48" s="146" t="s">
        <v>40</v>
      </c>
      <c r="C48" s="145"/>
      <c r="D48" s="145"/>
      <c r="E48" s="145"/>
      <c r="F48" s="145"/>
      <c r="G48" s="145"/>
      <c r="H48" s="145"/>
      <c r="I48" s="145"/>
      <c r="J48" s="145"/>
      <c r="K48" s="145"/>
      <c r="L48" s="145"/>
      <c r="M48" s="145"/>
      <c r="N48" s="144"/>
      <c r="O48" s="147"/>
    </row>
    <row r="49" spans="2:14" x14ac:dyDescent="0.3">
      <c r="B49" s="146" t="s">
        <v>119</v>
      </c>
      <c r="C49" s="145"/>
      <c r="D49" s="145"/>
      <c r="E49" s="145"/>
      <c r="F49" s="145"/>
      <c r="G49" s="145"/>
      <c r="H49" s="145"/>
      <c r="I49" s="145"/>
      <c r="J49" s="145"/>
      <c r="K49" s="145"/>
      <c r="L49" s="145"/>
      <c r="M49" s="145"/>
      <c r="N49" s="144"/>
    </row>
    <row r="50" spans="2:14" ht="25.8" x14ac:dyDescent="0.3">
      <c r="C50" s="15" t="s">
        <v>41</v>
      </c>
    </row>
    <row r="51" spans="2:14" ht="25.8" x14ac:dyDescent="0.3">
      <c r="C51" s="15" t="s">
        <v>42</v>
      </c>
    </row>
    <row r="52" spans="2:14" ht="25.8" x14ac:dyDescent="0.3">
      <c r="C52" s="15" t="s">
        <v>43</v>
      </c>
    </row>
    <row r="53" spans="2:14" ht="25.8" x14ac:dyDescent="0.3">
      <c r="C53" s="15" t="s">
        <v>44</v>
      </c>
    </row>
    <row r="54" spans="2:14" ht="25.8" x14ac:dyDescent="0.3">
      <c r="C54" s="15" t="s">
        <v>45</v>
      </c>
    </row>
  </sheetData>
  <dataConsolidate/>
  <mergeCells count="11">
    <mergeCell ref="F8:G8"/>
    <mergeCell ref="F9:G9"/>
    <mergeCell ref="G19:I19"/>
    <mergeCell ref="B22:N22"/>
    <mergeCell ref="B30:N30"/>
    <mergeCell ref="B32:N32"/>
    <mergeCell ref="B33:N33"/>
    <mergeCell ref="B47:N47"/>
    <mergeCell ref="B48:N48"/>
    <mergeCell ref="B49:N49"/>
    <mergeCell ref="B31:N31"/>
  </mergeCells>
  <dataValidations count="11">
    <dataValidation type="list" allowBlank="1" showInputMessage="1" showErrorMessage="1" sqref="H34" xr:uid="{89DAFEBD-B04D-4818-8548-7D945B482BC8}">
      <formula1>"ALAA HAMMAD,KHALED QASSEM,RAMY RAOUF,SIMON LOBO,MHAREN CLEMENTE GARADO"</formula1>
    </dataValidation>
    <dataValidation type="list" allowBlank="1" showInputMessage="1" showErrorMessage="1" sqref="M34" xr:uid="{342C670D-AD35-4C68-A23C-C4530D321DBC}">
      <formula1>"Alaa Hammad,Bachir Ibrahim Mourad,Khaled Qassem,Ramy Raoof,Simon Lobo,Mharen Clemente Garado,Ranjith"</formula1>
    </dataValidation>
    <dataValidation type="list" allowBlank="1" showInputMessage="1" showErrorMessage="1" sqref="B11" xr:uid="{623AE1FC-75EB-42DB-A36D-82F968CC7A84}">
      <formula1>"FO Ceramic+ Intr&amp;Extr CeramicGold WdwTnt,FO Mirror Camera Sensor"</formula1>
    </dataValidation>
    <dataValidation type="list" allowBlank="1" showInputMessage="1" showErrorMessage="1" sqref="B12" xr:uid="{F45AFFBE-8A4C-45D7-A6F8-51EA9CA82755}">
      <formula1>"FO Exterior ceramic All Cars SCOTCHGUARD,FO Mirror Camera Sensor,FO PPF Gold Package "</formula1>
    </dataValidation>
    <dataValidation type="list" allowBlank="1" showInputMessage="1" showErrorMessage="1" sqref="K20" xr:uid="{2FEA0948-9605-41B5-A441-EACA9B4C5A41}">
      <formula1>"Esaad,Emirates Platinum,Fazaa,Humat Alwatan,Permissible,ASX,XPMLP,XP,MON,MON G57,OUT,F08,P08,F06,P06,F03,F03-1,P03,EC,G37,G38,G40,G43"</formula1>
    </dataValidation>
    <dataValidation type="list" allowBlank="1" showInputMessage="1" showErrorMessage="1" sqref="B16" xr:uid="{C6B16661-FCDA-4998-923B-E6C09088EBC3}">
      <formula1>"RMC-10-40KMS,RMC-10-60KMS,RMC-10-70KMS,RMC-10-100000KMS,RMC-40-70KMS,RMC-40-100000KMS"</formula1>
    </dataValidation>
    <dataValidation type="list" allowBlank="1" showInputMessage="1" showErrorMessage="1" sqref="K24" xr:uid="{375DD358-E0FD-4D8F-9529-3DE0D18EDBCB}">
      <formula1>"RMC-10-70K,RMC-10-100000K,RMC-40-70K"</formula1>
    </dataValidation>
    <dataValidation type="list" allowBlank="1" showInputMessage="1" showErrorMessage="1" sqref="D5" xr:uid="{B707C068-6E76-405F-91BE-3FC44375EBA7}">
      <formula1>"MIG09,MIG10,H16,P16,H17,H48,H43,H40,H42,H44,H45,H38,H37,EH40,EH43,ML,HL,PR, MLP,HLP,PRP,XPML,XPHL,XPMLP, XPMLP-01,XC, G10,P10, G03, P03, G06,P06,G12,P12,G05,P05,G08,P08,G09,P09,H57,P57,H64,H59,P59,H61,P61"</formula1>
    </dataValidation>
    <dataValidation type="list" allowBlank="1" showInputMessage="1" showErrorMessage="1" sqref="M21" xr:uid="{573B8230-8D31-4AB7-975C-08DD3A483ED3}">
      <formula1>"3000-4999,5000-9999,5000-99999,10000-14999,15000-24999,25000-34999,35000-99999,5000-11999,12000-19999,20000-39999,40000-69999,70000-99999"</formula1>
    </dataValidation>
    <dataValidation type="list" allowBlank="1" showInputMessage="1" showErrorMessage="1" sqref="C10:C16 L20 L24:L25 G14:G15 J10" xr:uid="{2A856479-1E19-479D-9C2D-EAD639F36F82}">
      <formula1>"YES,NO"</formula1>
    </dataValidation>
    <dataValidation type="list" allowBlank="1" showInputMessage="1" showErrorMessage="1" sqref="K21" xr:uid="{15BADF90-EFA8-4925-8200-276151BF9E55}">
      <formula1>"ADCB,ADCB PAY IN 2027,Ajman Bank,ADIB,DIB EXPAT,DIB LOCAL GVH,Emirates NBD,EIB,FAB,RAK,SIB STL,SIB NON STL"</formula1>
    </dataValidation>
  </dataValidations>
  <pageMargins left="0.23622047244094491" right="0.23622047244094491" top="0.74803149606299213" bottom="0.74803149606299213" header="0.31496062992125984" footer="0.31496062992125984"/>
  <pageSetup paperSize="9" scale="40" orientation="landscape" horizontalDpi="4294967295" verticalDpi="4294967295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A521C-2062-46B9-B2AC-F780485F71B4}">
  <sheetPr>
    <pageSetUpPr fitToPage="1"/>
  </sheetPr>
  <dimension ref="A1:AA54"/>
  <sheetViews>
    <sheetView topLeftCell="B1" zoomScaleNormal="100" workbookViewId="0">
      <selection activeCell="D5" sqref="D5"/>
    </sheetView>
  </sheetViews>
  <sheetFormatPr defaultColWidth="9.109375" defaultRowHeight="15.6" x14ac:dyDescent="0.3"/>
  <cols>
    <col min="1" max="1" width="16" style="1" hidden="1" customWidth="1"/>
    <col min="2" max="2" width="75.109375" style="2" customWidth="1"/>
    <col min="3" max="3" width="26.88671875" style="3" customWidth="1"/>
    <col min="4" max="4" width="23.88671875" style="2" customWidth="1"/>
    <col min="5" max="5" width="23.33203125" style="2" customWidth="1"/>
    <col min="6" max="6" width="19.88671875" style="2" customWidth="1"/>
    <col min="7" max="7" width="23.33203125" style="2" customWidth="1"/>
    <col min="8" max="8" width="24.44140625" style="2" customWidth="1"/>
    <col min="9" max="9" width="27.109375" style="2" customWidth="1"/>
    <col min="10" max="10" width="26.6640625" style="2" customWidth="1"/>
    <col min="11" max="11" width="25.44140625" style="2" customWidth="1"/>
    <col min="12" max="12" width="20.5546875" style="2" customWidth="1"/>
    <col min="13" max="13" width="20.109375" style="2" customWidth="1"/>
    <col min="14" max="14" width="19.5546875" style="2" customWidth="1"/>
    <col min="15" max="15" width="15.109375" style="2" bestFit="1" customWidth="1"/>
    <col min="16" max="16" width="12.6640625" style="2" hidden="1" customWidth="1"/>
    <col min="17" max="17" width="12.6640625" style="1" hidden="1" customWidth="1"/>
    <col min="18" max="18" width="15.6640625" style="1" hidden="1" customWidth="1"/>
    <col min="19" max="19" width="13" style="1" hidden="1" customWidth="1"/>
    <col min="20" max="20" width="17.109375" style="1" hidden="1" customWidth="1"/>
    <col min="21" max="21" width="14.5546875" style="1" bestFit="1" customWidth="1"/>
    <col min="22" max="22" width="19" style="1" customWidth="1"/>
    <col min="23" max="23" width="22.5546875" style="1" bestFit="1" customWidth="1"/>
    <col min="24" max="25" width="9.109375" style="1"/>
    <col min="26" max="26" width="14" style="1" bestFit="1" customWidth="1"/>
    <col min="27" max="27" width="22.33203125" style="1" bestFit="1" customWidth="1"/>
    <col min="28" max="16384" width="9.109375" style="1"/>
  </cols>
  <sheetData>
    <row r="1" spans="1:27" ht="15.75" customHeight="1" x14ac:dyDescent="0.3">
      <c r="B1" s="222" t="s">
        <v>148</v>
      </c>
      <c r="C1" s="221"/>
      <c r="D1" s="221"/>
      <c r="E1" s="221"/>
      <c r="F1" s="221"/>
      <c r="G1" s="221"/>
      <c r="H1" s="221"/>
      <c r="I1" s="221"/>
      <c r="J1" s="221"/>
      <c r="K1" s="221"/>
      <c r="L1" s="221"/>
      <c r="M1" s="221"/>
      <c r="N1" s="220"/>
    </row>
    <row r="2" spans="1:27" ht="15.75" customHeight="1" x14ac:dyDescent="0.3">
      <c r="B2" s="219" t="s">
        <v>147</v>
      </c>
      <c r="C2" s="218"/>
      <c r="D2" s="218"/>
      <c r="E2" s="218"/>
      <c r="F2" s="218"/>
      <c r="G2" s="218"/>
      <c r="H2" s="218"/>
      <c r="I2" s="218"/>
      <c r="J2" s="218"/>
      <c r="K2" s="218"/>
      <c r="L2" s="218"/>
      <c r="M2" s="218"/>
      <c r="N2" s="217"/>
      <c r="Q2" s="2"/>
      <c r="S2" s="186"/>
    </row>
    <row r="3" spans="1:27" ht="15.75" customHeight="1" x14ac:dyDescent="0.3">
      <c r="B3" s="219" t="s">
        <v>146</v>
      </c>
      <c r="C3" s="218"/>
      <c r="D3" s="218"/>
      <c r="E3" s="218"/>
      <c r="F3" s="218"/>
      <c r="G3" s="218"/>
      <c r="H3" s="218"/>
      <c r="I3" s="218"/>
      <c r="J3" s="218"/>
      <c r="K3" s="218"/>
      <c r="L3" s="218"/>
      <c r="M3" s="218"/>
      <c r="N3" s="217"/>
      <c r="O3" s="3"/>
      <c r="P3" s="3"/>
      <c r="Q3" s="153"/>
      <c r="R3" s="153"/>
      <c r="S3" s="216" t="e">
        <f>N7+J14</f>
        <v>#VALUE!</v>
      </c>
      <c r="T3" s="216"/>
      <c r="U3" s="153"/>
      <c r="V3" s="153"/>
      <c r="W3" s="153"/>
      <c r="AA3" s="1">
        <f>273000/5</f>
        <v>54600</v>
      </c>
    </row>
    <row r="4" spans="1:27" ht="15.75" customHeight="1" x14ac:dyDescent="0.3">
      <c r="B4" s="215"/>
      <c r="C4" s="214"/>
      <c r="D4" s="214"/>
      <c r="E4" s="214"/>
      <c r="F4" s="214"/>
      <c r="G4" s="214"/>
      <c r="H4" s="214"/>
      <c r="I4" s="214"/>
      <c r="J4" s="214"/>
      <c r="K4" s="214"/>
      <c r="L4" s="214"/>
      <c r="M4" s="214"/>
      <c r="N4" s="213"/>
      <c r="O4" s="212" t="s">
        <v>0</v>
      </c>
      <c r="P4" s="212"/>
      <c r="Q4" s="210"/>
      <c r="R4" s="210"/>
      <c r="S4" s="211"/>
      <c r="T4" s="211"/>
      <c r="U4" s="210" t="s">
        <v>1</v>
      </c>
      <c r="V4" s="210" t="s">
        <v>2</v>
      </c>
      <c r="W4" s="210" t="s">
        <v>3</v>
      </c>
    </row>
    <row r="5" spans="1:27" ht="25.2" thickBot="1" x14ac:dyDescent="0.45">
      <c r="B5" s="17"/>
      <c r="C5" s="18" t="str">
        <f>IF(D5="MIG09","Mirage G09",IF(D5="MIG10","MirageG10",IF(D5="H16","Attrage H16",IF(D5="P16","Attrage P16",IF(D5="H17","Attrage H17",IF(D5="H48","ASX H48",IF(D5="H43","ASX H43",IF(D5="H40","ASX H40",IF(D5="H42","ASX H42",IF(D5="H44","ASX H44",IF(D5="H45","ASX H45",IF(D5="H38","Eclipse H38",IF(D5="H37","Eclipse H37",IF(D5="EH40","Eclipse H40",IF(D5="EH43","Eclipse H43",IF(D5="XPML","Xpander ML",IF(D5="ML","Destinator ML",IF(D5="HL","Destinator HL",IF(D5="PR","Destinator PR",IF(D5="MLP","Destinator MLP",IF(D5="HLP","Destinator HLP",IF(D5="PRP","Destinator PRP",IF(D5="XPHL","Xpander HL",IF(D5="XPMLP","Xpander ML P",IF(D5="XPMLP-01","Xpander ML P-01",IF(D5="XC","Xpander Cross",IF(D5="G03","Outlander G03",IF(D5="P03","Outlander P03",IF(D5="G06","Outlander G06",IF(D5="P06","Outlander P06",IF(D5="OTP06-01","Outlander P06-01",IF(D5="G08","Outlander G08",IF(D5="P08","Outlander P08",IF(D5="H57","Montero H57",IF(D5="P57","Montero P57",IF(D5="H64","Montero G64",IF(D5="H59","Montero G59",IF(D5="P59","Montero G59 P",IF(D5="H61","Montero G61",IF(D5="P61","Montero P61",IF(D5="G10","Outlander G10",IF(D5="P10","Outlander P10",IF(D5="G12","Outlander G12",IF(D5="P12","Outlander P12",IF(D5="G05","Outlander G05",IF(D5="P05","Outlander P05",IF(D5="G09","Outlander G09",IF(D5="P09","Outlander P09",))))))))))))))))))))))))))))))))))))))))))))))))</f>
        <v>ASX H48</v>
      </c>
      <c r="D5" s="19" t="s">
        <v>179</v>
      </c>
      <c r="E5" s="20" t="s">
        <v>145</v>
      </c>
      <c r="F5" s="37"/>
      <c r="G5" s="37"/>
      <c r="H5" s="37"/>
      <c r="I5" s="20"/>
      <c r="J5" s="34"/>
      <c r="K5" s="209">
        <v>0</v>
      </c>
      <c r="L5" s="208">
        <v>3.39E-2</v>
      </c>
      <c r="M5" s="208">
        <v>6.7799999999999999E-2</v>
      </c>
      <c r="N5" s="208">
        <v>0.1017</v>
      </c>
      <c r="O5" s="147">
        <f>K7+K14</f>
        <v>9185.747140753334</v>
      </c>
      <c r="S5" s="186"/>
      <c r="U5" s="186">
        <f>L7+L14</f>
        <v>3792.4757903505556</v>
      </c>
      <c r="V5" s="186">
        <f>M7+M14</f>
        <v>2564.5956586033335</v>
      </c>
      <c r="W5" s="186">
        <f>N7+N14</f>
        <v>1802.7976347950002</v>
      </c>
    </row>
    <row r="6" spans="1:27" s="5" customFormat="1" ht="99" thickBot="1" x14ac:dyDescent="0.35">
      <c r="A6" s="4" t="s">
        <v>4</v>
      </c>
      <c r="B6" s="26" t="s">
        <v>5</v>
      </c>
      <c r="C6" s="27" t="s">
        <v>6</v>
      </c>
      <c r="D6" s="27" t="s">
        <v>144</v>
      </c>
      <c r="E6" s="27" t="s">
        <v>7</v>
      </c>
      <c r="F6" s="27" t="s">
        <v>8</v>
      </c>
      <c r="G6" s="28" t="s">
        <v>9</v>
      </c>
      <c r="H6" s="28" t="s">
        <v>143</v>
      </c>
      <c r="I6" s="28" t="s">
        <v>10</v>
      </c>
      <c r="J6" s="28" t="s">
        <v>142</v>
      </c>
      <c r="K6" s="28" t="s">
        <v>11</v>
      </c>
      <c r="L6" s="28" t="s">
        <v>12</v>
      </c>
      <c r="M6" s="28" t="s">
        <v>13</v>
      </c>
      <c r="N6" s="28" t="s">
        <v>14</v>
      </c>
      <c r="O6" s="207"/>
      <c r="P6" s="206"/>
      <c r="T6" s="205"/>
      <c r="U6" s="205">
        <f>N7+L14</f>
        <v>2996.6045281283336</v>
      </c>
      <c r="V6" s="205">
        <f>N7+K14</f>
        <v>7395.0368007533343</v>
      </c>
      <c r="W6" s="205" t="e">
        <f>N7+J14</f>
        <v>#VALUE!</v>
      </c>
    </row>
    <row r="7" spans="1:27" ht="25.2" thickBot="1" x14ac:dyDescent="0.45">
      <c r="A7" s="6">
        <f>B8</f>
        <v>67900</v>
      </c>
      <c r="B7" s="29">
        <f>IF(L20="YES",C8*1,IF(L20="NO",B8*1))</f>
        <v>67900</v>
      </c>
      <c r="C7" s="29">
        <f>B7*5/100</f>
        <v>3395</v>
      </c>
      <c r="D7" s="203">
        <f>B7+C7</f>
        <v>71295</v>
      </c>
      <c r="E7" s="29">
        <f>D17</f>
        <v>17675.517</v>
      </c>
      <c r="F7" s="29">
        <f>(C7)+(D10+D11+D12+D13+D16)*5/100</f>
        <v>3960</v>
      </c>
      <c r="G7" s="30">
        <f>B7+E7+F7</f>
        <v>89535.516999999993</v>
      </c>
      <c r="H7" s="29">
        <f>G7*D20</f>
        <v>17907.1034</v>
      </c>
      <c r="I7" s="30">
        <f>(G7-H7)</f>
        <v>71628.4136</v>
      </c>
      <c r="J7" s="30">
        <f>(((I7*D19)*1)+I7)/12</f>
        <v>6201.2299074200009</v>
      </c>
      <c r="K7" s="30">
        <f>(((I7*D19)*2)+I7)/24</f>
        <v>3216.7126740866665</v>
      </c>
      <c r="L7" s="30">
        <f>(((I7*D19)*3)+I7)/36</f>
        <v>2221.8735963088889</v>
      </c>
      <c r="M7" s="30">
        <f>(((I7*D19)*4)+I7)/48</f>
        <v>1724.45405742</v>
      </c>
      <c r="N7" s="30">
        <f>((((I7*D19)*5)+I7)/60)</f>
        <v>1426.0023340866669</v>
      </c>
      <c r="O7" s="147"/>
      <c r="P7" s="2">
        <f>H7+H16</f>
        <v>18659.2017428</v>
      </c>
      <c r="T7" s="186">
        <f>25973/2</f>
        <v>12986.5</v>
      </c>
    </row>
    <row r="8" spans="1:27" ht="24.6" x14ac:dyDescent="0.4">
      <c r="A8" s="7">
        <v>0.2</v>
      </c>
      <c r="B8" s="31">
        <f>IF(D5="MIG09",39900,IF(D5="MIG10",41900,IF(D5="H16",41900,IF(D5="P16",47400,IF(D5="H17",47900,IF(D5="H48",67900,IF(D5="H43",70900,IF(D5="H40",72900,IF(D5="H42",74900,IF(D5="H44",73900,IF(D5="H45",79900,IF(D5="H38",86900,IF(D5="H37",79900,IF(D5="EH40",99900,IF(D5="EH43",106900,IF(D5="ML",71900,IF(D5="HL",83900,IF(D5="PR",95900,IF(D5="MLP",80900,IF(D5="HLP",91900,IF(D5="PRP",102900,IF(D5="XPML",69900,IF(D5="XPHL",71000,IF(D5="XPMLP",75900,IF(D5="XPMLP-01",77800,IF(D5="XC",84900,IF(D5="G10",81900,IF(D5="P10",93900,IF(D5="G12",97900,IF(D5="P12",105900,IF(D5="G05",104900,IF(D5="P05",105900,IF(D5="G03",92900,IF(D5="P03",100900,IF(D5="G06",109900,IF(D5="P06",114900,IF(D5="OTP06-01",118900,IF(D5="G08",125900,IF(D5="P08",132900,IF(D5="OTP06-01",109900,IF(D5="G09",129900,IF(D5="P09",134900,IF(D5="H57",105900,IF(D5="P57",113900,IF(D5="H64",116900,IF(D5="H59",127900,IF(D5="P59",134900,IF(D5="H61",134900,IF(D5="P61",138900)))))))))))))))))))))))))))))))))))))))))))))))))</f>
        <v>67900</v>
      </c>
      <c r="C8" s="32">
        <f>IF(L20="YES",N20,IF(L20="NO",N20))</f>
        <v>67900</v>
      </c>
      <c r="D8" s="29">
        <v>0</v>
      </c>
      <c r="E8" s="33"/>
      <c r="F8" s="139"/>
      <c r="G8" s="140"/>
      <c r="H8" s="110">
        <f>G7*20/100</f>
        <v>17907.1034</v>
      </c>
      <c r="I8" s="34"/>
      <c r="J8" s="34" t="s">
        <v>15</v>
      </c>
      <c r="K8" s="34">
        <f>(I7*K5+I7)/24</f>
        <v>2984.5172333333335</v>
      </c>
      <c r="L8" s="34">
        <f>(I7*L5+I7)/36</f>
        <v>2057.1282450288891</v>
      </c>
      <c r="M8" s="34">
        <f>(I7*M5+I7)/48</f>
        <v>1593.4337508766666</v>
      </c>
      <c r="N8" s="34">
        <f>(I7*N5+I7)/60</f>
        <v>1315.2170543853333</v>
      </c>
      <c r="O8" s="147">
        <v>0</v>
      </c>
      <c r="P8" s="2">
        <f>P7/12</f>
        <v>1554.9334785666667</v>
      </c>
      <c r="T8" s="1">
        <f>25973-12973</f>
        <v>13000</v>
      </c>
    </row>
    <row r="9" spans="1:27" ht="24.6" x14ac:dyDescent="0.4">
      <c r="A9" s="8">
        <f>B8/(100%-A8)</f>
        <v>84875</v>
      </c>
      <c r="B9" s="109">
        <f>B7-B8</f>
        <v>0</v>
      </c>
      <c r="C9" s="109"/>
      <c r="D9" s="36"/>
      <c r="E9" s="33"/>
      <c r="F9" s="139"/>
      <c r="G9" s="140"/>
      <c r="H9" s="33"/>
      <c r="I9" s="37" t="s">
        <v>16</v>
      </c>
      <c r="J9" s="38">
        <f>(J7*12)-I7</f>
        <v>2786.3452890400076</v>
      </c>
      <c r="K9" s="38">
        <f>(K7*24)-I7</f>
        <v>5572.6905780800007</v>
      </c>
      <c r="L9" s="38">
        <f>(L7*36)-I7</f>
        <v>8359.0358671199938</v>
      </c>
      <c r="M9" s="38">
        <f>(M7*48)-I7</f>
        <v>11145.381156160001</v>
      </c>
      <c r="N9" s="38">
        <f>(N7*60)-I7</f>
        <v>13931.726445200009</v>
      </c>
      <c r="O9" s="147"/>
      <c r="T9" s="1">
        <f>T8/12</f>
        <v>1083.3333333333333</v>
      </c>
      <c r="Z9" s="1" t="s">
        <v>86</v>
      </c>
    </row>
    <row r="10" spans="1:27" ht="24.6" x14ac:dyDescent="0.4">
      <c r="A10" s="8"/>
      <c r="B10" s="37" t="s">
        <v>141</v>
      </c>
      <c r="C10" s="20" t="s">
        <v>17</v>
      </c>
      <c r="D10" s="36">
        <f>IF(C10="YES",700,IF(C10="NO",0))</f>
        <v>0</v>
      </c>
      <c r="E10" s="39"/>
      <c r="F10" s="40"/>
      <c r="G10" s="40"/>
      <c r="H10" s="33"/>
      <c r="I10" s="44" t="s">
        <v>85</v>
      </c>
      <c r="J10" s="117" t="s">
        <v>19</v>
      </c>
      <c r="K10" s="117">
        <f>IF(J10="YES",Z10,IF(J10="NO",0))</f>
        <v>1000</v>
      </c>
      <c r="L10" s="41">
        <f>(L8*36)-I7</f>
        <v>2428.2032210400066</v>
      </c>
      <c r="M10" s="41">
        <f>(M8*48)-I7</f>
        <v>4856.4064420799987</v>
      </c>
      <c r="N10" s="41">
        <f>(N8*60)-I7</f>
        <v>7284.6096631200053</v>
      </c>
      <c r="O10" s="147">
        <f>IF(D5="XC",3690,IF(D5="XPML",3690,IF(D5="XPHL",3690,IF(D5="XPMLP",3690,IF(D5="XPMLP-01",3690,IF(D5="Xpander P",3690,IF(D5="ML",3690,IF(D5="HL",3690,IF(D5="PR",(U19*3/100+510)*1.05,IF(D5="MLP",3690,IF(D5="HLP",(U19*3/100+510)*1.05,IF(D5="PRP",(U19*3/100+510)*1.05,IF(D5="H57",(U19*2.75/100+510)*1.05,IF(D5="P57",(U19*2.75/100+510)*1.05,IF(D5="H64",(U19*2.75/100+510)*1.05,IF(D5="H59",(U19*2.75/100+510)*1.05,IF(D5="P59",(U19*2.75/100+510)*1.05,IF(D5="H61",(U19*2.75/100+510)*1.05,IF(D5="P61",(U19*2.75/100+510)*1.05,IF(D5="G03",(U19*3/100+510)*1.05,IF(D5="G10",(U19*3/100+510)*1.05,IF(D5="P10",(U19*3/100+510)*1.05,IF(D5="G12",(U19*3/100+510)*1.05,IF(D5="P12",(U19*3/100+510)*1.05,IF(D5="G05",(U19*3/100+510)*1.05,IF(D5="P05",(U19*3/100+510)*1.05,IF(D5="P03",(U19*3/100+510)*1.05,IF(D5="G06",(U19*3/100+510)*1.05,IF(D5="P06",(U19*3/100+510)*1.05,IF(D5="OTP06-01",(U19*3/100+510)*1.05,IF(D5="G08",(U19*3/100+510)*1.05,IF(D5="P08",(U19*3/100+510)*1.05,IF(D5="G09",(U19*3/100+510)*1.05,IF(D5="P09",(U19*3/100+510)*1.05,IF(D5="H38",3625,IF(D5="H37",3625,IF(D5="EH40",(U19*3/100+450)*1.05,IF(D5="EH43",(U19*3/100+450)*1.05,IF(D5="H48",3625,IF(D5="H43",3625,IF(D5="H40",3625,IF(D5="H42",3625,IF(D5="H44",3625,IF(D5="H45",3625,IF(D5="ASX HL 4WD",3625,IF(D5="H16",3625,IF(D5="H17",3625,IF(D5="P16",3625,IF(D5="Attrage S",3625,IF(D5="MIG09",3625,IF(D5="MIG10",3625,IF(D5="Xpander HL",3690))))))))))))))))))))))))))))))))))))))))))))))))))))</f>
        <v>3625</v>
      </c>
      <c r="P10" s="204"/>
      <c r="Q10" s="204">
        <f>5.25*3</f>
        <v>15.75</v>
      </c>
      <c r="Z10" s="1">
        <f>IF(D5="MIG09",1000,IF(D5="MIG10",1000,IF(D5="H16",1000,IF(D5="P16",1000,IF(D5="H17",1000,IF(D5="H48",1000,IF(D5="H43",1000,IF(D5="H40",1000,IF(D5="H42",1000,IF(D5="H44",1000,IF(D5="H45",1000,IF(D5="H38",1000,IF(D5="H37",1000,IF(D5="EH40",1000,IF(D5="EH43",1000,IF(D5="ML",1000,IF(D5="HL",1000,IF(D5="PR",1000,IF(D5="MLP",1000,IF(D5="HLP",1000,IF(D5="PRP",1000,IF(D5="XPML",1000,IF(D5="XPHL",1000,IF(D5="XPMLP",1000,IF(D5="XPMLP-01",1000,IF(D5="XC",1000,IF(D5="G10",1000,IF(D5="P10",1000,IF(D5="G12",1000,IF(D5="P12",1000,IF(D5="G05",1000,IF(D5="P05",1000,IF(D5="G03",1000,IF(D5="P03",1000,IF(D5="G06",1000,IF(D5="P06",1000,IF(D5="OTP06-01",1000,IF(D5="G08",1000,IF(D5="P08",1000,IF(D5="OTP06-01",1000,IF(D5="G09",1000,IF(D5="P09",1000,IF(D5="H57",1000,IF(D5="P57",1000,IF(D5="H64",1000,IF(D5="H59",1000,IF(D5="P59",1000,IF(D5="H61",1000,IF(D5="P61",1000)))))))))))))))))))))))))))))))))))))))))))))))))</f>
        <v>1000</v>
      </c>
    </row>
    <row r="11" spans="1:27" ht="24.6" x14ac:dyDescent="0.4">
      <c r="A11" s="8"/>
      <c r="B11" s="37" t="s">
        <v>18</v>
      </c>
      <c r="C11" s="20" t="s">
        <v>19</v>
      </c>
      <c r="D11" s="203">
        <f>IF(C11="YES",O17,IF(C11="NO",0))</f>
        <v>2700</v>
      </c>
      <c r="E11" s="39"/>
      <c r="F11" s="40"/>
      <c r="G11" s="40"/>
      <c r="H11" s="33"/>
      <c r="I11" s="33"/>
      <c r="J11" s="44" t="s">
        <v>76</v>
      </c>
      <c r="K11" s="44">
        <f>H8-K10</f>
        <v>16907.1034</v>
      </c>
      <c r="L11" s="37"/>
      <c r="M11" s="37"/>
      <c r="N11" s="38"/>
      <c r="O11" s="147">
        <f>IF(D5="XC",6100,IF(D5="XPML",6100,IF(D5="XPHL",6100,IF(D5="XPMLP",6100,IF(D5="XPMLP-01",6100,IF(D5="Xpander P",6100,IF(D5="ML",6600,IF(D5="HL",6600,IF(D5="PR",6600,IF(D5="MLP",6600,IF(D5="HLP",6600,IF(D5="PRP",6600,IF(D5="H57",5900,IF(D5="P57",5900,IF(D5="H64",5900,IF(D5="H59",5900,IF(D5="P59",5900,IF(D5="H61",5900,IF(D5="P61",5900,IF(D5="G03",6700,IF(D5="G10",6700,IF(D5="P10",6700,IF(D5="G12",6700,IF(D5="P12",6700,IF(D5="G05",6700,IF(D5="P05",6700,IF(D5="P03",6700,IF(D5="G06",6700,IF(D5="P06",6700,IF(D5="OTP06-01",6700,IF(D5="G08",6700,IF(D5="G09",6700,IF(D5="G08",6700,IF(D5="P08",6700,IF(D5="P09",6700,IF(D5="H37",6400,IF(D5="H38",6400,IF(D5="EH40",6400,IF(D5="EH43",6400,IF(D5="H48",6600,IF(D5="H43",6600,IF(D5="H40",6600,IF(D5="H42",6600,IF(D5="H44",6600,IF(D5="H45",6600,IF(D5="ASX HL 4WD",6600,IF(D5="H16",5400,IF(D5="H17",5400,IF(D5="P16",5400,IF(D5="Attrage S",5400,IF(D5="MIG09",5400,IF(D5="MIG10",5400,IF(D5="Xpander HL",6000)))))))))))))))))))))))))))))))))))))))))))))))))))))</f>
        <v>6600</v>
      </c>
      <c r="P11" s="147"/>
      <c r="Q11" s="147"/>
      <c r="R11" s="147"/>
      <c r="S11" s="147"/>
      <c r="T11" s="147"/>
      <c r="U11" s="147">
        <f>IF(D5="XC",4900,IF(D5="XPML",4900,IF(D5="XPHL",4900,IF(D5="XPMLP",4900,IF(D5="XPMLP-01",4900,IF(D5="Xpander P",4900,IF(D5="ML",5400,IF(D5="HL",5400,IF(D5="PR",5400,IF(D5="MLP",5400,IF(D5="HLP",5400,IF(D5="PRP",5400,IF(D5="H57",4600,IF(D5="P57",4600,IF(D5="MOG64",4600,IF(D5="H59",4600,IF(D5="P59",4600,IF(D5="H61",4600,IF(D5="P61",4600,IF(D5="G03",5500,IF(D5="P03",5500,IF(D5="G10",5500,IF(D5="P10",5500,IF(D5="G12",5500,IF(D5="P12",5500,IF(D5="G05",5500,IF(D5="P05",5500,IF(D5="G06",5500,IF(D5="P06",5500,IF(D5="OTP06-01",5500,IF(D5="F08",5500,IF(D5="P08",5500,IF(D5="G09",5500,IF(D5="P09",5500,IF(D5="H38",5200,IF(D5="H37",5200,IF(D5="EH40",5200,IF(D5="EH43",5200,IF(D5="H48",5300,IF(D5="H43",5300,IF(D5="H40",5300,IF(D5="H42",5300,IF(D5="H44",5300,IF(D5="H45",5300,IF(D5="ASX HL",5300,IF(D5="ASX P",5300,IF(D5="ASX HL 4WD",5300,IF(D5="H16",4200,IF(D5="H17",4200,IF(D5="P16",4200,IF(D5="Attrage S",4200,IF(D5="MIG09",4200,IF(D5="MIG10",4200,IF(D5="Xpander HL",4900))))))))))))))))))))))))))))))))))))))))))))))))))))))</f>
        <v>5300</v>
      </c>
      <c r="V11" s="147">
        <f>IF(D5="XC",9700,IF(D5="XPML",9700,IF(D5="XPHL",9700,IF(D5="XPMLP",9700,IF(D5="XPMLP-01",9700,IF(D5="XPMLP-01",9700,IF(D5="Xpander P",9700,IF(D5="ML",10800,IF(D5="HL",10800,IF(D5="PR",10800,IF(D5="MLP",10800,IF(D5="HLP",10800,IF(D5="PRP",10800,IF(D5="H57",9300,IF(D5="P57",9300,IF(D5="MG64",9300,IF(D5="H59",9300,IF(D5="P59",9300,IF(D5="H61",9300,IF(D5="P61",9300,IF(D5="G03",11000,IF(D5="G10",11000,IF(D5="P10",11000,IF(D5="G12",11000,IF(D5="P12",11000,IF(D5="G05",11000,IF(D5="P05",11000,IF(D5="P03",11000,IF(D5="G06",11000,IF(D5="P06",11000,IF(D5="OTP06-01",11000,IF(D5="G08",11000,IF(D5="P08",11000,IF(D5="G09",11000,IF(D5="P09",11000,IF(D5="H38",10400,IF(D5="H37",10400,IF(D5="EH40",10400,IF(D5="EH43",10400,IF(D5="H48",10700,IF(D5="H43",10700,IF(D5="H40",10700,IF(D5="H42",10700,IF(D5="H44",10800,IF(D5="H45",10800,IF(D5="ASX HL",12200,IF(D5="ASX P",12200,IF(D5="ASX HL 4WD",12200,IF(D5="H16",8500,IF(D5="H17",8500,IF(D5="P16",8500,IF(D5="Attrage S",9600,IF(D5="MIG09",8500,IF(D5="MIG10",8500,IF(D5="Xpander HL",11300)))))))))))))))))))))))))))))))))))))))))))))))))))))))</f>
        <v>10700</v>
      </c>
      <c r="W11" s="147">
        <f>IF(D5="XC",9200,IF(D5="XPML",9200,IF(D5="XPHL",9200,IF(D5="XPMLP",9200,IF(D5="XPMLP-01",9200,IF(D5="Xpander P",9200,IF(D5="ML",10000,IF(D5="HL",10000,IF(D5="PR",10000,IF(D5="MLP",10000,IF(D5="HLP",10000,IF(D5="PRP",10000,IF(D5="H57",8700,IF(D5="P57",8700,IF(D5="H64",8700,IF(D5="H59",8700,IF(D5="P59",8700,IF(D5="H61",8700,IF(D5="P61",8700,IF(D5="G03",10400,IF(D5="P03",10400,IF(D5="G10",10400,IF(D5="P10",10400,IF(D5="G12",10400,IF(D5="P12",10400,IF(D5="G05",10400,IF(D5="P05",10400,IF(D5="G06",10400,IF(D5="P06",10400,IF(D5="OTP06-01",10400,IF(D5="G08",10400,IF(D5="P08",10400,IF(D5="G09",10400,IF(D5="P09",10400,IF(D5="H38",9800,IF(D5="H37",9800,IF(D5="EH40",9800,IF(D5="EH43",9800,IF(D5="H48",10100,IF(D5="H43",10100,IF(D5="H40",10100,IF(D5="H42",10100,IF(D5="H44",10100,IF(D5="H45",10100,IF(D5="ASX HL",10100,IF(D5="ASX P",10100,IF(D5="ASX HL 4WD",10100,IF(D5="H16",7900,IF(D5="H17",7900,IF(D5="P16",7900,IF(D5="Attrage S",7900,IF(D5="MIG09",7900,IF(D5="MIG10",7900,IF(D5="Xpander HL",9200))))))))))))))))))))))))))))))))))))))))))))))))))))))</f>
        <v>10100</v>
      </c>
      <c r="X11" s="147">
        <f>IF(D5="XC",4500,IF(D5="XPML",4500,IF(D5="XPHL",4500,IF(D5="XPMLP",4500,IF(D5="XPMLP-01",4500,IF(D5="Xpander P",4500,IF(D5="ML",5000,IF(D5="HL",5000,IF(D5="PR",5000,IF(D5="MLP",5000,IF(D5="HLP",5000,IF(D5="PRP",5000,IF(D5="H57",8700,IF(D5="P57",8700,IF(D5="MOG64",4300,IF(D5="H59",4300,IF(D5="P59",4300,IF(D5="H61",4300,IF(D5="P61",4300,IF(D5="G03",5000,IF(D5="P03",5000,IF(D5="G10",5000,IF(D5="P10",5000,IF(D5="G12",5000,IF(D5="P12",5000,IF(D5="G05",5000,IF(D5="P05",5000,IF(D5="G06",5000,IF(D5="P06",5000,IF(D5="OTP06-01",5000,IF(D5="G08",5000,IF(D5="P08",5000,IF(D5="G09",5000,IF(D5="P09",5000,IF(D5="H38",4900,IF(D5="H37",4900,IF(D5="EH40",4900,IF(D5="EH43",4900,IF(D5="H48",4900,IF(D5="H43",4900,IF(D5="H40",4900,IF(D5="H42",4900,IF(D5="H44",4900,IF(D5="H45",4900,IF(D5="ASX HL",4900,IF(D5="ASX P",4900,IF(D5="ASX HL 4WD",4900,IF(D5="H16",3700,IF(D5="H17",3700,IF(D5="P16",3700,IF(D5="Attrage S",3700,IF(D5="MIG09",3700,IF(D5="MIG10",3700,IF(D5="Xpander HL",4500))))))))))))))))))))))))))))))))))))))))))))))))))))))</f>
        <v>4900</v>
      </c>
      <c r="Y11" s="147">
        <f>IF(D5="XC",5400,IF(D5="XPML ",5400,IF(D5="XPHL",5400,IF(D5="XPMLP",5400,IF(D5="XPMLP-01",5400,IF(D5="Xpander P",5400,IF(D5="ML",6000,IF(D5="HL",6000,IF(D5="PR",6000,IF(D5="MLP",6000,IF(D5="HLP",6000,IF(D5="PRP",6000,IF(D5="H57",5200,IF(D5="57",5200,IF(D5="H64",5200,IF(D5="H59",5200,IF(D5="P59",5200,IF(D5="H61",5200,IF(D5="P61",5200,IF(D5="G03",6000,IF(D5="P03",6000,IF(D5="G10",6000,IF(D5="P10",6000,IF(D5="G12",6000,IF(D5="P12",6000,IF(D5="G05",6000,IF(D5="P05",6000,IF(D5="G06",6000,IF(D5="P06",6000,IF(D5="OTP06-01",6000,IF(D5="G08",6000,IF(D5="P08",6000,IF(D5="G09",6000,IF(D5="P09",6000,IF(D5="H38",5700,IF(D5="H37",5700,IF(D5="EH40",5700,IF(D5="EH43",5700,IF(D5="H48",5900,IF(D5="H43",5900,IF(D5="H40",5900,IF(D5="H42",5900,IF(D5="H44",5900,IF(D5="H45",5900,IF(D5="ASX HL",5900,IF(D5="ASX P",5900,IF(D5="ASX HL 4WD",5900,IF(D5="H16",4500,IF(D5="H17",4500,IF(D5="P16",4500,IF(D5="Attrage S",4500,IF(D5="MIG09",4500,IF(D5="MIG10",4500,IF(D5="Xpander HL",5400))))))))))))))))))))))))))))))))))))))))))))))))))))))</f>
        <v>5900</v>
      </c>
    </row>
    <row r="12" spans="1:27" ht="24.6" x14ac:dyDescent="0.4">
      <c r="A12" s="8"/>
      <c r="B12" s="37" t="s">
        <v>20</v>
      </c>
      <c r="C12" s="20" t="s">
        <v>17</v>
      </c>
      <c r="D12" s="36">
        <f>IF(C12="YES",2000,IF(C12="NO",0))</f>
        <v>0</v>
      </c>
      <c r="E12" s="43"/>
      <c r="F12" s="43" t="s">
        <v>21</v>
      </c>
      <c r="G12" s="40"/>
      <c r="H12" s="33">
        <v>600</v>
      </c>
      <c r="I12" s="33"/>
      <c r="J12" s="202" t="s">
        <v>140</v>
      </c>
      <c r="K12" s="45">
        <v>0</v>
      </c>
      <c r="L12" s="45">
        <v>5.2499999999999998E-2</v>
      </c>
      <c r="M12" s="45">
        <v>0.126</v>
      </c>
      <c r="N12" s="201">
        <v>0.26250000000000001</v>
      </c>
      <c r="O12" s="147">
        <f>IF(K20="Esaad",B8*3/100,IF(K20="Emirates Platinum",B8*3/100,IF(K20="Fazaa",B8*3/100,IF(K20="Humat Alwatan",B8*3/100,IF(K20="Permissible",2000,IF(K20="ASX",8400,IF(K20="XPMLP",15100,IF(K20="XP",7200,IF(K20="G43",11000,IF(K20="EC",17000,IF(K20="G37",17000,IF(K20="G38",15000,IF(K20="G40",11000,IF(K20="OUT",3000,IF(K20="F08",14400,IF(K20="P08",11100,IF(K20="F06",13100,IF(K20="P06",13400,IF(K20="F03",3500,IF(K20="F03-1",13500,IF(K20="P03",13100,IF(K20="MON",10000,IF(K20="MON G57",9000,0)))))))))))))))))))))))</f>
        <v>2000</v>
      </c>
      <c r="Z12" s="86" t="s">
        <v>83</v>
      </c>
      <c r="AA12" s="86" t="s">
        <v>84</v>
      </c>
    </row>
    <row r="13" spans="1:27" ht="24.6" x14ac:dyDescent="0.4">
      <c r="A13" s="8">
        <f>B8*1.26582</f>
        <v>85949.178</v>
      </c>
      <c r="B13" s="37" t="s">
        <v>23</v>
      </c>
      <c r="C13" s="20" t="s">
        <v>19</v>
      </c>
      <c r="D13" s="36">
        <f>IF(C13="YES",2000,IF(C13="NO",0))</f>
        <v>2000</v>
      </c>
      <c r="E13" s="47"/>
      <c r="F13" s="47" t="s">
        <v>75</v>
      </c>
      <c r="G13" s="51"/>
      <c r="H13" s="39">
        <v>315</v>
      </c>
      <c r="I13" s="33"/>
      <c r="J13" s="44" t="s">
        <v>54</v>
      </c>
      <c r="K13" s="29" t="s">
        <v>79</v>
      </c>
      <c r="L13" s="29" t="s">
        <v>25</v>
      </c>
      <c r="M13" s="29" t="s">
        <v>0</v>
      </c>
      <c r="N13" s="57" t="s">
        <v>26</v>
      </c>
      <c r="O13" s="9">
        <f>IF(M21="3000-4999",6%,IF(M21="5000-9999",4.75%,IF(M21="10000-14999",3.15%,IF(M21="15000-24999",2.5%,IF(M21="25000-34999",2.25%,IF(M21="35000-99999",2.15%))))))</f>
        <v>4.7500000000000001E-2</v>
      </c>
      <c r="Q13" s="2">
        <f>H7/12</f>
        <v>1492.2586166666667</v>
      </c>
      <c r="U13" s="9">
        <f>IF(M21="3000-4999",6%,IF(M21="5000-9999",3.25%,IF(M21="10000-14999",3%,IF(M21="15000-24999",2.25%,IF(M21="25000-34999",2.15%,IF(M21="35000-99999",1.99%))))))</f>
        <v>3.2500000000000001E-2</v>
      </c>
      <c r="Z13" s="99">
        <f>IF(M21="5000-9999",2.49%,IF(M21="10000-19999",2.19%,IF(M21="20000-34999",2.09%,IF(M21="35000-49999",1.89%,IF(M21="50000-99999",1.79%)))))</f>
        <v>2.4900000000000002E-2</v>
      </c>
      <c r="AA13" s="99">
        <f>IF(M21="5000-9999",2.59%,IF(M21="10000-19999",2.29%,IF(M21="20000-34999",2.19%,IF(M21="35000-49999",1.99%,IF(M21="50000-99999",1.89%)))))</f>
        <v>2.5899999999999999E-2</v>
      </c>
    </row>
    <row r="14" spans="1:27" ht="24.6" x14ac:dyDescent="0.4">
      <c r="A14" s="10" t="s">
        <v>27</v>
      </c>
      <c r="B14" s="37" t="s">
        <v>24</v>
      </c>
      <c r="C14" s="20" t="s">
        <v>19</v>
      </c>
      <c r="D14" s="50">
        <f>IF(C14="YES",U19*3.15*1.05/100,IF(C14="NO",U19*0/100))</f>
        <v>2750.5170000000003</v>
      </c>
      <c r="E14" s="48"/>
      <c r="F14" s="48" t="s">
        <v>24</v>
      </c>
      <c r="G14" s="51" t="s">
        <v>17</v>
      </c>
      <c r="H14" s="39">
        <f>IF(G14="YES",U19*3.15*1.05/100,IF(G14="NO",U19*0/100))</f>
        <v>0</v>
      </c>
      <c r="I14" s="33"/>
      <c r="J14" s="44" t="s">
        <v>55</v>
      </c>
      <c r="K14" s="44">
        <f>(H8*K12+H8)/3</f>
        <v>5969.034466666667</v>
      </c>
      <c r="L14" s="44">
        <f>(H8*L12+H8)/12</f>
        <v>1570.6021940416667</v>
      </c>
      <c r="M14" s="44">
        <f>(H8*M12+H8)/24</f>
        <v>840.14160118333336</v>
      </c>
      <c r="N14" s="200">
        <f>(H7*N12+H7)/60</f>
        <v>376.79530070833334</v>
      </c>
      <c r="O14" s="9">
        <f>IF(M21="3000-4999",3.89%,IF(M21="5000-9999",3.89%,IF(M21="10000-14999",3.89%,IF(M21="15000-24999",2.69%,IF(M21="25000-34999",2.69%,IF(M21="35000-99999",2.39%,IF(M21="76000-99999",2.5%)))))))</f>
        <v>3.8900000000000004E-2</v>
      </c>
    </row>
    <row r="15" spans="1:27" ht="24.6" x14ac:dyDescent="0.4">
      <c r="A15" s="11">
        <f>(B7*3%)+10+120</f>
        <v>2167</v>
      </c>
      <c r="B15" s="37" t="s">
        <v>28</v>
      </c>
      <c r="C15" s="20" t="s">
        <v>19</v>
      </c>
      <c r="D15" s="29">
        <f>IF(C15="YES",O10,IF(C15="NO",0))</f>
        <v>3625</v>
      </c>
      <c r="E15" s="48"/>
      <c r="F15" s="48" t="s">
        <v>53</v>
      </c>
      <c r="G15" s="51" t="s">
        <v>17</v>
      </c>
      <c r="H15" s="39">
        <f>IF(G15="YES",O10,IF(G15="NO",0))</f>
        <v>0</v>
      </c>
      <c r="I15" s="33"/>
      <c r="J15" s="44"/>
      <c r="K15" s="44"/>
      <c r="L15" s="44"/>
      <c r="M15" s="44"/>
      <c r="N15" s="198"/>
      <c r="O15" s="9" t="b">
        <f>IF(M21="3000-4999",4.99%, IF(M21="5000-11999",2.75%,IF(M21="12000-19999",2.75%,IF(M21="20000-39999",2.25%,IF(M21="40000-69999",2.25%,IF(M21="70000-99999",2.25%))))))</f>
        <v>0</v>
      </c>
      <c r="P15" s="191"/>
    </row>
    <row r="16" spans="1:27" ht="24.6" x14ac:dyDescent="0.4">
      <c r="A16" s="11">
        <f>((B7-B8)*3%+10+120)</f>
        <v>130</v>
      </c>
      <c r="B16" s="37" t="s">
        <v>78</v>
      </c>
      <c r="C16" s="20" t="s">
        <v>19</v>
      </c>
      <c r="D16" s="29">
        <f>IF(C16="YES",O16,IF(C16="NO",0))</f>
        <v>6600</v>
      </c>
      <c r="E16" s="47"/>
      <c r="F16" s="47" t="s">
        <v>74</v>
      </c>
      <c r="G16" s="54"/>
      <c r="H16" s="33">
        <f>I7*1.05%</f>
        <v>752.09834280000007</v>
      </c>
      <c r="I16" s="33"/>
      <c r="J16" s="44" t="s">
        <v>16</v>
      </c>
      <c r="K16" s="44">
        <f>(K14*3)-H8</f>
        <v>0</v>
      </c>
      <c r="L16" s="44">
        <f>(L14*12)-H8</f>
        <v>940.12292850000085</v>
      </c>
      <c r="M16" s="44">
        <f>(M14*24)-H8</f>
        <v>2256.2950283999999</v>
      </c>
      <c r="N16" s="198"/>
      <c r="O16" s="147">
        <f>IF(B16="RMC-10-70KMS",O11,IF(B16="RMC-10-100000KMS",V11,IF(B16="RMC-40-70KMS",U11, IF(B16="RMC-10-40KMS",X11, IF(B16="RMC-10-60KMS",Y11, IF(B16="RMC-40-100000KMS",W11,0))))))</f>
        <v>6600</v>
      </c>
    </row>
    <row r="17" spans="1:23" ht="24.6" x14ac:dyDescent="0.4">
      <c r="A17" s="11">
        <f>A15+A16</f>
        <v>2297</v>
      </c>
      <c r="B17" s="37"/>
      <c r="C17" s="20"/>
      <c r="D17" s="29">
        <f>SUM(D10:D16)</f>
        <v>17675.517</v>
      </c>
      <c r="E17" s="48"/>
      <c r="F17" s="48"/>
      <c r="G17" s="54"/>
      <c r="H17" s="33">
        <f>+SUM(H12:H16)+(H7)</f>
        <v>19574.2017428</v>
      </c>
      <c r="I17" s="33"/>
      <c r="J17" s="20"/>
      <c r="K17" s="199"/>
      <c r="L17" s="199"/>
      <c r="M17" s="199"/>
      <c r="N17" s="198"/>
      <c r="O17" s="147">
        <f>IF(B11="FO Ceramic+ Intr&amp;Extr CeramicGold WdwTnt",2700,IF(B11="FO Mirror Camera Sensor",2000))</f>
        <v>2700</v>
      </c>
      <c r="T17" s="1">
        <f>19615-791</f>
        <v>18824</v>
      </c>
    </row>
    <row r="18" spans="1:23" ht="24.6" x14ac:dyDescent="0.4">
      <c r="A18" s="12" t="s">
        <v>29</v>
      </c>
      <c r="B18" s="55" t="s">
        <v>30</v>
      </c>
      <c r="C18" s="197"/>
      <c r="D18" s="57">
        <v>0</v>
      </c>
      <c r="E18" s="38"/>
      <c r="F18" s="20"/>
      <c r="G18" s="20"/>
      <c r="H18" s="37"/>
      <c r="I18" s="37"/>
      <c r="J18" s="37"/>
      <c r="K18" s="37"/>
      <c r="L18" s="37"/>
      <c r="M18" s="37"/>
      <c r="N18" s="37"/>
      <c r="O18" s="9" t="b">
        <f>IF(M21="5000-99999",1.99%)</f>
        <v>0</v>
      </c>
      <c r="U18" s="196" t="s">
        <v>52</v>
      </c>
      <c r="V18" s="196" t="s">
        <v>52</v>
      </c>
    </row>
    <row r="19" spans="1:23" ht="24.6" x14ac:dyDescent="0.4">
      <c r="A19" s="11">
        <f>B8*3.15%</f>
        <v>2138.85</v>
      </c>
      <c r="B19" s="58" t="s">
        <v>31</v>
      </c>
      <c r="C19" s="59"/>
      <c r="D19" s="60">
        <f>IF(K21="DIB EXPAT",O13,IF(K21="DIB LOCAL GVH",U13,IF(K21="Emirates NBD",O14,IF(K21="ADCB",O15,IF(K21="ADCB PAY IN 2027",O19,IF(K21="Ajman Bank",O18,IF(K21="SIB STL",Z13,IF(K21="SIB NON STL",AA13,))))))))</f>
        <v>3.8900000000000004E-2</v>
      </c>
      <c r="E19" s="20"/>
      <c r="F19" s="195"/>
      <c r="G19" s="141" t="s">
        <v>73</v>
      </c>
      <c r="H19" s="142"/>
      <c r="I19" s="143"/>
      <c r="J19" s="109">
        <f>(U19*20/100)/365</f>
        <v>45.56712328767123</v>
      </c>
      <c r="K19" s="37"/>
      <c r="L19" s="37"/>
      <c r="M19" s="37"/>
      <c r="N19" s="34">
        <f>D7</f>
        <v>71295</v>
      </c>
      <c r="O19" s="194" t="b">
        <f>IF(M21="5000-11999",3.35%,IF(M21="12000-19999",3.35%,IF(M21="20000-39999",2.85%,IF(M21="40000-69999",2.85%,IF(M21="70000-99999",2.85%)))))</f>
        <v>0</v>
      </c>
      <c r="P19" s="2">
        <f>81400-2500</f>
        <v>78900</v>
      </c>
      <c r="U19" s="193">
        <f>V19</f>
        <v>83160</v>
      </c>
      <c r="V19" s="192">
        <f>(B7+D10+D11+D12+D13+D16)*1.05</f>
        <v>83160</v>
      </c>
    </row>
    <row r="20" spans="1:23" ht="24.6" x14ac:dyDescent="0.4">
      <c r="A20" s="11"/>
      <c r="B20" s="58" t="s">
        <v>32</v>
      </c>
      <c r="C20" s="59"/>
      <c r="D20" s="63">
        <v>0.2</v>
      </c>
      <c r="E20" s="37"/>
      <c r="F20" s="37"/>
      <c r="G20" s="38"/>
      <c r="H20" s="38"/>
      <c r="I20" s="38"/>
      <c r="J20" s="103"/>
      <c r="K20" s="104" t="s">
        <v>33</v>
      </c>
      <c r="L20" s="104" t="s">
        <v>17</v>
      </c>
      <c r="M20" s="104">
        <f>IF(L20="YES",O12,IF(L20="NO",0))</f>
        <v>0</v>
      </c>
      <c r="N20" s="34">
        <f>B8-M20</f>
        <v>67900</v>
      </c>
      <c r="O20" s="187"/>
      <c r="P20" s="191"/>
      <c r="T20" s="1">
        <f>1992+1084</f>
        <v>3076</v>
      </c>
      <c r="U20" s="186"/>
      <c r="V20" s="2"/>
    </row>
    <row r="21" spans="1:23" ht="24.6" x14ac:dyDescent="0.4">
      <c r="A21" s="13">
        <f>A19+A20</f>
        <v>2138.85</v>
      </c>
      <c r="B21" s="37"/>
      <c r="C21" s="20"/>
      <c r="D21" s="37"/>
      <c r="E21" s="37"/>
      <c r="F21" s="37"/>
      <c r="G21" s="37"/>
      <c r="H21" s="37"/>
      <c r="I21" s="37"/>
      <c r="J21" s="190" t="s">
        <v>34</v>
      </c>
      <c r="K21" s="16" t="s">
        <v>139</v>
      </c>
      <c r="L21" s="16" t="s">
        <v>35</v>
      </c>
      <c r="M21" s="189" t="s">
        <v>80</v>
      </c>
      <c r="N21" s="188"/>
      <c r="O21" s="187"/>
      <c r="T21" s="1">
        <f>25973-12973</f>
        <v>13000</v>
      </c>
      <c r="U21" s="186">
        <f>M14+N7</f>
        <v>2266.1439352700004</v>
      </c>
    </row>
    <row r="22" spans="1:23" s="179" customFormat="1" ht="24.6" x14ac:dyDescent="0.4">
      <c r="A22" s="185"/>
      <c r="B22" s="184" t="s">
        <v>51</v>
      </c>
      <c r="C22" s="183"/>
      <c r="D22" s="183"/>
      <c r="E22" s="183"/>
      <c r="F22" s="183"/>
      <c r="G22" s="183"/>
      <c r="H22" s="183"/>
      <c r="I22" s="183"/>
      <c r="J22" s="183"/>
      <c r="K22" s="183"/>
      <c r="L22" s="183"/>
      <c r="M22" s="183"/>
      <c r="N22" s="182"/>
      <c r="O22" s="181"/>
      <c r="P22" s="180"/>
    </row>
    <row r="23" spans="1:23" s="168" customFormat="1" ht="26.4" x14ac:dyDescent="0.5">
      <c r="A23" s="175" t="s">
        <v>36</v>
      </c>
      <c r="B23" s="172" t="s">
        <v>138</v>
      </c>
      <c r="C23" s="169"/>
      <c r="D23" s="169"/>
      <c r="E23" s="169"/>
      <c r="F23" s="169"/>
      <c r="G23" s="169"/>
      <c r="H23" s="176"/>
      <c r="I23" s="176"/>
      <c r="J23" s="169"/>
      <c r="K23" s="169"/>
      <c r="L23" s="169"/>
      <c r="M23" s="169"/>
      <c r="N23" s="178"/>
      <c r="O23" s="170"/>
      <c r="P23" s="169"/>
    </row>
    <row r="24" spans="1:23" s="168" customFormat="1" ht="26.4" x14ac:dyDescent="0.5">
      <c r="A24" s="175" t="s">
        <v>36</v>
      </c>
      <c r="B24" s="172" t="s">
        <v>137</v>
      </c>
      <c r="C24" s="169"/>
      <c r="D24" s="169"/>
      <c r="E24" s="169"/>
      <c r="F24" s="169"/>
      <c r="G24" s="169"/>
      <c r="H24" s="177">
        <f>H7/365</f>
        <v>49.060557260273974</v>
      </c>
      <c r="I24" s="177">
        <f>H7+H12+H16</f>
        <v>19259.2017428</v>
      </c>
      <c r="J24" s="169"/>
      <c r="K24" s="169"/>
      <c r="L24" s="169"/>
      <c r="M24" s="169"/>
      <c r="N24" s="173"/>
      <c r="O24" s="170"/>
      <c r="P24" s="169">
        <f>1232+480</f>
        <v>1712</v>
      </c>
      <c r="T24" s="168">
        <f>88704/1.05</f>
        <v>84480</v>
      </c>
    </row>
    <row r="25" spans="1:23" s="168" customFormat="1" ht="26.4" x14ac:dyDescent="0.5">
      <c r="A25" s="175" t="s">
        <v>36</v>
      </c>
      <c r="B25" s="172" t="s">
        <v>136</v>
      </c>
      <c r="C25" s="169"/>
      <c r="D25" s="169"/>
      <c r="E25" s="169"/>
      <c r="F25" s="169"/>
      <c r="G25" s="169"/>
      <c r="H25" s="176"/>
      <c r="I25" s="176"/>
      <c r="J25" s="169"/>
      <c r="K25" s="169"/>
      <c r="L25" s="169"/>
      <c r="M25" s="169"/>
      <c r="N25" s="173"/>
      <c r="O25" s="170"/>
      <c r="P25" s="169"/>
      <c r="Q25" s="168">
        <f>79400-5233.33</f>
        <v>74166.67</v>
      </c>
      <c r="R25" s="168">
        <f>Q25*1.05</f>
        <v>77875.003500000006</v>
      </c>
      <c r="W25" s="168">
        <f>1999+1224</f>
        <v>3223</v>
      </c>
    </row>
    <row r="26" spans="1:23" s="168" customFormat="1" ht="26.4" x14ac:dyDescent="0.5">
      <c r="A26" s="175" t="s">
        <v>36</v>
      </c>
      <c r="B26" s="172" t="s">
        <v>135</v>
      </c>
      <c r="C26" s="169"/>
      <c r="D26" s="169"/>
      <c r="E26" s="169"/>
      <c r="F26" s="169"/>
      <c r="G26" s="169"/>
      <c r="H26" s="169"/>
      <c r="I26" s="169"/>
      <c r="J26" s="169"/>
      <c r="K26" s="169"/>
      <c r="L26" s="169"/>
      <c r="M26" s="169"/>
      <c r="N26" s="173"/>
      <c r="O26" s="170" t="s">
        <v>37</v>
      </c>
      <c r="P26" s="169"/>
      <c r="R26" s="168">
        <f>R25+2469</f>
        <v>80344.003500000006</v>
      </c>
    </row>
    <row r="27" spans="1:23" s="168" customFormat="1" ht="26.4" x14ac:dyDescent="0.5">
      <c r="A27" s="175" t="s">
        <v>36</v>
      </c>
      <c r="B27" s="172" t="s">
        <v>134</v>
      </c>
      <c r="C27" s="169"/>
      <c r="D27" s="169"/>
      <c r="E27" s="169"/>
      <c r="F27" s="169"/>
      <c r="G27" s="169"/>
      <c r="H27" s="169"/>
      <c r="I27" s="169"/>
      <c r="J27" s="169"/>
      <c r="K27" s="169"/>
      <c r="L27" s="169"/>
      <c r="M27" s="169"/>
      <c r="N27" s="173"/>
      <c r="O27" s="170">
        <f>129500-110900</f>
        <v>18600</v>
      </c>
      <c r="P27" s="169"/>
      <c r="W27" s="174">
        <f>N7+L14</f>
        <v>2996.6045281283336</v>
      </c>
    </row>
    <row r="28" spans="1:23" s="168" customFormat="1" ht="26.4" x14ac:dyDescent="0.5">
      <c r="B28" s="172" t="s">
        <v>133</v>
      </c>
      <c r="C28" s="169"/>
      <c r="D28" s="169"/>
      <c r="E28" s="169"/>
      <c r="F28" s="169"/>
      <c r="G28" s="169"/>
      <c r="H28" s="169"/>
      <c r="I28" s="169"/>
      <c r="J28" s="169"/>
      <c r="K28" s="169"/>
      <c r="L28" s="169"/>
      <c r="M28" s="169"/>
      <c r="N28" s="173"/>
      <c r="O28" s="170">
        <f>85000-69900</f>
        <v>15100</v>
      </c>
      <c r="P28" s="169"/>
    </row>
    <row r="29" spans="1:23" s="168" customFormat="1" ht="26.4" x14ac:dyDescent="0.5">
      <c r="B29" s="172" t="s">
        <v>132</v>
      </c>
      <c r="C29" s="169"/>
      <c r="D29" s="169"/>
      <c r="E29" s="169"/>
      <c r="F29" s="169"/>
      <c r="G29" s="169"/>
      <c r="H29" s="169"/>
      <c r="I29" s="169"/>
      <c r="J29" s="169"/>
      <c r="K29" s="169"/>
      <c r="L29" s="169"/>
      <c r="M29" s="169"/>
      <c r="N29" s="171"/>
      <c r="O29" s="170"/>
      <c r="P29" s="169"/>
    </row>
    <row r="30" spans="1:23" x14ac:dyDescent="0.3">
      <c r="B30" s="167" t="s">
        <v>38</v>
      </c>
      <c r="C30" s="166"/>
      <c r="D30" s="166"/>
      <c r="E30" s="166"/>
      <c r="F30" s="166"/>
      <c r="G30" s="166"/>
      <c r="H30" s="166"/>
      <c r="I30" s="166"/>
      <c r="J30" s="166"/>
      <c r="K30" s="166"/>
      <c r="L30" s="166"/>
      <c r="M30" s="166"/>
      <c r="N30" s="165"/>
      <c r="O30" s="147"/>
    </row>
    <row r="31" spans="1:23" x14ac:dyDescent="0.3">
      <c r="B31" s="146"/>
      <c r="C31" s="145"/>
      <c r="D31" s="145"/>
      <c r="E31" s="145"/>
      <c r="F31" s="145"/>
      <c r="G31" s="145"/>
      <c r="H31" s="145"/>
      <c r="I31" s="145"/>
      <c r="J31" s="145"/>
      <c r="K31" s="145"/>
      <c r="L31" s="145"/>
      <c r="M31" s="145"/>
      <c r="N31" s="144"/>
      <c r="O31" s="147"/>
    </row>
    <row r="32" spans="1:23" s="86" customFormat="1" ht="20.399999999999999" x14ac:dyDescent="0.35">
      <c r="B32" s="118" t="s">
        <v>39</v>
      </c>
      <c r="C32" s="119"/>
      <c r="D32" s="119"/>
      <c r="E32" s="119"/>
      <c r="F32" s="119"/>
      <c r="G32" s="119"/>
      <c r="H32" s="119"/>
      <c r="I32" s="119"/>
      <c r="J32" s="119"/>
      <c r="K32" s="119"/>
      <c r="L32" s="119"/>
      <c r="M32" s="119"/>
      <c r="N32" s="120"/>
      <c r="O32" s="92"/>
      <c r="P32" s="83"/>
    </row>
    <row r="33" spans="2:16" s="86" customFormat="1" ht="20.399999999999999" x14ac:dyDescent="0.35">
      <c r="B33" s="118" t="s">
        <v>40</v>
      </c>
      <c r="C33" s="119"/>
      <c r="D33" s="119"/>
      <c r="E33" s="119"/>
      <c r="F33" s="119"/>
      <c r="G33" s="119"/>
      <c r="H33" s="119"/>
      <c r="I33" s="119"/>
      <c r="J33" s="119"/>
      <c r="K33" s="119"/>
      <c r="L33" s="119"/>
      <c r="M33" s="119"/>
      <c r="N33" s="120"/>
      <c r="O33" s="92"/>
      <c r="P33" s="83"/>
    </row>
    <row r="34" spans="2:16" s="86" customFormat="1" ht="20.399999999999999" x14ac:dyDescent="0.35">
      <c r="B34" s="107" t="s">
        <v>131</v>
      </c>
      <c r="C34" s="108"/>
      <c r="D34" s="108"/>
      <c r="E34" s="108"/>
      <c r="F34" s="108"/>
      <c r="G34" s="164" t="s">
        <v>130</v>
      </c>
      <c r="H34" s="164"/>
      <c r="I34" s="163"/>
      <c r="J34" s="163"/>
      <c r="K34" s="163"/>
      <c r="L34" s="163"/>
      <c r="M34" s="162" t="s">
        <v>129</v>
      </c>
      <c r="N34" s="161"/>
      <c r="O34" s="83"/>
      <c r="P34" s="83"/>
    </row>
    <row r="35" spans="2:16" x14ac:dyDescent="0.3">
      <c r="B35" s="160"/>
      <c r="C35" s="159"/>
      <c r="D35" s="159"/>
      <c r="E35" s="159"/>
      <c r="F35" s="159"/>
      <c r="G35" s="159"/>
      <c r="H35" s="159"/>
      <c r="I35" s="159"/>
      <c r="J35" s="159"/>
      <c r="K35" s="159"/>
      <c r="L35" s="159"/>
      <c r="M35" s="159"/>
      <c r="N35" s="158"/>
    </row>
    <row r="36" spans="2:16" x14ac:dyDescent="0.3">
      <c r="B36" s="160"/>
      <c r="C36" s="159"/>
      <c r="D36" s="159"/>
      <c r="E36" s="159"/>
      <c r="F36" s="159"/>
      <c r="G36" s="159"/>
      <c r="H36" s="159"/>
      <c r="I36" s="159"/>
      <c r="J36" s="159"/>
      <c r="K36" s="159"/>
      <c r="L36" s="159"/>
      <c r="M36" s="159"/>
      <c r="N36" s="158"/>
    </row>
    <row r="37" spans="2:16" x14ac:dyDescent="0.3">
      <c r="B37" s="160"/>
      <c r="C37" s="159"/>
      <c r="D37" s="159"/>
      <c r="E37" s="159"/>
      <c r="F37" s="159"/>
      <c r="G37" s="159"/>
      <c r="H37" s="159"/>
      <c r="I37" s="159"/>
      <c r="J37" s="159"/>
      <c r="K37" s="159"/>
      <c r="L37" s="159"/>
      <c r="M37" s="159"/>
      <c r="N37" s="158"/>
    </row>
    <row r="38" spans="2:16" ht="16.8" x14ac:dyDescent="0.3">
      <c r="B38" s="149" t="s">
        <v>128</v>
      </c>
      <c r="C38" s="157"/>
      <c r="D38" s="154"/>
      <c r="E38" s="151"/>
      <c r="F38" s="151"/>
      <c r="G38" s="151"/>
      <c r="H38" s="151"/>
      <c r="I38" s="151"/>
      <c r="J38" s="152"/>
      <c r="K38" s="151"/>
      <c r="L38" s="151"/>
      <c r="M38" s="151"/>
      <c r="N38" s="156"/>
    </row>
    <row r="39" spans="2:16" ht="16.8" x14ac:dyDescent="0.3">
      <c r="B39" s="149" t="s">
        <v>127</v>
      </c>
      <c r="C39" s="155"/>
      <c r="D39" s="154"/>
      <c r="E39" s="151"/>
      <c r="F39" s="151"/>
      <c r="G39" s="151"/>
      <c r="H39" s="151"/>
      <c r="I39" s="151"/>
      <c r="J39" s="152"/>
      <c r="K39" s="151"/>
      <c r="L39" s="151"/>
      <c r="M39" s="151"/>
      <c r="N39" s="150"/>
    </row>
    <row r="40" spans="2:16" ht="16.8" x14ac:dyDescent="0.3">
      <c r="B40" s="149" t="s">
        <v>126</v>
      </c>
      <c r="C40" s="153"/>
      <c r="D40" s="151"/>
      <c r="E40" s="151"/>
      <c r="F40" s="151"/>
      <c r="G40" s="151"/>
      <c r="H40" s="151"/>
      <c r="I40" s="151"/>
      <c r="J40" s="152"/>
      <c r="K40" s="151"/>
      <c r="L40" s="151"/>
      <c r="M40" s="151"/>
      <c r="N40" s="150"/>
    </row>
    <row r="41" spans="2:16" ht="16.8" x14ac:dyDescent="0.3">
      <c r="B41" s="149" t="s">
        <v>125</v>
      </c>
      <c r="N41" s="148"/>
    </row>
    <row r="42" spans="2:16" ht="16.8" x14ac:dyDescent="0.3">
      <c r="B42" s="149" t="s">
        <v>124</v>
      </c>
      <c r="N42" s="148"/>
    </row>
    <row r="43" spans="2:16" ht="16.8" x14ac:dyDescent="0.3">
      <c r="B43" s="149" t="s">
        <v>123</v>
      </c>
      <c r="N43" s="148"/>
    </row>
    <row r="44" spans="2:16" ht="16.8" x14ac:dyDescent="0.3">
      <c r="B44" s="149" t="s">
        <v>122</v>
      </c>
      <c r="N44" s="148"/>
    </row>
    <row r="45" spans="2:16" ht="16.8" x14ac:dyDescent="0.3">
      <c r="B45" s="149" t="s">
        <v>121</v>
      </c>
      <c r="N45" s="148"/>
    </row>
    <row r="46" spans="2:16" ht="16.8" x14ac:dyDescent="0.3">
      <c r="B46" s="149" t="s">
        <v>120</v>
      </c>
      <c r="N46" s="148"/>
    </row>
    <row r="47" spans="2:16" x14ac:dyDescent="0.3">
      <c r="B47" s="146" t="s">
        <v>39</v>
      </c>
      <c r="C47" s="145"/>
      <c r="D47" s="145"/>
      <c r="E47" s="145"/>
      <c r="F47" s="145"/>
      <c r="G47" s="145"/>
      <c r="H47" s="145"/>
      <c r="I47" s="145"/>
      <c r="J47" s="145"/>
      <c r="K47" s="145"/>
      <c r="L47" s="145"/>
      <c r="M47" s="145"/>
      <c r="N47" s="144"/>
      <c r="O47" s="147"/>
    </row>
    <row r="48" spans="2:16" x14ac:dyDescent="0.3">
      <c r="B48" s="146" t="s">
        <v>40</v>
      </c>
      <c r="C48" s="145"/>
      <c r="D48" s="145"/>
      <c r="E48" s="145"/>
      <c r="F48" s="145"/>
      <c r="G48" s="145"/>
      <c r="H48" s="145"/>
      <c r="I48" s="145"/>
      <c r="J48" s="145"/>
      <c r="K48" s="145"/>
      <c r="L48" s="145"/>
      <c r="M48" s="145"/>
      <c r="N48" s="144"/>
      <c r="O48" s="147"/>
    </row>
    <row r="49" spans="2:14" x14ac:dyDescent="0.3">
      <c r="B49" s="146" t="s">
        <v>119</v>
      </c>
      <c r="C49" s="145"/>
      <c r="D49" s="145"/>
      <c r="E49" s="145"/>
      <c r="F49" s="145"/>
      <c r="G49" s="145"/>
      <c r="H49" s="145"/>
      <c r="I49" s="145"/>
      <c r="J49" s="145"/>
      <c r="K49" s="145"/>
      <c r="L49" s="145"/>
      <c r="M49" s="145"/>
      <c r="N49" s="144"/>
    </row>
    <row r="50" spans="2:14" ht="25.8" x14ac:dyDescent="0.3">
      <c r="C50" s="15" t="s">
        <v>41</v>
      </c>
    </row>
    <row r="51" spans="2:14" ht="25.8" x14ac:dyDescent="0.3">
      <c r="C51" s="15" t="s">
        <v>42</v>
      </c>
    </row>
    <row r="52" spans="2:14" ht="25.8" x14ac:dyDescent="0.3">
      <c r="C52" s="15" t="s">
        <v>43</v>
      </c>
    </row>
    <row r="53" spans="2:14" ht="25.8" x14ac:dyDescent="0.3">
      <c r="C53" s="15" t="s">
        <v>44</v>
      </c>
    </row>
    <row r="54" spans="2:14" ht="25.8" x14ac:dyDescent="0.3">
      <c r="C54" s="15" t="s">
        <v>45</v>
      </c>
    </row>
  </sheetData>
  <dataConsolidate/>
  <mergeCells count="11">
    <mergeCell ref="F8:G8"/>
    <mergeCell ref="F9:G9"/>
    <mergeCell ref="G19:I19"/>
    <mergeCell ref="B22:N22"/>
    <mergeCell ref="B30:N30"/>
    <mergeCell ref="B32:N32"/>
    <mergeCell ref="B33:N33"/>
    <mergeCell ref="B47:N47"/>
    <mergeCell ref="B48:N48"/>
    <mergeCell ref="B49:N49"/>
    <mergeCell ref="B31:N31"/>
  </mergeCells>
  <dataValidations count="11">
    <dataValidation type="list" allowBlank="1" showInputMessage="1" showErrorMessage="1" sqref="H34" xr:uid="{6EFD455B-45F2-45E3-967C-CAFFA1FB2378}">
      <formula1>"ALAA HAMMAD,KHALED QASSEM,RAMY RAOUF,SIMON LOBO,MHAREN CLEMENTE GARADO"</formula1>
    </dataValidation>
    <dataValidation type="list" allowBlank="1" showInputMessage="1" showErrorMessage="1" sqref="M34" xr:uid="{C4414CE2-3F67-438A-970F-996645E74C25}">
      <formula1>"Alaa Hammad,Bachir Ibrahim Mourad,Khaled Qassem,Ramy Raoof,Simon Lobo,Mharen Clemente Garado,Ranjith"</formula1>
    </dataValidation>
    <dataValidation type="list" allowBlank="1" showInputMessage="1" showErrorMessage="1" sqref="B11" xr:uid="{CD4F09D7-9994-43C5-A86F-9F05FB8C6945}">
      <formula1>"FO Ceramic+ Intr&amp;Extr CeramicGold WdwTnt,FO Mirror Camera Sensor"</formula1>
    </dataValidation>
    <dataValidation type="list" allowBlank="1" showInputMessage="1" showErrorMessage="1" sqref="B12" xr:uid="{AE8873FD-D6CB-4A17-A867-56C537B1DB8D}">
      <formula1>"FO Exterior ceramic All Cars SCOTCHGUARD,FO Mirror Camera Sensor,FO PPF Gold Package "</formula1>
    </dataValidation>
    <dataValidation type="list" allowBlank="1" showInputMessage="1" showErrorMessage="1" sqref="K20" xr:uid="{4BF82802-D579-4B5B-AA84-FB6F7DE43553}">
      <formula1>"Esaad,Emirates Platinum,Fazaa,Humat Alwatan,Permissible,ASX,XPMLP,XP,MON,MON G57,OUT,F08,P08,F06,P06,F03,F03-1,P03,EC,G37,G38,G40,G43"</formula1>
    </dataValidation>
    <dataValidation type="list" allowBlank="1" showInputMessage="1" showErrorMessage="1" sqref="B16" xr:uid="{F4792EBC-3A39-45BB-B2CF-664A3333142C}">
      <formula1>"RMC-10-40KMS,RMC-10-60KMS,RMC-10-70KMS,RMC-10-100000KMS,RMC-40-70KMS,RMC-40-100000KMS"</formula1>
    </dataValidation>
    <dataValidation type="list" allowBlank="1" showInputMessage="1" showErrorMessage="1" sqref="K24" xr:uid="{9CA09C36-65F0-4D77-9DE0-F41634A14320}">
      <formula1>"RMC-10-70K,RMC-10-100000K,RMC-40-70K"</formula1>
    </dataValidation>
    <dataValidation type="list" allowBlank="1" showInputMessage="1" showErrorMessage="1" sqref="D5" xr:uid="{2361156B-700D-4296-A1EC-661B01FF1956}">
      <formula1>"MIG09,MIG10,H16,P16,H17,H48,H43,H40,H42,H44,H45,H38,H37,EH40,EH43,ML,HL,PR, MLP,HLP,PRP,XPML,XPHL,XPMLP, XPMLP-01,XC, G10,P10, G03, P03, G06,P06,G12,P12,G05,P05,G08,P08,G09,P09,H57,P57,H64,H59,P59,H61,P61"</formula1>
    </dataValidation>
    <dataValidation type="list" allowBlank="1" showInputMessage="1" showErrorMessage="1" sqref="M21" xr:uid="{F3B74109-B76B-4C03-AD6F-64016A4A653E}">
      <formula1>"3000-4999,5000-9999,5000-99999,10000-14999,15000-24999,25000-34999,35000-99999,5000-11999,12000-19999,20000-39999,40000-69999,70000-99999"</formula1>
    </dataValidation>
    <dataValidation type="list" allowBlank="1" showInputMessage="1" showErrorMessage="1" sqref="C10:C16 L20 L24:L25 G14:G15 J10" xr:uid="{49153589-C801-46E3-AFE3-CC34192D427E}">
      <formula1>"YES,NO"</formula1>
    </dataValidation>
    <dataValidation type="list" allowBlank="1" showInputMessage="1" showErrorMessage="1" sqref="K21" xr:uid="{1B5756AD-3D9F-4421-87F8-4CB844A9807B}">
      <formula1>"ADCB,ADCB PAY IN 2027,Ajman Bank,ADIB,DIB EXPAT,DIB LOCAL GVH,Emirates NBD,EIB,FAB,RAK,SIB STL,SIB NON STL"</formula1>
    </dataValidation>
  </dataValidations>
  <pageMargins left="0.23622047244094491" right="0.23622047244094491" top="0.74803149606299213" bottom="0.74803149606299213" header="0.31496062992125984" footer="0.31496062992125984"/>
  <pageSetup paperSize="9" scale="40" orientation="landscape" horizontalDpi="4294967295" verticalDpi="4294967295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18C595-BE8B-4232-97BF-74A678706671}">
  <sheetPr>
    <pageSetUpPr fitToPage="1"/>
  </sheetPr>
  <dimension ref="A1:AA54"/>
  <sheetViews>
    <sheetView topLeftCell="B1" zoomScaleNormal="100" workbookViewId="0">
      <selection activeCell="D5" sqref="D5"/>
    </sheetView>
  </sheetViews>
  <sheetFormatPr defaultColWidth="9.109375" defaultRowHeight="15.6" x14ac:dyDescent="0.3"/>
  <cols>
    <col min="1" max="1" width="16" style="1" hidden="1" customWidth="1"/>
    <col min="2" max="2" width="75.109375" style="2" customWidth="1"/>
    <col min="3" max="3" width="26.88671875" style="3" customWidth="1"/>
    <col min="4" max="4" width="23.88671875" style="2" customWidth="1"/>
    <col min="5" max="5" width="23.33203125" style="2" customWidth="1"/>
    <col min="6" max="6" width="19.88671875" style="2" customWidth="1"/>
    <col min="7" max="7" width="23.33203125" style="2" customWidth="1"/>
    <col min="8" max="8" width="24.44140625" style="2" customWidth="1"/>
    <col min="9" max="9" width="27.109375" style="2" customWidth="1"/>
    <col min="10" max="10" width="26.6640625" style="2" customWidth="1"/>
    <col min="11" max="11" width="25.44140625" style="2" customWidth="1"/>
    <col min="12" max="12" width="20.5546875" style="2" customWidth="1"/>
    <col min="13" max="13" width="20.109375" style="2" customWidth="1"/>
    <col min="14" max="14" width="19.5546875" style="2" customWidth="1"/>
    <col min="15" max="15" width="15.109375" style="2" bestFit="1" customWidth="1"/>
    <col min="16" max="16" width="12.6640625" style="2" hidden="1" customWidth="1"/>
    <col min="17" max="17" width="12.6640625" style="1" hidden="1" customWidth="1"/>
    <col min="18" max="18" width="15.6640625" style="1" hidden="1" customWidth="1"/>
    <col min="19" max="19" width="13" style="1" hidden="1" customWidth="1"/>
    <col min="20" max="20" width="17.109375" style="1" hidden="1" customWidth="1"/>
    <col min="21" max="21" width="14.5546875" style="1" bestFit="1" customWidth="1"/>
    <col min="22" max="22" width="19" style="1" customWidth="1"/>
    <col min="23" max="23" width="22.5546875" style="1" bestFit="1" customWidth="1"/>
    <col min="24" max="25" width="9.109375" style="1"/>
    <col min="26" max="26" width="14" style="1" bestFit="1" customWidth="1"/>
    <col min="27" max="27" width="22.33203125" style="1" bestFit="1" customWidth="1"/>
    <col min="28" max="16384" width="9.109375" style="1"/>
  </cols>
  <sheetData>
    <row r="1" spans="1:27" ht="15.75" customHeight="1" x14ac:dyDescent="0.3">
      <c r="B1" s="222" t="s">
        <v>148</v>
      </c>
      <c r="C1" s="221"/>
      <c r="D1" s="221"/>
      <c r="E1" s="221"/>
      <c r="F1" s="221"/>
      <c r="G1" s="221"/>
      <c r="H1" s="221"/>
      <c r="I1" s="221"/>
      <c r="J1" s="221"/>
      <c r="K1" s="221"/>
      <c r="L1" s="221"/>
      <c r="M1" s="221"/>
      <c r="N1" s="220"/>
    </row>
    <row r="2" spans="1:27" ht="15.75" customHeight="1" x14ac:dyDescent="0.3">
      <c r="B2" s="219" t="s">
        <v>147</v>
      </c>
      <c r="C2" s="218"/>
      <c r="D2" s="218"/>
      <c r="E2" s="218"/>
      <c r="F2" s="218"/>
      <c r="G2" s="218"/>
      <c r="H2" s="218"/>
      <c r="I2" s="218"/>
      <c r="J2" s="218"/>
      <c r="K2" s="218"/>
      <c r="L2" s="218"/>
      <c r="M2" s="218"/>
      <c r="N2" s="217"/>
      <c r="Q2" s="2"/>
      <c r="S2" s="186"/>
    </row>
    <row r="3" spans="1:27" ht="15.75" customHeight="1" x14ac:dyDescent="0.3">
      <c r="B3" s="219" t="s">
        <v>146</v>
      </c>
      <c r="C3" s="218"/>
      <c r="D3" s="218"/>
      <c r="E3" s="218"/>
      <c r="F3" s="218"/>
      <c r="G3" s="218"/>
      <c r="H3" s="218"/>
      <c r="I3" s="218"/>
      <c r="J3" s="218"/>
      <c r="K3" s="218"/>
      <c r="L3" s="218"/>
      <c r="M3" s="218"/>
      <c r="N3" s="217"/>
      <c r="O3" s="3"/>
      <c r="P3" s="3"/>
      <c r="Q3" s="153"/>
      <c r="R3" s="153"/>
      <c r="S3" s="216" t="e">
        <f>N7+J14</f>
        <v>#VALUE!</v>
      </c>
      <c r="T3" s="216"/>
      <c r="U3" s="153"/>
      <c r="V3" s="153"/>
      <c r="W3" s="153"/>
      <c r="AA3" s="1">
        <f>273000/5</f>
        <v>54600</v>
      </c>
    </row>
    <row r="4" spans="1:27" ht="15.75" customHeight="1" x14ac:dyDescent="0.3">
      <c r="B4" s="215"/>
      <c r="C4" s="214"/>
      <c r="D4" s="214"/>
      <c r="E4" s="214"/>
      <c r="F4" s="214"/>
      <c r="G4" s="214"/>
      <c r="H4" s="214"/>
      <c r="I4" s="214"/>
      <c r="J4" s="214"/>
      <c r="K4" s="214"/>
      <c r="L4" s="214"/>
      <c r="M4" s="214"/>
      <c r="N4" s="213"/>
      <c r="O4" s="212" t="s">
        <v>0</v>
      </c>
      <c r="P4" s="212"/>
      <c r="Q4" s="210"/>
      <c r="R4" s="210"/>
      <c r="S4" s="211"/>
      <c r="T4" s="211"/>
      <c r="U4" s="210" t="s">
        <v>1</v>
      </c>
      <c r="V4" s="210" t="s">
        <v>2</v>
      </c>
      <c r="W4" s="210" t="s">
        <v>3</v>
      </c>
    </row>
    <row r="5" spans="1:27" ht="25.2" thickBot="1" x14ac:dyDescent="0.45">
      <c r="B5" s="17"/>
      <c r="C5" s="18" t="str">
        <f>IF(D5="MIG09","Mirage G09",IF(D5="MIG10","MirageG10",IF(D5="H16","Attrage H16",IF(D5="P16","Attrage P16",IF(D5="H17","Attrage H17",IF(D5="H48","ASX H48",IF(D5="H43","ASX H43",IF(D5="H40","ASX H40",IF(D5="H42","ASX H42",IF(D5="H44","ASX H44",IF(D5="H45","ASX H45",IF(D5="H38","Eclipse H38",IF(D5="H37","Eclipse H37",IF(D5="EH40","Eclipse H40",IF(D5="EH43","Eclipse H43",IF(D5="XPML","Xpander ML",IF(D5="ML","Destinator ML",IF(D5="HL","Destinator HL",IF(D5="PR","Destinator PR",IF(D5="MLP","Destinator MLP",IF(D5="HLP","Destinator HLP",IF(D5="PRP","Destinator PRP",IF(D5="XPHL","Xpander HL",IF(D5="XPMLP","Xpander ML P",IF(D5="XPMLP-01","Xpander ML P-01",IF(D5="XC","Xpander Cross",IF(D5="G03","Outlander G03",IF(D5="P03","Outlander P03",IF(D5="G06","Outlander G06",IF(D5="P06","Outlander P06",IF(D5="OTP06-01","Outlander P06-01",IF(D5="G08","Outlander G08",IF(D5="P08","Outlander P08",IF(D5="H57","Montero H57",IF(D5="P57","Montero P57",IF(D5="H64","Montero G64",IF(D5="H59","Montero G59",IF(D5="P59","Montero G59 P",IF(D5="H61","Montero G61",IF(D5="P61","Montero P61",IF(D5="G10","Outlander G10",IF(D5="P10","Outlander P10",IF(D5="G12","Outlander G12",IF(D5="P12","Outlander P12",IF(D5="G05","Outlander G05",IF(D5="P05","Outlander P05",IF(D5="G09","Outlander G09",IF(D5="P09","Outlander P09",))))))))))))))))))))))))))))))))))))))))))))))))</f>
        <v>ASX H45</v>
      </c>
      <c r="D5" s="19" t="s">
        <v>178</v>
      </c>
      <c r="E5" s="20" t="s">
        <v>145</v>
      </c>
      <c r="F5" s="37"/>
      <c r="G5" s="37"/>
      <c r="H5" s="37"/>
      <c r="I5" s="20"/>
      <c r="J5" s="34"/>
      <c r="K5" s="209">
        <v>0</v>
      </c>
      <c r="L5" s="208">
        <v>3.39E-2</v>
      </c>
      <c r="M5" s="208">
        <v>6.7799999999999999E-2</v>
      </c>
      <c r="N5" s="208">
        <v>0.1017</v>
      </c>
      <c r="O5" s="147">
        <f>K7+K14</f>
        <v>10521.178399453333</v>
      </c>
      <c r="S5" s="186"/>
      <c r="U5" s="186">
        <f>L7+L14</f>
        <v>4343.8289509255555</v>
      </c>
      <c r="V5" s="186">
        <f>M7+M14</f>
        <v>2937.4386245533333</v>
      </c>
      <c r="W5" s="186">
        <f>N7+N14</f>
        <v>2064.8897953699998</v>
      </c>
    </row>
    <row r="6" spans="1:27" s="5" customFormat="1" ht="99" thickBot="1" x14ac:dyDescent="0.35">
      <c r="A6" s="4" t="s">
        <v>4</v>
      </c>
      <c r="B6" s="26" t="s">
        <v>5</v>
      </c>
      <c r="C6" s="27" t="s">
        <v>6</v>
      </c>
      <c r="D6" s="27" t="s">
        <v>144</v>
      </c>
      <c r="E6" s="27" t="s">
        <v>7</v>
      </c>
      <c r="F6" s="27" t="s">
        <v>8</v>
      </c>
      <c r="G6" s="28" t="s">
        <v>9</v>
      </c>
      <c r="H6" s="28" t="s">
        <v>143</v>
      </c>
      <c r="I6" s="28" t="s">
        <v>10</v>
      </c>
      <c r="J6" s="28" t="s">
        <v>142</v>
      </c>
      <c r="K6" s="28" t="s">
        <v>11</v>
      </c>
      <c r="L6" s="28" t="s">
        <v>12</v>
      </c>
      <c r="M6" s="28" t="s">
        <v>13</v>
      </c>
      <c r="N6" s="28" t="s">
        <v>14</v>
      </c>
      <c r="O6" s="207"/>
      <c r="P6" s="206"/>
      <c r="T6" s="205"/>
      <c r="U6" s="205">
        <f>N7+L14</f>
        <v>3432.2532887033331</v>
      </c>
      <c r="V6" s="205">
        <f>N7+K14</f>
        <v>8470.1331594533331</v>
      </c>
      <c r="W6" s="205" t="e">
        <f>N7+J14</f>
        <v>#VALUE!</v>
      </c>
    </row>
    <row r="7" spans="1:27" ht="25.2" thickBot="1" x14ac:dyDescent="0.45">
      <c r="A7" s="6">
        <f>B8</f>
        <v>79900</v>
      </c>
      <c r="B7" s="29">
        <f>IF(L20="YES",C8*1,IF(L20="NO",B8*1))</f>
        <v>79900</v>
      </c>
      <c r="C7" s="29">
        <f>B7*5/100</f>
        <v>3995</v>
      </c>
      <c r="D7" s="203">
        <f>B7+C7</f>
        <v>83895</v>
      </c>
      <c r="E7" s="29">
        <f>D17</f>
        <v>18092.262000000002</v>
      </c>
      <c r="F7" s="29">
        <f>(C7)+(D10+D11+D12+D13+D16)*5/100</f>
        <v>4560</v>
      </c>
      <c r="G7" s="30">
        <f>B7+E7+F7</f>
        <v>102552.262</v>
      </c>
      <c r="H7" s="29">
        <f>G7*D20</f>
        <v>20510.452400000002</v>
      </c>
      <c r="I7" s="30">
        <f>(G7-H7)</f>
        <v>82041.809600000008</v>
      </c>
      <c r="J7" s="30">
        <f>(((I7*D19)*1)+I7)/12</f>
        <v>7102.7696661199998</v>
      </c>
      <c r="K7" s="30">
        <f>(((I7*D19)*2)+I7)/24</f>
        <v>3684.360932786667</v>
      </c>
      <c r="L7" s="30">
        <f>(((I7*D19)*3)+I7)/36</f>
        <v>2544.8913550088891</v>
      </c>
      <c r="M7" s="30">
        <f>(((I7*D19)*4)+I7)/48</f>
        <v>1975.1565661200002</v>
      </c>
      <c r="N7" s="30">
        <f>((((I7*D19)*5)+I7)/60)</f>
        <v>1633.3156927866667</v>
      </c>
      <c r="O7" s="147"/>
      <c r="P7" s="2">
        <f>H7+H16</f>
        <v>21371.891400800003</v>
      </c>
      <c r="T7" s="186">
        <f>25973/2</f>
        <v>12986.5</v>
      </c>
    </row>
    <row r="8" spans="1:27" ht="24.6" x14ac:dyDescent="0.4">
      <c r="A8" s="7">
        <v>0.2</v>
      </c>
      <c r="B8" s="31">
        <f>IF(D5="MIG09",39900,IF(D5="MIG10",41900,IF(D5="H16",41900,IF(D5="P16",47400,IF(D5="H17",47900,IF(D5="H48",67900,IF(D5="H43",70900,IF(D5="H40",72900,IF(D5="H42",74900,IF(D5="H44",73900,IF(D5="H45",79900,IF(D5="H38",86900,IF(D5="H37",79900,IF(D5="EH40",99900,IF(D5="EH43",106900,IF(D5="ML",71900,IF(D5="HL",83900,IF(D5="PR",95900,IF(D5="MLP",80900,IF(D5="HLP",91900,IF(D5="PRP",102900,IF(D5="XPML",69900,IF(D5="XPHL",71000,IF(D5="XPMLP",75900,IF(D5="XPMLP-01",77800,IF(D5="XC",84900,IF(D5="G10",81900,IF(D5="P10",93900,IF(D5="G12",97900,IF(D5="P12",105900,IF(D5="G05",104900,IF(D5="P05",105900,IF(D5="G03",92900,IF(D5="P03",100900,IF(D5="G06",109900,IF(D5="P06",114900,IF(D5="OTP06-01",118900,IF(D5="G08",125900,IF(D5="P08",132900,IF(D5="OTP06-01",109900,IF(D5="G09",129900,IF(D5="P09",134900,IF(D5="H57",105900,IF(D5="P57",113900,IF(D5="H64",116900,IF(D5="H59",127900,IF(D5="P59",134900,IF(D5="H61",134900,IF(D5="P61",138900)))))))))))))))))))))))))))))))))))))))))))))))))</f>
        <v>79900</v>
      </c>
      <c r="C8" s="32">
        <f>IF(L20="YES",N20,IF(L20="NO",N20))</f>
        <v>79900</v>
      </c>
      <c r="D8" s="29">
        <v>0</v>
      </c>
      <c r="E8" s="33"/>
      <c r="F8" s="139"/>
      <c r="G8" s="140"/>
      <c r="H8" s="110">
        <f>G7*20/100</f>
        <v>20510.452399999998</v>
      </c>
      <c r="I8" s="34"/>
      <c r="J8" s="34" t="s">
        <v>15</v>
      </c>
      <c r="K8" s="34">
        <f>(I7*K5+I7)/24</f>
        <v>3418.4087333333337</v>
      </c>
      <c r="L8" s="34">
        <f>(I7*L5+I7)/36</f>
        <v>2356.1951929288894</v>
      </c>
      <c r="M8" s="34">
        <f>(I7*M5+I7)/48</f>
        <v>1825.088422726667</v>
      </c>
      <c r="N8" s="34">
        <f>(I7*N5+I7)/60</f>
        <v>1506.4243606053335</v>
      </c>
      <c r="O8" s="147">
        <v>0</v>
      </c>
      <c r="P8" s="2">
        <f>P7/12</f>
        <v>1780.990950066667</v>
      </c>
      <c r="T8" s="1">
        <f>25973-12973</f>
        <v>13000</v>
      </c>
    </row>
    <row r="9" spans="1:27" ht="24.6" x14ac:dyDescent="0.4">
      <c r="A9" s="8">
        <f>B8/(100%-A8)</f>
        <v>99875</v>
      </c>
      <c r="B9" s="109">
        <f>B7-B8</f>
        <v>0</v>
      </c>
      <c r="C9" s="109"/>
      <c r="D9" s="36"/>
      <c r="E9" s="33"/>
      <c r="F9" s="139"/>
      <c r="G9" s="140"/>
      <c r="H9" s="33"/>
      <c r="I9" s="37" t="s">
        <v>16</v>
      </c>
      <c r="J9" s="38">
        <f>(J7*12)-I7</f>
        <v>3191.4263934399933</v>
      </c>
      <c r="K9" s="38">
        <f>(K7*24)-I7</f>
        <v>6382.8527868800011</v>
      </c>
      <c r="L9" s="38">
        <f>(L7*36)-I7</f>
        <v>9574.2791803200089</v>
      </c>
      <c r="M9" s="38">
        <f>(M7*48)-I7</f>
        <v>12765.705573760002</v>
      </c>
      <c r="N9" s="38">
        <f>(N7*60)-I7</f>
        <v>15957.131967199995</v>
      </c>
      <c r="O9" s="147"/>
      <c r="T9" s="1">
        <f>T8/12</f>
        <v>1083.3333333333333</v>
      </c>
      <c r="Z9" s="1" t="s">
        <v>86</v>
      </c>
    </row>
    <row r="10" spans="1:27" ht="24.6" x14ac:dyDescent="0.4">
      <c r="A10" s="8"/>
      <c r="B10" s="37" t="s">
        <v>141</v>
      </c>
      <c r="C10" s="20" t="s">
        <v>17</v>
      </c>
      <c r="D10" s="36">
        <f>IF(C10="YES",700,IF(C10="NO",0))</f>
        <v>0</v>
      </c>
      <c r="E10" s="39"/>
      <c r="F10" s="40"/>
      <c r="G10" s="40"/>
      <c r="H10" s="33"/>
      <c r="I10" s="44" t="s">
        <v>85</v>
      </c>
      <c r="J10" s="117" t="s">
        <v>19</v>
      </c>
      <c r="K10" s="117">
        <f>IF(J10="YES",Z10,IF(J10="NO",0))</f>
        <v>1000</v>
      </c>
      <c r="L10" s="41">
        <f>(L8*36)-I7</f>
        <v>2781.2173454400036</v>
      </c>
      <c r="M10" s="41">
        <f>(M8*48)-I7</f>
        <v>5562.4346908800071</v>
      </c>
      <c r="N10" s="41">
        <f>(N8*60)-I7</f>
        <v>8343.6520363199961</v>
      </c>
      <c r="O10" s="147">
        <f>IF(D5="XC",3690,IF(D5="XPML",3690,IF(D5="XPHL",3690,IF(D5="XPMLP",3690,IF(D5="XPMLP-01",3690,IF(D5="Xpander P",3690,IF(D5="ML",3690,IF(D5="HL",3690,IF(D5="PR",(U19*3/100+510)*1.05,IF(D5="MLP",3690,IF(D5="HLP",(U19*3/100+510)*1.05,IF(D5="PRP",(U19*3/100+510)*1.05,IF(D5="H57",(U19*2.75/100+510)*1.05,IF(D5="P57",(U19*2.75/100+510)*1.05,IF(D5="H64",(U19*2.75/100+510)*1.05,IF(D5="H59",(U19*2.75/100+510)*1.05,IF(D5="P59",(U19*2.75/100+510)*1.05,IF(D5="H61",(U19*2.75/100+510)*1.05,IF(D5="P61",(U19*2.75/100+510)*1.05,IF(D5="G03",(U19*3/100+510)*1.05,IF(D5="G10",(U19*3/100+510)*1.05,IF(D5="P10",(U19*3/100+510)*1.05,IF(D5="G12",(U19*3/100+510)*1.05,IF(D5="P12",(U19*3/100+510)*1.05,IF(D5="G05",(U19*3/100+510)*1.05,IF(D5="P05",(U19*3/100+510)*1.05,IF(D5="P03",(U19*3/100+510)*1.05,IF(D5="G06",(U19*3/100+510)*1.05,IF(D5="P06",(U19*3/100+510)*1.05,IF(D5="OTP06-01",(U19*3/100+510)*1.05,IF(D5="G08",(U19*3/100+510)*1.05,IF(D5="P08",(U19*3/100+510)*1.05,IF(D5="G09",(U19*3/100+510)*1.05,IF(D5="P09",(U19*3/100+510)*1.05,IF(D5="H38",3625,IF(D5="H37",3625,IF(D5="EH40",(U19*3/100+450)*1.05,IF(D5="EH43",(U19*3/100+450)*1.05,IF(D5="H48",3625,IF(D5="H43",3625,IF(D5="H40",3625,IF(D5="H42",3625,IF(D5="H44",3625,IF(D5="H45",3625,IF(D5="ASX HL 4WD",3625,IF(D5="H16",3625,IF(D5="H17",3625,IF(D5="P16",3625,IF(D5="Attrage S",3625,IF(D5="MIG09",3625,IF(D5="MIG10",3625,IF(D5="Xpander HL",3690))))))))))))))))))))))))))))))))))))))))))))))))))))</f>
        <v>3625</v>
      </c>
      <c r="P10" s="204"/>
      <c r="Q10" s="204">
        <f>5.25*3</f>
        <v>15.75</v>
      </c>
      <c r="Z10" s="1">
        <f>IF(D5="MIG09",1000,IF(D5="MIG10",1000,IF(D5="H16",1000,IF(D5="P16",1000,IF(D5="H17",1000,IF(D5="H48",1000,IF(D5="H43",1000,IF(D5="H40",1000,IF(D5="H42",1000,IF(D5="H44",1000,IF(D5="H45",1000,IF(D5="H38",1000,IF(D5="H37",1000,IF(D5="EH40",1000,IF(D5="EH43",1000,IF(D5="ML",1000,IF(D5="HL",1000,IF(D5="PR",1000,IF(D5="MLP",1000,IF(D5="HLP",1000,IF(D5="PRP",1000,IF(D5="XPML",1000,IF(D5="XPHL",1000,IF(D5="XPMLP",1000,IF(D5="XPMLP-01",1000,IF(D5="XC",1000,IF(D5="G10",1000,IF(D5="P10",1000,IF(D5="G12",1000,IF(D5="P12",1000,IF(D5="G05",1000,IF(D5="P05",1000,IF(D5="G03",1000,IF(D5="P03",1000,IF(D5="G06",1000,IF(D5="P06",1000,IF(D5="OTP06-01",1000,IF(D5="G08",1000,IF(D5="P08",1000,IF(D5="OTP06-01",1000,IF(D5="G09",1000,IF(D5="P09",1000,IF(D5="H57",1000,IF(D5="P57",1000,IF(D5="H64",1000,IF(D5="H59",1000,IF(D5="P59",1000,IF(D5="H61",1000,IF(D5="P61",1000)))))))))))))))))))))))))))))))))))))))))))))))))</f>
        <v>1000</v>
      </c>
    </row>
    <row r="11" spans="1:27" ht="24.6" x14ac:dyDescent="0.4">
      <c r="A11" s="8"/>
      <c r="B11" s="37" t="s">
        <v>18</v>
      </c>
      <c r="C11" s="20" t="s">
        <v>19</v>
      </c>
      <c r="D11" s="203">
        <f>IF(C11="YES",O17,IF(C11="NO",0))</f>
        <v>2700</v>
      </c>
      <c r="E11" s="39"/>
      <c r="F11" s="40"/>
      <c r="G11" s="40"/>
      <c r="H11" s="33"/>
      <c r="I11" s="33"/>
      <c r="J11" s="44" t="s">
        <v>76</v>
      </c>
      <c r="K11" s="44">
        <f>H8-K10</f>
        <v>19510.452399999998</v>
      </c>
      <c r="L11" s="37"/>
      <c r="M11" s="37"/>
      <c r="N11" s="38"/>
      <c r="O11" s="147">
        <f>IF(D5="XC",6100,IF(D5="XPML",6100,IF(D5="XPHL",6100,IF(D5="XPMLP",6100,IF(D5="XPMLP-01",6100,IF(D5="Xpander P",6100,IF(D5="ML",6600,IF(D5="HL",6600,IF(D5="PR",6600,IF(D5="MLP",6600,IF(D5="HLP",6600,IF(D5="PRP",6600,IF(D5="H57",5900,IF(D5="P57",5900,IF(D5="H64",5900,IF(D5="H59",5900,IF(D5="P59",5900,IF(D5="H61",5900,IF(D5="P61",5900,IF(D5="G03",6700,IF(D5="G10",6700,IF(D5="P10",6700,IF(D5="G12",6700,IF(D5="P12",6700,IF(D5="G05",6700,IF(D5="P05",6700,IF(D5="P03",6700,IF(D5="G06",6700,IF(D5="P06",6700,IF(D5="OTP06-01",6700,IF(D5="G08",6700,IF(D5="G09",6700,IF(D5="G08",6700,IF(D5="P08",6700,IF(D5="P09",6700,IF(D5="H37",6400,IF(D5="H38",6400,IF(D5="EH40",6400,IF(D5="EH43",6400,IF(D5="H48",6600,IF(D5="H43",6600,IF(D5="H40",6600,IF(D5="H42",6600,IF(D5="H44",6600,IF(D5="H45",6600,IF(D5="ASX HL 4WD",6600,IF(D5="H16",5400,IF(D5="H17",5400,IF(D5="P16",5400,IF(D5="Attrage S",5400,IF(D5="MIG09",5400,IF(D5="MIG10",5400,IF(D5="Xpander HL",6000)))))))))))))))))))))))))))))))))))))))))))))))))))))</f>
        <v>6600</v>
      </c>
      <c r="P11" s="147"/>
      <c r="Q11" s="147"/>
      <c r="R11" s="147"/>
      <c r="S11" s="147"/>
      <c r="T11" s="147"/>
      <c r="U11" s="147">
        <f>IF(D5="XC",4900,IF(D5="XPML",4900,IF(D5="XPHL",4900,IF(D5="XPMLP",4900,IF(D5="XPMLP-01",4900,IF(D5="Xpander P",4900,IF(D5="ML",5400,IF(D5="HL",5400,IF(D5="PR",5400,IF(D5="MLP",5400,IF(D5="HLP",5400,IF(D5="PRP",5400,IF(D5="H57",4600,IF(D5="P57",4600,IF(D5="MOG64",4600,IF(D5="H59",4600,IF(D5="P59",4600,IF(D5="H61",4600,IF(D5="P61",4600,IF(D5="G03",5500,IF(D5="P03",5500,IF(D5="G10",5500,IF(D5="P10",5500,IF(D5="G12",5500,IF(D5="P12",5500,IF(D5="G05",5500,IF(D5="P05",5500,IF(D5="G06",5500,IF(D5="P06",5500,IF(D5="OTP06-01",5500,IF(D5="F08",5500,IF(D5="P08",5500,IF(D5="G09",5500,IF(D5="P09",5500,IF(D5="H38",5200,IF(D5="H37",5200,IF(D5="EH40",5200,IF(D5="EH43",5200,IF(D5="H48",5300,IF(D5="H43",5300,IF(D5="H40",5300,IF(D5="H42",5300,IF(D5="H44",5300,IF(D5="H45",5300,IF(D5="ASX HL",5300,IF(D5="ASX P",5300,IF(D5="ASX HL 4WD",5300,IF(D5="H16",4200,IF(D5="H17",4200,IF(D5="P16",4200,IF(D5="Attrage S",4200,IF(D5="MIG09",4200,IF(D5="MIG10",4200,IF(D5="Xpander HL",4900))))))))))))))))))))))))))))))))))))))))))))))))))))))</f>
        <v>5300</v>
      </c>
      <c r="V11" s="147">
        <f>IF(D5="XC",9700,IF(D5="XPML",9700,IF(D5="XPHL",9700,IF(D5="XPMLP",9700,IF(D5="XPMLP-01",9700,IF(D5="XPMLP-01",9700,IF(D5="Xpander P",9700,IF(D5="ML",10800,IF(D5="HL",10800,IF(D5="PR",10800,IF(D5="MLP",10800,IF(D5="HLP",10800,IF(D5="PRP",10800,IF(D5="H57",9300,IF(D5="P57",9300,IF(D5="MG64",9300,IF(D5="H59",9300,IF(D5="P59",9300,IF(D5="H61",9300,IF(D5="P61",9300,IF(D5="G03",11000,IF(D5="G10",11000,IF(D5="P10",11000,IF(D5="G12",11000,IF(D5="P12",11000,IF(D5="G05",11000,IF(D5="P05",11000,IF(D5="P03",11000,IF(D5="G06",11000,IF(D5="P06",11000,IF(D5="OTP06-01",11000,IF(D5="G08",11000,IF(D5="P08",11000,IF(D5="G09",11000,IF(D5="P09",11000,IF(D5="H38",10400,IF(D5="H37",10400,IF(D5="EH40",10400,IF(D5="EH43",10400,IF(D5="H48",10700,IF(D5="H43",10700,IF(D5="H40",10700,IF(D5="H42",10700,IF(D5="H44",10800,IF(D5="H45",10800,IF(D5="ASX HL",12200,IF(D5="ASX P",12200,IF(D5="ASX HL 4WD",12200,IF(D5="H16",8500,IF(D5="H17",8500,IF(D5="P16",8500,IF(D5="Attrage S",9600,IF(D5="MIG09",8500,IF(D5="MIG10",8500,IF(D5="Xpander HL",11300)))))))))))))))))))))))))))))))))))))))))))))))))))))))</f>
        <v>10800</v>
      </c>
      <c r="W11" s="147">
        <f>IF(D5="XC",9200,IF(D5="XPML",9200,IF(D5="XPHL",9200,IF(D5="XPMLP",9200,IF(D5="XPMLP-01",9200,IF(D5="Xpander P",9200,IF(D5="ML",10000,IF(D5="HL",10000,IF(D5="PR",10000,IF(D5="MLP",10000,IF(D5="HLP",10000,IF(D5="PRP",10000,IF(D5="H57",8700,IF(D5="P57",8700,IF(D5="H64",8700,IF(D5="H59",8700,IF(D5="P59",8700,IF(D5="H61",8700,IF(D5="P61",8700,IF(D5="G03",10400,IF(D5="P03",10400,IF(D5="G10",10400,IF(D5="P10",10400,IF(D5="G12",10400,IF(D5="P12",10400,IF(D5="G05",10400,IF(D5="P05",10400,IF(D5="G06",10400,IF(D5="P06",10400,IF(D5="OTP06-01",10400,IF(D5="G08",10400,IF(D5="P08",10400,IF(D5="G09",10400,IF(D5="P09",10400,IF(D5="H38",9800,IF(D5="H37",9800,IF(D5="EH40",9800,IF(D5="EH43",9800,IF(D5="H48",10100,IF(D5="H43",10100,IF(D5="H40",10100,IF(D5="H42",10100,IF(D5="H44",10100,IF(D5="H45",10100,IF(D5="ASX HL",10100,IF(D5="ASX P",10100,IF(D5="ASX HL 4WD",10100,IF(D5="H16",7900,IF(D5="H17",7900,IF(D5="P16",7900,IF(D5="Attrage S",7900,IF(D5="MIG09",7900,IF(D5="MIG10",7900,IF(D5="Xpander HL",9200))))))))))))))))))))))))))))))))))))))))))))))))))))))</f>
        <v>10100</v>
      </c>
      <c r="X11" s="147">
        <f>IF(D5="XC",4500,IF(D5="XPML",4500,IF(D5="XPHL",4500,IF(D5="XPMLP",4500,IF(D5="XPMLP-01",4500,IF(D5="Xpander P",4500,IF(D5="ML",5000,IF(D5="HL",5000,IF(D5="PR",5000,IF(D5="MLP",5000,IF(D5="HLP",5000,IF(D5="PRP",5000,IF(D5="H57",8700,IF(D5="P57",8700,IF(D5="MOG64",4300,IF(D5="H59",4300,IF(D5="P59",4300,IF(D5="H61",4300,IF(D5="P61",4300,IF(D5="G03",5000,IF(D5="P03",5000,IF(D5="G10",5000,IF(D5="P10",5000,IF(D5="G12",5000,IF(D5="P12",5000,IF(D5="G05",5000,IF(D5="P05",5000,IF(D5="G06",5000,IF(D5="P06",5000,IF(D5="OTP06-01",5000,IF(D5="G08",5000,IF(D5="P08",5000,IF(D5="G09",5000,IF(D5="P09",5000,IF(D5="H38",4900,IF(D5="H37",4900,IF(D5="EH40",4900,IF(D5="EH43",4900,IF(D5="H48",4900,IF(D5="H43",4900,IF(D5="H40",4900,IF(D5="H42",4900,IF(D5="H44",4900,IF(D5="H45",4900,IF(D5="ASX HL",4900,IF(D5="ASX P",4900,IF(D5="ASX HL 4WD",4900,IF(D5="H16",3700,IF(D5="H17",3700,IF(D5="P16",3700,IF(D5="Attrage S",3700,IF(D5="MIG09",3700,IF(D5="MIG10",3700,IF(D5="Xpander HL",4500))))))))))))))))))))))))))))))))))))))))))))))))))))))</f>
        <v>4900</v>
      </c>
      <c r="Y11" s="147">
        <f>IF(D5="XC",5400,IF(D5="XPML ",5400,IF(D5="XPHL",5400,IF(D5="XPMLP",5400,IF(D5="XPMLP-01",5400,IF(D5="Xpander P",5400,IF(D5="ML",6000,IF(D5="HL",6000,IF(D5="PR",6000,IF(D5="MLP",6000,IF(D5="HLP",6000,IF(D5="PRP",6000,IF(D5="H57",5200,IF(D5="57",5200,IF(D5="H64",5200,IF(D5="H59",5200,IF(D5="P59",5200,IF(D5="H61",5200,IF(D5="P61",5200,IF(D5="G03",6000,IF(D5="P03",6000,IF(D5="G10",6000,IF(D5="P10",6000,IF(D5="G12",6000,IF(D5="P12",6000,IF(D5="G05",6000,IF(D5="P05",6000,IF(D5="G06",6000,IF(D5="P06",6000,IF(D5="OTP06-01",6000,IF(D5="G08",6000,IF(D5="P08",6000,IF(D5="G09",6000,IF(D5="P09",6000,IF(D5="H38",5700,IF(D5="H37",5700,IF(D5="EH40",5700,IF(D5="EH43",5700,IF(D5="H48",5900,IF(D5="H43",5900,IF(D5="H40",5900,IF(D5="H42",5900,IF(D5="H44",5900,IF(D5="H45",5900,IF(D5="ASX HL",5900,IF(D5="ASX P",5900,IF(D5="ASX HL 4WD",5900,IF(D5="H16",4500,IF(D5="H17",4500,IF(D5="P16",4500,IF(D5="Attrage S",4500,IF(D5="MIG09",4500,IF(D5="MIG10",4500,IF(D5="Xpander HL",5400))))))))))))))))))))))))))))))))))))))))))))))))))))))</f>
        <v>5900</v>
      </c>
    </row>
    <row r="12" spans="1:27" ht="24.6" x14ac:dyDescent="0.4">
      <c r="A12" s="8"/>
      <c r="B12" s="37" t="s">
        <v>20</v>
      </c>
      <c r="C12" s="20" t="s">
        <v>17</v>
      </c>
      <c r="D12" s="36">
        <f>IF(C12="YES",2000,IF(C12="NO",0))</f>
        <v>0</v>
      </c>
      <c r="E12" s="43"/>
      <c r="F12" s="43" t="s">
        <v>21</v>
      </c>
      <c r="G12" s="40"/>
      <c r="H12" s="33">
        <v>600</v>
      </c>
      <c r="I12" s="33"/>
      <c r="J12" s="202" t="s">
        <v>140</v>
      </c>
      <c r="K12" s="45">
        <v>0</v>
      </c>
      <c r="L12" s="45">
        <v>5.2499999999999998E-2</v>
      </c>
      <c r="M12" s="45">
        <v>0.126</v>
      </c>
      <c r="N12" s="201">
        <v>0.26250000000000001</v>
      </c>
      <c r="O12" s="147">
        <f>IF(K20="Esaad",B8*3/100,IF(K20="Emirates Platinum",B8*3/100,IF(K20="Fazaa",B8*3/100,IF(K20="Humat Alwatan",B8*3/100,IF(K20="Permissible",2000,IF(K20="ASX",8400,IF(K20="XPMLP",15100,IF(K20="XP",7200,IF(K20="G43",11000,IF(K20="EC",17000,IF(K20="G37",17000,IF(K20="G38",15000,IF(K20="G40",11000,IF(K20="OUT",3000,IF(K20="F08",14400,IF(K20="P08",11100,IF(K20="F06",13100,IF(K20="P06",13400,IF(K20="F03",3500,IF(K20="F03-1",13500,IF(K20="P03",13100,IF(K20="MON",10000,IF(K20="MON G57",9000,0)))))))))))))))))))))))</f>
        <v>2000</v>
      </c>
      <c r="Z12" s="86" t="s">
        <v>83</v>
      </c>
      <c r="AA12" s="86" t="s">
        <v>84</v>
      </c>
    </row>
    <row r="13" spans="1:27" ht="24.6" x14ac:dyDescent="0.4">
      <c r="A13" s="8">
        <f>B8*1.26582</f>
        <v>101139.018</v>
      </c>
      <c r="B13" s="37" t="s">
        <v>23</v>
      </c>
      <c r="C13" s="20" t="s">
        <v>19</v>
      </c>
      <c r="D13" s="36">
        <f>IF(C13="YES",2000,IF(C13="NO",0))</f>
        <v>2000</v>
      </c>
      <c r="E13" s="47"/>
      <c r="F13" s="47" t="s">
        <v>75</v>
      </c>
      <c r="G13" s="51"/>
      <c r="H13" s="39">
        <v>315</v>
      </c>
      <c r="I13" s="33"/>
      <c r="J13" s="44" t="s">
        <v>54</v>
      </c>
      <c r="K13" s="29" t="s">
        <v>79</v>
      </c>
      <c r="L13" s="29" t="s">
        <v>25</v>
      </c>
      <c r="M13" s="29" t="s">
        <v>0</v>
      </c>
      <c r="N13" s="57" t="s">
        <v>26</v>
      </c>
      <c r="O13" s="9">
        <f>IF(M21="3000-4999",6%,IF(M21="5000-9999",4.75%,IF(M21="10000-14999",3.15%,IF(M21="15000-24999",2.5%,IF(M21="25000-34999",2.25%,IF(M21="35000-99999",2.15%))))))</f>
        <v>4.7500000000000001E-2</v>
      </c>
      <c r="Q13" s="2">
        <f>H7/12</f>
        <v>1709.2043666666668</v>
      </c>
      <c r="U13" s="9">
        <f>IF(M21="3000-4999",6%,IF(M21="5000-9999",3.25%,IF(M21="10000-14999",3%,IF(M21="15000-24999",2.25%,IF(M21="25000-34999",2.15%,IF(M21="35000-99999",1.99%))))))</f>
        <v>3.2500000000000001E-2</v>
      </c>
      <c r="Z13" s="99">
        <f>IF(M21="5000-9999",2.49%,IF(M21="10000-19999",2.19%,IF(M21="20000-34999",2.09%,IF(M21="35000-49999",1.89%,IF(M21="50000-99999",1.79%)))))</f>
        <v>2.4900000000000002E-2</v>
      </c>
      <c r="AA13" s="99">
        <f>IF(M21="5000-9999",2.59%,IF(M21="10000-19999",2.29%,IF(M21="20000-34999",2.19%,IF(M21="35000-49999",1.99%,IF(M21="50000-99999",1.89%)))))</f>
        <v>2.5899999999999999E-2</v>
      </c>
    </row>
    <row r="14" spans="1:27" ht="24.6" x14ac:dyDescent="0.4">
      <c r="A14" s="10" t="s">
        <v>27</v>
      </c>
      <c r="B14" s="37" t="s">
        <v>24</v>
      </c>
      <c r="C14" s="20" t="s">
        <v>19</v>
      </c>
      <c r="D14" s="50">
        <f>IF(C14="YES",U19*3.15*1.05/100,IF(C14="NO",U19*0/100))</f>
        <v>3167.2620000000002</v>
      </c>
      <c r="E14" s="48"/>
      <c r="F14" s="48" t="s">
        <v>24</v>
      </c>
      <c r="G14" s="51" t="s">
        <v>17</v>
      </c>
      <c r="H14" s="39">
        <f>IF(G14="YES",U19*3.15*1.05/100,IF(G14="NO",U19*0/100))</f>
        <v>0</v>
      </c>
      <c r="I14" s="33"/>
      <c r="J14" s="44" t="s">
        <v>55</v>
      </c>
      <c r="K14" s="44">
        <f>(H8*K12+H8)/3</f>
        <v>6836.8174666666664</v>
      </c>
      <c r="L14" s="44">
        <f>(H8*L12+H8)/12</f>
        <v>1798.9375959166664</v>
      </c>
      <c r="M14" s="44">
        <f>(H8*M12+H8)/24</f>
        <v>962.28205843333319</v>
      </c>
      <c r="N14" s="200">
        <f>(H7*N12+H7)/60</f>
        <v>431.57410258333334</v>
      </c>
      <c r="O14" s="9">
        <f>IF(M21="3000-4999",3.89%,IF(M21="5000-9999",3.89%,IF(M21="10000-14999",3.89%,IF(M21="15000-24999",2.69%,IF(M21="25000-34999",2.69%,IF(M21="35000-99999",2.39%,IF(M21="76000-99999",2.5%)))))))</f>
        <v>3.8900000000000004E-2</v>
      </c>
    </row>
    <row r="15" spans="1:27" ht="24.6" x14ac:dyDescent="0.4">
      <c r="A15" s="11">
        <f>(B7*3%)+10+120</f>
        <v>2527</v>
      </c>
      <c r="B15" s="37" t="s">
        <v>28</v>
      </c>
      <c r="C15" s="20" t="s">
        <v>19</v>
      </c>
      <c r="D15" s="29">
        <f>IF(C15="YES",O10,IF(C15="NO",0))</f>
        <v>3625</v>
      </c>
      <c r="E15" s="48"/>
      <c r="F15" s="48" t="s">
        <v>53</v>
      </c>
      <c r="G15" s="51" t="s">
        <v>17</v>
      </c>
      <c r="H15" s="39">
        <f>IF(G15="YES",O10,IF(G15="NO",0))</f>
        <v>0</v>
      </c>
      <c r="I15" s="33"/>
      <c r="J15" s="44"/>
      <c r="K15" s="44"/>
      <c r="L15" s="44"/>
      <c r="M15" s="44"/>
      <c r="N15" s="198"/>
      <c r="O15" s="9" t="b">
        <f>IF(M21="3000-4999",4.99%, IF(M21="5000-11999",2.75%,IF(M21="12000-19999",2.75%,IF(M21="20000-39999",2.25%,IF(M21="40000-69999",2.25%,IF(M21="70000-99999",2.25%))))))</f>
        <v>0</v>
      </c>
      <c r="P15" s="191"/>
    </row>
    <row r="16" spans="1:27" ht="24.6" x14ac:dyDescent="0.4">
      <c r="A16" s="11">
        <f>((B7-B8)*3%+10+120)</f>
        <v>130</v>
      </c>
      <c r="B16" s="37" t="s">
        <v>78</v>
      </c>
      <c r="C16" s="20" t="s">
        <v>19</v>
      </c>
      <c r="D16" s="29">
        <f>IF(C16="YES",O16,IF(C16="NO",0))</f>
        <v>6600</v>
      </c>
      <c r="E16" s="47"/>
      <c r="F16" s="47" t="s">
        <v>74</v>
      </c>
      <c r="G16" s="54"/>
      <c r="H16" s="33">
        <f>I7*1.05%</f>
        <v>861.43900080000014</v>
      </c>
      <c r="I16" s="33"/>
      <c r="J16" s="44" t="s">
        <v>16</v>
      </c>
      <c r="K16" s="44">
        <f>(K14*3)-H8</f>
        <v>0</v>
      </c>
      <c r="L16" s="44">
        <f>(L14*12)-H8</f>
        <v>1076.7987509999984</v>
      </c>
      <c r="M16" s="44">
        <f>(M14*24)-H8</f>
        <v>2584.3170023999992</v>
      </c>
      <c r="N16" s="198"/>
      <c r="O16" s="147">
        <f>IF(B16="RMC-10-70KMS",O11,IF(B16="RMC-10-100000KMS",V11,IF(B16="RMC-40-70KMS",U11, IF(B16="RMC-10-40KMS",X11, IF(B16="RMC-10-60KMS",Y11, IF(B16="RMC-40-100000KMS",W11,0))))))</f>
        <v>6600</v>
      </c>
    </row>
    <row r="17" spans="1:23" ht="24.6" x14ac:dyDescent="0.4">
      <c r="A17" s="11">
        <f>A15+A16</f>
        <v>2657</v>
      </c>
      <c r="B17" s="37"/>
      <c r="C17" s="20"/>
      <c r="D17" s="29">
        <f>SUM(D10:D16)</f>
        <v>18092.262000000002</v>
      </c>
      <c r="E17" s="48"/>
      <c r="F17" s="48"/>
      <c r="G17" s="54"/>
      <c r="H17" s="33">
        <f>+SUM(H12:H16)+(H7)</f>
        <v>22286.891400800003</v>
      </c>
      <c r="I17" s="33"/>
      <c r="J17" s="20"/>
      <c r="K17" s="199"/>
      <c r="L17" s="199"/>
      <c r="M17" s="199"/>
      <c r="N17" s="198"/>
      <c r="O17" s="147">
        <f>IF(B11="FO Ceramic+ Intr&amp;Extr CeramicGold WdwTnt",2700,IF(B11="FO Mirror Camera Sensor",2000))</f>
        <v>2700</v>
      </c>
      <c r="T17" s="1">
        <f>19615-791</f>
        <v>18824</v>
      </c>
    </row>
    <row r="18" spans="1:23" ht="24.6" x14ac:dyDescent="0.4">
      <c r="A18" s="12" t="s">
        <v>29</v>
      </c>
      <c r="B18" s="55" t="s">
        <v>30</v>
      </c>
      <c r="C18" s="197"/>
      <c r="D18" s="57">
        <v>0</v>
      </c>
      <c r="E18" s="38"/>
      <c r="F18" s="20"/>
      <c r="G18" s="20"/>
      <c r="H18" s="37"/>
      <c r="I18" s="37"/>
      <c r="J18" s="37"/>
      <c r="K18" s="37"/>
      <c r="L18" s="37"/>
      <c r="M18" s="37"/>
      <c r="N18" s="37"/>
      <c r="O18" s="9" t="b">
        <f>IF(M21="5000-99999",1.99%)</f>
        <v>0</v>
      </c>
      <c r="U18" s="196" t="s">
        <v>52</v>
      </c>
      <c r="V18" s="196" t="s">
        <v>52</v>
      </c>
    </row>
    <row r="19" spans="1:23" ht="24.6" x14ac:dyDescent="0.4">
      <c r="A19" s="11">
        <f>B8*3.15%</f>
        <v>2516.85</v>
      </c>
      <c r="B19" s="58" t="s">
        <v>31</v>
      </c>
      <c r="C19" s="59"/>
      <c r="D19" s="60">
        <f>IF(K21="DIB EXPAT",O13,IF(K21="DIB LOCAL GVH",U13,IF(K21="Emirates NBD",O14,IF(K21="ADCB",O15,IF(K21="ADCB PAY IN 2027",O19,IF(K21="Ajman Bank",O18,IF(K21="SIB STL",Z13,IF(K21="SIB NON STL",AA13,))))))))</f>
        <v>3.8900000000000004E-2</v>
      </c>
      <c r="E19" s="20"/>
      <c r="F19" s="195"/>
      <c r="G19" s="141" t="s">
        <v>73</v>
      </c>
      <c r="H19" s="142"/>
      <c r="I19" s="143"/>
      <c r="J19" s="109">
        <f>(U19*20/100)/365</f>
        <v>52.471232876712328</v>
      </c>
      <c r="K19" s="37"/>
      <c r="L19" s="37"/>
      <c r="M19" s="37"/>
      <c r="N19" s="34">
        <f>D7</f>
        <v>83895</v>
      </c>
      <c r="O19" s="194" t="b">
        <f>IF(M21="5000-11999",3.35%,IF(M21="12000-19999",3.35%,IF(M21="20000-39999",2.85%,IF(M21="40000-69999",2.85%,IF(M21="70000-99999",2.85%)))))</f>
        <v>0</v>
      </c>
      <c r="P19" s="2">
        <f>81400-2500</f>
        <v>78900</v>
      </c>
      <c r="U19" s="193">
        <f>V19</f>
        <v>95760</v>
      </c>
      <c r="V19" s="192">
        <f>(B7+D10+D11+D12+D13+D16)*1.05</f>
        <v>95760</v>
      </c>
    </row>
    <row r="20" spans="1:23" ht="24.6" x14ac:dyDescent="0.4">
      <c r="A20" s="11"/>
      <c r="B20" s="58" t="s">
        <v>32</v>
      </c>
      <c r="C20" s="59"/>
      <c r="D20" s="63">
        <v>0.2</v>
      </c>
      <c r="E20" s="37"/>
      <c r="F20" s="37"/>
      <c r="G20" s="38"/>
      <c r="H20" s="38"/>
      <c r="I20" s="38"/>
      <c r="J20" s="103"/>
      <c r="K20" s="104" t="s">
        <v>33</v>
      </c>
      <c r="L20" s="104" t="s">
        <v>17</v>
      </c>
      <c r="M20" s="104">
        <f>IF(L20="YES",O12,IF(L20="NO",0))</f>
        <v>0</v>
      </c>
      <c r="N20" s="34">
        <f>B8-M20</f>
        <v>79900</v>
      </c>
      <c r="O20" s="187"/>
      <c r="P20" s="191"/>
      <c r="T20" s="1">
        <f>1992+1084</f>
        <v>3076</v>
      </c>
      <c r="U20" s="186"/>
      <c r="V20" s="2"/>
    </row>
    <row r="21" spans="1:23" ht="24.6" x14ac:dyDescent="0.4">
      <c r="A21" s="13">
        <f>A19+A20</f>
        <v>2516.85</v>
      </c>
      <c r="B21" s="37"/>
      <c r="C21" s="20"/>
      <c r="D21" s="37"/>
      <c r="E21" s="37"/>
      <c r="F21" s="37"/>
      <c r="G21" s="37"/>
      <c r="H21" s="37"/>
      <c r="I21" s="37"/>
      <c r="J21" s="190" t="s">
        <v>34</v>
      </c>
      <c r="K21" s="16" t="s">
        <v>139</v>
      </c>
      <c r="L21" s="16" t="s">
        <v>35</v>
      </c>
      <c r="M21" s="189" t="s">
        <v>80</v>
      </c>
      <c r="N21" s="188"/>
      <c r="O21" s="187"/>
      <c r="T21" s="1">
        <f>25973-12973</f>
        <v>13000</v>
      </c>
      <c r="U21" s="186">
        <f>M14+N7</f>
        <v>2595.5977512199997</v>
      </c>
    </row>
    <row r="22" spans="1:23" s="179" customFormat="1" ht="24.6" x14ac:dyDescent="0.4">
      <c r="A22" s="185"/>
      <c r="B22" s="184" t="s">
        <v>51</v>
      </c>
      <c r="C22" s="183"/>
      <c r="D22" s="183"/>
      <c r="E22" s="183"/>
      <c r="F22" s="183"/>
      <c r="G22" s="183"/>
      <c r="H22" s="183"/>
      <c r="I22" s="183"/>
      <c r="J22" s="183"/>
      <c r="K22" s="183"/>
      <c r="L22" s="183"/>
      <c r="M22" s="183"/>
      <c r="N22" s="182"/>
      <c r="O22" s="181"/>
      <c r="P22" s="180"/>
    </row>
    <row r="23" spans="1:23" s="168" customFormat="1" ht="26.4" x14ac:dyDescent="0.5">
      <c r="A23" s="175" t="s">
        <v>36</v>
      </c>
      <c r="B23" s="172" t="s">
        <v>138</v>
      </c>
      <c r="C23" s="169"/>
      <c r="D23" s="169"/>
      <c r="E23" s="169"/>
      <c r="F23" s="169"/>
      <c r="G23" s="169"/>
      <c r="H23" s="176"/>
      <c r="I23" s="176"/>
      <c r="J23" s="169"/>
      <c r="K23" s="169"/>
      <c r="L23" s="169"/>
      <c r="M23" s="169"/>
      <c r="N23" s="178"/>
      <c r="O23" s="170"/>
      <c r="P23" s="169"/>
    </row>
    <row r="24" spans="1:23" s="168" customFormat="1" ht="26.4" x14ac:dyDescent="0.5">
      <c r="A24" s="175" t="s">
        <v>36</v>
      </c>
      <c r="B24" s="172" t="s">
        <v>137</v>
      </c>
      <c r="C24" s="169"/>
      <c r="D24" s="169"/>
      <c r="E24" s="169"/>
      <c r="F24" s="169"/>
      <c r="G24" s="169"/>
      <c r="H24" s="177">
        <f>H7/365</f>
        <v>56.193020273972607</v>
      </c>
      <c r="I24" s="177">
        <f>H7+H12+H16</f>
        <v>21971.891400800003</v>
      </c>
      <c r="J24" s="169"/>
      <c r="K24" s="169"/>
      <c r="L24" s="169"/>
      <c r="M24" s="169"/>
      <c r="N24" s="173"/>
      <c r="O24" s="170"/>
      <c r="P24" s="169">
        <f>1232+480</f>
        <v>1712</v>
      </c>
      <c r="T24" s="168">
        <f>88704/1.05</f>
        <v>84480</v>
      </c>
    </row>
    <row r="25" spans="1:23" s="168" customFormat="1" ht="26.4" x14ac:dyDescent="0.5">
      <c r="A25" s="175" t="s">
        <v>36</v>
      </c>
      <c r="B25" s="172" t="s">
        <v>136</v>
      </c>
      <c r="C25" s="169"/>
      <c r="D25" s="169"/>
      <c r="E25" s="169"/>
      <c r="F25" s="169"/>
      <c r="G25" s="169"/>
      <c r="H25" s="176"/>
      <c r="I25" s="176"/>
      <c r="J25" s="169"/>
      <c r="K25" s="169"/>
      <c r="L25" s="169"/>
      <c r="M25" s="169"/>
      <c r="N25" s="173"/>
      <c r="O25" s="170"/>
      <c r="P25" s="169"/>
      <c r="Q25" s="168">
        <f>79400-5233.33</f>
        <v>74166.67</v>
      </c>
      <c r="R25" s="168">
        <f>Q25*1.05</f>
        <v>77875.003500000006</v>
      </c>
      <c r="W25" s="168">
        <f>1999+1224</f>
        <v>3223</v>
      </c>
    </row>
    <row r="26" spans="1:23" s="168" customFormat="1" ht="26.4" x14ac:dyDescent="0.5">
      <c r="A26" s="175" t="s">
        <v>36</v>
      </c>
      <c r="B26" s="172" t="s">
        <v>135</v>
      </c>
      <c r="C26" s="169"/>
      <c r="D26" s="169"/>
      <c r="E26" s="169"/>
      <c r="F26" s="169"/>
      <c r="G26" s="169"/>
      <c r="H26" s="169"/>
      <c r="I26" s="169"/>
      <c r="J26" s="169"/>
      <c r="K26" s="169"/>
      <c r="L26" s="169"/>
      <c r="M26" s="169"/>
      <c r="N26" s="173"/>
      <c r="O26" s="170" t="s">
        <v>37</v>
      </c>
      <c r="P26" s="169"/>
      <c r="R26" s="168">
        <f>R25+2469</f>
        <v>80344.003500000006</v>
      </c>
    </row>
    <row r="27" spans="1:23" s="168" customFormat="1" ht="26.4" x14ac:dyDescent="0.5">
      <c r="A27" s="175" t="s">
        <v>36</v>
      </c>
      <c r="B27" s="172" t="s">
        <v>134</v>
      </c>
      <c r="C27" s="169"/>
      <c r="D27" s="169"/>
      <c r="E27" s="169"/>
      <c r="F27" s="169"/>
      <c r="G27" s="169"/>
      <c r="H27" s="169"/>
      <c r="I27" s="169"/>
      <c r="J27" s="169"/>
      <c r="K27" s="169"/>
      <c r="L27" s="169"/>
      <c r="M27" s="169"/>
      <c r="N27" s="173"/>
      <c r="O27" s="170">
        <f>129500-110900</f>
        <v>18600</v>
      </c>
      <c r="P27" s="169"/>
      <c r="W27" s="174">
        <f>N7+L14</f>
        <v>3432.2532887033331</v>
      </c>
    </row>
    <row r="28" spans="1:23" s="168" customFormat="1" ht="26.4" x14ac:dyDescent="0.5">
      <c r="B28" s="172" t="s">
        <v>133</v>
      </c>
      <c r="C28" s="169"/>
      <c r="D28" s="169"/>
      <c r="E28" s="169"/>
      <c r="F28" s="169"/>
      <c r="G28" s="169"/>
      <c r="H28" s="169"/>
      <c r="I28" s="169"/>
      <c r="J28" s="169"/>
      <c r="K28" s="169"/>
      <c r="L28" s="169"/>
      <c r="M28" s="169"/>
      <c r="N28" s="173"/>
      <c r="O28" s="170">
        <f>85000-69900</f>
        <v>15100</v>
      </c>
      <c r="P28" s="169"/>
    </row>
    <row r="29" spans="1:23" s="168" customFormat="1" ht="26.4" x14ac:dyDescent="0.5">
      <c r="B29" s="172" t="s">
        <v>132</v>
      </c>
      <c r="C29" s="169"/>
      <c r="D29" s="169"/>
      <c r="E29" s="169"/>
      <c r="F29" s="169"/>
      <c r="G29" s="169"/>
      <c r="H29" s="169"/>
      <c r="I29" s="169"/>
      <c r="J29" s="169"/>
      <c r="K29" s="169"/>
      <c r="L29" s="169"/>
      <c r="M29" s="169"/>
      <c r="N29" s="171"/>
      <c r="O29" s="170"/>
      <c r="P29" s="169"/>
    </row>
    <row r="30" spans="1:23" x14ac:dyDescent="0.3">
      <c r="B30" s="167" t="s">
        <v>38</v>
      </c>
      <c r="C30" s="166"/>
      <c r="D30" s="166"/>
      <c r="E30" s="166"/>
      <c r="F30" s="166"/>
      <c r="G30" s="166"/>
      <c r="H30" s="166"/>
      <c r="I30" s="166"/>
      <c r="J30" s="166"/>
      <c r="K30" s="166"/>
      <c r="L30" s="166"/>
      <c r="M30" s="166"/>
      <c r="N30" s="165"/>
      <c r="O30" s="147"/>
    </row>
    <row r="31" spans="1:23" x14ac:dyDescent="0.3">
      <c r="B31" s="146"/>
      <c r="C31" s="145"/>
      <c r="D31" s="145"/>
      <c r="E31" s="145"/>
      <c r="F31" s="145"/>
      <c r="G31" s="145"/>
      <c r="H31" s="145"/>
      <c r="I31" s="145"/>
      <c r="J31" s="145"/>
      <c r="K31" s="145"/>
      <c r="L31" s="145"/>
      <c r="M31" s="145"/>
      <c r="N31" s="144"/>
      <c r="O31" s="147"/>
    </row>
    <row r="32" spans="1:23" s="86" customFormat="1" ht="20.399999999999999" x14ac:dyDescent="0.35">
      <c r="B32" s="118" t="s">
        <v>39</v>
      </c>
      <c r="C32" s="119"/>
      <c r="D32" s="119"/>
      <c r="E32" s="119"/>
      <c r="F32" s="119"/>
      <c r="G32" s="119"/>
      <c r="H32" s="119"/>
      <c r="I32" s="119"/>
      <c r="J32" s="119"/>
      <c r="K32" s="119"/>
      <c r="L32" s="119"/>
      <c r="M32" s="119"/>
      <c r="N32" s="120"/>
      <c r="O32" s="92"/>
      <c r="P32" s="83"/>
    </row>
    <row r="33" spans="2:16" s="86" customFormat="1" ht="20.399999999999999" x14ac:dyDescent="0.35">
      <c r="B33" s="118" t="s">
        <v>40</v>
      </c>
      <c r="C33" s="119"/>
      <c r="D33" s="119"/>
      <c r="E33" s="119"/>
      <c r="F33" s="119"/>
      <c r="G33" s="119"/>
      <c r="H33" s="119"/>
      <c r="I33" s="119"/>
      <c r="J33" s="119"/>
      <c r="K33" s="119"/>
      <c r="L33" s="119"/>
      <c r="M33" s="119"/>
      <c r="N33" s="120"/>
      <c r="O33" s="92"/>
      <c r="P33" s="83"/>
    </row>
    <row r="34" spans="2:16" s="86" customFormat="1" ht="20.399999999999999" x14ac:dyDescent="0.35">
      <c r="B34" s="107" t="s">
        <v>131</v>
      </c>
      <c r="C34" s="108"/>
      <c r="D34" s="108"/>
      <c r="E34" s="108"/>
      <c r="F34" s="108"/>
      <c r="G34" s="164" t="s">
        <v>130</v>
      </c>
      <c r="H34" s="164"/>
      <c r="I34" s="163"/>
      <c r="J34" s="163"/>
      <c r="K34" s="163"/>
      <c r="L34" s="163"/>
      <c r="M34" s="162" t="s">
        <v>129</v>
      </c>
      <c r="N34" s="161"/>
      <c r="O34" s="83"/>
      <c r="P34" s="83"/>
    </row>
    <row r="35" spans="2:16" x14ac:dyDescent="0.3">
      <c r="B35" s="160"/>
      <c r="C35" s="159"/>
      <c r="D35" s="159"/>
      <c r="E35" s="159"/>
      <c r="F35" s="159"/>
      <c r="G35" s="159"/>
      <c r="H35" s="159"/>
      <c r="I35" s="159"/>
      <c r="J35" s="159"/>
      <c r="K35" s="159"/>
      <c r="L35" s="159"/>
      <c r="M35" s="159"/>
      <c r="N35" s="158"/>
    </row>
    <row r="36" spans="2:16" x14ac:dyDescent="0.3">
      <c r="B36" s="160"/>
      <c r="C36" s="159"/>
      <c r="D36" s="159"/>
      <c r="E36" s="159"/>
      <c r="F36" s="159"/>
      <c r="G36" s="159"/>
      <c r="H36" s="159"/>
      <c r="I36" s="159"/>
      <c r="J36" s="159"/>
      <c r="K36" s="159"/>
      <c r="L36" s="159"/>
      <c r="M36" s="159"/>
      <c r="N36" s="158"/>
    </row>
    <row r="37" spans="2:16" x14ac:dyDescent="0.3">
      <c r="B37" s="160"/>
      <c r="C37" s="159"/>
      <c r="D37" s="159"/>
      <c r="E37" s="159"/>
      <c r="F37" s="159"/>
      <c r="G37" s="159"/>
      <c r="H37" s="159"/>
      <c r="I37" s="159"/>
      <c r="J37" s="159"/>
      <c r="K37" s="159"/>
      <c r="L37" s="159"/>
      <c r="M37" s="159"/>
      <c r="N37" s="158"/>
    </row>
    <row r="38" spans="2:16" ht="16.8" x14ac:dyDescent="0.3">
      <c r="B38" s="149" t="s">
        <v>128</v>
      </c>
      <c r="C38" s="157"/>
      <c r="D38" s="154"/>
      <c r="E38" s="151"/>
      <c r="F38" s="151"/>
      <c r="G38" s="151"/>
      <c r="H38" s="151"/>
      <c r="I38" s="151"/>
      <c r="J38" s="152"/>
      <c r="K38" s="151"/>
      <c r="L38" s="151"/>
      <c r="M38" s="151"/>
      <c r="N38" s="156"/>
    </row>
    <row r="39" spans="2:16" ht="16.8" x14ac:dyDescent="0.3">
      <c r="B39" s="149" t="s">
        <v>127</v>
      </c>
      <c r="C39" s="155"/>
      <c r="D39" s="154"/>
      <c r="E39" s="151"/>
      <c r="F39" s="151"/>
      <c r="G39" s="151"/>
      <c r="H39" s="151"/>
      <c r="I39" s="151"/>
      <c r="J39" s="152"/>
      <c r="K39" s="151"/>
      <c r="L39" s="151"/>
      <c r="M39" s="151"/>
      <c r="N39" s="150"/>
    </row>
    <row r="40" spans="2:16" ht="16.8" x14ac:dyDescent="0.3">
      <c r="B40" s="149" t="s">
        <v>126</v>
      </c>
      <c r="C40" s="153"/>
      <c r="D40" s="151"/>
      <c r="E40" s="151"/>
      <c r="F40" s="151"/>
      <c r="G40" s="151"/>
      <c r="H40" s="151"/>
      <c r="I40" s="151"/>
      <c r="J40" s="152"/>
      <c r="K40" s="151"/>
      <c r="L40" s="151"/>
      <c r="M40" s="151"/>
      <c r="N40" s="150"/>
    </row>
    <row r="41" spans="2:16" ht="16.8" x14ac:dyDescent="0.3">
      <c r="B41" s="149" t="s">
        <v>125</v>
      </c>
      <c r="N41" s="148"/>
    </row>
    <row r="42" spans="2:16" ht="16.8" x14ac:dyDescent="0.3">
      <c r="B42" s="149" t="s">
        <v>124</v>
      </c>
      <c r="N42" s="148"/>
    </row>
    <row r="43" spans="2:16" ht="16.8" x14ac:dyDescent="0.3">
      <c r="B43" s="149" t="s">
        <v>123</v>
      </c>
      <c r="N43" s="148"/>
    </row>
    <row r="44" spans="2:16" ht="16.8" x14ac:dyDescent="0.3">
      <c r="B44" s="149" t="s">
        <v>122</v>
      </c>
      <c r="N44" s="148"/>
    </row>
    <row r="45" spans="2:16" ht="16.8" x14ac:dyDescent="0.3">
      <c r="B45" s="149" t="s">
        <v>121</v>
      </c>
      <c r="N45" s="148"/>
    </row>
    <row r="46" spans="2:16" ht="16.8" x14ac:dyDescent="0.3">
      <c r="B46" s="149" t="s">
        <v>120</v>
      </c>
      <c r="N46" s="148"/>
    </row>
    <row r="47" spans="2:16" x14ac:dyDescent="0.3">
      <c r="B47" s="146" t="s">
        <v>39</v>
      </c>
      <c r="C47" s="145"/>
      <c r="D47" s="145"/>
      <c r="E47" s="145"/>
      <c r="F47" s="145"/>
      <c r="G47" s="145"/>
      <c r="H47" s="145"/>
      <c r="I47" s="145"/>
      <c r="J47" s="145"/>
      <c r="K47" s="145"/>
      <c r="L47" s="145"/>
      <c r="M47" s="145"/>
      <c r="N47" s="144"/>
      <c r="O47" s="147"/>
    </row>
    <row r="48" spans="2:16" x14ac:dyDescent="0.3">
      <c r="B48" s="146" t="s">
        <v>40</v>
      </c>
      <c r="C48" s="145"/>
      <c r="D48" s="145"/>
      <c r="E48" s="145"/>
      <c r="F48" s="145"/>
      <c r="G48" s="145"/>
      <c r="H48" s="145"/>
      <c r="I48" s="145"/>
      <c r="J48" s="145"/>
      <c r="K48" s="145"/>
      <c r="L48" s="145"/>
      <c r="M48" s="145"/>
      <c r="N48" s="144"/>
      <c r="O48" s="147"/>
    </row>
    <row r="49" spans="2:14" x14ac:dyDescent="0.3">
      <c r="B49" s="146" t="s">
        <v>119</v>
      </c>
      <c r="C49" s="145"/>
      <c r="D49" s="145"/>
      <c r="E49" s="145"/>
      <c r="F49" s="145"/>
      <c r="G49" s="145"/>
      <c r="H49" s="145"/>
      <c r="I49" s="145"/>
      <c r="J49" s="145"/>
      <c r="K49" s="145"/>
      <c r="L49" s="145"/>
      <c r="M49" s="145"/>
      <c r="N49" s="144"/>
    </row>
    <row r="50" spans="2:14" ht="25.8" x14ac:dyDescent="0.3">
      <c r="C50" s="15" t="s">
        <v>41</v>
      </c>
    </row>
    <row r="51" spans="2:14" ht="25.8" x14ac:dyDescent="0.3">
      <c r="C51" s="15" t="s">
        <v>42</v>
      </c>
    </row>
    <row r="52" spans="2:14" ht="25.8" x14ac:dyDescent="0.3">
      <c r="C52" s="15" t="s">
        <v>43</v>
      </c>
    </row>
    <row r="53" spans="2:14" ht="25.8" x14ac:dyDescent="0.3">
      <c r="C53" s="15" t="s">
        <v>44</v>
      </c>
    </row>
    <row r="54" spans="2:14" ht="25.8" x14ac:dyDescent="0.3">
      <c r="C54" s="15" t="s">
        <v>45</v>
      </c>
    </row>
  </sheetData>
  <dataConsolidate/>
  <mergeCells count="11">
    <mergeCell ref="F8:G8"/>
    <mergeCell ref="F9:G9"/>
    <mergeCell ref="G19:I19"/>
    <mergeCell ref="B22:N22"/>
    <mergeCell ref="B30:N30"/>
    <mergeCell ref="B32:N32"/>
    <mergeCell ref="B33:N33"/>
    <mergeCell ref="B47:N47"/>
    <mergeCell ref="B48:N48"/>
    <mergeCell ref="B49:N49"/>
    <mergeCell ref="B31:N31"/>
  </mergeCells>
  <dataValidations count="11">
    <dataValidation type="list" allowBlank="1" showInputMessage="1" showErrorMessage="1" sqref="H34" xr:uid="{4F7B128A-45DB-4422-842F-FDAF84CED39A}">
      <formula1>"ALAA HAMMAD,KHALED QASSEM,RAMY RAOUF,SIMON LOBO,MHAREN CLEMENTE GARADO"</formula1>
    </dataValidation>
    <dataValidation type="list" allowBlank="1" showInputMessage="1" showErrorMessage="1" sqref="M34" xr:uid="{0CC476CC-4C35-4244-94E3-60D710CF8638}">
      <formula1>"Alaa Hammad,Bachir Ibrahim Mourad,Khaled Qassem,Ramy Raoof,Simon Lobo,Mharen Clemente Garado,Ranjith"</formula1>
    </dataValidation>
    <dataValidation type="list" allowBlank="1" showInputMessage="1" showErrorMessage="1" sqref="B11" xr:uid="{006022C0-A9D9-4F54-9587-D3F90DAD0B6A}">
      <formula1>"FO Ceramic+ Intr&amp;Extr CeramicGold WdwTnt,FO Mirror Camera Sensor"</formula1>
    </dataValidation>
    <dataValidation type="list" allowBlank="1" showInputMessage="1" showErrorMessage="1" sqref="B12" xr:uid="{81C7449B-20A2-4619-B39B-B690E9581CF9}">
      <formula1>"FO Exterior ceramic All Cars SCOTCHGUARD,FO Mirror Camera Sensor,FO PPF Gold Package "</formula1>
    </dataValidation>
    <dataValidation type="list" allowBlank="1" showInputMessage="1" showErrorMessage="1" sqref="K20" xr:uid="{B1217E6F-7394-4050-8DCC-CD2EF8FC2DC3}">
      <formula1>"Esaad,Emirates Platinum,Fazaa,Humat Alwatan,Permissible,ASX,XPMLP,XP,MON,MON G57,OUT,F08,P08,F06,P06,F03,F03-1,P03,EC,G37,G38,G40,G43"</formula1>
    </dataValidation>
    <dataValidation type="list" allowBlank="1" showInputMessage="1" showErrorMessage="1" sqref="B16" xr:uid="{68C36F23-B568-4D4A-B4C8-146580C0C5F2}">
      <formula1>"RMC-10-40KMS,RMC-10-60KMS,RMC-10-70KMS,RMC-10-100000KMS,RMC-40-70KMS,RMC-40-100000KMS"</formula1>
    </dataValidation>
    <dataValidation type="list" allowBlank="1" showInputMessage="1" showErrorMessage="1" sqref="K24" xr:uid="{131ACF93-459C-42C5-9D55-5FD401190E85}">
      <formula1>"RMC-10-70K,RMC-10-100000K,RMC-40-70K"</formula1>
    </dataValidation>
    <dataValidation type="list" allowBlank="1" showInputMessage="1" showErrorMessage="1" sqref="D5" xr:uid="{71AD0552-1E33-487D-807F-03D4CEE12349}">
      <formula1>"MIG09,MIG10,H16,P16,H17,H48,H43,H40,H42,H44,H45,H38,H37,EH40,EH43,ML,HL,PR, MLP,HLP,PRP,XPML,XPHL,XPMLP, XPMLP-01,XC, G10,P10, G03, P03, G06,P06,G12,P12,G05,P05,G08,P08,G09,P09,H57,P57,H64,H59,P59,H61,P61"</formula1>
    </dataValidation>
    <dataValidation type="list" allowBlank="1" showInputMessage="1" showErrorMessage="1" sqref="M21" xr:uid="{0A4F82B1-A4A9-4520-B351-85A293ADE499}">
      <formula1>"3000-4999,5000-9999,5000-99999,10000-14999,15000-24999,25000-34999,35000-99999,5000-11999,12000-19999,20000-39999,40000-69999,70000-99999"</formula1>
    </dataValidation>
    <dataValidation type="list" allowBlank="1" showInputMessage="1" showErrorMessage="1" sqref="C10:C16 L20 L24:L25 G14:G15 J10" xr:uid="{AD047E20-8C3C-495B-97A6-303AD8E124CA}">
      <formula1>"YES,NO"</formula1>
    </dataValidation>
    <dataValidation type="list" allowBlank="1" showInputMessage="1" showErrorMessage="1" sqref="K21" xr:uid="{A20DCDAE-FE70-4309-9862-2131C5E05B78}">
      <formula1>"ADCB,ADCB PAY IN 2027,Ajman Bank,ADIB,DIB EXPAT,DIB LOCAL GVH,Emirates NBD,EIB,FAB,RAK,SIB STL,SIB NON STL"</formula1>
    </dataValidation>
  </dataValidations>
  <pageMargins left="0.23622047244094491" right="0.23622047244094491" top="0.74803149606299213" bottom="0.74803149606299213" header="0.31496062992125984" footer="0.31496062992125984"/>
  <pageSetup paperSize="9" scale="40" orientation="landscape" horizontalDpi="4294967295" verticalDpi="4294967295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360876-3A23-4D68-801C-76DE636C3D21}">
  <sheetPr>
    <pageSetUpPr fitToPage="1"/>
  </sheetPr>
  <dimension ref="A1:AA54"/>
  <sheetViews>
    <sheetView topLeftCell="B1" zoomScaleNormal="100" workbookViewId="0">
      <selection activeCell="D5" sqref="D5"/>
    </sheetView>
  </sheetViews>
  <sheetFormatPr defaultColWidth="9.109375" defaultRowHeight="15.6" x14ac:dyDescent="0.3"/>
  <cols>
    <col min="1" max="1" width="16" style="1" hidden="1" customWidth="1"/>
    <col min="2" max="2" width="75.109375" style="2" customWidth="1"/>
    <col min="3" max="3" width="26.88671875" style="3" customWidth="1"/>
    <col min="4" max="4" width="23.88671875" style="2" customWidth="1"/>
    <col min="5" max="5" width="23.33203125" style="2" customWidth="1"/>
    <col min="6" max="6" width="19.88671875" style="2" customWidth="1"/>
    <col min="7" max="7" width="23.33203125" style="2" customWidth="1"/>
    <col min="8" max="8" width="24.44140625" style="2" customWidth="1"/>
    <col min="9" max="9" width="27.109375" style="2" customWidth="1"/>
    <col min="10" max="10" width="26.6640625" style="2" customWidth="1"/>
    <col min="11" max="11" width="25.44140625" style="2" customWidth="1"/>
    <col min="12" max="12" width="20.5546875" style="2" customWidth="1"/>
    <col min="13" max="13" width="20.109375" style="2" customWidth="1"/>
    <col min="14" max="14" width="19.5546875" style="2" customWidth="1"/>
    <col min="15" max="15" width="15.109375" style="2" bestFit="1" customWidth="1"/>
    <col min="16" max="16" width="12.6640625" style="2" hidden="1" customWidth="1"/>
    <col min="17" max="17" width="12.6640625" style="1" hidden="1" customWidth="1"/>
    <col min="18" max="18" width="15.6640625" style="1" hidden="1" customWidth="1"/>
    <col min="19" max="19" width="13" style="1" hidden="1" customWidth="1"/>
    <col min="20" max="20" width="17.109375" style="1" hidden="1" customWidth="1"/>
    <col min="21" max="21" width="14.5546875" style="1" bestFit="1" customWidth="1"/>
    <col min="22" max="22" width="19" style="1" customWidth="1"/>
    <col min="23" max="23" width="22.5546875" style="1" bestFit="1" customWidth="1"/>
    <col min="24" max="25" width="9.109375" style="1"/>
    <col min="26" max="26" width="14" style="1" bestFit="1" customWidth="1"/>
    <col min="27" max="27" width="22.33203125" style="1" bestFit="1" customWidth="1"/>
    <col min="28" max="16384" width="9.109375" style="1"/>
  </cols>
  <sheetData>
    <row r="1" spans="1:27" ht="15.75" customHeight="1" x14ac:dyDescent="0.3">
      <c r="B1" s="222" t="s">
        <v>148</v>
      </c>
      <c r="C1" s="221"/>
      <c r="D1" s="221"/>
      <c r="E1" s="221"/>
      <c r="F1" s="221"/>
      <c r="G1" s="221"/>
      <c r="H1" s="221"/>
      <c r="I1" s="221"/>
      <c r="J1" s="221"/>
      <c r="K1" s="221"/>
      <c r="L1" s="221"/>
      <c r="M1" s="221"/>
      <c r="N1" s="220"/>
    </row>
    <row r="2" spans="1:27" ht="15.75" customHeight="1" x14ac:dyDescent="0.3">
      <c r="B2" s="219" t="s">
        <v>147</v>
      </c>
      <c r="C2" s="218"/>
      <c r="D2" s="218"/>
      <c r="E2" s="218"/>
      <c r="F2" s="218"/>
      <c r="G2" s="218"/>
      <c r="H2" s="218"/>
      <c r="I2" s="218"/>
      <c r="J2" s="218"/>
      <c r="K2" s="218"/>
      <c r="L2" s="218"/>
      <c r="M2" s="218"/>
      <c r="N2" s="217"/>
      <c r="Q2" s="2"/>
      <c r="S2" s="186"/>
    </row>
    <row r="3" spans="1:27" ht="15.75" customHeight="1" x14ac:dyDescent="0.3">
      <c r="B3" s="219" t="s">
        <v>146</v>
      </c>
      <c r="C3" s="218"/>
      <c r="D3" s="218"/>
      <c r="E3" s="218"/>
      <c r="F3" s="218"/>
      <c r="G3" s="218"/>
      <c r="H3" s="218"/>
      <c r="I3" s="218"/>
      <c r="J3" s="218"/>
      <c r="K3" s="218"/>
      <c r="L3" s="218"/>
      <c r="M3" s="218"/>
      <c r="N3" s="217"/>
      <c r="O3" s="3"/>
      <c r="P3" s="3"/>
      <c r="Q3" s="153"/>
      <c r="R3" s="153"/>
      <c r="S3" s="216" t="e">
        <f>N7+J14</f>
        <v>#VALUE!</v>
      </c>
      <c r="T3" s="216"/>
      <c r="U3" s="153"/>
      <c r="V3" s="153"/>
      <c r="W3" s="153"/>
      <c r="AA3" s="1">
        <f>273000/5</f>
        <v>54600</v>
      </c>
    </row>
    <row r="4" spans="1:27" ht="15.75" customHeight="1" x14ac:dyDescent="0.3">
      <c r="B4" s="215"/>
      <c r="C4" s="214"/>
      <c r="D4" s="214"/>
      <c r="E4" s="214"/>
      <c r="F4" s="214"/>
      <c r="G4" s="214"/>
      <c r="H4" s="214"/>
      <c r="I4" s="214"/>
      <c r="J4" s="214"/>
      <c r="K4" s="214"/>
      <c r="L4" s="214"/>
      <c r="M4" s="214"/>
      <c r="N4" s="213"/>
      <c r="O4" s="212" t="s">
        <v>0</v>
      </c>
      <c r="P4" s="212"/>
      <c r="Q4" s="210"/>
      <c r="R4" s="210"/>
      <c r="S4" s="211"/>
      <c r="T4" s="211"/>
      <c r="U4" s="210" t="s">
        <v>1</v>
      </c>
      <c r="V4" s="210" t="s">
        <v>2</v>
      </c>
      <c r="W4" s="210" t="s">
        <v>3</v>
      </c>
    </row>
    <row r="5" spans="1:27" ht="25.2" thickBot="1" x14ac:dyDescent="0.45">
      <c r="B5" s="17"/>
      <c r="C5" s="18" t="str">
        <f>IF(D5="MIG09","Mirage G09",IF(D5="MIG10","MirageG10",IF(D5="H16","Attrage H16",IF(D5="P16","Attrage P16",IF(D5="H17","Attrage H17",IF(D5="H48","ASX H48",IF(D5="H43","ASX H43",IF(D5="H40","ASX H40",IF(D5="H42","ASX H42",IF(D5="H44","ASX H44",IF(D5="H45","ASX H45",IF(D5="H38","Eclipse H38",IF(D5="H37","Eclipse H37",IF(D5="EH40","Eclipse H40",IF(D5="EH43","Eclipse H43",IF(D5="XPML","Xpander ML",IF(D5="ML","Destinator ML",IF(D5="HL","Destinator HL",IF(D5="PR","Destinator PR",IF(D5="MLP","Destinator MLP",IF(D5="HLP","Destinator HLP",IF(D5="PRP","Destinator PRP",IF(D5="XPHL","Xpander HL",IF(D5="XPMLP","Xpander ML P",IF(D5="XPMLP-01","Xpander ML P-01",IF(D5="XC","Xpander Cross",IF(D5="G03","Outlander G03",IF(D5="P03","Outlander P03",IF(D5="G06","Outlander G06",IF(D5="P06","Outlander P06",IF(D5="OTP06-01","Outlander P06-01",IF(D5="G08","Outlander G08",IF(D5="P08","Outlander P08",IF(D5="H57","Montero H57",IF(D5="P57","Montero P57",IF(D5="H64","Montero G64",IF(D5="H59","Montero G59",IF(D5="P59","Montero G59 P",IF(D5="H61","Montero G61",IF(D5="P61","Montero P61",IF(D5="G10","Outlander G10",IF(D5="P10","Outlander P10",IF(D5="G12","Outlander G12",IF(D5="P12","Outlander P12",IF(D5="G05","Outlander G05",IF(D5="P05","Outlander P05",IF(D5="G09","Outlander G09",IF(D5="P09","Outlander P09",))))))))))))))))))))))))))))))))))))))))))))))))</f>
        <v>Eclipse H38</v>
      </c>
      <c r="D5" s="19" t="s">
        <v>177</v>
      </c>
      <c r="E5" s="20" t="s">
        <v>145</v>
      </c>
      <c r="F5" s="37"/>
      <c r="G5" s="37"/>
      <c r="H5" s="37"/>
      <c r="I5" s="20"/>
      <c r="J5" s="34"/>
      <c r="K5" s="209">
        <v>0</v>
      </c>
      <c r="L5" s="208">
        <v>3.39E-2</v>
      </c>
      <c r="M5" s="208">
        <v>6.7799999999999999E-2</v>
      </c>
      <c r="N5" s="208">
        <v>0.1017</v>
      </c>
      <c r="O5" s="147">
        <f>K7+K14</f>
        <v>11277.922779383332</v>
      </c>
      <c r="S5" s="186"/>
      <c r="U5" s="186">
        <f>L7+L14</f>
        <v>4656.2624085847219</v>
      </c>
      <c r="V5" s="186">
        <f>M7+M14</f>
        <v>3148.7163052583333</v>
      </c>
      <c r="W5" s="186">
        <f>N7+N14</f>
        <v>2213.4086863624998</v>
      </c>
    </row>
    <row r="6" spans="1:27" s="5" customFormat="1" ht="99" thickBot="1" x14ac:dyDescent="0.35">
      <c r="A6" s="4" t="s">
        <v>4</v>
      </c>
      <c r="B6" s="26" t="s">
        <v>5</v>
      </c>
      <c r="C6" s="27" t="s">
        <v>6</v>
      </c>
      <c r="D6" s="27" t="s">
        <v>144</v>
      </c>
      <c r="E6" s="27" t="s">
        <v>7</v>
      </c>
      <c r="F6" s="27" t="s">
        <v>8</v>
      </c>
      <c r="G6" s="28" t="s">
        <v>9</v>
      </c>
      <c r="H6" s="28" t="s">
        <v>143</v>
      </c>
      <c r="I6" s="28" t="s">
        <v>10</v>
      </c>
      <c r="J6" s="28" t="s">
        <v>142</v>
      </c>
      <c r="K6" s="28" t="s">
        <v>11</v>
      </c>
      <c r="L6" s="28" t="s">
        <v>12</v>
      </c>
      <c r="M6" s="28" t="s">
        <v>13</v>
      </c>
      <c r="N6" s="28" t="s">
        <v>14</v>
      </c>
      <c r="O6" s="207"/>
      <c r="P6" s="206"/>
      <c r="T6" s="205"/>
      <c r="U6" s="205">
        <f>N7+L14</f>
        <v>3679.1209196958334</v>
      </c>
      <c r="V6" s="205">
        <f>N7+K14</f>
        <v>9079.3544293833329</v>
      </c>
      <c r="W6" s="205" t="e">
        <f>N7+J14</f>
        <v>#VALUE!</v>
      </c>
    </row>
    <row r="7" spans="1:27" ht="25.2" thickBot="1" x14ac:dyDescent="0.45">
      <c r="A7" s="6">
        <f>B8</f>
        <v>86900</v>
      </c>
      <c r="B7" s="29">
        <f>IF(L20="YES",C8*1,IF(L20="NO",B8*1))</f>
        <v>86900</v>
      </c>
      <c r="C7" s="29">
        <f>B7*5/100</f>
        <v>4345</v>
      </c>
      <c r="D7" s="203">
        <f>B7+C7</f>
        <v>91245</v>
      </c>
      <c r="E7" s="29">
        <f>D17</f>
        <v>18128.4175</v>
      </c>
      <c r="F7" s="29">
        <f>(C7)+(D10+D11+D12+D13+D16)*5/100</f>
        <v>4900</v>
      </c>
      <c r="G7" s="30">
        <f>B7+E7+F7</f>
        <v>109928.4175</v>
      </c>
      <c r="H7" s="29">
        <f>G7*D20</f>
        <v>21985.683499999999</v>
      </c>
      <c r="I7" s="30">
        <f>(G7-H7)</f>
        <v>87942.733999999997</v>
      </c>
      <c r="J7" s="30">
        <f>(((I7*D19)*1)+I7)/12</f>
        <v>7613.6421960500002</v>
      </c>
      <c r="K7" s="30">
        <f>(((I7*D19)*2)+I7)/24</f>
        <v>3949.3616127166665</v>
      </c>
      <c r="L7" s="30">
        <f>(((I7*D19)*3)+I7)/36</f>
        <v>2727.9347516055554</v>
      </c>
      <c r="M7" s="30">
        <f>(((I7*D19)*4)+I7)/48</f>
        <v>2117.2213210499999</v>
      </c>
      <c r="N7" s="30">
        <f>((((I7*D19)*5)+I7)/60)</f>
        <v>1750.7932627166665</v>
      </c>
      <c r="O7" s="147"/>
      <c r="P7" s="2">
        <f>H7+H16</f>
        <v>22909.082206999999</v>
      </c>
      <c r="T7" s="186">
        <f>25973/2</f>
        <v>12986.5</v>
      </c>
    </row>
    <row r="8" spans="1:27" ht="24.6" x14ac:dyDescent="0.4">
      <c r="A8" s="7">
        <v>0.2</v>
      </c>
      <c r="B8" s="31">
        <f>IF(D5="MIG09",39900,IF(D5="MIG10",41900,IF(D5="H16",41900,IF(D5="P16",47400,IF(D5="H17",47900,IF(D5="H48",67900,IF(D5="H43",70900,IF(D5="H40",72900,IF(D5="H42",74900,IF(D5="H44",73900,IF(D5="H45",79900,IF(D5="H38",86900,IF(D5="H37",79900,IF(D5="EH40",99900,IF(D5="EH43",106900,IF(D5="ML",71900,IF(D5="HL",83900,IF(D5="PR",95900,IF(D5="MLP",80900,IF(D5="HLP",91900,IF(D5="PRP",102900,IF(D5="XPML",69900,IF(D5="XPHL",71000,IF(D5="XPMLP",75900,IF(D5="XPMLP-01",77800,IF(D5="XC",84900,IF(D5="G10",81900,IF(D5="P10",93900,IF(D5="G12",97900,IF(D5="P12",105900,IF(D5="G05",104900,IF(D5="P05",105900,IF(D5="G03",92900,IF(D5="P03",100900,IF(D5="G06",109900,IF(D5="P06",114900,IF(D5="OTP06-01",118900,IF(D5="G08",125900,IF(D5="P08",132900,IF(D5="OTP06-01",109900,IF(D5="G09",129900,IF(D5="P09",134900,IF(D5="H57",105900,IF(D5="P57",113900,IF(D5="H64",116900,IF(D5="H59",127900,IF(D5="P59",134900,IF(D5="H61",134900,IF(D5="P61",138900)))))))))))))))))))))))))))))))))))))))))))))))))</f>
        <v>86900</v>
      </c>
      <c r="C8" s="32">
        <f>IF(L20="YES",N20,IF(L20="NO",N20))</f>
        <v>86900</v>
      </c>
      <c r="D8" s="29">
        <v>0</v>
      </c>
      <c r="E8" s="33"/>
      <c r="F8" s="139"/>
      <c r="G8" s="140"/>
      <c r="H8" s="110">
        <f>G7*20/100</f>
        <v>21985.683499999999</v>
      </c>
      <c r="I8" s="34"/>
      <c r="J8" s="34" t="s">
        <v>15</v>
      </c>
      <c r="K8" s="34">
        <f>(I7*K5+I7)/24</f>
        <v>3664.2805833333332</v>
      </c>
      <c r="L8" s="34">
        <f>(I7*L5+I7)/36</f>
        <v>2525.6664634055555</v>
      </c>
      <c r="M8" s="34">
        <f>(I7*M5+I7)/48</f>
        <v>1956.3594034416665</v>
      </c>
      <c r="N8" s="34">
        <f>(I7*N5+I7)/60</f>
        <v>1614.7751674633332</v>
      </c>
      <c r="O8" s="147">
        <v>0</v>
      </c>
      <c r="P8" s="2">
        <f>P7/12</f>
        <v>1909.0901839166665</v>
      </c>
      <c r="T8" s="1">
        <f>25973-12973</f>
        <v>13000</v>
      </c>
    </row>
    <row r="9" spans="1:27" ht="24.6" x14ac:dyDescent="0.4">
      <c r="A9" s="8">
        <f>B8/(100%-A8)</f>
        <v>108625</v>
      </c>
      <c r="B9" s="109">
        <f>B7-B8</f>
        <v>0</v>
      </c>
      <c r="C9" s="109"/>
      <c r="D9" s="36"/>
      <c r="E9" s="33"/>
      <c r="F9" s="139"/>
      <c r="G9" s="140"/>
      <c r="H9" s="33"/>
      <c r="I9" s="37" t="s">
        <v>16</v>
      </c>
      <c r="J9" s="38">
        <f>(J7*12)-I7</f>
        <v>3420.9723526000016</v>
      </c>
      <c r="K9" s="38">
        <f>(K7*24)-I7</f>
        <v>6841.9447052000032</v>
      </c>
      <c r="L9" s="38">
        <f>(L7*36)-I7</f>
        <v>10262.917057800005</v>
      </c>
      <c r="M9" s="38">
        <f>(M7*48)-I7</f>
        <v>13683.889410400006</v>
      </c>
      <c r="N9" s="38">
        <f>(N7*60)-I7</f>
        <v>17104.861762999994</v>
      </c>
      <c r="O9" s="147"/>
      <c r="T9" s="1">
        <f>T8/12</f>
        <v>1083.3333333333333</v>
      </c>
      <c r="Z9" s="1" t="s">
        <v>86</v>
      </c>
    </row>
    <row r="10" spans="1:27" ht="24.6" x14ac:dyDescent="0.4">
      <c r="A10" s="8"/>
      <c r="B10" s="37" t="s">
        <v>141</v>
      </c>
      <c r="C10" s="20" t="s">
        <v>17</v>
      </c>
      <c r="D10" s="36">
        <f>IF(C10="YES",700,IF(C10="NO",0))</f>
        <v>0</v>
      </c>
      <c r="E10" s="39"/>
      <c r="F10" s="40"/>
      <c r="G10" s="40"/>
      <c r="H10" s="33"/>
      <c r="I10" s="44" t="s">
        <v>85</v>
      </c>
      <c r="J10" s="117" t="s">
        <v>19</v>
      </c>
      <c r="K10" s="117">
        <f>IF(J10="YES",Z10,IF(J10="NO",0))</f>
        <v>1000</v>
      </c>
      <c r="L10" s="41">
        <f>(L8*36)-I7</f>
        <v>2981.2586826000042</v>
      </c>
      <c r="M10" s="41">
        <f>(M8*48)-I7</f>
        <v>5962.5173651999939</v>
      </c>
      <c r="N10" s="41">
        <f>(N8*60)-I7</f>
        <v>8943.7760477999982</v>
      </c>
      <c r="O10" s="147">
        <f>IF(D5="XC",3690,IF(D5="XPML",3690,IF(D5="XPHL",3690,IF(D5="XPMLP",3690,IF(D5="XPMLP-01",3690,IF(D5="Xpander P",3690,IF(D5="ML",3690,IF(D5="HL",3690,IF(D5="PR",(U19*3/100+510)*1.05,IF(D5="MLP",3690,IF(D5="HLP",(U19*3/100+510)*1.05,IF(D5="PRP",(U19*3/100+510)*1.05,IF(D5="H57",(U19*2.75/100+510)*1.05,IF(D5="P57",(U19*2.75/100+510)*1.05,IF(D5="H64",(U19*2.75/100+510)*1.05,IF(D5="H59",(U19*2.75/100+510)*1.05,IF(D5="P59",(U19*2.75/100+510)*1.05,IF(D5="H61",(U19*2.75/100+510)*1.05,IF(D5="P61",(U19*2.75/100+510)*1.05,IF(D5="G03",(U19*3/100+510)*1.05,IF(D5="G10",(U19*3/100+510)*1.05,IF(D5="P10",(U19*3/100+510)*1.05,IF(D5="G12",(U19*3/100+510)*1.05,IF(D5="P12",(U19*3/100+510)*1.05,IF(D5="G05",(U19*3/100+510)*1.05,IF(D5="P05",(U19*3/100+510)*1.05,IF(D5="P03",(U19*3/100+510)*1.05,IF(D5="G06",(U19*3/100+510)*1.05,IF(D5="P06",(U19*3/100+510)*1.05,IF(D5="OTP06-01",(U19*3/100+510)*1.05,IF(D5="G08",(U19*3/100+510)*1.05,IF(D5="P08",(U19*3/100+510)*1.05,IF(D5="G09",(U19*3/100+510)*1.05,IF(D5="P09",(U19*3/100+510)*1.05,IF(D5="H38",3625,IF(D5="H37",3625,IF(D5="EH40",(U19*3/100+450)*1.05,IF(D5="EH43",(U19*3/100+450)*1.05,IF(D5="H48",3625,IF(D5="H43",3625,IF(D5="H40",3625,IF(D5="H42",3625,IF(D5="H44",3625,IF(D5="H45",3625,IF(D5="ASX HL 4WD",3625,IF(D5="H16",3625,IF(D5="H17",3625,IF(D5="P16",3625,IF(D5="Attrage S",3625,IF(D5="MIG09",3625,IF(D5="MIG10",3625,IF(D5="Xpander HL",3690))))))))))))))))))))))))))))))))))))))))))))))))))))</f>
        <v>3625</v>
      </c>
      <c r="P10" s="204"/>
      <c r="Q10" s="204">
        <f>5.25*3</f>
        <v>15.75</v>
      </c>
      <c r="Z10" s="1">
        <f>IF(D5="MIG09",1000,IF(D5="MIG10",1000,IF(D5="H16",1000,IF(D5="P16",1000,IF(D5="H17",1000,IF(D5="H48",1000,IF(D5="H43",1000,IF(D5="H40",1000,IF(D5="H42",1000,IF(D5="H44",1000,IF(D5="H45",1000,IF(D5="H38",1000,IF(D5="H37",1000,IF(D5="EH40",1000,IF(D5="EH43",1000,IF(D5="ML",1000,IF(D5="HL",1000,IF(D5="PR",1000,IF(D5="MLP",1000,IF(D5="HLP",1000,IF(D5="PRP",1000,IF(D5="XPML",1000,IF(D5="XPHL",1000,IF(D5="XPMLP",1000,IF(D5="XPMLP-01",1000,IF(D5="XC",1000,IF(D5="G10",1000,IF(D5="P10",1000,IF(D5="G12",1000,IF(D5="P12",1000,IF(D5="G05",1000,IF(D5="P05",1000,IF(D5="G03",1000,IF(D5="P03",1000,IF(D5="G06",1000,IF(D5="P06",1000,IF(D5="OTP06-01",1000,IF(D5="G08",1000,IF(D5="P08",1000,IF(D5="OTP06-01",1000,IF(D5="G09",1000,IF(D5="P09",1000,IF(D5="H57",1000,IF(D5="P57",1000,IF(D5="H64",1000,IF(D5="H59",1000,IF(D5="P59",1000,IF(D5="H61",1000,IF(D5="P61",1000)))))))))))))))))))))))))))))))))))))))))))))))))</f>
        <v>1000</v>
      </c>
    </row>
    <row r="11" spans="1:27" ht="24.6" x14ac:dyDescent="0.4">
      <c r="A11" s="8"/>
      <c r="B11" s="37" t="s">
        <v>18</v>
      </c>
      <c r="C11" s="20" t="s">
        <v>19</v>
      </c>
      <c r="D11" s="203">
        <f>IF(C11="YES",O17,IF(C11="NO",0))</f>
        <v>2700</v>
      </c>
      <c r="E11" s="39"/>
      <c r="F11" s="40"/>
      <c r="G11" s="40"/>
      <c r="H11" s="33"/>
      <c r="I11" s="33"/>
      <c r="J11" s="44" t="s">
        <v>76</v>
      </c>
      <c r="K11" s="44">
        <f>H8-K10</f>
        <v>20985.683499999999</v>
      </c>
      <c r="L11" s="37"/>
      <c r="M11" s="37"/>
      <c r="N11" s="38"/>
      <c r="O11" s="147">
        <f>IF(D5="XC",6100,IF(D5="XPML",6100,IF(D5="XPHL",6100,IF(D5="XPMLP",6100,IF(D5="XPMLP-01",6100,IF(D5="Xpander P",6100,IF(D5="ML",6600,IF(D5="HL",6600,IF(D5="PR",6600,IF(D5="MLP",6600,IF(D5="HLP",6600,IF(D5="PRP",6600,IF(D5="H57",5900,IF(D5="P57",5900,IF(D5="H64",5900,IF(D5="H59",5900,IF(D5="P59",5900,IF(D5="H61",5900,IF(D5="P61",5900,IF(D5="G03",6700,IF(D5="G10",6700,IF(D5="P10",6700,IF(D5="G12",6700,IF(D5="P12",6700,IF(D5="G05",6700,IF(D5="P05",6700,IF(D5="P03",6700,IF(D5="G06",6700,IF(D5="P06",6700,IF(D5="OTP06-01",6700,IF(D5="G08",6700,IF(D5="G09",6700,IF(D5="G08",6700,IF(D5="P08",6700,IF(D5="P09",6700,IF(D5="H37",6400,IF(D5="H38",6400,IF(D5="EH40",6400,IF(D5="EH43",6400,IF(D5="H48",6600,IF(D5="H43",6600,IF(D5="H40",6600,IF(D5="H42",6600,IF(D5="H44",6600,IF(D5="H45",6600,IF(D5="ASX HL 4WD",6600,IF(D5="H16",5400,IF(D5="H17",5400,IF(D5="P16",5400,IF(D5="Attrage S",5400,IF(D5="MIG09",5400,IF(D5="MIG10",5400,IF(D5="Xpander HL",6000)))))))))))))))))))))))))))))))))))))))))))))))))))))</f>
        <v>6400</v>
      </c>
      <c r="P11" s="147"/>
      <c r="Q11" s="147"/>
      <c r="R11" s="147"/>
      <c r="S11" s="147"/>
      <c r="T11" s="147"/>
      <c r="U11" s="147">
        <f>IF(D5="XC",4900,IF(D5="XPML",4900,IF(D5="XPHL",4900,IF(D5="XPMLP",4900,IF(D5="XPMLP-01",4900,IF(D5="Xpander P",4900,IF(D5="ML",5400,IF(D5="HL",5400,IF(D5="PR",5400,IF(D5="MLP",5400,IF(D5="HLP",5400,IF(D5="PRP",5400,IF(D5="H57",4600,IF(D5="P57",4600,IF(D5="MOG64",4600,IF(D5="H59",4600,IF(D5="P59",4600,IF(D5="H61",4600,IF(D5="P61",4600,IF(D5="G03",5500,IF(D5="P03",5500,IF(D5="G10",5500,IF(D5="P10",5500,IF(D5="G12",5500,IF(D5="P12",5500,IF(D5="G05",5500,IF(D5="P05",5500,IF(D5="G06",5500,IF(D5="P06",5500,IF(D5="OTP06-01",5500,IF(D5="F08",5500,IF(D5="P08",5500,IF(D5="G09",5500,IF(D5="P09",5500,IF(D5="H38",5200,IF(D5="H37",5200,IF(D5="EH40",5200,IF(D5="EH43",5200,IF(D5="H48",5300,IF(D5="H43",5300,IF(D5="H40",5300,IF(D5="H42",5300,IF(D5="H44",5300,IF(D5="H45",5300,IF(D5="ASX HL",5300,IF(D5="ASX P",5300,IF(D5="ASX HL 4WD",5300,IF(D5="H16",4200,IF(D5="H17",4200,IF(D5="P16",4200,IF(D5="Attrage S",4200,IF(D5="MIG09",4200,IF(D5="MIG10",4200,IF(D5="Xpander HL",4900))))))))))))))))))))))))))))))))))))))))))))))))))))))</f>
        <v>5200</v>
      </c>
      <c r="V11" s="147">
        <f>IF(D5="XC",9700,IF(D5="XPML",9700,IF(D5="XPHL",9700,IF(D5="XPMLP",9700,IF(D5="XPMLP-01",9700,IF(D5="XPMLP-01",9700,IF(D5="Xpander P",9700,IF(D5="ML",10800,IF(D5="HL",10800,IF(D5="PR",10800,IF(D5="MLP",10800,IF(D5="HLP",10800,IF(D5="PRP",10800,IF(D5="H57",9300,IF(D5="P57",9300,IF(D5="MG64",9300,IF(D5="H59",9300,IF(D5="P59",9300,IF(D5="H61",9300,IF(D5="P61",9300,IF(D5="G03",11000,IF(D5="G10",11000,IF(D5="P10",11000,IF(D5="G12",11000,IF(D5="P12",11000,IF(D5="G05",11000,IF(D5="P05",11000,IF(D5="P03",11000,IF(D5="G06",11000,IF(D5="P06",11000,IF(D5="OTP06-01",11000,IF(D5="G08",11000,IF(D5="P08",11000,IF(D5="G09",11000,IF(D5="P09",11000,IF(D5="H38",10400,IF(D5="H37",10400,IF(D5="EH40",10400,IF(D5="EH43",10400,IF(D5="H48",10700,IF(D5="H43",10700,IF(D5="H40",10700,IF(D5="H42",10700,IF(D5="H44",10800,IF(D5="H45",10800,IF(D5="ASX HL",12200,IF(D5="ASX P",12200,IF(D5="ASX HL 4WD",12200,IF(D5="H16",8500,IF(D5="H17",8500,IF(D5="P16",8500,IF(D5="Attrage S",9600,IF(D5="MIG09",8500,IF(D5="MIG10",8500,IF(D5="Xpander HL",11300)))))))))))))))))))))))))))))))))))))))))))))))))))))))</f>
        <v>10400</v>
      </c>
      <c r="W11" s="147">
        <f>IF(D5="XC",9200,IF(D5="XPML",9200,IF(D5="XPHL",9200,IF(D5="XPMLP",9200,IF(D5="XPMLP-01",9200,IF(D5="Xpander P",9200,IF(D5="ML",10000,IF(D5="HL",10000,IF(D5="PR",10000,IF(D5="MLP",10000,IF(D5="HLP",10000,IF(D5="PRP",10000,IF(D5="H57",8700,IF(D5="P57",8700,IF(D5="H64",8700,IF(D5="H59",8700,IF(D5="P59",8700,IF(D5="H61",8700,IF(D5="P61",8700,IF(D5="G03",10400,IF(D5="P03",10400,IF(D5="G10",10400,IF(D5="P10",10400,IF(D5="G12",10400,IF(D5="P12",10400,IF(D5="G05",10400,IF(D5="P05",10400,IF(D5="G06",10400,IF(D5="P06",10400,IF(D5="OTP06-01",10400,IF(D5="G08",10400,IF(D5="P08",10400,IF(D5="G09",10400,IF(D5="P09",10400,IF(D5="H38",9800,IF(D5="H37",9800,IF(D5="EH40",9800,IF(D5="EH43",9800,IF(D5="H48",10100,IF(D5="H43",10100,IF(D5="H40",10100,IF(D5="H42",10100,IF(D5="H44",10100,IF(D5="H45",10100,IF(D5="ASX HL",10100,IF(D5="ASX P",10100,IF(D5="ASX HL 4WD",10100,IF(D5="H16",7900,IF(D5="H17",7900,IF(D5="P16",7900,IF(D5="Attrage S",7900,IF(D5="MIG09",7900,IF(D5="MIG10",7900,IF(D5="Xpander HL",9200))))))))))))))))))))))))))))))))))))))))))))))))))))))</f>
        <v>9800</v>
      </c>
      <c r="X11" s="147">
        <f>IF(D5="XC",4500,IF(D5="XPML",4500,IF(D5="XPHL",4500,IF(D5="XPMLP",4500,IF(D5="XPMLP-01",4500,IF(D5="Xpander P",4500,IF(D5="ML",5000,IF(D5="HL",5000,IF(D5="PR",5000,IF(D5="MLP",5000,IF(D5="HLP",5000,IF(D5="PRP",5000,IF(D5="H57",8700,IF(D5="P57",8700,IF(D5="MOG64",4300,IF(D5="H59",4300,IF(D5="P59",4300,IF(D5="H61",4300,IF(D5="P61",4300,IF(D5="G03",5000,IF(D5="P03",5000,IF(D5="G10",5000,IF(D5="P10",5000,IF(D5="G12",5000,IF(D5="P12",5000,IF(D5="G05",5000,IF(D5="P05",5000,IF(D5="G06",5000,IF(D5="P06",5000,IF(D5="OTP06-01",5000,IF(D5="G08",5000,IF(D5="P08",5000,IF(D5="G09",5000,IF(D5="P09",5000,IF(D5="H38",4900,IF(D5="H37",4900,IF(D5="EH40",4900,IF(D5="EH43",4900,IF(D5="H48",4900,IF(D5="H43",4900,IF(D5="H40",4900,IF(D5="H42",4900,IF(D5="H44",4900,IF(D5="H45",4900,IF(D5="ASX HL",4900,IF(D5="ASX P",4900,IF(D5="ASX HL 4WD",4900,IF(D5="H16",3700,IF(D5="H17",3700,IF(D5="P16",3700,IF(D5="Attrage S",3700,IF(D5="MIG09",3700,IF(D5="MIG10",3700,IF(D5="Xpander HL",4500))))))))))))))))))))))))))))))))))))))))))))))))))))))</f>
        <v>4900</v>
      </c>
      <c r="Y11" s="147">
        <f>IF(D5="XC",5400,IF(D5="XPML ",5400,IF(D5="XPHL",5400,IF(D5="XPMLP",5400,IF(D5="XPMLP-01",5400,IF(D5="Xpander P",5400,IF(D5="ML",6000,IF(D5="HL",6000,IF(D5="PR",6000,IF(D5="MLP",6000,IF(D5="HLP",6000,IF(D5="PRP",6000,IF(D5="H57",5200,IF(D5="57",5200,IF(D5="H64",5200,IF(D5="H59",5200,IF(D5="P59",5200,IF(D5="H61",5200,IF(D5="P61",5200,IF(D5="G03",6000,IF(D5="P03",6000,IF(D5="G10",6000,IF(D5="P10",6000,IF(D5="G12",6000,IF(D5="P12",6000,IF(D5="G05",6000,IF(D5="P05",6000,IF(D5="G06",6000,IF(D5="P06",6000,IF(D5="OTP06-01",6000,IF(D5="G08",6000,IF(D5="P08",6000,IF(D5="G09",6000,IF(D5="P09",6000,IF(D5="H38",5700,IF(D5="H37",5700,IF(D5="EH40",5700,IF(D5="EH43",5700,IF(D5="H48",5900,IF(D5="H43",5900,IF(D5="H40",5900,IF(D5="H42",5900,IF(D5="H44",5900,IF(D5="H45",5900,IF(D5="ASX HL",5900,IF(D5="ASX P",5900,IF(D5="ASX HL 4WD",5900,IF(D5="H16",4500,IF(D5="H17",4500,IF(D5="P16",4500,IF(D5="Attrage S",4500,IF(D5="MIG09",4500,IF(D5="MIG10",4500,IF(D5="Xpander HL",5400))))))))))))))))))))))))))))))))))))))))))))))))))))))</f>
        <v>5700</v>
      </c>
    </row>
    <row r="12" spans="1:27" ht="24.6" x14ac:dyDescent="0.4">
      <c r="A12" s="8"/>
      <c r="B12" s="37" t="s">
        <v>20</v>
      </c>
      <c r="C12" s="20" t="s">
        <v>17</v>
      </c>
      <c r="D12" s="36">
        <f>IF(C12="YES",2000,IF(C12="NO",0))</f>
        <v>0</v>
      </c>
      <c r="E12" s="43"/>
      <c r="F12" s="43" t="s">
        <v>21</v>
      </c>
      <c r="G12" s="40"/>
      <c r="H12" s="33">
        <v>600</v>
      </c>
      <c r="I12" s="33"/>
      <c r="J12" s="202" t="s">
        <v>140</v>
      </c>
      <c r="K12" s="45">
        <v>0</v>
      </c>
      <c r="L12" s="45">
        <v>5.2499999999999998E-2</v>
      </c>
      <c r="M12" s="45">
        <v>0.126</v>
      </c>
      <c r="N12" s="201">
        <v>0.26250000000000001</v>
      </c>
      <c r="O12" s="147">
        <f>IF(K20="Esaad",B8*3/100,IF(K20="Emirates Platinum",B8*3/100,IF(K20="Fazaa",B8*3/100,IF(K20="Humat Alwatan",B8*3/100,IF(K20="Permissible",2000,IF(K20="ASX",8400,IF(K20="XPMLP",15100,IF(K20="XP",7200,IF(K20="G43",11000,IF(K20="EC",17000,IF(K20="G37",17000,IF(K20="G38",15000,IF(K20="G40",11000,IF(K20="OUT",3000,IF(K20="F08",14400,IF(K20="P08",11100,IF(K20="F06",13100,IF(K20="P06",13400,IF(K20="F03",3500,IF(K20="F03-1",13500,IF(K20="P03",13100,IF(K20="MON",10000,IF(K20="MON G57",9000,0)))))))))))))))))))))))</f>
        <v>2000</v>
      </c>
      <c r="Z12" s="86" t="s">
        <v>83</v>
      </c>
      <c r="AA12" s="86" t="s">
        <v>84</v>
      </c>
    </row>
    <row r="13" spans="1:27" ht="24.6" x14ac:dyDescent="0.4">
      <c r="A13" s="8">
        <f>B8*1.26582</f>
        <v>109999.758</v>
      </c>
      <c r="B13" s="37" t="s">
        <v>23</v>
      </c>
      <c r="C13" s="20" t="s">
        <v>19</v>
      </c>
      <c r="D13" s="36">
        <f>IF(C13="YES",2000,IF(C13="NO",0))</f>
        <v>2000</v>
      </c>
      <c r="E13" s="47"/>
      <c r="F13" s="47" t="s">
        <v>75</v>
      </c>
      <c r="G13" s="51"/>
      <c r="H13" s="39">
        <v>315</v>
      </c>
      <c r="I13" s="33"/>
      <c r="J13" s="44" t="s">
        <v>54</v>
      </c>
      <c r="K13" s="29" t="s">
        <v>79</v>
      </c>
      <c r="L13" s="29" t="s">
        <v>25</v>
      </c>
      <c r="M13" s="29" t="s">
        <v>0</v>
      </c>
      <c r="N13" s="57" t="s">
        <v>26</v>
      </c>
      <c r="O13" s="9">
        <f>IF(M21="3000-4999",6%,IF(M21="5000-9999",4.75%,IF(M21="10000-14999",3.15%,IF(M21="15000-24999",2.5%,IF(M21="25000-34999",2.25%,IF(M21="35000-99999",2.15%))))))</f>
        <v>4.7500000000000001E-2</v>
      </c>
      <c r="Q13" s="2">
        <f>H7/12</f>
        <v>1832.1402916666666</v>
      </c>
      <c r="U13" s="9">
        <f>IF(M21="3000-4999",6%,IF(M21="5000-9999",3.25%,IF(M21="10000-14999",3%,IF(M21="15000-24999",2.25%,IF(M21="25000-34999",2.15%,IF(M21="35000-99999",1.99%))))))</f>
        <v>3.2500000000000001E-2</v>
      </c>
      <c r="Z13" s="99">
        <f>IF(M21="5000-9999",2.49%,IF(M21="10000-19999",2.19%,IF(M21="20000-34999",2.09%,IF(M21="35000-49999",1.89%,IF(M21="50000-99999",1.79%)))))</f>
        <v>2.4900000000000002E-2</v>
      </c>
      <c r="AA13" s="99">
        <f>IF(M21="5000-9999",2.59%,IF(M21="10000-19999",2.29%,IF(M21="20000-34999",2.19%,IF(M21="35000-49999",1.99%,IF(M21="50000-99999",1.89%)))))</f>
        <v>2.5899999999999999E-2</v>
      </c>
    </row>
    <row r="14" spans="1:27" ht="24.6" x14ac:dyDescent="0.4">
      <c r="A14" s="10" t="s">
        <v>27</v>
      </c>
      <c r="B14" s="37" t="s">
        <v>24</v>
      </c>
      <c r="C14" s="20" t="s">
        <v>19</v>
      </c>
      <c r="D14" s="50">
        <f>IF(C14="YES",U19*3.15*1.05/100,IF(C14="NO",U19*0/100))</f>
        <v>3403.4175</v>
      </c>
      <c r="E14" s="48"/>
      <c r="F14" s="48" t="s">
        <v>24</v>
      </c>
      <c r="G14" s="51" t="s">
        <v>17</v>
      </c>
      <c r="H14" s="39">
        <f>IF(G14="YES",U19*3.15*1.05/100,IF(G14="NO",U19*0/100))</f>
        <v>0</v>
      </c>
      <c r="I14" s="33"/>
      <c r="J14" s="44" t="s">
        <v>55</v>
      </c>
      <c r="K14" s="44">
        <f>(H8*K12+H8)/3</f>
        <v>7328.5611666666664</v>
      </c>
      <c r="L14" s="44">
        <f>(H8*L12+H8)/12</f>
        <v>1928.3276569791667</v>
      </c>
      <c r="M14" s="44">
        <f>(H8*M12+H8)/24</f>
        <v>1031.4949842083333</v>
      </c>
      <c r="N14" s="200">
        <f>(H7*N12+H7)/60</f>
        <v>462.61542364583329</v>
      </c>
      <c r="O14" s="9">
        <f>IF(M21="3000-4999",3.89%,IF(M21="5000-9999",3.89%,IF(M21="10000-14999",3.89%,IF(M21="15000-24999",2.69%,IF(M21="25000-34999",2.69%,IF(M21="35000-99999",2.39%,IF(M21="76000-99999",2.5%)))))))</f>
        <v>3.8900000000000004E-2</v>
      </c>
    </row>
    <row r="15" spans="1:27" ht="24.6" x14ac:dyDescent="0.4">
      <c r="A15" s="11">
        <f>(B7*3%)+10+120</f>
        <v>2737</v>
      </c>
      <c r="B15" s="37" t="s">
        <v>28</v>
      </c>
      <c r="C15" s="20" t="s">
        <v>19</v>
      </c>
      <c r="D15" s="29">
        <f>IF(C15="YES",O10,IF(C15="NO",0))</f>
        <v>3625</v>
      </c>
      <c r="E15" s="48"/>
      <c r="F15" s="48" t="s">
        <v>53</v>
      </c>
      <c r="G15" s="51" t="s">
        <v>17</v>
      </c>
      <c r="H15" s="39">
        <f>IF(G15="YES",O10,IF(G15="NO",0))</f>
        <v>0</v>
      </c>
      <c r="I15" s="33"/>
      <c r="J15" s="44"/>
      <c r="K15" s="44"/>
      <c r="L15" s="44"/>
      <c r="M15" s="44"/>
      <c r="N15" s="198"/>
      <c r="O15" s="9" t="b">
        <f>IF(M21="3000-4999",4.99%, IF(M21="5000-11999",2.75%,IF(M21="12000-19999",2.75%,IF(M21="20000-39999",2.25%,IF(M21="40000-69999",2.25%,IF(M21="70000-99999",2.25%))))))</f>
        <v>0</v>
      </c>
      <c r="P15" s="191"/>
    </row>
    <row r="16" spans="1:27" ht="24.6" x14ac:dyDescent="0.4">
      <c r="A16" s="11">
        <f>((B7-B8)*3%+10+120)</f>
        <v>130</v>
      </c>
      <c r="B16" s="37" t="s">
        <v>78</v>
      </c>
      <c r="C16" s="20" t="s">
        <v>19</v>
      </c>
      <c r="D16" s="29">
        <f>IF(C16="YES",O16,IF(C16="NO",0))</f>
        <v>6400</v>
      </c>
      <c r="E16" s="47"/>
      <c r="F16" s="47" t="s">
        <v>74</v>
      </c>
      <c r="G16" s="54"/>
      <c r="H16" s="33">
        <f>I7*1.05%</f>
        <v>923.39870700000006</v>
      </c>
      <c r="I16" s="33"/>
      <c r="J16" s="44" t="s">
        <v>16</v>
      </c>
      <c r="K16" s="44">
        <f>(K14*3)-H8</f>
        <v>0</v>
      </c>
      <c r="L16" s="44">
        <f>(L14*12)-H8</f>
        <v>1154.2483837500004</v>
      </c>
      <c r="M16" s="44">
        <f>(M14*24)-H8</f>
        <v>2770.1961210000009</v>
      </c>
      <c r="N16" s="198"/>
      <c r="O16" s="147">
        <f>IF(B16="RMC-10-70KMS",O11,IF(B16="RMC-10-100000KMS",V11,IF(B16="RMC-40-70KMS",U11, IF(B16="RMC-10-40KMS",X11, IF(B16="RMC-10-60KMS",Y11, IF(B16="RMC-40-100000KMS",W11,0))))))</f>
        <v>6400</v>
      </c>
    </row>
    <row r="17" spans="1:23" ht="24.6" x14ac:dyDescent="0.4">
      <c r="A17" s="11">
        <f>A15+A16</f>
        <v>2867</v>
      </c>
      <c r="B17" s="37"/>
      <c r="C17" s="20"/>
      <c r="D17" s="29">
        <f>SUM(D10:D16)</f>
        <v>18128.4175</v>
      </c>
      <c r="E17" s="48"/>
      <c r="F17" s="48"/>
      <c r="G17" s="54"/>
      <c r="H17" s="33">
        <f>+SUM(H12:H16)+(H7)</f>
        <v>23824.082206999999</v>
      </c>
      <c r="I17" s="33"/>
      <c r="J17" s="20"/>
      <c r="K17" s="199"/>
      <c r="L17" s="199"/>
      <c r="M17" s="199"/>
      <c r="N17" s="198"/>
      <c r="O17" s="147">
        <f>IF(B11="FO Ceramic+ Intr&amp;Extr CeramicGold WdwTnt",2700,IF(B11="FO Mirror Camera Sensor",2000))</f>
        <v>2700</v>
      </c>
      <c r="T17" s="1">
        <f>19615-791</f>
        <v>18824</v>
      </c>
    </row>
    <row r="18" spans="1:23" ht="24.6" x14ac:dyDescent="0.4">
      <c r="A18" s="12" t="s">
        <v>29</v>
      </c>
      <c r="B18" s="55" t="s">
        <v>30</v>
      </c>
      <c r="C18" s="197"/>
      <c r="D18" s="57">
        <v>0</v>
      </c>
      <c r="E18" s="38"/>
      <c r="F18" s="20"/>
      <c r="G18" s="20"/>
      <c r="H18" s="37"/>
      <c r="I18" s="37"/>
      <c r="J18" s="37"/>
      <c r="K18" s="37"/>
      <c r="L18" s="37"/>
      <c r="M18" s="37"/>
      <c r="N18" s="37"/>
      <c r="O18" s="9" t="b">
        <f>IF(M21="5000-99999",1.99%)</f>
        <v>0</v>
      </c>
      <c r="U18" s="196" t="s">
        <v>52</v>
      </c>
      <c r="V18" s="196" t="s">
        <v>52</v>
      </c>
    </row>
    <row r="19" spans="1:23" ht="24.6" x14ac:dyDescent="0.4">
      <c r="A19" s="11">
        <f>B8*3.15%</f>
        <v>2737.35</v>
      </c>
      <c r="B19" s="58" t="s">
        <v>31</v>
      </c>
      <c r="C19" s="59"/>
      <c r="D19" s="60">
        <f>IF(K21="DIB EXPAT",O13,IF(K21="DIB LOCAL GVH",U13,IF(K21="Emirates NBD",O14,IF(K21="ADCB",O15,IF(K21="ADCB PAY IN 2027",O19,IF(K21="Ajman Bank",O18,IF(K21="SIB STL",Z13,IF(K21="SIB NON STL",AA13,))))))))</f>
        <v>3.8900000000000004E-2</v>
      </c>
      <c r="E19" s="20"/>
      <c r="F19" s="195"/>
      <c r="G19" s="141" t="s">
        <v>73</v>
      </c>
      <c r="H19" s="142"/>
      <c r="I19" s="143"/>
      <c r="J19" s="109">
        <f>(U19*20/100)/365</f>
        <v>56.38356164383562</v>
      </c>
      <c r="K19" s="37"/>
      <c r="L19" s="37"/>
      <c r="M19" s="37"/>
      <c r="N19" s="34">
        <f>D7</f>
        <v>91245</v>
      </c>
      <c r="O19" s="194" t="b">
        <f>IF(M21="5000-11999",3.35%,IF(M21="12000-19999",3.35%,IF(M21="20000-39999",2.85%,IF(M21="40000-69999",2.85%,IF(M21="70000-99999",2.85%)))))</f>
        <v>0</v>
      </c>
      <c r="P19" s="2">
        <f>81400-2500</f>
        <v>78900</v>
      </c>
      <c r="U19" s="193">
        <f>V19</f>
        <v>102900</v>
      </c>
      <c r="V19" s="192">
        <f>(B7+D10+D11+D12+D13+D16)*1.05</f>
        <v>102900</v>
      </c>
    </row>
    <row r="20" spans="1:23" ht="24.6" x14ac:dyDescent="0.4">
      <c r="A20" s="11"/>
      <c r="B20" s="58" t="s">
        <v>32</v>
      </c>
      <c r="C20" s="59"/>
      <c r="D20" s="63">
        <v>0.2</v>
      </c>
      <c r="E20" s="37"/>
      <c r="F20" s="37"/>
      <c r="G20" s="38"/>
      <c r="H20" s="38"/>
      <c r="I20" s="38"/>
      <c r="J20" s="103"/>
      <c r="K20" s="104" t="s">
        <v>33</v>
      </c>
      <c r="L20" s="104" t="s">
        <v>17</v>
      </c>
      <c r="M20" s="104">
        <f>IF(L20="YES",O12,IF(L20="NO",0))</f>
        <v>0</v>
      </c>
      <c r="N20" s="34">
        <f>B8-M20</f>
        <v>86900</v>
      </c>
      <c r="O20" s="187"/>
      <c r="P20" s="191"/>
      <c r="T20" s="1">
        <f>1992+1084</f>
        <v>3076</v>
      </c>
      <c r="U20" s="186"/>
      <c r="V20" s="2"/>
    </row>
    <row r="21" spans="1:23" ht="24.6" x14ac:dyDescent="0.4">
      <c r="A21" s="13">
        <f>A19+A20</f>
        <v>2737.35</v>
      </c>
      <c r="B21" s="37"/>
      <c r="C21" s="20"/>
      <c r="D21" s="37"/>
      <c r="E21" s="37"/>
      <c r="F21" s="37"/>
      <c r="G21" s="37"/>
      <c r="H21" s="37"/>
      <c r="I21" s="37"/>
      <c r="J21" s="190" t="s">
        <v>34</v>
      </c>
      <c r="K21" s="16" t="s">
        <v>139</v>
      </c>
      <c r="L21" s="16" t="s">
        <v>35</v>
      </c>
      <c r="M21" s="189" t="s">
        <v>80</v>
      </c>
      <c r="N21" s="188"/>
      <c r="O21" s="187"/>
      <c r="T21" s="1">
        <f>25973-12973</f>
        <v>13000</v>
      </c>
      <c r="U21" s="186">
        <f>M14+N7</f>
        <v>2782.2882469249998</v>
      </c>
    </row>
    <row r="22" spans="1:23" s="179" customFormat="1" ht="24.6" x14ac:dyDescent="0.4">
      <c r="A22" s="185"/>
      <c r="B22" s="184" t="s">
        <v>51</v>
      </c>
      <c r="C22" s="183"/>
      <c r="D22" s="183"/>
      <c r="E22" s="183"/>
      <c r="F22" s="183"/>
      <c r="G22" s="183"/>
      <c r="H22" s="183"/>
      <c r="I22" s="183"/>
      <c r="J22" s="183"/>
      <c r="K22" s="183"/>
      <c r="L22" s="183"/>
      <c r="M22" s="183"/>
      <c r="N22" s="182"/>
      <c r="O22" s="181"/>
      <c r="P22" s="180"/>
    </row>
    <row r="23" spans="1:23" s="168" customFormat="1" ht="26.4" x14ac:dyDescent="0.5">
      <c r="A23" s="175" t="s">
        <v>36</v>
      </c>
      <c r="B23" s="172" t="s">
        <v>138</v>
      </c>
      <c r="C23" s="169"/>
      <c r="D23" s="169"/>
      <c r="E23" s="169"/>
      <c r="F23" s="169"/>
      <c r="G23" s="169"/>
      <c r="H23" s="176"/>
      <c r="I23" s="176"/>
      <c r="J23" s="169"/>
      <c r="K23" s="169"/>
      <c r="L23" s="169"/>
      <c r="M23" s="169"/>
      <c r="N23" s="178"/>
      <c r="O23" s="170"/>
      <c r="P23" s="169"/>
    </row>
    <row r="24" spans="1:23" s="168" customFormat="1" ht="26.4" x14ac:dyDescent="0.5">
      <c r="A24" s="175" t="s">
        <v>36</v>
      </c>
      <c r="B24" s="172" t="s">
        <v>137</v>
      </c>
      <c r="C24" s="169"/>
      <c r="D24" s="169"/>
      <c r="E24" s="169"/>
      <c r="F24" s="169"/>
      <c r="G24" s="169"/>
      <c r="H24" s="177">
        <f>H7/365</f>
        <v>60.234749315068491</v>
      </c>
      <c r="I24" s="177">
        <f>H7+H12+H16</f>
        <v>23509.082206999999</v>
      </c>
      <c r="J24" s="169"/>
      <c r="K24" s="169"/>
      <c r="L24" s="169"/>
      <c r="M24" s="169"/>
      <c r="N24" s="173"/>
      <c r="O24" s="170"/>
      <c r="P24" s="169">
        <f>1232+480</f>
        <v>1712</v>
      </c>
      <c r="T24" s="168">
        <f>88704/1.05</f>
        <v>84480</v>
      </c>
    </row>
    <row r="25" spans="1:23" s="168" customFormat="1" ht="26.4" x14ac:dyDescent="0.5">
      <c r="A25" s="175" t="s">
        <v>36</v>
      </c>
      <c r="B25" s="172" t="s">
        <v>136</v>
      </c>
      <c r="C25" s="169"/>
      <c r="D25" s="169"/>
      <c r="E25" s="169"/>
      <c r="F25" s="169"/>
      <c r="G25" s="169"/>
      <c r="H25" s="176"/>
      <c r="I25" s="176"/>
      <c r="J25" s="169"/>
      <c r="K25" s="169"/>
      <c r="L25" s="169"/>
      <c r="M25" s="169"/>
      <c r="N25" s="173"/>
      <c r="O25" s="170"/>
      <c r="P25" s="169"/>
      <c r="Q25" s="168">
        <f>79400-5233.33</f>
        <v>74166.67</v>
      </c>
      <c r="R25" s="168">
        <f>Q25*1.05</f>
        <v>77875.003500000006</v>
      </c>
      <c r="W25" s="168">
        <f>1999+1224</f>
        <v>3223</v>
      </c>
    </row>
    <row r="26" spans="1:23" s="168" customFormat="1" ht="26.4" x14ac:dyDescent="0.5">
      <c r="A26" s="175" t="s">
        <v>36</v>
      </c>
      <c r="B26" s="172" t="s">
        <v>135</v>
      </c>
      <c r="C26" s="169"/>
      <c r="D26" s="169"/>
      <c r="E26" s="169"/>
      <c r="F26" s="169"/>
      <c r="G26" s="169"/>
      <c r="H26" s="169"/>
      <c r="I26" s="169"/>
      <c r="J26" s="169"/>
      <c r="K26" s="169"/>
      <c r="L26" s="169"/>
      <c r="M26" s="169"/>
      <c r="N26" s="173"/>
      <c r="O26" s="170" t="s">
        <v>37</v>
      </c>
      <c r="P26" s="169"/>
      <c r="R26" s="168">
        <f>R25+2469</f>
        <v>80344.003500000006</v>
      </c>
    </row>
    <row r="27" spans="1:23" s="168" customFormat="1" ht="26.4" x14ac:dyDescent="0.5">
      <c r="A27" s="175" t="s">
        <v>36</v>
      </c>
      <c r="B27" s="172" t="s">
        <v>134</v>
      </c>
      <c r="C27" s="169"/>
      <c r="D27" s="169"/>
      <c r="E27" s="169"/>
      <c r="F27" s="169"/>
      <c r="G27" s="169"/>
      <c r="H27" s="169"/>
      <c r="I27" s="169"/>
      <c r="J27" s="169"/>
      <c r="K27" s="169"/>
      <c r="L27" s="169"/>
      <c r="M27" s="169"/>
      <c r="N27" s="173"/>
      <c r="O27" s="170">
        <f>129500-110900</f>
        <v>18600</v>
      </c>
      <c r="P27" s="169"/>
      <c r="W27" s="174">
        <f>N7+L14</f>
        <v>3679.1209196958334</v>
      </c>
    </row>
    <row r="28" spans="1:23" s="168" customFormat="1" ht="26.4" x14ac:dyDescent="0.5">
      <c r="B28" s="172" t="s">
        <v>133</v>
      </c>
      <c r="C28" s="169"/>
      <c r="D28" s="169"/>
      <c r="E28" s="169"/>
      <c r="F28" s="169"/>
      <c r="G28" s="169"/>
      <c r="H28" s="169"/>
      <c r="I28" s="169"/>
      <c r="J28" s="169"/>
      <c r="K28" s="169"/>
      <c r="L28" s="169"/>
      <c r="M28" s="169"/>
      <c r="N28" s="173"/>
      <c r="O28" s="170">
        <f>85000-69900</f>
        <v>15100</v>
      </c>
      <c r="P28" s="169"/>
    </row>
    <row r="29" spans="1:23" s="168" customFormat="1" ht="26.4" x14ac:dyDescent="0.5">
      <c r="B29" s="172" t="s">
        <v>132</v>
      </c>
      <c r="C29" s="169"/>
      <c r="D29" s="169"/>
      <c r="E29" s="169"/>
      <c r="F29" s="169"/>
      <c r="G29" s="169"/>
      <c r="H29" s="169"/>
      <c r="I29" s="169"/>
      <c r="J29" s="169"/>
      <c r="K29" s="169"/>
      <c r="L29" s="169"/>
      <c r="M29" s="169"/>
      <c r="N29" s="171"/>
      <c r="O29" s="170"/>
      <c r="P29" s="169"/>
    </row>
    <row r="30" spans="1:23" x14ac:dyDescent="0.3">
      <c r="B30" s="167" t="s">
        <v>38</v>
      </c>
      <c r="C30" s="166"/>
      <c r="D30" s="166"/>
      <c r="E30" s="166"/>
      <c r="F30" s="166"/>
      <c r="G30" s="166"/>
      <c r="H30" s="166"/>
      <c r="I30" s="166"/>
      <c r="J30" s="166"/>
      <c r="K30" s="166"/>
      <c r="L30" s="166"/>
      <c r="M30" s="166"/>
      <c r="N30" s="165"/>
      <c r="O30" s="147"/>
    </row>
    <row r="31" spans="1:23" x14ac:dyDescent="0.3">
      <c r="B31" s="146"/>
      <c r="C31" s="145"/>
      <c r="D31" s="145"/>
      <c r="E31" s="145"/>
      <c r="F31" s="145"/>
      <c r="G31" s="145"/>
      <c r="H31" s="145"/>
      <c r="I31" s="145"/>
      <c r="J31" s="145"/>
      <c r="K31" s="145"/>
      <c r="L31" s="145"/>
      <c r="M31" s="145"/>
      <c r="N31" s="144"/>
      <c r="O31" s="147"/>
    </row>
    <row r="32" spans="1:23" s="86" customFormat="1" ht="20.399999999999999" x14ac:dyDescent="0.35">
      <c r="B32" s="118" t="s">
        <v>39</v>
      </c>
      <c r="C32" s="119"/>
      <c r="D32" s="119"/>
      <c r="E32" s="119"/>
      <c r="F32" s="119"/>
      <c r="G32" s="119"/>
      <c r="H32" s="119"/>
      <c r="I32" s="119"/>
      <c r="J32" s="119"/>
      <c r="K32" s="119"/>
      <c r="L32" s="119"/>
      <c r="M32" s="119"/>
      <c r="N32" s="120"/>
      <c r="O32" s="92"/>
      <c r="P32" s="83"/>
    </row>
    <row r="33" spans="2:16" s="86" customFormat="1" ht="20.399999999999999" x14ac:dyDescent="0.35">
      <c r="B33" s="118" t="s">
        <v>40</v>
      </c>
      <c r="C33" s="119"/>
      <c r="D33" s="119"/>
      <c r="E33" s="119"/>
      <c r="F33" s="119"/>
      <c r="G33" s="119"/>
      <c r="H33" s="119"/>
      <c r="I33" s="119"/>
      <c r="J33" s="119"/>
      <c r="K33" s="119"/>
      <c r="L33" s="119"/>
      <c r="M33" s="119"/>
      <c r="N33" s="120"/>
      <c r="O33" s="92"/>
      <c r="P33" s="83"/>
    </row>
    <row r="34" spans="2:16" s="86" customFormat="1" ht="20.399999999999999" x14ac:dyDescent="0.35">
      <c r="B34" s="107" t="s">
        <v>131</v>
      </c>
      <c r="C34" s="108"/>
      <c r="D34" s="108"/>
      <c r="E34" s="108"/>
      <c r="F34" s="108"/>
      <c r="G34" s="164" t="s">
        <v>130</v>
      </c>
      <c r="H34" s="164"/>
      <c r="I34" s="163"/>
      <c r="J34" s="163"/>
      <c r="K34" s="163"/>
      <c r="L34" s="163"/>
      <c r="M34" s="162" t="s">
        <v>129</v>
      </c>
      <c r="N34" s="161"/>
      <c r="O34" s="83"/>
      <c r="P34" s="83"/>
    </row>
    <row r="35" spans="2:16" x14ac:dyDescent="0.3">
      <c r="B35" s="160"/>
      <c r="C35" s="159"/>
      <c r="D35" s="159"/>
      <c r="E35" s="159"/>
      <c r="F35" s="159"/>
      <c r="G35" s="159"/>
      <c r="H35" s="159"/>
      <c r="I35" s="159"/>
      <c r="J35" s="159"/>
      <c r="K35" s="159"/>
      <c r="L35" s="159"/>
      <c r="M35" s="159"/>
      <c r="N35" s="158"/>
    </row>
    <row r="36" spans="2:16" x14ac:dyDescent="0.3">
      <c r="B36" s="160"/>
      <c r="C36" s="159"/>
      <c r="D36" s="159"/>
      <c r="E36" s="159"/>
      <c r="F36" s="159"/>
      <c r="G36" s="159"/>
      <c r="H36" s="159"/>
      <c r="I36" s="159"/>
      <c r="J36" s="159"/>
      <c r="K36" s="159"/>
      <c r="L36" s="159"/>
      <c r="M36" s="159"/>
      <c r="N36" s="158"/>
    </row>
    <row r="37" spans="2:16" x14ac:dyDescent="0.3">
      <c r="B37" s="160"/>
      <c r="C37" s="159"/>
      <c r="D37" s="159"/>
      <c r="E37" s="159"/>
      <c r="F37" s="159"/>
      <c r="G37" s="159"/>
      <c r="H37" s="159"/>
      <c r="I37" s="159"/>
      <c r="J37" s="159"/>
      <c r="K37" s="159"/>
      <c r="L37" s="159"/>
      <c r="M37" s="159"/>
      <c r="N37" s="158"/>
    </row>
    <row r="38" spans="2:16" ht="16.8" x14ac:dyDescent="0.3">
      <c r="B38" s="149" t="s">
        <v>128</v>
      </c>
      <c r="C38" s="157"/>
      <c r="D38" s="154"/>
      <c r="E38" s="151"/>
      <c r="F38" s="151"/>
      <c r="G38" s="151"/>
      <c r="H38" s="151"/>
      <c r="I38" s="151"/>
      <c r="J38" s="152"/>
      <c r="K38" s="151"/>
      <c r="L38" s="151"/>
      <c r="M38" s="151"/>
      <c r="N38" s="156"/>
    </row>
    <row r="39" spans="2:16" ht="16.8" x14ac:dyDescent="0.3">
      <c r="B39" s="149" t="s">
        <v>127</v>
      </c>
      <c r="C39" s="155"/>
      <c r="D39" s="154"/>
      <c r="E39" s="151"/>
      <c r="F39" s="151"/>
      <c r="G39" s="151"/>
      <c r="H39" s="151"/>
      <c r="I39" s="151"/>
      <c r="J39" s="152"/>
      <c r="K39" s="151"/>
      <c r="L39" s="151"/>
      <c r="M39" s="151"/>
      <c r="N39" s="150"/>
    </row>
    <row r="40" spans="2:16" ht="16.8" x14ac:dyDescent="0.3">
      <c r="B40" s="149" t="s">
        <v>126</v>
      </c>
      <c r="C40" s="153"/>
      <c r="D40" s="151"/>
      <c r="E40" s="151"/>
      <c r="F40" s="151"/>
      <c r="G40" s="151"/>
      <c r="H40" s="151"/>
      <c r="I40" s="151"/>
      <c r="J40" s="152"/>
      <c r="K40" s="151"/>
      <c r="L40" s="151"/>
      <c r="M40" s="151"/>
      <c r="N40" s="150"/>
    </row>
    <row r="41" spans="2:16" ht="16.8" x14ac:dyDescent="0.3">
      <c r="B41" s="149" t="s">
        <v>125</v>
      </c>
      <c r="N41" s="148"/>
    </row>
    <row r="42" spans="2:16" ht="16.8" x14ac:dyDescent="0.3">
      <c r="B42" s="149" t="s">
        <v>124</v>
      </c>
      <c r="N42" s="148"/>
    </row>
    <row r="43" spans="2:16" ht="16.8" x14ac:dyDescent="0.3">
      <c r="B43" s="149" t="s">
        <v>123</v>
      </c>
      <c r="N43" s="148"/>
    </row>
    <row r="44" spans="2:16" ht="16.8" x14ac:dyDescent="0.3">
      <c r="B44" s="149" t="s">
        <v>122</v>
      </c>
      <c r="N44" s="148"/>
    </row>
    <row r="45" spans="2:16" ht="16.8" x14ac:dyDescent="0.3">
      <c r="B45" s="149" t="s">
        <v>121</v>
      </c>
      <c r="N45" s="148"/>
    </row>
    <row r="46" spans="2:16" ht="16.8" x14ac:dyDescent="0.3">
      <c r="B46" s="149" t="s">
        <v>120</v>
      </c>
      <c r="N46" s="148"/>
    </row>
    <row r="47" spans="2:16" x14ac:dyDescent="0.3">
      <c r="B47" s="146" t="s">
        <v>39</v>
      </c>
      <c r="C47" s="145"/>
      <c r="D47" s="145"/>
      <c r="E47" s="145"/>
      <c r="F47" s="145"/>
      <c r="G47" s="145"/>
      <c r="H47" s="145"/>
      <c r="I47" s="145"/>
      <c r="J47" s="145"/>
      <c r="K47" s="145"/>
      <c r="L47" s="145"/>
      <c r="M47" s="145"/>
      <c r="N47" s="144"/>
      <c r="O47" s="147"/>
    </row>
    <row r="48" spans="2:16" x14ac:dyDescent="0.3">
      <c r="B48" s="146" t="s">
        <v>40</v>
      </c>
      <c r="C48" s="145"/>
      <c r="D48" s="145"/>
      <c r="E48" s="145"/>
      <c r="F48" s="145"/>
      <c r="G48" s="145"/>
      <c r="H48" s="145"/>
      <c r="I48" s="145"/>
      <c r="J48" s="145"/>
      <c r="K48" s="145"/>
      <c r="L48" s="145"/>
      <c r="M48" s="145"/>
      <c r="N48" s="144"/>
      <c r="O48" s="147"/>
    </row>
    <row r="49" spans="2:14" x14ac:dyDescent="0.3">
      <c r="B49" s="146" t="s">
        <v>119</v>
      </c>
      <c r="C49" s="145"/>
      <c r="D49" s="145"/>
      <c r="E49" s="145"/>
      <c r="F49" s="145"/>
      <c r="G49" s="145"/>
      <c r="H49" s="145"/>
      <c r="I49" s="145"/>
      <c r="J49" s="145"/>
      <c r="K49" s="145"/>
      <c r="L49" s="145"/>
      <c r="M49" s="145"/>
      <c r="N49" s="144"/>
    </row>
    <row r="50" spans="2:14" ht="25.8" x14ac:dyDescent="0.3">
      <c r="C50" s="15" t="s">
        <v>41</v>
      </c>
    </row>
    <row r="51" spans="2:14" ht="25.8" x14ac:dyDescent="0.3">
      <c r="C51" s="15" t="s">
        <v>42</v>
      </c>
    </row>
    <row r="52" spans="2:14" ht="25.8" x14ac:dyDescent="0.3">
      <c r="C52" s="15" t="s">
        <v>43</v>
      </c>
    </row>
    <row r="53" spans="2:14" ht="25.8" x14ac:dyDescent="0.3">
      <c r="C53" s="15" t="s">
        <v>44</v>
      </c>
    </row>
    <row r="54" spans="2:14" ht="25.8" x14ac:dyDescent="0.3">
      <c r="C54" s="15" t="s">
        <v>45</v>
      </c>
    </row>
  </sheetData>
  <dataConsolidate/>
  <mergeCells count="11">
    <mergeCell ref="F8:G8"/>
    <mergeCell ref="F9:G9"/>
    <mergeCell ref="G19:I19"/>
    <mergeCell ref="B22:N22"/>
    <mergeCell ref="B30:N30"/>
    <mergeCell ref="B32:N32"/>
    <mergeCell ref="B33:N33"/>
    <mergeCell ref="B47:N47"/>
    <mergeCell ref="B48:N48"/>
    <mergeCell ref="B49:N49"/>
    <mergeCell ref="B31:N31"/>
  </mergeCells>
  <dataValidations count="11">
    <dataValidation type="list" allowBlank="1" showInputMessage="1" showErrorMessage="1" sqref="H34" xr:uid="{9F224807-4423-4624-B2E7-449E4F5C380F}">
      <formula1>"ALAA HAMMAD,KHALED QASSEM,RAMY RAOUF,SIMON LOBO,MHAREN CLEMENTE GARADO"</formula1>
    </dataValidation>
    <dataValidation type="list" allowBlank="1" showInputMessage="1" showErrorMessage="1" sqref="M34" xr:uid="{30E264D6-D607-4C4E-B14B-75FBC244D005}">
      <formula1>"Alaa Hammad,Bachir Ibrahim Mourad,Khaled Qassem,Ramy Raoof,Simon Lobo,Mharen Clemente Garado,Ranjith"</formula1>
    </dataValidation>
    <dataValidation type="list" allowBlank="1" showInputMessage="1" showErrorMessage="1" sqref="B11" xr:uid="{2A26317B-1C8D-4B08-A80D-4995B919B8C9}">
      <formula1>"FO Ceramic+ Intr&amp;Extr CeramicGold WdwTnt,FO Mirror Camera Sensor"</formula1>
    </dataValidation>
    <dataValidation type="list" allowBlank="1" showInputMessage="1" showErrorMessage="1" sqref="B12" xr:uid="{AB455B79-FF8D-487A-8EDA-EC437844F21A}">
      <formula1>"FO Exterior ceramic All Cars SCOTCHGUARD,FO Mirror Camera Sensor,FO PPF Gold Package "</formula1>
    </dataValidation>
    <dataValidation type="list" allowBlank="1" showInputMessage="1" showErrorMessage="1" sqref="K20" xr:uid="{E60A4FAA-6F9B-4044-B9CD-E261CAD6F2A4}">
      <formula1>"Esaad,Emirates Platinum,Fazaa,Humat Alwatan,Permissible,ASX,XPMLP,XP,MON,MON G57,OUT,F08,P08,F06,P06,F03,F03-1,P03,EC,G37,G38,G40,G43"</formula1>
    </dataValidation>
    <dataValidation type="list" allowBlank="1" showInputMessage="1" showErrorMessage="1" sqref="B16" xr:uid="{5FFC7300-AEB3-4743-82A7-6D260475EDEC}">
      <formula1>"RMC-10-40KMS,RMC-10-60KMS,RMC-10-70KMS,RMC-10-100000KMS,RMC-40-70KMS,RMC-40-100000KMS"</formula1>
    </dataValidation>
    <dataValidation type="list" allowBlank="1" showInputMessage="1" showErrorMessage="1" sqref="K24" xr:uid="{AA09AC16-52DD-4FFA-A53C-4C28AE4E3726}">
      <formula1>"RMC-10-70K,RMC-10-100000K,RMC-40-70K"</formula1>
    </dataValidation>
    <dataValidation type="list" allowBlank="1" showInputMessage="1" showErrorMessage="1" sqref="D5" xr:uid="{D2E7A61B-4AA7-4BBA-99BF-F3B2C157ECFF}">
      <formula1>"MIG09,MIG10,H16,P16,H17,H48,H43,H40,H42,H44,H45,H38,H37,EH40,EH43,ML,HL,PR, MLP,HLP,PRP,XPML,XPHL,XPMLP, XPMLP-01,XC, G10,P10, G03, P03, G06,P06,G12,P12,G05,P05,G08,P08,G09,P09,H57,P57,H64,H59,P59,H61,P61"</formula1>
    </dataValidation>
    <dataValidation type="list" allowBlank="1" showInputMessage="1" showErrorMessage="1" sqref="M21" xr:uid="{9F05D589-3124-4094-A5D9-94315CE135F8}">
      <formula1>"3000-4999,5000-9999,5000-99999,10000-14999,15000-24999,25000-34999,35000-99999,5000-11999,12000-19999,20000-39999,40000-69999,70000-99999"</formula1>
    </dataValidation>
    <dataValidation type="list" allowBlank="1" showInputMessage="1" showErrorMessage="1" sqref="C10:C16 L20 L24:L25 G14:G15 J10" xr:uid="{8821491F-855B-403A-8224-C3C16174FB02}">
      <formula1>"YES,NO"</formula1>
    </dataValidation>
    <dataValidation type="list" allowBlank="1" showInputMessage="1" showErrorMessage="1" sqref="K21" xr:uid="{82FD7038-1FCB-4C2B-8D4F-9797B2D6D238}">
      <formula1>"ADCB,ADCB PAY IN 2027,Ajman Bank,ADIB,DIB EXPAT,DIB LOCAL GVH,Emirates NBD,EIB,FAB,RAK,SIB STL,SIB NON STL"</formula1>
    </dataValidation>
  </dataValidations>
  <pageMargins left="0.23622047244094491" right="0.23622047244094491" top="0.74803149606299213" bottom="0.74803149606299213" header="0.31496062992125984" footer="0.31496062992125984"/>
  <pageSetup paperSize="9" scale="40" orientation="landscape" horizontalDpi="4294967295" verticalDpi="4294967295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94A92-6A6E-405A-993C-67E303A1B4C3}">
  <sheetPr>
    <pageSetUpPr fitToPage="1"/>
  </sheetPr>
  <dimension ref="A1:AA54"/>
  <sheetViews>
    <sheetView topLeftCell="B1" zoomScaleNormal="100" workbookViewId="0">
      <selection activeCell="D5" sqref="D5"/>
    </sheetView>
  </sheetViews>
  <sheetFormatPr defaultColWidth="9.109375" defaultRowHeight="15.6" x14ac:dyDescent="0.3"/>
  <cols>
    <col min="1" max="1" width="16" style="1" hidden="1" customWidth="1"/>
    <col min="2" max="2" width="75.109375" style="2" customWidth="1"/>
    <col min="3" max="3" width="26.88671875" style="3" customWidth="1"/>
    <col min="4" max="4" width="23.88671875" style="2" customWidth="1"/>
    <col min="5" max="5" width="23.33203125" style="2" customWidth="1"/>
    <col min="6" max="6" width="19.88671875" style="2" customWidth="1"/>
    <col min="7" max="7" width="23.33203125" style="2" customWidth="1"/>
    <col min="8" max="8" width="24.44140625" style="2" customWidth="1"/>
    <col min="9" max="9" width="27.109375" style="2" customWidth="1"/>
    <col min="10" max="10" width="26.6640625" style="2" customWidth="1"/>
    <col min="11" max="11" width="25.44140625" style="2" customWidth="1"/>
    <col min="12" max="12" width="20.5546875" style="2" customWidth="1"/>
    <col min="13" max="13" width="20.109375" style="2" customWidth="1"/>
    <col min="14" max="14" width="19.5546875" style="2" customWidth="1"/>
    <col min="15" max="15" width="15.109375" style="2" bestFit="1" customWidth="1"/>
    <col min="16" max="16" width="12.6640625" style="2" hidden="1" customWidth="1"/>
    <col min="17" max="17" width="12.6640625" style="1" hidden="1" customWidth="1"/>
    <col min="18" max="18" width="15.6640625" style="1" hidden="1" customWidth="1"/>
    <col min="19" max="19" width="13" style="1" hidden="1" customWidth="1"/>
    <col min="20" max="20" width="17.109375" style="1" hidden="1" customWidth="1"/>
    <col min="21" max="21" width="14.5546875" style="1" bestFit="1" customWidth="1"/>
    <col min="22" max="22" width="19" style="1" customWidth="1"/>
    <col min="23" max="23" width="22.5546875" style="1" bestFit="1" customWidth="1"/>
    <col min="24" max="25" width="9.109375" style="1"/>
    <col min="26" max="26" width="14" style="1" bestFit="1" customWidth="1"/>
    <col min="27" max="27" width="22.33203125" style="1" bestFit="1" customWidth="1"/>
    <col min="28" max="16384" width="9.109375" style="1"/>
  </cols>
  <sheetData>
    <row r="1" spans="1:27" ht="15.75" customHeight="1" x14ac:dyDescent="0.3">
      <c r="B1" s="222" t="s">
        <v>148</v>
      </c>
      <c r="C1" s="221"/>
      <c r="D1" s="221"/>
      <c r="E1" s="221"/>
      <c r="F1" s="221"/>
      <c r="G1" s="221"/>
      <c r="H1" s="221"/>
      <c r="I1" s="221"/>
      <c r="J1" s="221"/>
      <c r="K1" s="221"/>
      <c r="L1" s="221"/>
      <c r="M1" s="221"/>
      <c r="N1" s="220"/>
    </row>
    <row r="2" spans="1:27" ht="15.75" customHeight="1" x14ac:dyDescent="0.3">
      <c r="B2" s="219" t="s">
        <v>147</v>
      </c>
      <c r="C2" s="218"/>
      <c r="D2" s="218"/>
      <c r="E2" s="218"/>
      <c r="F2" s="218"/>
      <c r="G2" s="218"/>
      <c r="H2" s="218"/>
      <c r="I2" s="218"/>
      <c r="J2" s="218"/>
      <c r="K2" s="218"/>
      <c r="L2" s="218"/>
      <c r="M2" s="218"/>
      <c r="N2" s="217"/>
      <c r="Q2" s="2"/>
      <c r="S2" s="186"/>
    </row>
    <row r="3" spans="1:27" ht="15.75" customHeight="1" x14ac:dyDescent="0.3">
      <c r="B3" s="219" t="s">
        <v>146</v>
      </c>
      <c r="C3" s="218"/>
      <c r="D3" s="218"/>
      <c r="E3" s="218"/>
      <c r="F3" s="218"/>
      <c r="G3" s="218"/>
      <c r="H3" s="218"/>
      <c r="I3" s="218"/>
      <c r="J3" s="218"/>
      <c r="K3" s="218"/>
      <c r="L3" s="218"/>
      <c r="M3" s="218"/>
      <c r="N3" s="217"/>
      <c r="O3" s="3"/>
      <c r="P3" s="3"/>
      <c r="Q3" s="153"/>
      <c r="R3" s="153"/>
      <c r="S3" s="216" t="e">
        <f>N7+J14</f>
        <v>#VALUE!</v>
      </c>
      <c r="T3" s="216"/>
      <c r="U3" s="153"/>
      <c r="V3" s="153"/>
      <c r="W3" s="153"/>
      <c r="AA3" s="1">
        <f>273000/5</f>
        <v>54600</v>
      </c>
    </row>
    <row r="4" spans="1:27" ht="15.75" customHeight="1" x14ac:dyDescent="0.3">
      <c r="B4" s="215"/>
      <c r="C4" s="214"/>
      <c r="D4" s="214"/>
      <c r="E4" s="214"/>
      <c r="F4" s="214"/>
      <c r="G4" s="214"/>
      <c r="H4" s="214"/>
      <c r="I4" s="214"/>
      <c r="J4" s="214"/>
      <c r="K4" s="214"/>
      <c r="L4" s="214"/>
      <c r="M4" s="214"/>
      <c r="N4" s="213"/>
      <c r="O4" s="212" t="s">
        <v>0</v>
      </c>
      <c r="P4" s="212"/>
      <c r="Q4" s="210"/>
      <c r="R4" s="210"/>
      <c r="S4" s="211"/>
      <c r="T4" s="211"/>
      <c r="U4" s="210" t="s">
        <v>1</v>
      </c>
      <c r="V4" s="210" t="s">
        <v>2</v>
      </c>
      <c r="W4" s="210" t="s">
        <v>3</v>
      </c>
    </row>
    <row r="5" spans="1:27" ht="25.2" thickBot="1" x14ac:dyDescent="0.45">
      <c r="B5" s="17"/>
      <c r="C5" s="18" t="str">
        <f>IF(D5="MIG09","Mirage G09",IF(D5="MIG10","MirageG10",IF(D5="H16","Attrage H16",IF(D5="P16","Attrage P16",IF(D5="H17","Attrage H17",IF(D5="H48","ASX H48",IF(D5="H43","ASX H43",IF(D5="H40","ASX H40",IF(D5="H42","ASX H42",IF(D5="H44","ASX H44",IF(D5="H45","ASX H45",IF(D5="H38","Eclipse H38",IF(D5="H37","Eclipse H37",IF(D5="EH40","Eclipse H40",IF(D5="EH43","Eclipse H43",IF(D5="XPML","Xpander ML",IF(D5="ML","Destinator ML",IF(D5="HL","Destinator HL",IF(D5="PR","Destinator PR",IF(D5="MLP","Destinator MLP",IF(D5="HLP","Destinator HLP",IF(D5="PRP","Destinator PRP",IF(D5="XPHL","Xpander HL",IF(D5="XPMLP","Xpander ML P",IF(D5="XPMLP-01","Xpander ML P-01",IF(D5="XC","Xpander Cross",IF(D5="G03","Outlander G03",IF(D5="P03","Outlander P03",IF(D5="G06","Outlander G06",IF(D5="P06","Outlander P06",IF(D5="OTP06-01","Outlander P06-01",IF(D5="G08","Outlander G08",IF(D5="P08","Outlander P08",IF(D5="H57","Montero H57",IF(D5="P57","Montero P57",IF(D5="H64","Montero G64",IF(D5="H59","Montero G59",IF(D5="P59","Montero G59 P",IF(D5="H61","Montero G61",IF(D5="P61","Montero P61",IF(D5="G10","Outlander G10",IF(D5="P10","Outlander P10",IF(D5="G12","Outlander G12",IF(D5="P12","Outlander P12",IF(D5="G05","Outlander G05",IF(D5="P05","Outlander P05",IF(D5="G09","Outlander G09",IF(D5="P09","Outlander P09",))))))))))))))))))))))))))))))))))))))))))))))))</f>
        <v>Destinator HLP</v>
      </c>
      <c r="D5" s="19" t="s">
        <v>176</v>
      </c>
      <c r="E5" s="20" t="s">
        <v>145</v>
      </c>
      <c r="F5" s="37"/>
      <c r="G5" s="37"/>
      <c r="H5" s="37"/>
      <c r="I5" s="20"/>
      <c r="J5" s="34"/>
      <c r="K5" s="209">
        <v>0</v>
      </c>
      <c r="L5" s="208">
        <v>3.39E-2</v>
      </c>
      <c r="M5" s="208">
        <v>6.7799999999999999E-2</v>
      </c>
      <c r="N5" s="208">
        <v>0.1017</v>
      </c>
      <c r="O5" s="147">
        <f>K7+K14</f>
        <v>11889.833483220002</v>
      </c>
      <c r="S5" s="186"/>
      <c r="U5" s="186">
        <f>L7+L14</f>
        <v>4908.8990743450004</v>
      </c>
      <c r="V5" s="186">
        <f>M7+M14</f>
        <v>3319.5574475700005</v>
      </c>
      <c r="W5" s="186">
        <f>N7+N14</f>
        <v>2333.5024743450003</v>
      </c>
    </row>
    <row r="6" spans="1:27" s="5" customFormat="1" ht="99" thickBot="1" x14ac:dyDescent="0.35">
      <c r="A6" s="4" t="s">
        <v>4</v>
      </c>
      <c r="B6" s="26" t="s">
        <v>5</v>
      </c>
      <c r="C6" s="27" t="s">
        <v>6</v>
      </c>
      <c r="D6" s="27" t="s">
        <v>144</v>
      </c>
      <c r="E6" s="27" t="s">
        <v>7</v>
      </c>
      <c r="F6" s="27" t="s">
        <v>8</v>
      </c>
      <c r="G6" s="28" t="s">
        <v>9</v>
      </c>
      <c r="H6" s="28" t="s">
        <v>143</v>
      </c>
      <c r="I6" s="28" t="s">
        <v>10</v>
      </c>
      <c r="J6" s="28" t="s">
        <v>142</v>
      </c>
      <c r="K6" s="28" t="s">
        <v>11</v>
      </c>
      <c r="L6" s="28" t="s">
        <v>12</v>
      </c>
      <c r="M6" s="28" t="s">
        <v>13</v>
      </c>
      <c r="N6" s="28" t="s">
        <v>14</v>
      </c>
      <c r="O6" s="207"/>
      <c r="P6" s="206"/>
      <c r="T6" s="205"/>
      <c r="U6" s="205">
        <f>N7+L14</f>
        <v>3878.7404343450007</v>
      </c>
      <c r="V6" s="205">
        <f>N7+K14</f>
        <v>9571.9765432200002</v>
      </c>
      <c r="W6" s="205" t="e">
        <f>N7+J14</f>
        <v>#VALUE!</v>
      </c>
    </row>
    <row r="7" spans="1:27" ht="25.2" thickBot="1" x14ac:dyDescent="0.45">
      <c r="A7" s="6">
        <f>B8</f>
        <v>91900</v>
      </c>
      <c r="B7" s="29">
        <f>IF(L20="YES",C8*1,IF(L20="NO",B8*1))</f>
        <v>91900</v>
      </c>
      <c r="C7" s="29">
        <f>B7*5/100</f>
        <v>4595</v>
      </c>
      <c r="D7" s="203">
        <f>B7+C7</f>
        <v>96495</v>
      </c>
      <c r="E7" s="29">
        <f>D17</f>
        <v>18832.847000000002</v>
      </c>
      <c r="F7" s="29">
        <f>(C7)+(D10+D11+D12+D13+D16)*5/100</f>
        <v>5160</v>
      </c>
      <c r="G7" s="30">
        <f>B7+E7+F7</f>
        <v>115892.84700000001</v>
      </c>
      <c r="H7" s="29">
        <f>G7*D20</f>
        <v>23178.569400000004</v>
      </c>
      <c r="I7" s="30">
        <f>(G7-H7)</f>
        <v>92714.277600000001</v>
      </c>
      <c r="J7" s="30">
        <f>(((I7*D19)*1)+I7)/12</f>
        <v>8026.7385832200007</v>
      </c>
      <c r="K7" s="30">
        <f>(((I7*D19)*2)+I7)/24</f>
        <v>4163.6436832200006</v>
      </c>
      <c r="L7" s="30">
        <f>(((I7*D19)*3)+I7)/36</f>
        <v>2875.9453832199997</v>
      </c>
      <c r="M7" s="30">
        <f>(((I7*D19)*4)+I7)/48</f>
        <v>2232.0962332200002</v>
      </c>
      <c r="N7" s="30">
        <f>((((I7*D19)*5)+I7)/60)</f>
        <v>1845.7867432200001</v>
      </c>
      <c r="O7" s="147"/>
      <c r="P7" s="2">
        <f>H7+H16</f>
        <v>24152.069314800003</v>
      </c>
      <c r="T7" s="186">
        <f>25973/2</f>
        <v>12986.5</v>
      </c>
    </row>
    <row r="8" spans="1:27" ht="24.6" x14ac:dyDescent="0.4">
      <c r="A8" s="7">
        <v>0.2</v>
      </c>
      <c r="B8" s="31">
        <f>IF(D5="MIG09",39900,IF(D5="MIG10",41900,IF(D5="H16",41900,IF(D5="P16",47400,IF(D5="H17",47900,IF(D5="H48",67900,IF(D5="H43",70900,IF(D5="H40",72900,IF(D5="H42",74900,IF(D5="H44",73900,IF(D5="H45",79900,IF(D5="H38",86900,IF(D5="H37",79900,IF(D5="EH40",99900,IF(D5="EH43",106900,IF(D5="ML",71900,IF(D5="HL",83900,IF(D5="PR",95900,IF(D5="MLP",80900,IF(D5="HLP",91900,IF(D5="PRP",102900,IF(D5="XPML",69900,IF(D5="XPHL",71000,IF(D5="XPMLP",75900,IF(D5="XPMLP-01",77800,IF(D5="XC",84900,IF(D5="G10",81900,IF(D5="P10",93900,IF(D5="G12",97900,IF(D5="P12",105900,IF(D5="G05",104900,IF(D5="P05",105900,IF(D5="G03",92900,IF(D5="P03",100900,IF(D5="G06",109900,IF(D5="P06",114900,IF(D5="OTP06-01",118900,IF(D5="G08",125900,IF(D5="P08",132900,IF(D5="OTP06-01",109900,IF(D5="G09",129900,IF(D5="P09",134900,IF(D5="H57",105900,IF(D5="P57",113900,IF(D5="H64",116900,IF(D5="H59",127900,IF(D5="P59",134900,IF(D5="H61",134900,IF(D5="P61",138900)))))))))))))))))))))))))))))))))))))))))))))))))</f>
        <v>91900</v>
      </c>
      <c r="C8" s="32">
        <f>IF(L20="YES",N20,IF(L20="NO",N20))</f>
        <v>91900</v>
      </c>
      <c r="D8" s="29">
        <v>0</v>
      </c>
      <c r="E8" s="33"/>
      <c r="F8" s="139"/>
      <c r="G8" s="140"/>
      <c r="H8" s="110">
        <f>G7*20/100</f>
        <v>23178.569400000004</v>
      </c>
      <c r="I8" s="34"/>
      <c r="J8" s="34" t="s">
        <v>15</v>
      </c>
      <c r="K8" s="34">
        <f>(I7*K5+I7)/24</f>
        <v>3863.0949000000001</v>
      </c>
      <c r="L8" s="34">
        <f>(I7*L5+I7)/36</f>
        <v>2662.7025447400001</v>
      </c>
      <c r="M8" s="34">
        <f>(I7*M5+I7)/48</f>
        <v>2062.5063671100002</v>
      </c>
      <c r="N8" s="34">
        <f>(I7*N5+I7)/60</f>
        <v>1702.3886605320001</v>
      </c>
      <c r="O8" s="147">
        <v>0</v>
      </c>
      <c r="P8" s="2">
        <f>P7/12</f>
        <v>2012.6724429000003</v>
      </c>
      <c r="T8" s="1">
        <f>25973-12973</f>
        <v>13000</v>
      </c>
    </row>
    <row r="9" spans="1:27" ht="24.6" x14ac:dyDescent="0.4">
      <c r="A9" s="8">
        <f>B8/(100%-A8)</f>
        <v>114875</v>
      </c>
      <c r="B9" s="109">
        <f>B7-B8</f>
        <v>0</v>
      </c>
      <c r="C9" s="109"/>
      <c r="D9" s="36"/>
      <c r="E9" s="33"/>
      <c r="F9" s="139"/>
      <c r="G9" s="140"/>
      <c r="H9" s="33"/>
      <c r="I9" s="37" t="s">
        <v>16</v>
      </c>
      <c r="J9" s="38">
        <f>(J7*12)-I7</f>
        <v>3606.5853986400034</v>
      </c>
      <c r="K9" s="38">
        <f>(K7*24)-I7</f>
        <v>7213.1707972800068</v>
      </c>
      <c r="L9" s="38">
        <f>(L7*36)-I7</f>
        <v>10819.756195919996</v>
      </c>
      <c r="M9" s="38">
        <f>(M7*48)-I7</f>
        <v>14426.341594560014</v>
      </c>
      <c r="N9" s="38">
        <f>(N7*60)-I7</f>
        <v>18032.926993200002</v>
      </c>
      <c r="O9" s="147"/>
      <c r="T9" s="1">
        <f>T8/12</f>
        <v>1083.3333333333333</v>
      </c>
      <c r="Z9" s="1" t="s">
        <v>86</v>
      </c>
    </row>
    <row r="10" spans="1:27" ht="24.6" x14ac:dyDescent="0.4">
      <c r="A10" s="8"/>
      <c r="B10" s="37" t="s">
        <v>141</v>
      </c>
      <c r="C10" s="20" t="s">
        <v>17</v>
      </c>
      <c r="D10" s="36">
        <f>IF(C10="YES",700,IF(C10="NO",0))</f>
        <v>0</v>
      </c>
      <c r="E10" s="39"/>
      <c r="F10" s="40"/>
      <c r="G10" s="40"/>
      <c r="H10" s="33"/>
      <c r="I10" s="44" t="s">
        <v>85</v>
      </c>
      <c r="J10" s="117" t="s">
        <v>19</v>
      </c>
      <c r="K10" s="117">
        <f>IF(J10="YES",Z10,IF(J10="NO",0))</f>
        <v>1000</v>
      </c>
      <c r="L10" s="41">
        <f>(L8*36)-I7</f>
        <v>3143.0140106400067</v>
      </c>
      <c r="M10" s="41">
        <f>(M8*48)-I7</f>
        <v>6286.0280212800135</v>
      </c>
      <c r="N10" s="41">
        <f>(N8*60)-I7</f>
        <v>9429.0420319200057</v>
      </c>
      <c r="O10" s="147">
        <f>IF(D5="XC",3690,IF(D5="XPML",3690,IF(D5="XPHL",3690,IF(D5="XPMLP",3690,IF(D5="XPMLP-01",3690,IF(D5="Xpander P",3690,IF(D5="ML",3690,IF(D5="HL",3690,IF(D5="PR",(U19*3/100+510)*1.05,IF(D5="MLP",3690,IF(D5="HLP",(U19*3/100+510)*1.05,IF(D5="PRP",(U19*3/100+510)*1.05,IF(D5="H57",(U19*2.75/100+510)*1.05,IF(D5="P57",(U19*2.75/100+510)*1.05,IF(D5="H64",(U19*2.75/100+510)*1.05,IF(D5="H59",(U19*2.75/100+510)*1.05,IF(D5="P59",(U19*2.75/100+510)*1.05,IF(D5="H61",(U19*2.75/100+510)*1.05,IF(D5="P61",(U19*2.75/100+510)*1.05,IF(D5="G03",(U19*3/100+510)*1.05,IF(D5="G10",(U19*3/100+510)*1.05,IF(D5="P10",(U19*3/100+510)*1.05,IF(D5="G12",(U19*3/100+510)*1.05,IF(D5="P12",(U19*3/100+510)*1.05,IF(D5="G05",(U19*3/100+510)*1.05,IF(D5="P05",(U19*3/100+510)*1.05,IF(D5="P03",(U19*3/100+510)*1.05,IF(D5="G06",(U19*3/100+510)*1.05,IF(D5="P06",(U19*3/100+510)*1.05,IF(D5="OTP06-01",(U19*3/100+510)*1.05,IF(D5="G08",(U19*3/100+510)*1.05,IF(D5="P08",(U19*3/100+510)*1.05,IF(D5="G09",(U19*3/100+510)*1.05,IF(D5="P09",(U19*3/100+510)*1.05,IF(D5="H38",3625,IF(D5="H37",3625,IF(D5="EH40",(U19*3/100+450)*1.05,IF(D5="EH43",(U19*3/100+450)*1.05,IF(D5="H48",3625,IF(D5="H43",3625,IF(D5="H40",3625,IF(D5="H42",3625,IF(D5="H44",3625,IF(D5="H45",3625,IF(D5="ASX HL 4WD",3625,IF(D5="H16",3625,IF(D5="H17",3625,IF(D5="P16",3625,IF(D5="Attrage S",3625,IF(D5="MIG09",3625,IF(D5="MIG10",3625,IF(D5="Xpander HL",3690))))))))))))))))))))))))))))))))))))))))))))))))))))</f>
        <v>3948.84</v>
      </c>
      <c r="P10" s="204"/>
      <c r="Q10" s="204">
        <f>5.25*3</f>
        <v>15.75</v>
      </c>
      <c r="Z10" s="1">
        <f>IF(D5="MIG09",1000,IF(D5="MIG10",1000,IF(D5="H16",1000,IF(D5="P16",1000,IF(D5="H17",1000,IF(D5="H48",1000,IF(D5="H43",1000,IF(D5="H40",1000,IF(D5="H42",1000,IF(D5="H44",1000,IF(D5="H45",1000,IF(D5="H38",1000,IF(D5="H37",1000,IF(D5="EH40",1000,IF(D5="EH43",1000,IF(D5="ML",1000,IF(D5="HL",1000,IF(D5="PR",1000,IF(D5="MLP",1000,IF(D5="HLP",1000,IF(D5="PRP",1000,IF(D5="XPML",1000,IF(D5="XPHL",1000,IF(D5="XPMLP",1000,IF(D5="XPMLP-01",1000,IF(D5="XC",1000,IF(D5="G10",1000,IF(D5="P10",1000,IF(D5="G12",1000,IF(D5="P12",1000,IF(D5="G05",1000,IF(D5="P05",1000,IF(D5="G03",1000,IF(D5="P03",1000,IF(D5="G06",1000,IF(D5="P06",1000,IF(D5="OTP06-01",1000,IF(D5="G08",1000,IF(D5="P08",1000,IF(D5="OTP06-01",1000,IF(D5="G09",1000,IF(D5="P09",1000,IF(D5="H57",1000,IF(D5="P57",1000,IF(D5="H64",1000,IF(D5="H59",1000,IF(D5="P59",1000,IF(D5="H61",1000,IF(D5="P61",1000)))))))))))))))))))))))))))))))))))))))))))))))))</f>
        <v>1000</v>
      </c>
    </row>
    <row r="11" spans="1:27" ht="24.6" x14ac:dyDescent="0.4">
      <c r="A11" s="8"/>
      <c r="B11" s="37" t="s">
        <v>18</v>
      </c>
      <c r="C11" s="20" t="s">
        <v>19</v>
      </c>
      <c r="D11" s="203">
        <f>IF(C11="YES",O17,IF(C11="NO",0))</f>
        <v>2700</v>
      </c>
      <c r="E11" s="39"/>
      <c r="F11" s="40"/>
      <c r="G11" s="40"/>
      <c r="H11" s="33"/>
      <c r="I11" s="33"/>
      <c r="J11" s="44" t="s">
        <v>76</v>
      </c>
      <c r="K11" s="44">
        <f>H8-K10</f>
        <v>22178.569400000004</v>
      </c>
      <c r="L11" s="37"/>
      <c r="M11" s="37"/>
      <c r="N11" s="38"/>
      <c r="O11" s="147">
        <f>IF(D5="XC",6100,IF(D5="XPML",6100,IF(D5="XPHL",6100,IF(D5="XPMLP",6100,IF(D5="XPMLP-01",6100,IF(D5="Xpander P",6100,IF(D5="ML",6600,IF(D5="HL",6600,IF(D5="PR",6600,IF(D5="MLP",6600,IF(D5="HLP",6600,IF(D5="PRP",6600,IF(D5="H57",5900,IF(D5="P57",5900,IF(D5="H64",5900,IF(D5="H59",5900,IF(D5="P59",5900,IF(D5="H61",5900,IF(D5="P61",5900,IF(D5="G03",6700,IF(D5="G10",6700,IF(D5="P10",6700,IF(D5="G12",6700,IF(D5="P12",6700,IF(D5="G05",6700,IF(D5="P05",6700,IF(D5="P03",6700,IF(D5="G06",6700,IF(D5="P06",6700,IF(D5="OTP06-01",6700,IF(D5="G08",6700,IF(D5="G09",6700,IF(D5="G08",6700,IF(D5="P08",6700,IF(D5="P09",6700,IF(D5="H37",6400,IF(D5="H38",6400,IF(D5="EH40",6400,IF(D5="EH43",6400,IF(D5="H48",6600,IF(D5="H43",6600,IF(D5="H40",6600,IF(D5="H42",6600,IF(D5="H44",6600,IF(D5="H45",6600,IF(D5="ASX HL 4WD",6600,IF(D5="H16",5400,IF(D5="H17",5400,IF(D5="P16",5400,IF(D5="Attrage S",5400,IF(D5="MIG09",5400,IF(D5="MIG10",5400,IF(D5="Xpander HL",6000)))))))))))))))))))))))))))))))))))))))))))))))))))))</f>
        <v>6600</v>
      </c>
      <c r="P11" s="147"/>
      <c r="Q11" s="147"/>
      <c r="R11" s="147"/>
      <c r="S11" s="147"/>
      <c r="T11" s="147"/>
      <c r="U11" s="147">
        <f>IF(D5="XC",4900,IF(D5="XPML",4900,IF(D5="XPHL",4900,IF(D5="XPMLP",4900,IF(D5="XPMLP-01",4900,IF(D5="Xpander P",4900,IF(D5="ML",5400,IF(D5="HL",5400,IF(D5="PR",5400,IF(D5="MLP",5400,IF(D5="HLP",5400,IF(D5="PRP",5400,IF(D5="H57",4600,IF(D5="P57",4600,IF(D5="MOG64",4600,IF(D5="H59",4600,IF(D5="P59",4600,IF(D5="H61",4600,IF(D5="P61",4600,IF(D5="G03",5500,IF(D5="P03",5500,IF(D5="G10",5500,IF(D5="P10",5500,IF(D5="G12",5500,IF(D5="P12",5500,IF(D5="G05",5500,IF(D5="P05",5500,IF(D5="G06",5500,IF(D5="P06",5500,IF(D5="OTP06-01",5500,IF(D5="F08",5500,IF(D5="P08",5500,IF(D5="G09",5500,IF(D5="P09",5500,IF(D5="H38",5200,IF(D5="H37",5200,IF(D5="EH40",5200,IF(D5="EH43",5200,IF(D5="H48",5300,IF(D5="H43",5300,IF(D5="H40",5300,IF(D5="H42",5300,IF(D5="H44",5300,IF(D5="H45",5300,IF(D5="ASX HL",5300,IF(D5="ASX P",5300,IF(D5="ASX HL 4WD",5300,IF(D5="H16",4200,IF(D5="H17",4200,IF(D5="P16",4200,IF(D5="Attrage S",4200,IF(D5="MIG09",4200,IF(D5="MIG10",4200,IF(D5="Xpander HL",4900))))))))))))))))))))))))))))))))))))))))))))))))))))))</f>
        <v>5400</v>
      </c>
      <c r="V11" s="147">
        <f>IF(D5="XC",9700,IF(D5="XPML",9700,IF(D5="XPHL",9700,IF(D5="XPMLP",9700,IF(D5="XPMLP-01",9700,IF(D5="XPMLP-01",9700,IF(D5="Xpander P",9700,IF(D5="ML",10800,IF(D5="HL",10800,IF(D5="PR",10800,IF(D5="MLP",10800,IF(D5="HLP",10800,IF(D5="PRP",10800,IF(D5="H57",9300,IF(D5="P57",9300,IF(D5="MG64",9300,IF(D5="H59",9300,IF(D5="P59",9300,IF(D5="H61",9300,IF(D5="P61",9300,IF(D5="G03",11000,IF(D5="G10",11000,IF(D5="P10",11000,IF(D5="G12",11000,IF(D5="P12",11000,IF(D5="G05",11000,IF(D5="P05",11000,IF(D5="P03",11000,IF(D5="G06",11000,IF(D5="P06",11000,IF(D5="OTP06-01",11000,IF(D5="G08",11000,IF(D5="P08",11000,IF(D5="G09",11000,IF(D5="P09",11000,IF(D5="H38",10400,IF(D5="H37",10400,IF(D5="EH40",10400,IF(D5="EH43",10400,IF(D5="H48",10700,IF(D5="H43",10700,IF(D5="H40",10700,IF(D5="H42",10700,IF(D5="H44",10800,IF(D5="H45",10800,IF(D5="ASX HL",12200,IF(D5="ASX P",12200,IF(D5="ASX HL 4WD",12200,IF(D5="H16",8500,IF(D5="H17",8500,IF(D5="P16",8500,IF(D5="Attrage S",9600,IF(D5="MIG09",8500,IF(D5="MIG10",8500,IF(D5="Xpander HL",11300)))))))))))))))))))))))))))))))))))))))))))))))))))))))</f>
        <v>10800</v>
      </c>
      <c r="W11" s="147">
        <f>IF(D5="XC",9200,IF(D5="XPML",9200,IF(D5="XPHL",9200,IF(D5="XPMLP",9200,IF(D5="XPMLP-01",9200,IF(D5="Xpander P",9200,IF(D5="ML",10000,IF(D5="HL",10000,IF(D5="PR",10000,IF(D5="MLP",10000,IF(D5="HLP",10000,IF(D5="PRP",10000,IF(D5="H57",8700,IF(D5="P57",8700,IF(D5="H64",8700,IF(D5="H59",8700,IF(D5="P59",8700,IF(D5="H61",8700,IF(D5="P61",8700,IF(D5="G03",10400,IF(D5="P03",10400,IF(D5="G10",10400,IF(D5="P10",10400,IF(D5="G12",10400,IF(D5="P12",10400,IF(D5="G05",10400,IF(D5="P05",10400,IF(D5="G06",10400,IF(D5="P06",10400,IF(D5="OTP06-01",10400,IF(D5="G08",10400,IF(D5="P08",10400,IF(D5="G09",10400,IF(D5="P09",10400,IF(D5="H38",9800,IF(D5="H37",9800,IF(D5="EH40",9800,IF(D5="EH43",9800,IF(D5="H48",10100,IF(D5="H43",10100,IF(D5="H40",10100,IF(D5="H42",10100,IF(D5="H44",10100,IF(D5="H45",10100,IF(D5="ASX HL",10100,IF(D5="ASX P",10100,IF(D5="ASX HL 4WD",10100,IF(D5="H16",7900,IF(D5="H17",7900,IF(D5="P16",7900,IF(D5="Attrage S",7900,IF(D5="MIG09",7900,IF(D5="MIG10",7900,IF(D5="Xpander HL",9200))))))))))))))))))))))))))))))))))))))))))))))))))))))</f>
        <v>10000</v>
      </c>
      <c r="X11" s="147">
        <f>IF(D5="XC",4500,IF(D5="XPML",4500,IF(D5="XPHL",4500,IF(D5="XPMLP",4500,IF(D5="XPMLP-01",4500,IF(D5="Xpander P",4500,IF(D5="ML",5000,IF(D5="HL",5000,IF(D5="PR",5000,IF(D5="MLP",5000,IF(D5="HLP",5000,IF(D5="PRP",5000,IF(D5="H57",8700,IF(D5="P57",8700,IF(D5="MOG64",4300,IF(D5="H59",4300,IF(D5="P59",4300,IF(D5="H61",4300,IF(D5="P61",4300,IF(D5="G03",5000,IF(D5="P03",5000,IF(D5="G10",5000,IF(D5="P10",5000,IF(D5="G12",5000,IF(D5="P12",5000,IF(D5="G05",5000,IF(D5="P05",5000,IF(D5="G06",5000,IF(D5="P06",5000,IF(D5="OTP06-01",5000,IF(D5="G08",5000,IF(D5="P08",5000,IF(D5="G09",5000,IF(D5="P09",5000,IF(D5="H38",4900,IF(D5="H37",4900,IF(D5="EH40",4900,IF(D5="EH43",4900,IF(D5="H48",4900,IF(D5="H43",4900,IF(D5="H40",4900,IF(D5="H42",4900,IF(D5="H44",4900,IF(D5="H45",4900,IF(D5="ASX HL",4900,IF(D5="ASX P",4900,IF(D5="ASX HL 4WD",4900,IF(D5="H16",3700,IF(D5="H17",3700,IF(D5="P16",3700,IF(D5="Attrage S",3700,IF(D5="MIG09",3700,IF(D5="MIG10",3700,IF(D5="Xpander HL",4500))))))))))))))))))))))))))))))))))))))))))))))))))))))</f>
        <v>5000</v>
      </c>
      <c r="Y11" s="147">
        <f>IF(D5="XC",5400,IF(D5="XPML ",5400,IF(D5="XPHL",5400,IF(D5="XPMLP",5400,IF(D5="XPMLP-01",5400,IF(D5="Xpander P",5400,IF(D5="ML",6000,IF(D5="HL",6000,IF(D5="PR",6000,IF(D5="MLP",6000,IF(D5="HLP",6000,IF(D5="PRP",6000,IF(D5="H57",5200,IF(D5="57",5200,IF(D5="H64",5200,IF(D5="H59",5200,IF(D5="P59",5200,IF(D5="H61",5200,IF(D5="P61",5200,IF(D5="G03",6000,IF(D5="P03",6000,IF(D5="G10",6000,IF(D5="P10",6000,IF(D5="G12",6000,IF(D5="P12",6000,IF(D5="G05",6000,IF(D5="P05",6000,IF(D5="G06",6000,IF(D5="P06",6000,IF(D5="OTP06-01",6000,IF(D5="G08",6000,IF(D5="P08",6000,IF(D5="G09",6000,IF(D5="P09",6000,IF(D5="H38",5700,IF(D5="H37",5700,IF(D5="EH40",5700,IF(D5="EH43",5700,IF(D5="H48",5900,IF(D5="H43",5900,IF(D5="H40",5900,IF(D5="H42",5900,IF(D5="H44",5900,IF(D5="H45",5900,IF(D5="ASX HL",5900,IF(D5="ASX P",5900,IF(D5="ASX HL 4WD",5900,IF(D5="H16",4500,IF(D5="H17",4500,IF(D5="P16",4500,IF(D5="Attrage S",4500,IF(D5="MIG09",4500,IF(D5="MIG10",4500,IF(D5="Xpander HL",5400))))))))))))))))))))))))))))))))))))))))))))))))))))))</f>
        <v>6000</v>
      </c>
    </row>
    <row r="12" spans="1:27" ht="24.6" x14ac:dyDescent="0.4">
      <c r="A12" s="8"/>
      <c r="B12" s="37" t="s">
        <v>20</v>
      </c>
      <c r="C12" s="20" t="s">
        <v>17</v>
      </c>
      <c r="D12" s="36">
        <f>IF(C12="YES",2000,IF(C12="NO",0))</f>
        <v>0</v>
      </c>
      <c r="E12" s="43"/>
      <c r="F12" s="43" t="s">
        <v>21</v>
      </c>
      <c r="G12" s="40"/>
      <c r="H12" s="33">
        <v>600</v>
      </c>
      <c r="I12" s="33"/>
      <c r="J12" s="202" t="s">
        <v>140</v>
      </c>
      <c r="K12" s="45">
        <v>0</v>
      </c>
      <c r="L12" s="45">
        <v>5.2499999999999998E-2</v>
      </c>
      <c r="M12" s="45">
        <v>0.126</v>
      </c>
      <c r="N12" s="201">
        <v>0.26250000000000001</v>
      </c>
      <c r="O12" s="147">
        <f>IF(K20="Esaad",B8*3/100,IF(K20="Emirates Platinum",B8*3/100,IF(K20="Fazaa",B8*3/100,IF(K20="Humat Alwatan",B8*3/100,IF(K20="Permissible",2000,IF(K20="ASX",8400,IF(K20="XPMLP",15100,IF(K20="XP",7200,IF(K20="G43",11000,IF(K20="EC",17000,IF(K20="G37",17000,IF(K20="G38",15000,IF(K20="G40",11000,IF(K20="OUT",3000,IF(K20="F08",14400,IF(K20="P08",11100,IF(K20="F06",13100,IF(K20="P06",13400,IF(K20="F03",3500,IF(K20="F03-1",13500,IF(K20="P03",13100,IF(K20="MON",10000,IF(K20="MON G57",9000,0)))))))))))))))))))))))</f>
        <v>2000</v>
      </c>
      <c r="Z12" s="86" t="s">
        <v>83</v>
      </c>
      <c r="AA12" s="86" t="s">
        <v>84</v>
      </c>
    </row>
    <row r="13" spans="1:27" ht="24.6" x14ac:dyDescent="0.4">
      <c r="A13" s="8">
        <f>B8*1.26582</f>
        <v>116328.85799999999</v>
      </c>
      <c r="B13" s="37" t="s">
        <v>23</v>
      </c>
      <c r="C13" s="20" t="s">
        <v>19</v>
      </c>
      <c r="D13" s="36">
        <f>IF(C13="YES",2000,IF(C13="NO",0))</f>
        <v>2000</v>
      </c>
      <c r="E13" s="47"/>
      <c r="F13" s="47" t="s">
        <v>75</v>
      </c>
      <c r="G13" s="51"/>
      <c r="H13" s="39">
        <v>315</v>
      </c>
      <c r="I13" s="33"/>
      <c r="J13" s="44" t="s">
        <v>54</v>
      </c>
      <c r="K13" s="29" t="s">
        <v>79</v>
      </c>
      <c r="L13" s="29" t="s">
        <v>25</v>
      </c>
      <c r="M13" s="29" t="s">
        <v>0</v>
      </c>
      <c r="N13" s="57" t="s">
        <v>26</v>
      </c>
      <c r="O13" s="9">
        <f>IF(M21="3000-4999",6%,IF(M21="5000-9999",4.75%,IF(M21="10000-14999",3.15%,IF(M21="15000-24999",2.5%,IF(M21="25000-34999",2.25%,IF(M21="35000-99999",2.15%))))))</f>
        <v>4.7500000000000001E-2</v>
      </c>
      <c r="Q13" s="2">
        <f>H7/12</f>
        <v>1931.5474500000003</v>
      </c>
      <c r="U13" s="9">
        <f>IF(M21="3000-4999",6%,IF(M21="5000-9999",3.25%,IF(M21="10000-14999",3%,IF(M21="15000-24999",2.25%,IF(M21="25000-34999",2.15%,IF(M21="35000-99999",1.99%))))))</f>
        <v>3.2500000000000001E-2</v>
      </c>
      <c r="Z13" s="99">
        <f>IF(M21="5000-9999",2.49%,IF(M21="10000-19999",2.19%,IF(M21="20000-34999",2.09%,IF(M21="35000-49999",1.89%,IF(M21="50000-99999",1.79%)))))</f>
        <v>2.4900000000000002E-2</v>
      </c>
      <c r="AA13" s="99">
        <f>IF(M21="5000-9999",2.59%,IF(M21="10000-19999",2.29%,IF(M21="20000-34999",2.19%,IF(M21="35000-49999",1.99%,IF(M21="50000-99999",1.89%)))))</f>
        <v>2.5899999999999999E-2</v>
      </c>
    </row>
    <row r="14" spans="1:27" ht="24.6" x14ac:dyDescent="0.4">
      <c r="A14" s="10" t="s">
        <v>27</v>
      </c>
      <c r="B14" s="37" t="s">
        <v>24</v>
      </c>
      <c r="C14" s="20" t="s">
        <v>19</v>
      </c>
      <c r="D14" s="50">
        <f>IF(C14="YES",U19*3.15*1.05/100,IF(C14="NO",U19*0/100))</f>
        <v>3584.0070000000001</v>
      </c>
      <c r="E14" s="48"/>
      <c r="F14" s="48" t="s">
        <v>24</v>
      </c>
      <c r="G14" s="51" t="s">
        <v>17</v>
      </c>
      <c r="H14" s="39">
        <f>IF(G14="YES",U19*3.15*1.05/100,IF(G14="NO",U19*0/100))</f>
        <v>0</v>
      </c>
      <c r="I14" s="33"/>
      <c r="J14" s="44" t="s">
        <v>55</v>
      </c>
      <c r="K14" s="44">
        <f>(H8*K12+H8)/3</f>
        <v>7726.189800000001</v>
      </c>
      <c r="L14" s="44">
        <f>(H8*L12+H8)/12</f>
        <v>2032.9536911250004</v>
      </c>
      <c r="M14" s="44">
        <f>(H8*M12+H8)/24</f>
        <v>1087.4612143500001</v>
      </c>
      <c r="N14" s="200">
        <f>(H7*N12+H7)/60</f>
        <v>487.7157311250001</v>
      </c>
      <c r="O14" s="9">
        <f>IF(M21="3000-4999",3.89%,IF(M21="5000-9999",3.89%,IF(M21="10000-14999",3.89%,IF(M21="15000-24999",2.69%,IF(M21="25000-34999",2.69%,IF(M21="35000-99999",2.39%,IF(M21="76000-99999",2.5%)))))))</f>
        <v>3.8900000000000004E-2</v>
      </c>
    </row>
    <row r="15" spans="1:27" ht="24.6" x14ac:dyDescent="0.4">
      <c r="A15" s="11">
        <f>(B7*3%)+10+120</f>
        <v>2887</v>
      </c>
      <c r="B15" s="37" t="s">
        <v>28</v>
      </c>
      <c r="C15" s="20" t="s">
        <v>19</v>
      </c>
      <c r="D15" s="29">
        <f>IF(C15="YES",O10,IF(C15="NO",0))</f>
        <v>3948.84</v>
      </c>
      <c r="E15" s="48"/>
      <c r="F15" s="48" t="s">
        <v>53</v>
      </c>
      <c r="G15" s="51" t="s">
        <v>17</v>
      </c>
      <c r="H15" s="39">
        <f>IF(G15="YES",O10,IF(G15="NO",0))</f>
        <v>0</v>
      </c>
      <c r="I15" s="33"/>
      <c r="J15" s="44"/>
      <c r="K15" s="44"/>
      <c r="L15" s="44"/>
      <c r="M15" s="44"/>
      <c r="N15" s="198"/>
      <c r="O15" s="9" t="b">
        <f>IF(M21="3000-4999",4.99%, IF(M21="5000-11999",2.75%,IF(M21="12000-19999",2.75%,IF(M21="20000-39999",2.25%,IF(M21="40000-69999",2.25%,IF(M21="70000-99999",2.25%))))))</f>
        <v>0</v>
      </c>
      <c r="P15" s="191"/>
    </row>
    <row r="16" spans="1:27" ht="24.6" x14ac:dyDescent="0.4">
      <c r="A16" s="11">
        <f>((B7-B8)*3%+10+120)</f>
        <v>130</v>
      </c>
      <c r="B16" s="37" t="s">
        <v>78</v>
      </c>
      <c r="C16" s="20" t="s">
        <v>19</v>
      </c>
      <c r="D16" s="29">
        <f>IF(C16="YES",O16,IF(C16="NO",0))</f>
        <v>6600</v>
      </c>
      <c r="E16" s="47"/>
      <c r="F16" s="47" t="s">
        <v>74</v>
      </c>
      <c r="G16" s="54"/>
      <c r="H16" s="33">
        <f>I7*1.05%</f>
        <v>973.49991480000006</v>
      </c>
      <c r="I16" s="33"/>
      <c r="J16" s="44" t="s">
        <v>16</v>
      </c>
      <c r="K16" s="44">
        <f>(K14*3)-H8</f>
        <v>0</v>
      </c>
      <c r="L16" s="44">
        <f>(L14*12)-H8</f>
        <v>1216.8748935000003</v>
      </c>
      <c r="M16" s="44">
        <f>(M14*24)-H8</f>
        <v>2920.4997444000001</v>
      </c>
      <c r="N16" s="198"/>
      <c r="O16" s="147">
        <f>IF(B16="RMC-10-70KMS",O11,IF(B16="RMC-10-100000KMS",V11,IF(B16="RMC-40-70KMS",U11, IF(B16="RMC-10-40KMS",X11, IF(B16="RMC-10-60KMS",Y11, IF(B16="RMC-40-100000KMS",W11,0))))))</f>
        <v>6600</v>
      </c>
    </row>
    <row r="17" spans="1:23" ht="24.6" x14ac:dyDescent="0.4">
      <c r="A17" s="11">
        <f>A15+A16</f>
        <v>3017</v>
      </c>
      <c r="B17" s="37"/>
      <c r="C17" s="20"/>
      <c r="D17" s="29">
        <f>SUM(D10:D16)</f>
        <v>18832.847000000002</v>
      </c>
      <c r="E17" s="48"/>
      <c r="F17" s="48"/>
      <c r="G17" s="54"/>
      <c r="H17" s="33">
        <f>+SUM(H12:H16)+(H7)</f>
        <v>25067.069314800003</v>
      </c>
      <c r="I17" s="33"/>
      <c r="J17" s="20"/>
      <c r="K17" s="199"/>
      <c r="L17" s="199"/>
      <c r="M17" s="199"/>
      <c r="N17" s="198"/>
      <c r="O17" s="147">
        <f>IF(B11="FO Ceramic+ Intr&amp;Extr CeramicGold WdwTnt",2700,IF(B11="FO Mirror Camera Sensor",2000))</f>
        <v>2700</v>
      </c>
      <c r="T17" s="1">
        <f>19615-791</f>
        <v>18824</v>
      </c>
    </row>
    <row r="18" spans="1:23" ht="24.6" x14ac:dyDescent="0.4">
      <c r="A18" s="12" t="s">
        <v>29</v>
      </c>
      <c r="B18" s="55" t="s">
        <v>30</v>
      </c>
      <c r="C18" s="197"/>
      <c r="D18" s="57">
        <v>0</v>
      </c>
      <c r="E18" s="38"/>
      <c r="F18" s="20"/>
      <c r="G18" s="20"/>
      <c r="H18" s="37"/>
      <c r="I18" s="37"/>
      <c r="J18" s="37"/>
      <c r="K18" s="37"/>
      <c r="L18" s="37"/>
      <c r="M18" s="37"/>
      <c r="N18" s="37"/>
      <c r="O18" s="9" t="b">
        <f>IF(M21="5000-99999",1.99%)</f>
        <v>0</v>
      </c>
      <c r="U18" s="196" t="s">
        <v>52</v>
      </c>
      <c r="V18" s="196" t="s">
        <v>52</v>
      </c>
    </row>
    <row r="19" spans="1:23" ht="24.6" x14ac:dyDescent="0.4">
      <c r="A19" s="11">
        <f>B8*3.15%</f>
        <v>2894.85</v>
      </c>
      <c r="B19" s="58" t="s">
        <v>31</v>
      </c>
      <c r="C19" s="59"/>
      <c r="D19" s="60">
        <f>IF(K21="DIB EXPAT",O13,IF(K21="DIB LOCAL GVH",U13,IF(K21="Emirates NBD",O14,IF(K21="ADCB",O15,IF(K21="ADCB PAY IN 2027",O19,IF(K21="Ajman Bank",O18,IF(K21="SIB STL",Z13,IF(K21="SIB NON STL",AA13,))))))))</f>
        <v>3.8900000000000004E-2</v>
      </c>
      <c r="E19" s="20"/>
      <c r="F19" s="195"/>
      <c r="G19" s="141" t="s">
        <v>73</v>
      </c>
      <c r="H19" s="142"/>
      <c r="I19" s="143"/>
      <c r="J19" s="109">
        <f>(U19*20/100)/365</f>
        <v>59.375342465753427</v>
      </c>
      <c r="K19" s="37"/>
      <c r="L19" s="37"/>
      <c r="M19" s="37"/>
      <c r="N19" s="34">
        <f>D7</f>
        <v>96495</v>
      </c>
      <c r="O19" s="194" t="b">
        <f>IF(M21="5000-11999",3.35%,IF(M21="12000-19999",3.35%,IF(M21="20000-39999",2.85%,IF(M21="40000-69999",2.85%,IF(M21="70000-99999",2.85%)))))</f>
        <v>0</v>
      </c>
      <c r="P19" s="2">
        <f>81400-2500</f>
        <v>78900</v>
      </c>
      <c r="U19" s="193">
        <f>V19</f>
        <v>108360</v>
      </c>
      <c r="V19" s="192">
        <f>(B7+D10+D11+D12+D13+D16)*1.05</f>
        <v>108360</v>
      </c>
    </row>
    <row r="20" spans="1:23" ht="24.6" x14ac:dyDescent="0.4">
      <c r="A20" s="11"/>
      <c r="B20" s="58" t="s">
        <v>32</v>
      </c>
      <c r="C20" s="59"/>
      <c r="D20" s="63">
        <v>0.2</v>
      </c>
      <c r="E20" s="37"/>
      <c r="F20" s="37"/>
      <c r="G20" s="38"/>
      <c r="H20" s="38"/>
      <c r="I20" s="38"/>
      <c r="J20" s="103"/>
      <c r="K20" s="104" t="s">
        <v>33</v>
      </c>
      <c r="L20" s="104" t="s">
        <v>17</v>
      </c>
      <c r="M20" s="104">
        <f>IF(L20="YES",O12,IF(L20="NO",0))</f>
        <v>0</v>
      </c>
      <c r="N20" s="34">
        <f>B8-M20</f>
        <v>91900</v>
      </c>
      <c r="O20" s="187"/>
      <c r="P20" s="191"/>
      <c r="T20" s="1">
        <f>1992+1084</f>
        <v>3076</v>
      </c>
      <c r="U20" s="186"/>
      <c r="V20" s="2"/>
    </row>
    <row r="21" spans="1:23" ht="24.6" x14ac:dyDescent="0.4">
      <c r="A21" s="13">
        <f>A19+A20</f>
        <v>2894.85</v>
      </c>
      <c r="B21" s="37"/>
      <c r="C21" s="20"/>
      <c r="D21" s="37"/>
      <c r="E21" s="37"/>
      <c r="F21" s="37"/>
      <c r="G21" s="37"/>
      <c r="H21" s="37"/>
      <c r="I21" s="37"/>
      <c r="J21" s="190" t="s">
        <v>34</v>
      </c>
      <c r="K21" s="16" t="s">
        <v>139</v>
      </c>
      <c r="L21" s="16" t="s">
        <v>35</v>
      </c>
      <c r="M21" s="189" t="s">
        <v>80</v>
      </c>
      <c r="N21" s="188"/>
      <c r="O21" s="187"/>
      <c r="T21" s="1">
        <f>25973-12973</f>
        <v>13000</v>
      </c>
      <c r="U21" s="186">
        <f>M14+N7</f>
        <v>2933.2479575699999</v>
      </c>
    </row>
    <row r="22" spans="1:23" s="179" customFormat="1" ht="24.6" x14ac:dyDescent="0.4">
      <c r="A22" s="185"/>
      <c r="B22" s="184" t="s">
        <v>51</v>
      </c>
      <c r="C22" s="183"/>
      <c r="D22" s="183"/>
      <c r="E22" s="183"/>
      <c r="F22" s="183"/>
      <c r="G22" s="183"/>
      <c r="H22" s="183"/>
      <c r="I22" s="183"/>
      <c r="J22" s="183"/>
      <c r="K22" s="183"/>
      <c r="L22" s="183"/>
      <c r="M22" s="183"/>
      <c r="N22" s="182"/>
      <c r="O22" s="181"/>
      <c r="P22" s="180"/>
    </row>
    <row r="23" spans="1:23" s="168" customFormat="1" ht="26.4" x14ac:dyDescent="0.5">
      <c r="A23" s="175" t="s">
        <v>36</v>
      </c>
      <c r="B23" s="172" t="s">
        <v>138</v>
      </c>
      <c r="C23" s="169"/>
      <c r="D23" s="169"/>
      <c r="E23" s="169"/>
      <c r="F23" s="169"/>
      <c r="G23" s="169"/>
      <c r="H23" s="176"/>
      <c r="I23" s="176"/>
      <c r="J23" s="169"/>
      <c r="K23" s="169"/>
      <c r="L23" s="169"/>
      <c r="M23" s="169"/>
      <c r="N23" s="178"/>
      <c r="O23" s="170"/>
      <c r="P23" s="169"/>
    </row>
    <row r="24" spans="1:23" s="168" customFormat="1" ht="26.4" x14ac:dyDescent="0.5">
      <c r="A24" s="175" t="s">
        <v>36</v>
      </c>
      <c r="B24" s="172" t="s">
        <v>137</v>
      </c>
      <c r="C24" s="169"/>
      <c r="D24" s="169"/>
      <c r="E24" s="169"/>
      <c r="F24" s="169"/>
      <c r="G24" s="169"/>
      <c r="H24" s="177">
        <f>H7/365</f>
        <v>63.502929863013712</v>
      </c>
      <c r="I24" s="177">
        <f>H7+H12+H16</f>
        <v>24752.069314800003</v>
      </c>
      <c r="J24" s="169"/>
      <c r="K24" s="169"/>
      <c r="L24" s="169"/>
      <c r="M24" s="169"/>
      <c r="N24" s="173"/>
      <c r="O24" s="170"/>
      <c r="P24" s="169">
        <f>1232+480</f>
        <v>1712</v>
      </c>
      <c r="T24" s="168">
        <f>88704/1.05</f>
        <v>84480</v>
      </c>
    </row>
    <row r="25" spans="1:23" s="168" customFormat="1" ht="26.4" x14ac:dyDescent="0.5">
      <c r="A25" s="175" t="s">
        <v>36</v>
      </c>
      <c r="B25" s="172" t="s">
        <v>136</v>
      </c>
      <c r="C25" s="169"/>
      <c r="D25" s="169"/>
      <c r="E25" s="169"/>
      <c r="F25" s="169"/>
      <c r="G25" s="169"/>
      <c r="H25" s="176"/>
      <c r="I25" s="176"/>
      <c r="J25" s="169"/>
      <c r="K25" s="169"/>
      <c r="L25" s="169"/>
      <c r="M25" s="169"/>
      <c r="N25" s="173"/>
      <c r="O25" s="170"/>
      <c r="P25" s="169"/>
      <c r="Q25" s="168">
        <f>79400-5233.33</f>
        <v>74166.67</v>
      </c>
      <c r="R25" s="168">
        <f>Q25*1.05</f>
        <v>77875.003500000006</v>
      </c>
      <c r="W25" s="168">
        <f>1999+1224</f>
        <v>3223</v>
      </c>
    </row>
    <row r="26" spans="1:23" s="168" customFormat="1" ht="26.4" x14ac:dyDescent="0.5">
      <c r="A26" s="175" t="s">
        <v>36</v>
      </c>
      <c r="B26" s="172" t="s">
        <v>135</v>
      </c>
      <c r="C26" s="169"/>
      <c r="D26" s="169"/>
      <c r="E26" s="169"/>
      <c r="F26" s="169"/>
      <c r="G26" s="169"/>
      <c r="H26" s="169"/>
      <c r="I26" s="169"/>
      <c r="J26" s="169"/>
      <c r="K26" s="169"/>
      <c r="L26" s="169"/>
      <c r="M26" s="169"/>
      <c r="N26" s="173"/>
      <c r="O26" s="170" t="s">
        <v>37</v>
      </c>
      <c r="P26" s="169"/>
      <c r="R26" s="168">
        <f>R25+2469</f>
        <v>80344.003500000006</v>
      </c>
    </row>
    <row r="27" spans="1:23" s="168" customFormat="1" ht="26.4" x14ac:dyDescent="0.5">
      <c r="A27" s="175" t="s">
        <v>36</v>
      </c>
      <c r="B27" s="172" t="s">
        <v>134</v>
      </c>
      <c r="C27" s="169"/>
      <c r="D27" s="169"/>
      <c r="E27" s="169"/>
      <c r="F27" s="169"/>
      <c r="G27" s="169"/>
      <c r="H27" s="169"/>
      <c r="I27" s="169"/>
      <c r="J27" s="169"/>
      <c r="K27" s="169"/>
      <c r="L27" s="169"/>
      <c r="M27" s="169"/>
      <c r="N27" s="173"/>
      <c r="O27" s="170">
        <f>129500-110900</f>
        <v>18600</v>
      </c>
      <c r="P27" s="169"/>
      <c r="W27" s="174">
        <f>N7+L14</f>
        <v>3878.7404343450007</v>
      </c>
    </row>
    <row r="28" spans="1:23" s="168" customFormat="1" ht="26.4" x14ac:dyDescent="0.5">
      <c r="B28" s="172" t="s">
        <v>133</v>
      </c>
      <c r="C28" s="169"/>
      <c r="D28" s="169"/>
      <c r="E28" s="169"/>
      <c r="F28" s="169"/>
      <c r="G28" s="169"/>
      <c r="H28" s="169"/>
      <c r="I28" s="169"/>
      <c r="J28" s="169"/>
      <c r="K28" s="169"/>
      <c r="L28" s="169"/>
      <c r="M28" s="169"/>
      <c r="N28" s="173"/>
      <c r="O28" s="170">
        <f>85000-69900</f>
        <v>15100</v>
      </c>
      <c r="P28" s="169"/>
    </row>
    <row r="29" spans="1:23" s="168" customFormat="1" ht="26.4" x14ac:dyDescent="0.5">
      <c r="B29" s="172" t="s">
        <v>132</v>
      </c>
      <c r="C29" s="169"/>
      <c r="D29" s="169"/>
      <c r="E29" s="169"/>
      <c r="F29" s="169"/>
      <c r="G29" s="169"/>
      <c r="H29" s="169"/>
      <c r="I29" s="169"/>
      <c r="J29" s="169"/>
      <c r="K29" s="169"/>
      <c r="L29" s="169"/>
      <c r="M29" s="169"/>
      <c r="N29" s="171"/>
      <c r="O29" s="170"/>
      <c r="P29" s="169"/>
    </row>
    <row r="30" spans="1:23" x14ac:dyDescent="0.3">
      <c r="B30" s="167" t="s">
        <v>38</v>
      </c>
      <c r="C30" s="166"/>
      <c r="D30" s="166"/>
      <c r="E30" s="166"/>
      <c r="F30" s="166"/>
      <c r="G30" s="166"/>
      <c r="H30" s="166"/>
      <c r="I30" s="166"/>
      <c r="J30" s="166"/>
      <c r="K30" s="166"/>
      <c r="L30" s="166"/>
      <c r="M30" s="166"/>
      <c r="N30" s="165"/>
      <c r="O30" s="147"/>
    </row>
    <row r="31" spans="1:23" x14ac:dyDescent="0.3">
      <c r="B31" s="146"/>
      <c r="C31" s="145"/>
      <c r="D31" s="145"/>
      <c r="E31" s="145"/>
      <c r="F31" s="145"/>
      <c r="G31" s="145"/>
      <c r="H31" s="145"/>
      <c r="I31" s="145"/>
      <c r="J31" s="145"/>
      <c r="K31" s="145"/>
      <c r="L31" s="145"/>
      <c r="M31" s="145"/>
      <c r="N31" s="144"/>
      <c r="O31" s="147"/>
    </row>
    <row r="32" spans="1:23" s="86" customFormat="1" ht="20.399999999999999" x14ac:dyDescent="0.35">
      <c r="B32" s="118" t="s">
        <v>39</v>
      </c>
      <c r="C32" s="119"/>
      <c r="D32" s="119"/>
      <c r="E32" s="119"/>
      <c r="F32" s="119"/>
      <c r="G32" s="119"/>
      <c r="H32" s="119"/>
      <c r="I32" s="119"/>
      <c r="J32" s="119"/>
      <c r="K32" s="119"/>
      <c r="L32" s="119"/>
      <c r="M32" s="119"/>
      <c r="N32" s="120"/>
      <c r="O32" s="92"/>
      <c r="P32" s="83"/>
    </row>
    <row r="33" spans="2:16" s="86" customFormat="1" ht="20.399999999999999" x14ac:dyDescent="0.35">
      <c r="B33" s="118" t="s">
        <v>40</v>
      </c>
      <c r="C33" s="119"/>
      <c r="D33" s="119"/>
      <c r="E33" s="119"/>
      <c r="F33" s="119"/>
      <c r="G33" s="119"/>
      <c r="H33" s="119"/>
      <c r="I33" s="119"/>
      <c r="J33" s="119"/>
      <c r="K33" s="119"/>
      <c r="L33" s="119"/>
      <c r="M33" s="119"/>
      <c r="N33" s="120"/>
      <c r="O33" s="92"/>
      <c r="P33" s="83"/>
    </row>
    <row r="34" spans="2:16" s="86" customFormat="1" ht="20.399999999999999" x14ac:dyDescent="0.35">
      <c r="B34" s="107" t="s">
        <v>131</v>
      </c>
      <c r="C34" s="108"/>
      <c r="D34" s="108"/>
      <c r="E34" s="108"/>
      <c r="F34" s="108"/>
      <c r="G34" s="164" t="s">
        <v>130</v>
      </c>
      <c r="H34" s="164"/>
      <c r="I34" s="163"/>
      <c r="J34" s="163"/>
      <c r="K34" s="163"/>
      <c r="L34" s="163"/>
      <c r="M34" s="162" t="s">
        <v>129</v>
      </c>
      <c r="N34" s="161"/>
      <c r="O34" s="83"/>
      <c r="P34" s="83"/>
    </row>
    <row r="35" spans="2:16" x14ac:dyDescent="0.3">
      <c r="B35" s="160"/>
      <c r="C35" s="159"/>
      <c r="D35" s="159"/>
      <c r="E35" s="159"/>
      <c r="F35" s="159"/>
      <c r="G35" s="159"/>
      <c r="H35" s="159"/>
      <c r="I35" s="159"/>
      <c r="J35" s="159"/>
      <c r="K35" s="159"/>
      <c r="L35" s="159"/>
      <c r="M35" s="159"/>
      <c r="N35" s="158"/>
    </row>
    <row r="36" spans="2:16" x14ac:dyDescent="0.3">
      <c r="B36" s="160"/>
      <c r="C36" s="159"/>
      <c r="D36" s="159"/>
      <c r="E36" s="159"/>
      <c r="F36" s="159"/>
      <c r="G36" s="159"/>
      <c r="H36" s="159"/>
      <c r="I36" s="159"/>
      <c r="J36" s="159"/>
      <c r="K36" s="159"/>
      <c r="L36" s="159"/>
      <c r="M36" s="159"/>
      <c r="N36" s="158"/>
    </row>
    <row r="37" spans="2:16" x14ac:dyDescent="0.3">
      <c r="B37" s="160"/>
      <c r="C37" s="159"/>
      <c r="D37" s="159"/>
      <c r="E37" s="159"/>
      <c r="F37" s="159"/>
      <c r="G37" s="159"/>
      <c r="H37" s="159"/>
      <c r="I37" s="159"/>
      <c r="J37" s="159"/>
      <c r="K37" s="159"/>
      <c r="L37" s="159"/>
      <c r="M37" s="159"/>
      <c r="N37" s="158"/>
    </row>
    <row r="38" spans="2:16" ht="16.8" x14ac:dyDescent="0.3">
      <c r="B38" s="149" t="s">
        <v>128</v>
      </c>
      <c r="C38" s="157"/>
      <c r="D38" s="154"/>
      <c r="E38" s="151"/>
      <c r="F38" s="151"/>
      <c r="G38" s="151"/>
      <c r="H38" s="151"/>
      <c r="I38" s="151"/>
      <c r="J38" s="152"/>
      <c r="K38" s="151"/>
      <c r="L38" s="151"/>
      <c r="M38" s="151"/>
      <c r="N38" s="156"/>
    </row>
    <row r="39" spans="2:16" ht="16.8" x14ac:dyDescent="0.3">
      <c r="B39" s="149" t="s">
        <v>127</v>
      </c>
      <c r="C39" s="155"/>
      <c r="D39" s="154"/>
      <c r="E39" s="151"/>
      <c r="F39" s="151"/>
      <c r="G39" s="151"/>
      <c r="H39" s="151"/>
      <c r="I39" s="151"/>
      <c r="J39" s="152"/>
      <c r="K39" s="151"/>
      <c r="L39" s="151"/>
      <c r="M39" s="151"/>
      <c r="N39" s="150"/>
    </row>
    <row r="40" spans="2:16" ht="16.8" x14ac:dyDescent="0.3">
      <c r="B40" s="149" t="s">
        <v>126</v>
      </c>
      <c r="C40" s="153"/>
      <c r="D40" s="151"/>
      <c r="E40" s="151"/>
      <c r="F40" s="151"/>
      <c r="G40" s="151"/>
      <c r="H40" s="151"/>
      <c r="I40" s="151"/>
      <c r="J40" s="152"/>
      <c r="K40" s="151"/>
      <c r="L40" s="151"/>
      <c r="M40" s="151"/>
      <c r="N40" s="150"/>
    </row>
    <row r="41" spans="2:16" ht="16.8" x14ac:dyDescent="0.3">
      <c r="B41" s="149" t="s">
        <v>125</v>
      </c>
      <c r="N41" s="148"/>
    </row>
    <row r="42" spans="2:16" ht="16.8" x14ac:dyDescent="0.3">
      <c r="B42" s="149" t="s">
        <v>124</v>
      </c>
      <c r="N42" s="148"/>
    </row>
    <row r="43" spans="2:16" ht="16.8" x14ac:dyDescent="0.3">
      <c r="B43" s="149" t="s">
        <v>123</v>
      </c>
      <c r="N43" s="148"/>
    </row>
    <row r="44" spans="2:16" ht="16.8" x14ac:dyDescent="0.3">
      <c r="B44" s="149" t="s">
        <v>122</v>
      </c>
      <c r="N44" s="148"/>
    </row>
    <row r="45" spans="2:16" ht="16.8" x14ac:dyDescent="0.3">
      <c r="B45" s="149" t="s">
        <v>121</v>
      </c>
      <c r="N45" s="148"/>
    </row>
    <row r="46" spans="2:16" ht="16.8" x14ac:dyDescent="0.3">
      <c r="B46" s="149" t="s">
        <v>120</v>
      </c>
      <c r="N46" s="148"/>
    </row>
    <row r="47" spans="2:16" x14ac:dyDescent="0.3">
      <c r="B47" s="146" t="s">
        <v>39</v>
      </c>
      <c r="C47" s="145"/>
      <c r="D47" s="145"/>
      <c r="E47" s="145"/>
      <c r="F47" s="145"/>
      <c r="G47" s="145"/>
      <c r="H47" s="145"/>
      <c r="I47" s="145"/>
      <c r="J47" s="145"/>
      <c r="K47" s="145"/>
      <c r="L47" s="145"/>
      <c r="M47" s="145"/>
      <c r="N47" s="144"/>
      <c r="O47" s="147"/>
    </row>
    <row r="48" spans="2:16" x14ac:dyDescent="0.3">
      <c r="B48" s="146" t="s">
        <v>40</v>
      </c>
      <c r="C48" s="145"/>
      <c r="D48" s="145"/>
      <c r="E48" s="145"/>
      <c r="F48" s="145"/>
      <c r="G48" s="145"/>
      <c r="H48" s="145"/>
      <c r="I48" s="145"/>
      <c r="J48" s="145"/>
      <c r="K48" s="145"/>
      <c r="L48" s="145"/>
      <c r="M48" s="145"/>
      <c r="N48" s="144"/>
      <c r="O48" s="147"/>
    </row>
    <row r="49" spans="2:14" x14ac:dyDescent="0.3">
      <c r="B49" s="146" t="s">
        <v>119</v>
      </c>
      <c r="C49" s="145"/>
      <c r="D49" s="145"/>
      <c r="E49" s="145"/>
      <c r="F49" s="145"/>
      <c r="G49" s="145"/>
      <c r="H49" s="145"/>
      <c r="I49" s="145"/>
      <c r="J49" s="145"/>
      <c r="K49" s="145"/>
      <c r="L49" s="145"/>
      <c r="M49" s="145"/>
      <c r="N49" s="144"/>
    </row>
    <row r="50" spans="2:14" ht="25.8" x14ac:dyDescent="0.3">
      <c r="C50" s="15" t="s">
        <v>41</v>
      </c>
    </row>
    <row r="51" spans="2:14" ht="25.8" x14ac:dyDescent="0.3">
      <c r="C51" s="15" t="s">
        <v>42</v>
      </c>
    </row>
    <row r="52" spans="2:14" ht="25.8" x14ac:dyDescent="0.3">
      <c r="C52" s="15" t="s">
        <v>43</v>
      </c>
    </row>
    <row r="53" spans="2:14" ht="25.8" x14ac:dyDescent="0.3">
      <c r="C53" s="15" t="s">
        <v>44</v>
      </c>
    </row>
    <row r="54" spans="2:14" ht="25.8" x14ac:dyDescent="0.3">
      <c r="C54" s="15" t="s">
        <v>45</v>
      </c>
    </row>
  </sheetData>
  <dataConsolidate/>
  <mergeCells count="11">
    <mergeCell ref="F8:G8"/>
    <mergeCell ref="F9:G9"/>
    <mergeCell ref="G19:I19"/>
    <mergeCell ref="B22:N22"/>
    <mergeCell ref="B30:N30"/>
    <mergeCell ref="B32:N32"/>
    <mergeCell ref="B33:N33"/>
    <mergeCell ref="B47:N47"/>
    <mergeCell ref="B48:N48"/>
    <mergeCell ref="B49:N49"/>
    <mergeCell ref="B31:N31"/>
  </mergeCells>
  <dataValidations count="11">
    <dataValidation type="list" allowBlank="1" showInputMessage="1" showErrorMessage="1" sqref="H34" xr:uid="{F04CD700-1C80-4294-977A-0ADCAAB0462D}">
      <formula1>"ALAA HAMMAD,KHALED QASSEM,RAMY RAOUF,SIMON LOBO,MHAREN CLEMENTE GARADO"</formula1>
    </dataValidation>
    <dataValidation type="list" allowBlank="1" showInputMessage="1" showErrorMessage="1" sqref="M34" xr:uid="{7EA143CA-1D63-4AC5-80F9-5B284805363E}">
      <formula1>"Alaa Hammad,Bachir Ibrahim Mourad,Khaled Qassem,Ramy Raoof,Simon Lobo,Mharen Clemente Garado,Ranjith"</formula1>
    </dataValidation>
    <dataValidation type="list" allowBlank="1" showInputMessage="1" showErrorMessage="1" sqref="B11" xr:uid="{A8BAB4E9-BCD7-4F4A-A382-F6BFB8907FF6}">
      <formula1>"FO Ceramic+ Intr&amp;Extr CeramicGold WdwTnt,FO Mirror Camera Sensor"</formula1>
    </dataValidation>
    <dataValidation type="list" allowBlank="1" showInputMessage="1" showErrorMessage="1" sqref="B12" xr:uid="{D8675AEE-1FD7-4860-BD49-BD6567A39F6E}">
      <formula1>"FO Exterior ceramic All Cars SCOTCHGUARD,FO Mirror Camera Sensor,FO PPF Gold Package "</formula1>
    </dataValidation>
    <dataValidation type="list" allowBlank="1" showInputMessage="1" showErrorMessage="1" sqref="K20" xr:uid="{E22CC3E1-13BC-4FAB-95FD-DCEE86F70214}">
      <formula1>"Esaad,Emirates Platinum,Fazaa,Humat Alwatan,Permissible,ASX,XPMLP,XP,MON,MON G57,OUT,F08,P08,F06,P06,F03,F03-1,P03,EC,G37,G38,G40,G43"</formula1>
    </dataValidation>
    <dataValidation type="list" allowBlank="1" showInputMessage="1" showErrorMessage="1" sqref="B16" xr:uid="{3526CFC9-1D3E-44FD-82F6-3FD40C17C2C1}">
      <formula1>"RMC-10-40KMS,RMC-10-60KMS,RMC-10-70KMS,RMC-10-100000KMS,RMC-40-70KMS,RMC-40-100000KMS"</formula1>
    </dataValidation>
    <dataValidation type="list" allowBlank="1" showInputMessage="1" showErrorMessage="1" sqref="K24" xr:uid="{10A227AC-A749-452F-85B5-BDC3C24B84F2}">
      <formula1>"RMC-10-70K,RMC-10-100000K,RMC-40-70K"</formula1>
    </dataValidation>
    <dataValidation type="list" allowBlank="1" showInputMessage="1" showErrorMessage="1" sqref="D5" xr:uid="{C7803BE2-25BB-4B55-B5F8-5B57B5C26694}">
      <formula1>"MIG09,MIG10,H16,P16,H17,H48,H43,H40,H42,H44,H45,H38,H37,EH40,EH43,ML,HL,PR, MLP,HLP,PRP,XPML,XPHL,XPMLP, XPMLP-01,XC, G10,P10, G03, P03, G06,P06,G12,P12,G05,P05,G08,P08,G09,P09,H57,P57,H64,H59,P59,H61,P61"</formula1>
    </dataValidation>
    <dataValidation type="list" allowBlank="1" showInputMessage="1" showErrorMessage="1" sqref="M21" xr:uid="{4BCD7EBC-E4FE-47A8-966B-B9DFD19BFCF3}">
      <formula1>"3000-4999,5000-9999,5000-99999,10000-14999,15000-24999,25000-34999,35000-99999,5000-11999,12000-19999,20000-39999,40000-69999,70000-99999"</formula1>
    </dataValidation>
    <dataValidation type="list" allowBlank="1" showInputMessage="1" showErrorMessage="1" sqref="C10:C16 L20 L24:L25 G14:G15 J10" xr:uid="{47ED12A3-90FB-49F9-923F-E138539531F9}">
      <formula1>"YES,NO"</formula1>
    </dataValidation>
    <dataValidation type="list" allowBlank="1" showInputMessage="1" showErrorMessage="1" sqref="K21" xr:uid="{F401250D-DBA7-4874-854F-22C93C284129}">
      <formula1>"ADCB,ADCB PAY IN 2027,Ajman Bank,ADIB,DIB EXPAT,DIB LOCAL GVH,Emirates NBD,EIB,FAB,RAK,SIB STL,SIB NON STL"</formula1>
    </dataValidation>
  </dataValidations>
  <pageMargins left="0.23622047244094491" right="0.23622047244094491" top="0.74803149606299213" bottom="0.74803149606299213" header="0.31496062992125984" footer="0.31496062992125984"/>
  <pageSetup paperSize="9" scale="40" orientation="landscape" horizontalDpi="4294967295" verticalDpi="4294967295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A2060C-E817-4ED2-A25A-EBC0530F0329}">
  <sheetPr>
    <pageSetUpPr fitToPage="1"/>
  </sheetPr>
  <dimension ref="A1:AA54"/>
  <sheetViews>
    <sheetView topLeftCell="B1" zoomScaleNormal="100" workbookViewId="0">
      <selection activeCell="D5" sqref="D5"/>
    </sheetView>
  </sheetViews>
  <sheetFormatPr defaultColWidth="9.109375" defaultRowHeight="15.6" x14ac:dyDescent="0.3"/>
  <cols>
    <col min="1" max="1" width="16" style="1" hidden="1" customWidth="1"/>
    <col min="2" max="2" width="75.109375" style="2" customWidth="1"/>
    <col min="3" max="3" width="26.88671875" style="3" customWidth="1"/>
    <col min="4" max="4" width="23.88671875" style="2" customWidth="1"/>
    <col min="5" max="5" width="23.33203125" style="2" customWidth="1"/>
    <col min="6" max="6" width="19.88671875" style="2" customWidth="1"/>
    <col min="7" max="7" width="23.33203125" style="2" customWidth="1"/>
    <col min="8" max="8" width="24.44140625" style="2" customWidth="1"/>
    <col min="9" max="9" width="27.109375" style="2" customWidth="1"/>
    <col min="10" max="10" width="26.6640625" style="2" customWidth="1"/>
    <col min="11" max="11" width="25.44140625" style="2" customWidth="1"/>
    <col min="12" max="12" width="20.5546875" style="2" customWidth="1"/>
    <col min="13" max="13" width="20.109375" style="2" customWidth="1"/>
    <col min="14" max="14" width="19.5546875" style="2" customWidth="1"/>
    <col min="15" max="15" width="15.109375" style="2" bestFit="1" customWidth="1"/>
    <col min="16" max="16" width="12.6640625" style="2" hidden="1" customWidth="1"/>
    <col min="17" max="17" width="12.6640625" style="1" hidden="1" customWidth="1"/>
    <col min="18" max="18" width="15.6640625" style="1" hidden="1" customWidth="1"/>
    <col min="19" max="19" width="13" style="1" hidden="1" customWidth="1"/>
    <col min="20" max="20" width="17.109375" style="1" hidden="1" customWidth="1"/>
    <col min="21" max="21" width="14.5546875" style="1" bestFit="1" customWidth="1"/>
    <col min="22" max="22" width="19" style="1" customWidth="1"/>
    <col min="23" max="23" width="22.5546875" style="1" bestFit="1" customWidth="1"/>
    <col min="24" max="25" width="9.109375" style="1"/>
    <col min="26" max="26" width="14" style="1" bestFit="1" customWidth="1"/>
    <col min="27" max="27" width="22.33203125" style="1" bestFit="1" customWidth="1"/>
    <col min="28" max="16384" width="9.109375" style="1"/>
  </cols>
  <sheetData>
    <row r="1" spans="1:27" ht="15.75" customHeight="1" x14ac:dyDescent="0.3">
      <c r="B1" s="222" t="s">
        <v>148</v>
      </c>
      <c r="C1" s="221"/>
      <c r="D1" s="221"/>
      <c r="E1" s="221"/>
      <c r="F1" s="221"/>
      <c r="G1" s="221"/>
      <c r="H1" s="221"/>
      <c r="I1" s="221"/>
      <c r="J1" s="221"/>
      <c r="K1" s="221"/>
      <c r="L1" s="221"/>
      <c r="M1" s="221"/>
      <c r="N1" s="220"/>
    </row>
    <row r="2" spans="1:27" ht="15.75" customHeight="1" x14ac:dyDescent="0.3">
      <c r="B2" s="219" t="s">
        <v>147</v>
      </c>
      <c r="C2" s="218"/>
      <c r="D2" s="218"/>
      <c r="E2" s="218"/>
      <c r="F2" s="218"/>
      <c r="G2" s="218"/>
      <c r="H2" s="218"/>
      <c r="I2" s="218"/>
      <c r="J2" s="218"/>
      <c r="K2" s="218"/>
      <c r="L2" s="218"/>
      <c r="M2" s="218"/>
      <c r="N2" s="217"/>
      <c r="Q2" s="2"/>
      <c r="S2" s="186"/>
    </row>
    <row r="3" spans="1:27" ht="15.75" customHeight="1" x14ac:dyDescent="0.3">
      <c r="B3" s="219" t="s">
        <v>146</v>
      </c>
      <c r="C3" s="218"/>
      <c r="D3" s="218"/>
      <c r="E3" s="218"/>
      <c r="F3" s="218"/>
      <c r="G3" s="218"/>
      <c r="H3" s="218"/>
      <c r="I3" s="218"/>
      <c r="J3" s="218"/>
      <c r="K3" s="218"/>
      <c r="L3" s="218"/>
      <c r="M3" s="218"/>
      <c r="N3" s="217"/>
      <c r="O3" s="3"/>
      <c r="P3" s="3"/>
      <c r="Q3" s="153"/>
      <c r="R3" s="153"/>
      <c r="S3" s="216" t="e">
        <f>N7+J14</f>
        <v>#VALUE!</v>
      </c>
      <c r="T3" s="216"/>
      <c r="U3" s="153"/>
      <c r="V3" s="153"/>
      <c r="W3" s="153"/>
      <c r="AA3" s="1">
        <f>273000/5</f>
        <v>54600</v>
      </c>
    </row>
    <row r="4" spans="1:27" ht="15.75" customHeight="1" x14ac:dyDescent="0.3">
      <c r="B4" s="215"/>
      <c r="C4" s="214"/>
      <c r="D4" s="214"/>
      <c r="E4" s="214"/>
      <c r="F4" s="214"/>
      <c r="G4" s="214"/>
      <c r="H4" s="214"/>
      <c r="I4" s="214"/>
      <c r="J4" s="214"/>
      <c r="K4" s="214"/>
      <c r="L4" s="214"/>
      <c r="M4" s="214"/>
      <c r="N4" s="213"/>
      <c r="O4" s="212" t="s">
        <v>0</v>
      </c>
      <c r="P4" s="212"/>
      <c r="Q4" s="210"/>
      <c r="R4" s="210"/>
      <c r="S4" s="211"/>
      <c r="T4" s="211"/>
      <c r="U4" s="210" t="s">
        <v>1</v>
      </c>
      <c r="V4" s="210" t="s">
        <v>2</v>
      </c>
      <c r="W4" s="210" t="s">
        <v>3</v>
      </c>
    </row>
    <row r="5" spans="1:27" ht="25.2" thickBot="1" x14ac:dyDescent="0.45">
      <c r="B5" s="17"/>
      <c r="C5" s="18" t="str">
        <f>IF(D5="MIG09","Mirage G09",IF(D5="MIG10","MirageG10",IF(D5="H16","Attrage H16",IF(D5="P16","Attrage P16",IF(D5="H17","Attrage H17",IF(D5="H48","ASX H48",IF(D5="H43","ASX H43",IF(D5="H40","ASX H40",IF(D5="H42","ASX H42",IF(D5="H44","ASX H44",IF(D5="H45","ASX H45",IF(D5="H38","Eclipse H38",IF(D5="H37","Eclipse H37",IF(D5="EH40","Eclipse H40",IF(D5="EH43","Eclipse H43",IF(D5="XPML","Xpander ML",IF(D5="ML","Destinator ML",IF(D5="HL","Destinator HL",IF(D5="PR","Destinator PR",IF(D5="MLP","Destinator MLP",IF(D5="HLP","Destinator HLP",IF(D5="PRP","Destinator PRP",IF(D5="XPHL","Xpander HL",IF(D5="XPMLP","Xpander ML P",IF(D5="XPMLP-01","Xpander ML P-01",IF(D5="XC","Xpander Cross",IF(D5="G03","Outlander G03",IF(D5="P03","Outlander P03",IF(D5="G06","Outlander G06",IF(D5="P06","Outlander P06",IF(D5="OTP06-01","Outlander P06-01",IF(D5="G08","Outlander G08",IF(D5="P08","Outlander P08",IF(D5="H57","Montero H57",IF(D5="P57","Montero P57",IF(D5="H64","Montero G64",IF(D5="H59","Montero G59",IF(D5="P59","Montero G59 P",IF(D5="H61","Montero G61",IF(D5="P61","Montero P61",IF(D5="G10","Outlander G10",IF(D5="P10","Outlander P10",IF(D5="G12","Outlander G12",IF(D5="P12","Outlander P12",IF(D5="G05","Outlander G05",IF(D5="P05","Outlander P05",IF(D5="G09","Outlander G09",IF(D5="P09","Outlander P09",))))))))))))))))))))))))))))))))))))))))))))))))</f>
        <v>Eclipse H37</v>
      </c>
      <c r="D5" s="19" t="s">
        <v>175</v>
      </c>
      <c r="E5" s="20" t="s">
        <v>145</v>
      </c>
      <c r="F5" s="37"/>
      <c r="G5" s="37"/>
      <c r="H5" s="37"/>
      <c r="I5" s="20"/>
      <c r="J5" s="34"/>
      <c r="K5" s="209">
        <v>0</v>
      </c>
      <c r="L5" s="208">
        <v>3.39E-2</v>
      </c>
      <c r="M5" s="208">
        <v>6.7799999999999999E-2</v>
      </c>
      <c r="N5" s="208">
        <v>0.1017</v>
      </c>
      <c r="O5" s="147">
        <f>K7+K14</f>
        <v>10498.921211808334</v>
      </c>
      <c r="S5" s="186"/>
      <c r="U5" s="186">
        <f>L7+L14</f>
        <v>4334.6397315826389</v>
      </c>
      <c r="V5" s="186">
        <f>M7+M14</f>
        <v>2931.2245751208334</v>
      </c>
      <c r="W5" s="186">
        <f>N7+N14</f>
        <v>2060.5215926937499</v>
      </c>
    </row>
    <row r="6" spans="1:27" s="5" customFormat="1" ht="99" thickBot="1" x14ac:dyDescent="0.35">
      <c r="A6" s="4" t="s">
        <v>4</v>
      </c>
      <c r="B6" s="26" t="s">
        <v>5</v>
      </c>
      <c r="C6" s="27" t="s">
        <v>6</v>
      </c>
      <c r="D6" s="27" t="s">
        <v>144</v>
      </c>
      <c r="E6" s="27" t="s">
        <v>7</v>
      </c>
      <c r="F6" s="27" t="s">
        <v>8</v>
      </c>
      <c r="G6" s="28" t="s">
        <v>9</v>
      </c>
      <c r="H6" s="28" t="s">
        <v>143</v>
      </c>
      <c r="I6" s="28" t="s">
        <v>10</v>
      </c>
      <c r="J6" s="28" t="s">
        <v>142</v>
      </c>
      <c r="K6" s="28" t="s">
        <v>11</v>
      </c>
      <c r="L6" s="28" t="s">
        <v>12</v>
      </c>
      <c r="M6" s="28" t="s">
        <v>13</v>
      </c>
      <c r="N6" s="28" t="s">
        <v>14</v>
      </c>
      <c r="O6" s="207"/>
      <c r="P6" s="206"/>
      <c r="T6" s="205"/>
      <c r="U6" s="205">
        <f>N7+L14</f>
        <v>3424.9924760270833</v>
      </c>
      <c r="V6" s="205">
        <f>N7+K14</f>
        <v>8452.214886808335</v>
      </c>
      <c r="W6" s="205" t="e">
        <f>N7+J14</f>
        <v>#VALUE!</v>
      </c>
    </row>
    <row r="7" spans="1:27" ht="25.2" thickBot="1" x14ac:dyDescent="0.45">
      <c r="A7" s="6">
        <f>B8</f>
        <v>79900</v>
      </c>
      <c r="B7" s="29">
        <f>IF(L20="YES",C8*1,IF(L20="NO",B8*1))</f>
        <v>79900</v>
      </c>
      <c r="C7" s="29">
        <f>B7*5/100</f>
        <v>3995</v>
      </c>
      <c r="D7" s="203">
        <f>B7+C7</f>
        <v>83895</v>
      </c>
      <c r="E7" s="29">
        <f>D17</f>
        <v>17885.31625</v>
      </c>
      <c r="F7" s="29">
        <f>(C7)+(D10+D11+D12+D13+D16)*5/100</f>
        <v>4550</v>
      </c>
      <c r="G7" s="30">
        <f>B7+E7+F7</f>
        <v>102335.31625</v>
      </c>
      <c r="H7" s="29">
        <f>G7*D20</f>
        <v>20467.063250000003</v>
      </c>
      <c r="I7" s="30">
        <f>(G7-H7)</f>
        <v>81868.252999999997</v>
      </c>
      <c r="J7" s="30">
        <f>(((I7*D19)*1)+I7)/12</f>
        <v>7087.7440034749998</v>
      </c>
      <c r="K7" s="30">
        <f>(((I7*D19)*2)+I7)/24</f>
        <v>3676.5667951416667</v>
      </c>
      <c r="L7" s="30">
        <f>(((I7*D19)*3)+I7)/36</f>
        <v>2539.5077256972222</v>
      </c>
      <c r="M7" s="30">
        <f>(((I7*D19)*4)+I7)/48</f>
        <v>1970.978190975</v>
      </c>
      <c r="N7" s="30">
        <f>((((I7*D19)*5)+I7)/60)</f>
        <v>1629.8604701416666</v>
      </c>
      <c r="O7" s="147"/>
      <c r="P7" s="2">
        <f>H7+H16</f>
        <v>21326.679906500001</v>
      </c>
      <c r="T7" s="186">
        <f>25973/2</f>
        <v>12986.5</v>
      </c>
    </row>
    <row r="8" spans="1:27" ht="24.6" x14ac:dyDescent="0.4">
      <c r="A8" s="7">
        <v>0.2</v>
      </c>
      <c r="B8" s="31">
        <f>IF(D5="MIG09",39900,IF(D5="MIG10",41900,IF(D5="H16",41900,IF(D5="P16",47400,IF(D5="H17",47900,IF(D5="H48",67900,IF(D5="H43",70900,IF(D5="H40",72900,IF(D5="H42",74900,IF(D5="H44",73900,IF(D5="H45",79900,IF(D5="H38",86900,IF(D5="H37",79900,IF(D5="EH40",99900,IF(D5="EH43",106900,IF(D5="ML",71900,IF(D5="HL",83900,IF(D5="PR",95900,IF(D5="MLP",80900,IF(D5="HLP",91900,IF(D5="PRP",102900,IF(D5="XPML",69900,IF(D5="XPHL",71000,IF(D5="XPMLP",75900,IF(D5="XPMLP-01",77800,IF(D5="XC",84900,IF(D5="G10",81900,IF(D5="P10",93900,IF(D5="G12",97900,IF(D5="P12",105900,IF(D5="G05",104900,IF(D5="P05",105900,IF(D5="G03",92900,IF(D5="P03",100900,IF(D5="G06",109900,IF(D5="P06",114900,IF(D5="OTP06-01",118900,IF(D5="G08",125900,IF(D5="P08",132900,IF(D5="OTP06-01",109900,IF(D5="G09",129900,IF(D5="P09",134900,IF(D5="H57",105900,IF(D5="P57",113900,IF(D5="H64",116900,IF(D5="H59",127900,IF(D5="P59",134900,IF(D5="H61",134900,IF(D5="P61",138900)))))))))))))))))))))))))))))))))))))))))))))))))</f>
        <v>79900</v>
      </c>
      <c r="C8" s="32">
        <f>IF(L20="YES",N20,IF(L20="NO",N20))</f>
        <v>79900</v>
      </c>
      <c r="D8" s="29">
        <v>0</v>
      </c>
      <c r="E8" s="33"/>
      <c r="F8" s="139"/>
      <c r="G8" s="140"/>
      <c r="H8" s="110">
        <f>G7*20/100</f>
        <v>20467.063250000003</v>
      </c>
      <c r="I8" s="34"/>
      <c r="J8" s="34" t="s">
        <v>15</v>
      </c>
      <c r="K8" s="34">
        <f>(I7*K5+I7)/24</f>
        <v>3411.1772083333331</v>
      </c>
      <c r="L8" s="34">
        <f>(I7*L5+I7)/36</f>
        <v>2351.2107437972222</v>
      </c>
      <c r="M8" s="34">
        <f>(I7*M5+I7)/48</f>
        <v>1821.2275115291666</v>
      </c>
      <c r="N8" s="34">
        <f>(I7*N5+I7)/60</f>
        <v>1503.2375721683334</v>
      </c>
      <c r="O8" s="147">
        <v>0</v>
      </c>
      <c r="P8" s="2">
        <f>P7/12</f>
        <v>1777.2233255416668</v>
      </c>
      <c r="T8" s="1">
        <f>25973-12973</f>
        <v>13000</v>
      </c>
    </row>
    <row r="9" spans="1:27" ht="24.6" x14ac:dyDescent="0.4">
      <c r="A9" s="8">
        <f>B8/(100%-A8)</f>
        <v>99875</v>
      </c>
      <c r="B9" s="109">
        <f>B7-B8</f>
        <v>0</v>
      </c>
      <c r="C9" s="109"/>
      <c r="D9" s="36"/>
      <c r="E9" s="33"/>
      <c r="F9" s="139"/>
      <c r="G9" s="140"/>
      <c r="H9" s="33"/>
      <c r="I9" s="37" t="s">
        <v>16</v>
      </c>
      <c r="J9" s="38">
        <f>(J7*12)-I7</f>
        <v>3184.6750417000003</v>
      </c>
      <c r="K9" s="38">
        <f>(K7*24)-I7</f>
        <v>6369.3500834000006</v>
      </c>
      <c r="L9" s="38">
        <f>(L7*36)-I7</f>
        <v>9554.0251251000009</v>
      </c>
      <c r="M9" s="38">
        <f>(M7*48)-I7</f>
        <v>12738.700166800001</v>
      </c>
      <c r="N9" s="38">
        <f>(N7*60)-I7</f>
        <v>15923.375208500001</v>
      </c>
      <c r="O9" s="147"/>
      <c r="T9" s="1">
        <f>T8/12</f>
        <v>1083.3333333333333</v>
      </c>
      <c r="Z9" s="1" t="s">
        <v>86</v>
      </c>
    </row>
    <row r="10" spans="1:27" ht="24.6" x14ac:dyDescent="0.4">
      <c r="A10" s="8"/>
      <c r="B10" s="37" t="s">
        <v>141</v>
      </c>
      <c r="C10" s="20" t="s">
        <v>17</v>
      </c>
      <c r="D10" s="36">
        <f>IF(C10="YES",700,IF(C10="NO",0))</f>
        <v>0</v>
      </c>
      <c r="E10" s="39"/>
      <c r="F10" s="40"/>
      <c r="G10" s="40"/>
      <c r="H10" s="33"/>
      <c r="I10" s="44" t="s">
        <v>85</v>
      </c>
      <c r="J10" s="117" t="s">
        <v>19</v>
      </c>
      <c r="K10" s="117">
        <f>IF(J10="YES",Z10,IF(J10="NO",0))</f>
        <v>1000</v>
      </c>
      <c r="L10" s="41">
        <f>(L8*36)-I7</f>
        <v>2775.3337767000048</v>
      </c>
      <c r="M10" s="41">
        <f>(M8*48)-I7</f>
        <v>5550.6675533999951</v>
      </c>
      <c r="N10" s="41">
        <f>(N8*60)-I7</f>
        <v>8326.0013300999999</v>
      </c>
      <c r="O10" s="147">
        <f>IF(D5="XC",3690,IF(D5="XPML",3690,IF(D5="XPHL",3690,IF(D5="XPMLP",3690,IF(D5="XPMLP-01",3690,IF(D5="Xpander P",3690,IF(D5="ML",3690,IF(D5="HL",3690,IF(D5="PR",(U19*3/100+510)*1.05,IF(D5="MLP",3690,IF(D5="HLP",(U19*3/100+510)*1.05,IF(D5="PRP",(U19*3/100+510)*1.05,IF(D5="H57",(U19*2.75/100+510)*1.05,IF(D5="P57",(U19*2.75/100+510)*1.05,IF(D5="H64",(U19*2.75/100+510)*1.05,IF(D5="H59",(U19*2.75/100+510)*1.05,IF(D5="P59",(U19*2.75/100+510)*1.05,IF(D5="H61",(U19*2.75/100+510)*1.05,IF(D5="P61",(U19*2.75/100+510)*1.05,IF(D5="G03",(U19*3/100+510)*1.05,IF(D5="G10",(U19*3/100+510)*1.05,IF(D5="P10",(U19*3/100+510)*1.05,IF(D5="G12",(U19*3/100+510)*1.05,IF(D5="P12",(U19*3/100+510)*1.05,IF(D5="G05",(U19*3/100+510)*1.05,IF(D5="P05",(U19*3/100+510)*1.05,IF(D5="P03",(U19*3/100+510)*1.05,IF(D5="G06",(U19*3/100+510)*1.05,IF(D5="P06",(U19*3/100+510)*1.05,IF(D5="OTP06-01",(U19*3/100+510)*1.05,IF(D5="G08",(U19*3/100+510)*1.05,IF(D5="P08",(U19*3/100+510)*1.05,IF(D5="G09",(U19*3/100+510)*1.05,IF(D5="P09",(U19*3/100+510)*1.05,IF(D5="H38",3625,IF(D5="H37",3625,IF(D5="EH40",(U19*3/100+450)*1.05,IF(D5="EH43",(U19*3/100+450)*1.05,IF(D5="H48",3625,IF(D5="H43",3625,IF(D5="H40",3625,IF(D5="H42",3625,IF(D5="H44",3625,IF(D5="H45",3625,IF(D5="ASX HL 4WD",3625,IF(D5="H16",3625,IF(D5="H17",3625,IF(D5="P16",3625,IF(D5="Attrage S",3625,IF(D5="MIG09",3625,IF(D5="MIG10",3625,IF(D5="Xpander HL",3690))))))))))))))))))))))))))))))))))))))))))))))))))))</f>
        <v>3625</v>
      </c>
      <c r="P10" s="204"/>
      <c r="Q10" s="204">
        <f>5.25*3</f>
        <v>15.75</v>
      </c>
      <c r="Z10" s="1">
        <f>IF(D5="MIG09",1000,IF(D5="MIG10",1000,IF(D5="H16",1000,IF(D5="P16",1000,IF(D5="H17",1000,IF(D5="H48",1000,IF(D5="H43",1000,IF(D5="H40",1000,IF(D5="H42",1000,IF(D5="H44",1000,IF(D5="H45",1000,IF(D5="H38",1000,IF(D5="H37",1000,IF(D5="EH40",1000,IF(D5="EH43",1000,IF(D5="ML",1000,IF(D5="HL",1000,IF(D5="PR",1000,IF(D5="MLP",1000,IF(D5="HLP",1000,IF(D5="PRP",1000,IF(D5="XPML",1000,IF(D5="XPHL",1000,IF(D5="XPMLP",1000,IF(D5="XPMLP-01",1000,IF(D5="XC",1000,IF(D5="G10",1000,IF(D5="P10",1000,IF(D5="G12",1000,IF(D5="P12",1000,IF(D5="G05",1000,IF(D5="P05",1000,IF(D5="G03",1000,IF(D5="P03",1000,IF(D5="G06",1000,IF(D5="P06",1000,IF(D5="OTP06-01",1000,IF(D5="G08",1000,IF(D5="P08",1000,IF(D5="OTP06-01",1000,IF(D5="G09",1000,IF(D5="P09",1000,IF(D5="H57",1000,IF(D5="P57",1000,IF(D5="H64",1000,IF(D5="H59",1000,IF(D5="P59",1000,IF(D5="H61",1000,IF(D5="P61",1000)))))))))))))))))))))))))))))))))))))))))))))))))</f>
        <v>1000</v>
      </c>
    </row>
    <row r="11" spans="1:27" ht="24.6" x14ac:dyDescent="0.4">
      <c r="A11" s="8"/>
      <c r="B11" s="37" t="s">
        <v>18</v>
      </c>
      <c r="C11" s="20" t="s">
        <v>19</v>
      </c>
      <c r="D11" s="203">
        <f>IF(C11="YES",O17,IF(C11="NO",0))</f>
        <v>2700</v>
      </c>
      <c r="E11" s="39"/>
      <c r="F11" s="40"/>
      <c r="G11" s="40"/>
      <c r="H11" s="33"/>
      <c r="I11" s="33"/>
      <c r="J11" s="44" t="s">
        <v>76</v>
      </c>
      <c r="K11" s="44">
        <f>H8-K10</f>
        <v>19467.063250000003</v>
      </c>
      <c r="L11" s="37"/>
      <c r="M11" s="37"/>
      <c r="N11" s="38"/>
      <c r="O11" s="147">
        <f>IF(D5="XC",6100,IF(D5="XPML",6100,IF(D5="XPHL",6100,IF(D5="XPMLP",6100,IF(D5="XPMLP-01",6100,IF(D5="Xpander P",6100,IF(D5="ML",6600,IF(D5="HL",6600,IF(D5="PR",6600,IF(D5="MLP",6600,IF(D5="HLP",6600,IF(D5="PRP",6600,IF(D5="H57",5900,IF(D5="P57",5900,IF(D5="H64",5900,IF(D5="H59",5900,IF(D5="P59",5900,IF(D5="H61",5900,IF(D5="P61",5900,IF(D5="G03",6700,IF(D5="G10",6700,IF(D5="P10",6700,IF(D5="G12",6700,IF(D5="P12",6700,IF(D5="G05",6700,IF(D5="P05",6700,IF(D5="P03",6700,IF(D5="G06",6700,IF(D5="P06",6700,IF(D5="OTP06-01",6700,IF(D5="G08",6700,IF(D5="G09",6700,IF(D5="G08",6700,IF(D5="P08",6700,IF(D5="P09",6700,IF(D5="H37",6400,IF(D5="H38",6400,IF(D5="EH40",6400,IF(D5="EH43",6400,IF(D5="H48",6600,IF(D5="H43",6600,IF(D5="H40",6600,IF(D5="H42",6600,IF(D5="H44",6600,IF(D5="H45",6600,IF(D5="ASX HL 4WD",6600,IF(D5="H16",5400,IF(D5="H17",5400,IF(D5="P16",5400,IF(D5="Attrage S",5400,IF(D5="MIG09",5400,IF(D5="MIG10",5400,IF(D5="Xpander HL",6000)))))))))))))))))))))))))))))))))))))))))))))))))))))</f>
        <v>6400</v>
      </c>
      <c r="P11" s="147"/>
      <c r="Q11" s="147"/>
      <c r="R11" s="147"/>
      <c r="S11" s="147"/>
      <c r="T11" s="147"/>
      <c r="U11" s="147">
        <f>IF(D5="XC",4900,IF(D5="XPML",4900,IF(D5="XPHL",4900,IF(D5="XPMLP",4900,IF(D5="XPMLP-01",4900,IF(D5="Xpander P",4900,IF(D5="ML",5400,IF(D5="HL",5400,IF(D5="PR",5400,IF(D5="MLP",5400,IF(D5="HLP",5400,IF(D5="PRP",5400,IF(D5="H57",4600,IF(D5="P57",4600,IF(D5="MOG64",4600,IF(D5="H59",4600,IF(D5="P59",4600,IF(D5="H61",4600,IF(D5="P61",4600,IF(D5="G03",5500,IF(D5="P03",5500,IF(D5="G10",5500,IF(D5="P10",5500,IF(D5="G12",5500,IF(D5="P12",5500,IF(D5="G05",5500,IF(D5="P05",5500,IF(D5="G06",5500,IF(D5="P06",5500,IF(D5="OTP06-01",5500,IF(D5="F08",5500,IF(D5="P08",5500,IF(D5="G09",5500,IF(D5="P09",5500,IF(D5="H38",5200,IF(D5="H37",5200,IF(D5="EH40",5200,IF(D5="EH43",5200,IF(D5="H48",5300,IF(D5="H43",5300,IF(D5="H40",5300,IF(D5="H42",5300,IF(D5="H44",5300,IF(D5="H45",5300,IF(D5="ASX HL",5300,IF(D5="ASX P",5300,IF(D5="ASX HL 4WD",5300,IF(D5="H16",4200,IF(D5="H17",4200,IF(D5="P16",4200,IF(D5="Attrage S",4200,IF(D5="MIG09",4200,IF(D5="MIG10",4200,IF(D5="Xpander HL",4900))))))))))))))))))))))))))))))))))))))))))))))))))))))</f>
        <v>5200</v>
      </c>
      <c r="V11" s="147">
        <f>IF(D5="XC",9700,IF(D5="XPML",9700,IF(D5="XPHL",9700,IF(D5="XPMLP",9700,IF(D5="XPMLP-01",9700,IF(D5="XPMLP-01",9700,IF(D5="Xpander P",9700,IF(D5="ML",10800,IF(D5="HL",10800,IF(D5="PR",10800,IF(D5="MLP",10800,IF(D5="HLP",10800,IF(D5="PRP",10800,IF(D5="H57",9300,IF(D5="P57",9300,IF(D5="MG64",9300,IF(D5="H59",9300,IF(D5="P59",9300,IF(D5="H61",9300,IF(D5="P61",9300,IF(D5="G03",11000,IF(D5="G10",11000,IF(D5="P10",11000,IF(D5="G12",11000,IF(D5="P12",11000,IF(D5="G05",11000,IF(D5="P05",11000,IF(D5="P03",11000,IF(D5="G06",11000,IF(D5="P06",11000,IF(D5="OTP06-01",11000,IF(D5="G08",11000,IF(D5="P08",11000,IF(D5="G09",11000,IF(D5="P09",11000,IF(D5="H38",10400,IF(D5="H37",10400,IF(D5="EH40",10400,IF(D5="EH43",10400,IF(D5="H48",10700,IF(D5="H43",10700,IF(D5="H40",10700,IF(D5="H42",10700,IF(D5="H44",10800,IF(D5="H45",10800,IF(D5="ASX HL",12200,IF(D5="ASX P",12200,IF(D5="ASX HL 4WD",12200,IF(D5="H16",8500,IF(D5="H17",8500,IF(D5="P16",8500,IF(D5="Attrage S",9600,IF(D5="MIG09",8500,IF(D5="MIG10",8500,IF(D5="Xpander HL",11300)))))))))))))))))))))))))))))))))))))))))))))))))))))))</f>
        <v>10400</v>
      </c>
      <c r="W11" s="147">
        <f>IF(D5="XC",9200,IF(D5="XPML",9200,IF(D5="XPHL",9200,IF(D5="XPMLP",9200,IF(D5="XPMLP-01",9200,IF(D5="Xpander P",9200,IF(D5="ML",10000,IF(D5="HL",10000,IF(D5="PR",10000,IF(D5="MLP",10000,IF(D5="HLP",10000,IF(D5="PRP",10000,IF(D5="H57",8700,IF(D5="P57",8700,IF(D5="H64",8700,IF(D5="H59",8700,IF(D5="P59",8700,IF(D5="H61",8700,IF(D5="P61",8700,IF(D5="G03",10400,IF(D5="P03",10400,IF(D5="G10",10400,IF(D5="P10",10400,IF(D5="G12",10400,IF(D5="P12",10400,IF(D5="G05",10400,IF(D5="P05",10400,IF(D5="G06",10400,IF(D5="P06",10400,IF(D5="OTP06-01",10400,IF(D5="G08",10400,IF(D5="P08",10400,IF(D5="G09",10400,IF(D5="P09",10400,IF(D5="H38",9800,IF(D5="H37",9800,IF(D5="EH40",9800,IF(D5="EH43",9800,IF(D5="H48",10100,IF(D5="H43",10100,IF(D5="H40",10100,IF(D5="H42",10100,IF(D5="H44",10100,IF(D5="H45",10100,IF(D5="ASX HL",10100,IF(D5="ASX P",10100,IF(D5="ASX HL 4WD",10100,IF(D5="H16",7900,IF(D5="H17",7900,IF(D5="P16",7900,IF(D5="Attrage S",7900,IF(D5="MIG09",7900,IF(D5="MIG10",7900,IF(D5="Xpander HL",9200))))))))))))))))))))))))))))))))))))))))))))))))))))))</f>
        <v>9800</v>
      </c>
      <c r="X11" s="147">
        <f>IF(D5="XC",4500,IF(D5="XPML",4500,IF(D5="XPHL",4500,IF(D5="XPMLP",4500,IF(D5="XPMLP-01",4500,IF(D5="Xpander P",4500,IF(D5="ML",5000,IF(D5="HL",5000,IF(D5="PR",5000,IF(D5="MLP",5000,IF(D5="HLP",5000,IF(D5="PRP",5000,IF(D5="H57",8700,IF(D5="P57",8700,IF(D5="MOG64",4300,IF(D5="H59",4300,IF(D5="P59",4300,IF(D5="H61",4300,IF(D5="P61",4300,IF(D5="G03",5000,IF(D5="P03",5000,IF(D5="G10",5000,IF(D5="P10",5000,IF(D5="G12",5000,IF(D5="P12",5000,IF(D5="G05",5000,IF(D5="P05",5000,IF(D5="G06",5000,IF(D5="P06",5000,IF(D5="OTP06-01",5000,IF(D5="G08",5000,IF(D5="P08",5000,IF(D5="G09",5000,IF(D5="P09",5000,IF(D5="H38",4900,IF(D5="H37",4900,IF(D5="EH40",4900,IF(D5="EH43",4900,IF(D5="H48",4900,IF(D5="H43",4900,IF(D5="H40",4900,IF(D5="H42",4900,IF(D5="H44",4900,IF(D5="H45",4900,IF(D5="ASX HL",4900,IF(D5="ASX P",4900,IF(D5="ASX HL 4WD",4900,IF(D5="H16",3700,IF(D5="H17",3700,IF(D5="P16",3700,IF(D5="Attrage S",3700,IF(D5="MIG09",3700,IF(D5="MIG10",3700,IF(D5="Xpander HL",4500))))))))))))))))))))))))))))))))))))))))))))))))))))))</f>
        <v>4900</v>
      </c>
      <c r="Y11" s="147">
        <f>IF(D5="XC",5400,IF(D5="XPML ",5400,IF(D5="XPHL",5400,IF(D5="XPMLP",5400,IF(D5="XPMLP-01",5400,IF(D5="Xpander P",5400,IF(D5="ML",6000,IF(D5="HL",6000,IF(D5="PR",6000,IF(D5="MLP",6000,IF(D5="HLP",6000,IF(D5="PRP",6000,IF(D5="H57",5200,IF(D5="57",5200,IF(D5="H64",5200,IF(D5="H59",5200,IF(D5="P59",5200,IF(D5="H61",5200,IF(D5="P61",5200,IF(D5="G03",6000,IF(D5="P03",6000,IF(D5="G10",6000,IF(D5="P10",6000,IF(D5="G12",6000,IF(D5="P12",6000,IF(D5="G05",6000,IF(D5="P05",6000,IF(D5="G06",6000,IF(D5="P06",6000,IF(D5="OTP06-01",6000,IF(D5="G08",6000,IF(D5="P08",6000,IF(D5="G09",6000,IF(D5="P09",6000,IF(D5="H38",5700,IF(D5="H37",5700,IF(D5="EH40",5700,IF(D5="EH43",5700,IF(D5="H48",5900,IF(D5="H43",5900,IF(D5="H40",5900,IF(D5="H42",5900,IF(D5="H44",5900,IF(D5="H45",5900,IF(D5="ASX HL",5900,IF(D5="ASX P",5900,IF(D5="ASX HL 4WD",5900,IF(D5="H16",4500,IF(D5="H17",4500,IF(D5="P16",4500,IF(D5="Attrage S",4500,IF(D5="MIG09",4500,IF(D5="MIG10",4500,IF(D5="Xpander HL",5400))))))))))))))))))))))))))))))))))))))))))))))))))))))</f>
        <v>5700</v>
      </c>
    </row>
    <row r="12" spans="1:27" ht="24.6" x14ac:dyDescent="0.4">
      <c r="A12" s="8"/>
      <c r="B12" s="37" t="s">
        <v>20</v>
      </c>
      <c r="C12" s="20" t="s">
        <v>17</v>
      </c>
      <c r="D12" s="36">
        <f>IF(C12="YES",2000,IF(C12="NO",0))</f>
        <v>0</v>
      </c>
      <c r="E12" s="43"/>
      <c r="F12" s="43" t="s">
        <v>21</v>
      </c>
      <c r="G12" s="40"/>
      <c r="H12" s="33">
        <v>600</v>
      </c>
      <c r="I12" s="33"/>
      <c r="J12" s="202" t="s">
        <v>140</v>
      </c>
      <c r="K12" s="45">
        <v>0</v>
      </c>
      <c r="L12" s="45">
        <v>5.2499999999999998E-2</v>
      </c>
      <c r="M12" s="45">
        <v>0.126</v>
      </c>
      <c r="N12" s="201">
        <v>0.26250000000000001</v>
      </c>
      <c r="O12" s="147">
        <f>IF(K20="Esaad",B8*3/100,IF(K20="Emirates Platinum",B8*3/100,IF(K20="Fazaa",B8*3/100,IF(K20="Humat Alwatan",B8*3/100,IF(K20="Permissible",2000,IF(K20="ASX",8400,IF(K20="XPMLP",15100,IF(K20="XP",7200,IF(K20="G43",11000,IF(K20="EC",17000,IF(K20="G37",17000,IF(K20="G38",15000,IF(K20="G40",11000,IF(K20="OUT",3000,IF(K20="F08",14400,IF(K20="P08",11100,IF(K20="F06",13100,IF(K20="P06",13400,IF(K20="F03",3500,IF(K20="F03-1",13500,IF(K20="P03",13100,IF(K20="MON",10000,IF(K20="MON G57",9000,0)))))))))))))))))))))))</f>
        <v>2000</v>
      </c>
      <c r="Z12" s="86" t="s">
        <v>83</v>
      </c>
      <c r="AA12" s="86" t="s">
        <v>84</v>
      </c>
    </row>
    <row r="13" spans="1:27" ht="24.6" x14ac:dyDescent="0.4">
      <c r="A13" s="8">
        <f>B8*1.26582</f>
        <v>101139.018</v>
      </c>
      <c r="B13" s="37" t="s">
        <v>23</v>
      </c>
      <c r="C13" s="20" t="s">
        <v>19</v>
      </c>
      <c r="D13" s="36">
        <f>IF(C13="YES",2000,IF(C13="NO",0))</f>
        <v>2000</v>
      </c>
      <c r="E13" s="47"/>
      <c r="F13" s="47" t="s">
        <v>75</v>
      </c>
      <c r="G13" s="51"/>
      <c r="H13" s="39">
        <v>315</v>
      </c>
      <c r="I13" s="33"/>
      <c r="J13" s="44" t="s">
        <v>54</v>
      </c>
      <c r="K13" s="29" t="s">
        <v>79</v>
      </c>
      <c r="L13" s="29" t="s">
        <v>25</v>
      </c>
      <c r="M13" s="29" t="s">
        <v>0</v>
      </c>
      <c r="N13" s="57" t="s">
        <v>26</v>
      </c>
      <c r="O13" s="9">
        <f>IF(M21="3000-4999",6%,IF(M21="5000-9999",4.75%,IF(M21="10000-14999",3.15%,IF(M21="15000-24999",2.5%,IF(M21="25000-34999",2.25%,IF(M21="35000-99999",2.15%))))))</f>
        <v>4.7500000000000001E-2</v>
      </c>
      <c r="Q13" s="2">
        <f>H7/12</f>
        <v>1705.588604166667</v>
      </c>
      <c r="U13" s="9">
        <f>IF(M21="3000-4999",6%,IF(M21="5000-9999",3.25%,IF(M21="10000-14999",3%,IF(M21="15000-24999",2.25%,IF(M21="25000-34999",2.15%,IF(M21="35000-99999",1.99%))))))</f>
        <v>3.2500000000000001E-2</v>
      </c>
      <c r="Z13" s="99">
        <f>IF(M21="5000-9999",2.49%,IF(M21="10000-19999",2.19%,IF(M21="20000-34999",2.09%,IF(M21="35000-49999",1.89%,IF(M21="50000-99999",1.79%)))))</f>
        <v>2.4900000000000002E-2</v>
      </c>
      <c r="AA13" s="99">
        <f>IF(M21="5000-9999",2.59%,IF(M21="10000-19999",2.29%,IF(M21="20000-34999",2.19%,IF(M21="35000-49999",1.99%,IF(M21="50000-99999",1.89%)))))</f>
        <v>2.5899999999999999E-2</v>
      </c>
    </row>
    <row r="14" spans="1:27" ht="24.6" x14ac:dyDescent="0.4">
      <c r="A14" s="10" t="s">
        <v>27</v>
      </c>
      <c r="B14" s="37" t="s">
        <v>24</v>
      </c>
      <c r="C14" s="20" t="s">
        <v>19</v>
      </c>
      <c r="D14" s="50">
        <f>IF(C14="YES",U19*3.15*1.05/100,IF(C14="NO",U19*0/100))</f>
        <v>3160.3162499999999</v>
      </c>
      <c r="E14" s="48"/>
      <c r="F14" s="48" t="s">
        <v>24</v>
      </c>
      <c r="G14" s="51" t="s">
        <v>17</v>
      </c>
      <c r="H14" s="39">
        <f>IF(G14="YES",U19*3.15*1.05/100,IF(G14="NO",U19*0/100))</f>
        <v>0</v>
      </c>
      <c r="I14" s="33"/>
      <c r="J14" s="44" t="s">
        <v>55</v>
      </c>
      <c r="K14" s="44">
        <f>(H8*K12+H8)/3</f>
        <v>6822.3544166666679</v>
      </c>
      <c r="L14" s="44">
        <f>(H8*L12+H8)/12</f>
        <v>1795.1320058854169</v>
      </c>
      <c r="M14" s="44">
        <f>(H8*M12+H8)/24</f>
        <v>960.24638414583342</v>
      </c>
      <c r="N14" s="200">
        <f>(H7*N12+H7)/60</f>
        <v>430.66112255208344</v>
      </c>
      <c r="O14" s="9">
        <f>IF(M21="3000-4999",3.89%,IF(M21="5000-9999",3.89%,IF(M21="10000-14999",3.89%,IF(M21="15000-24999",2.69%,IF(M21="25000-34999",2.69%,IF(M21="35000-99999",2.39%,IF(M21="76000-99999",2.5%)))))))</f>
        <v>3.8900000000000004E-2</v>
      </c>
    </row>
    <row r="15" spans="1:27" ht="24.6" x14ac:dyDescent="0.4">
      <c r="A15" s="11">
        <f>(B7*3%)+10+120</f>
        <v>2527</v>
      </c>
      <c r="B15" s="37" t="s">
        <v>28</v>
      </c>
      <c r="C15" s="20" t="s">
        <v>19</v>
      </c>
      <c r="D15" s="29">
        <f>IF(C15="YES",O10,IF(C15="NO",0))</f>
        <v>3625</v>
      </c>
      <c r="E15" s="48"/>
      <c r="F15" s="48" t="s">
        <v>53</v>
      </c>
      <c r="G15" s="51" t="s">
        <v>17</v>
      </c>
      <c r="H15" s="39">
        <f>IF(G15="YES",O10,IF(G15="NO",0))</f>
        <v>0</v>
      </c>
      <c r="I15" s="33"/>
      <c r="J15" s="44"/>
      <c r="K15" s="44"/>
      <c r="L15" s="44"/>
      <c r="M15" s="44"/>
      <c r="N15" s="198"/>
      <c r="O15" s="9" t="b">
        <f>IF(M21="3000-4999",4.99%, IF(M21="5000-11999",2.75%,IF(M21="12000-19999",2.75%,IF(M21="20000-39999",2.25%,IF(M21="40000-69999",2.25%,IF(M21="70000-99999",2.25%))))))</f>
        <v>0</v>
      </c>
      <c r="P15" s="191"/>
    </row>
    <row r="16" spans="1:27" ht="24.6" x14ac:dyDescent="0.4">
      <c r="A16" s="11">
        <f>((B7-B8)*3%+10+120)</f>
        <v>130</v>
      </c>
      <c r="B16" s="37" t="s">
        <v>78</v>
      </c>
      <c r="C16" s="20" t="s">
        <v>19</v>
      </c>
      <c r="D16" s="29">
        <f>IF(C16="YES",O16,IF(C16="NO",0))</f>
        <v>6400</v>
      </c>
      <c r="E16" s="47"/>
      <c r="F16" s="47" t="s">
        <v>74</v>
      </c>
      <c r="G16" s="54"/>
      <c r="H16" s="33">
        <f>I7*1.05%</f>
        <v>859.61665649999998</v>
      </c>
      <c r="I16" s="33"/>
      <c r="J16" s="44" t="s">
        <v>16</v>
      </c>
      <c r="K16" s="44">
        <f>(K14*3)-H8</f>
        <v>0</v>
      </c>
      <c r="L16" s="44">
        <f>(L14*12)-H8</f>
        <v>1074.520820624999</v>
      </c>
      <c r="M16" s="44">
        <f>(M14*24)-H8</f>
        <v>2578.8499694999991</v>
      </c>
      <c r="N16" s="198"/>
      <c r="O16" s="147">
        <f>IF(B16="RMC-10-70KMS",O11,IF(B16="RMC-10-100000KMS",V11,IF(B16="RMC-40-70KMS",U11, IF(B16="RMC-10-40KMS",X11, IF(B16="RMC-10-60KMS",Y11, IF(B16="RMC-40-100000KMS",W11,0))))))</f>
        <v>6400</v>
      </c>
    </row>
    <row r="17" spans="1:23" ht="24.6" x14ac:dyDescent="0.4">
      <c r="A17" s="11">
        <f>A15+A16</f>
        <v>2657</v>
      </c>
      <c r="B17" s="37"/>
      <c r="C17" s="20"/>
      <c r="D17" s="29">
        <f>SUM(D10:D16)</f>
        <v>17885.31625</v>
      </c>
      <c r="E17" s="48"/>
      <c r="F17" s="48"/>
      <c r="G17" s="54"/>
      <c r="H17" s="33">
        <f>+SUM(H12:H16)+(H7)</f>
        <v>22241.679906500001</v>
      </c>
      <c r="I17" s="33"/>
      <c r="J17" s="20"/>
      <c r="K17" s="199"/>
      <c r="L17" s="199"/>
      <c r="M17" s="199"/>
      <c r="N17" s="198"/>
      <c r="O17" s="147">
        <f>IF(B11="FO Ceramic+ Intr&amp;Extr CeramicGold WdwTnt",2700,IF(B11="FO Mirror Camera Sensor",2000))</f>
        <v>2700</v>
      </c>
      <c r="T17" s="1">
        <f>19615-791</f>
        <v>18824</v>
      </c>
    </row>
    <row r="18" spans="1:23" ht="24.6" x14ac:dyDescent="0.4">
      <c r="A18" s="12" t="s">
        <v>29</v>
      </c>
      <c r="B18" s="55" t="s">
        <v>30</v>
      </c>
      <c r="C18" s="197"/>
      <c r="D18" s="57">
        <v>0</v>
      </c>
      <c r="E18" s="38"/>
      <c r="F18" s="20"/>
      <c r="G18" s="20"/>
      <c r="H18" s="37"/>
      <c r="I18" s="37"/>
      <c r="J18" s="37"/>
      <c r="K18" s="37"/>
      <c r="L18" s="37"/>
      <c r="M18" s="37"/>
      <c r="N18" s="37"/>
      <c r="O18" s="9" t="b">
        <f>IF(M21="5000-99999",1.99%)</f>
        <v>0</v>
      </c>
      <c r="U18" s="196" t="s">
        <v>52</v>
      </c>
      <c r="V18" s="196" t="s">
        <v>52</v>
      </c>
    </row>
    <row r="19" spans="1:23" ht="24.6" x14ac:dyDescent="0.4">
      <c r="A19" s="11">
        <f>B8*3.15%</f>
        <v>2516.85</v>
      </c>
      <c r="B19" s="58" t="s">
        <v>31</v>
      </c>
      <c r="C19" s="59"/>
      <c r="D19" s="60">
        <f>IF(K21="DIB EXPAT",O13,IF(K21="DIB LOCAL GVH",U13,IF(K21="Emirates NBD",O14,IF(K21="ADCB",O15,IF(K21="ADCB PAY IN 2027",O19,IF(K21="Ajman Bank",O18,IF(K21="SIB STL",Z13,IF(K21="SIB NON STL",AA13,))))))))</f>
        <v>3.8900000000000004E-2</v>
      </c>
      <c r="E19" s="20"/>
      <c r="F19" s="195"/>
      <c r="G19" s="141" t="s">
        <v>73</v>
      </c>
      <c r="H19" s="142"/>
      <c r="I19" s="143"/>
      <c r="J19" s="109">
        <f>(U19*20/100)/365</f>
        <v>52.356164383561641</v>
      </c>
      <c r="K19" s="37"/>
      <c r="L19" s="37"/>
      <c r="M19" s="37"/>
      <c r="N19" s="34">
        <f>D7</f>
        <v>83895</v>
      </c>
      <c r="O19" s="194" t="b">
        <f>IF(M21="5000-11999",3.35%,IF(M21="12000-19999",3.35%,IF(M21="20000-39999",2.85%,IF(M21="40000-69999",2.85%,IF(M21="70000-99999",2.85%)))))</f>
        <v>0</v>
      </c>
      <c r="P19" s="2">
        <f>81400-2500</f>
        <v>78900</v>
      </c>
      <c r="U19" s="193">
        <f>V19</f>
        <v>95550</v>
      </c>
      <c r="V19" s="192">
        <f>(B7+D10+D11+D12+D13+D16)*1.05</f>
        <v>95550</v>
      </c>
    </row>
    <row r="20" spans="1:23" ht="24.6" x14ac:dyDescent="0.4">
      <c r="A20" s="11"/>
      <c r="B20" s="58" t="s">
        <v>32</v>
      </c>
      <c r="C20" s="59"/>
      <c r="D20" s="63">
        <v>0.2</v>
      </c>
      <c r="E20" s="37"/>
      <c r="F20" s="37"/>
      <c r="G20" s="38"/>
      <c r="H20" s="38"/>
      <c r="I20" s="38"/>
      <c r="J20" s="103"/>
      <c r="K20" s="104" t="s">
        <v>33</v>
      </c>
      <c r="L20" s="104" t="s">
        <v>17</v>
      </c>
      <c r="M20" s="104">
        <f>IF(L20="YES",O12,IF(L20="NO",0))</f>
        <v>0</v>
      </c>
      <c r="N20" s="34">
        <f>B8-M20</f>
        <v>79900</v>
      </c>
      <c r="O20" s="187"/>
      <c r="P20" s="191"/>
      <c r="T20" s="1">
        <f>1992+1084</f>
        <v>3076</v>
      </c>
      <c r="U20" s="186"/>
      <c r="V20" s="2"/>
    </row>
    <row r="21" spans="1:23" ht="24.6" x14ac:dyDescent="0.4">
      <c r="A21" s="13">
        <f>A19+A20</f>
        <v>2516.85</v>
      </c>
      <c r="B21" s="37"/>
      <c r="C21" s="20"/>
      <c r="D21" s="37"/>
      <c r="E21" s="37"/>
      <c r="F21" s="37"/>
      <c r="G21" s="37"/>
      <c r="H21" s="37"/>
      <c r="I21" s="37"/>
      <c r="J21" s="190" t="s">
        <v>34</v>
      </c>
      <c r="K21" s="16" t="s">
        <v>139</v>
      </c>
      <c r="L21" s="16" t="s">
        <v>35</v>
      </c>
      <c r="M21" s="189" t="s">
        <v>80</v>
      </c>
      <c r="N21" s="188"/>
      <c r="O21" s="187"/>
      <c r="T21" s="1">
        <f>25973-12973</f>
        <v>13000</v>
      </c>
      <c r="U21" s="186">
        <f>M14+N7</f>
        <v>2590.1068542875</v>
      </c>
    </row>
    <row r="22" spans="1:23" s="179" customFormat="1" ht="24.6" x14ac:dyDescent="0.4">
      <c r="A22" s="185"/>
      <c r="B22" s="184" t="s">
        <v>51</v>
      </c>
      <c r="C22" s="183"/>
      <c r="D22" s="183"/>
      <c r="E22" s="183"/>
      <c r="F22" s="183"/>
      <c r="G22" s="183"/>
      <c r="H22" s="183"/>
      <c r="I22" s="183"/>
      <c r="J22" s="183"/>
      <c r="K22" s="183"/>
      <c r="L22" s="183"/>
      <c r="M22" s="183"/>
      <c r="N22" s="182"/>
      <c r="O22" s="181"/>
      <c r="P22" s="180"/>
    </row>
    <row r="23" spans="1:23" s="168" customFormat="1" ht="26.4" x14ac:dyDescent="0.5">
      <c r="A23" s="175" t="s">
        <v>36</v>
      </c>
      <c r="B23" s="172" t="s">
        <v>138</v>
      </c>
      <c r="C23" s="169"/>
      <c r="D23" s="169"/>
      <c r="E23" s="169"/>
      <c r="F23" s="169"/>
      <c r="G23" s="169"/>
      <c r="H23" s="176"/>
      <c r="I23" s="176"/>
      <c r="J23" s="169"/>
      <c r="K23" s="169"/>
      <c r="L23" s="169"/>
      <c r="M23" s="169"/>
      <c r="N23" s="178"/>
      <c r="O23" s="170"/>
      <c r="P23" s="169"/>
    </row>
    <row r="24" spans="1:23" s="168" customFormat="1" ht="26.4" x14ac:dyDescent="0.5">
      <c r="A24" s="175" t="s">
        <v>36</v>
      </c>
      <c r="B24" s="172" t="s">
        <v>137</v>
      </c>
      <c r="C24" s="169"/>
      <c r="D24" s="169"/>
      <c r="E24" s="169"/>
      <c r="F24" s="169"/>
      <c r="G24" s="169"/>
      <c r="H24" s="177">
        <f>H7/365</f>
        <v>56.074145890410968</v>
      </c>
      <c r="I24" s="177">
        <f>H7+H12+H16</f>
        <v>21926.679906500001</v>
      </c>
      <c r="J24" s="169"/>
      <c r="K24" s="169"/>
      <c r="L24" s="169"/>
      <c r="M24" s="169"/>
      <c r="N24" s="173"/>
      <c r="O24" s="170"/>
      <c r="P24" s="169">
        <f>1232+480</f>
        <v>1712</v>
      </c>
      <c r="T24" s="168">
        <f>88704/1.05</f>
        <v>84480</v>
      </c>
    </row>
    <row r="25" spans="1:23" s="168" customFormat="1" ht="26.4" x14ac:dyDescent="0.5">
      <c r="A25" s="175" t="s">
        <v>36</v>
      </c>
      <c r="B25" s="172" t="s">
        <v>136</v>
      </c>
      <c r="C25" s="169"/>
      <c r="D25" s="169"/>
      <c r="E25" s="169"/>
      <c r="F25" s="169"/>
      <c r="G25" s="169"/>
      <c r="H25" s="176"/>
      <c r="I25" s="176"/>
      <c r="J25" s="169"/>
      <c r="K25" s="169"/>
      <c r="L25" s="169"/>
      <c r="M25" s="169"/>
      <c r="N25" s="173"/>
      <c r="O25" s="170"/>
      <c r="P25" s="169"/>
      <c r="Q25" s="168">
        <f>79400-5233.33</f>
        <v>74166.67</v>
      </c>
      <c r="R25" s="168">
        <f>Q25*1.05</f>
        <v>77875.003500000006</v>
      </c>
      <c r="W25" s="168">
        <f>1999+1224</f>
        <v>3223</v>
      </c>
    </row>
    <row r="26" spans="1:23" s="168" customFormat="1" ht="26.4" x14ac:dyDescent="0.5">
      <c r="A26" s="175" t="s">
        <v>36</v>
      </c>
      <c r="B26" s="172" t="s">
        <v>135</v>
      </c>
      <c r="C26" s="169"/>
      <c r="D26" s="169"/>
      <c r="E26" s="169"/>
      <c r="F26" s="169"/>
      <c r="G26" s="169"/>
      <c r="H26" s="169"/>
      <c r="I26" s="169"/>
      <c r="J26" s="169"/>
      <c r="K26" s="169"/>
      <c r="L26" s="169"/>
      <c r="M26" s="169"/>
      <c r="N26" s="173"/>
      <c r="O26" s="170" t="s">
        <v>37</v>
      </c>
      <c r="P26" s="169"/>
      <c r="R26" s="168">
        <f>R25+2469</f>
        <v>80344.003500000006</v>
      </c>
    </row>
    <row r="27" spans="1:23" s="168" customFormat="1" ht="26.4" x14ac:dyDescent="0.5">
      <c r="A27" s="175" t="s">
        <v>36</v>
      </c>
      <c r="B27" s="172" t="s">
        <v>134</v>
      </c>
      <c r="C27" s="169"/>
      <c r="D27" s="169"/>
      <c r="E27" s="169"/>
      <c r="F27" s="169"/>
      <c r="G27" s="169"/>
      <c r="H27" s="169"/>
      <c r="I27" s="169"/>
      <c r="J27" s="169"/>
      <c r="K27" s="169"/>
      <c r="L27" s="169"/>
      <c r="M27" s="169"/>
      <c r="N27" s="173"/>
      <c r="O27" s="170">
        <f>129500-110900</f>
        <v>18600</v>
      </c>
      <c r="P27" s="169"/>
      <c r="W27" s="174">
        <f>N7+L14</f>
        <v>3424.9924760270833</v>
      </c>
    </row>
    <row r="28" spans="1:23" s="168" customFormat="1" ht="26.4" x14ac:dyDescent="0.5">
      <c r="B28" s="172" t="s">
        <v>133</v>
      </c>
      <c r="C28" s="169"/>
      <c r="D28" s="169"/>
      <c r="E28" s="169"/>
      <c r="F28" s="169"/>
      <c r="G28" s="169"/>
      <c r="H28" s="169"/>
      <c r="I28" s="169"/>
      <c r="J28" s="169"/>
      <c r="K28" s="169"/>
      <c r="L28" s="169"/>
      <c r="M28" s="169"/>
      <c r="N28" s="173"/>
      <c r="O28" s="170">
        <f>85000-69900</f>
        <v>15100</v>
      </c>
      <c r="P28" s="169"/>
    </row>
    <row r="29" spans="1:23" s="168" customFormat="1" ht="26.4" x14ac:dyDescent="0.5">
      <c r="B29" s="172" t="s">
        <v>132</v>
      </c>
      <c r="C29" s="169"/>
      <c r="D29" s="169"/>
      <c r="E29" s="169"/>
      <c r="F29" s="169"/>
      <c r="G29" s="169"/>
      <c r="H29" s="169"/>
      <c r="I29" s="169"/>
      <c r="J29" s="169"/>
      <c r="K29" s="169"/>
      <c r="L29" s="169"/>
      <c r="M29" s="169"/>
      <c r="N29" s="171"/>
      <c r="O29" s="170"/>
      <c r="P29" s="169"/>
    </row>
    <row r="30" spans="1:23" x14ac:dyDescent="0.3">
      <c r="B30" s="167" t="s">
        <v>38</v>
      </c>
      <c r="C30" s="166"/>
      <c r="D30" s="166"/>
      <c r="E30" s="166"/>
      <c r="F30" s="166"/>
      <c r="G30" s="166"/>
      <c r="H30" s="166"/>
      <c r="I30" s="166"/>
      <c r="J30" s="166"/>
      <c r="K30" s="166"/>
      <c r="L30" s="166"/>
      <c r="M30" s="166"/>
      <c r="N30" s="165"/>
      <c r="O30" s="147"/>
    </row>
    <row r="31" spans="1:23" x14ac:dyDescent="0.3">
      <c r="B31" s="146"/>
      <c r="C31" s="145"/>
      <c r="D31" s="145"/>
      <c r="E31" s="145"/>
      <c r="F31" s="145"/>
      <c r="G31" s="145"/>
      <c r="H31" s="145"/>
      <c r="I31" s="145"/>
      <c r="J31" s="145"/>
      <c r="K31" s="145"/>
      <c r="L31" s="145"/>
      <c r="M31" s="145"/>
      <c r="N31" s="144"/>
      <c r="O31" s="147"/>
    </row>
    <row r="32" spans="1:23" s="86" customFormat="1" ht="20.399999999999999" x14ac:dyDescent="0.35">
      <c r="B32" s="118" t="s">
        <v>39</v>
      </c>
      <c r="C32" s="119"/>
      <c r="D32" s="119"/>
      <c r="E32" s="119"/>
      <c r="F32" s="119"/>
      <c r="G32" s="119"/>
      <c r="H32" s="119"/>
      <c r="I32" s="119"/>
      <c r="J32" s="119"/>
      <c r="K32" s="119"/>
      <c r="L32" s="119"/>
      <c r="M32" s="119"/>
      <c r="N32" s="120"/>
      <c r="O32" s="92"/>
      <c r="P32" s="83"/>
    </row>
    <row r="33" spans="2:16" s="86" customFormat="1" ht="20.399999999999999" x14ac:dyDescent="0.35">
      <c r="B33" s="118" t="s">
        <v>40</v>
      </c>
      <c r="C33" s="119"/>
      <c r="D33" s="119"/>
      <c r="E33" s="119"/>
      <c r="F33" s="119"/>
      <c r="G33" s="119"/>
      <c r="H33" s="119"/>
      <c r="I33" s="119"/>
      <c r="J33" s="119"/>
      <c r="K33" s="119"/>
      <c r="L33" s="119"/>
      <c r="M33" s="119"/>
      <c r="N33" s="120"/>
      <c r="O33" s="92"/>
      <c r="P33" s="83"/>
    </row>
    <row r="34" spans="2:16" s="86" customFormat="1" ht="20.399999999999999" x14ac:dyDescent="0.35">
      <c r="B34" s="107" t="s">
        <v>131</v>
      </c>
      <c r="C34" s="108"/>
      <c r="D34" s="108"/>
      <c r="E34" s="108"/>
      <c r="F34" s="108"/>
      <c r="G34" s="164" t="s">
        <v>130</v>
      </c>
      <c r="H34" s="164"/>
      <c r="I34" s="163"/>
      <c r="J34" s="163"/>
      <c r="K34" s="163"/>
      <c r="L34" s="163"/>
      <c r="M34" s="162" t="s">
        <v>129</v>
      </c>
      <c r="N34" s="161"/>
      <c r="O34" s="83"/>
      <c r="P34" s="83"/>
    </row>
    <row r="35" spans="2:16" x14ac:dyDescent="0.3">
      <c r="B35" s="160"/>
      <c r="C35" s="159"/>
      <c r="D35" s="159"/>
      <c r="E35" s="159"/>
      <c r="F35" s="159"/>
      <c r="G35" s="159"/>
      <c r="H35" s="159"/>
      <c r="I35" s="159"/>
      <c r="J35" s="159"/>
      <c r="K35" s="159"/>
      <c r="L35" s="159"/>
      <c r="M35" s="159"/>
      <c r="N35" s="158"/>
    </row>
    <row r="36" spans="2:16" x14ac:dyDescent="0.3">
      <c r="B36" s="160"/>
      <c r="C36" s="159"/>
      <c r="D36" s="159"/>
      <c r="E36" s="159"/>
      <c r="F36" s="159"/>
      <c r="G36" s="159"/>
      <c r="H36" s="159"/>
      <c r="I36" s="159"/>
      <c r="J36" s="159"/>
      <c r="K36" s="159"/>
      <c r="L36" s="159"/>
      <c r="M36" s="159"/>
      <c r="N36" s="158"/>
    </row>
    <row r="37" spans="2:16" x14ac:dyDescent="0.3">
      <c r="B37" s="160"/>
      <c r="C37" s="159"/>
      <c r="D37" s="159"/>
      <c r="E37" s="159"/>
      <c r="F37" s="159"/>
      <c r="G37" s="159"/>
      <c r="H37" s="159"/>
      <c r="I37" s="159"/>
      <c r="J37" s="159"/>
      <c r="K37" s="159"/>
      <c r="L37" s="159"/>
      <c r="M37" s="159"/>
      <c r="N37" s="158"/>
    </row>
    <row r="38" spans="2:16" ht="16.8" x14ac:dyDescent="0.3">
      <c r="B38" s="149" t="s">
        <v>128</v>
      </c>
      <c r="C38" s="157"/>
      <c r="D38" s="154"/>
      <c r="E38" s="151"/>
      <c r="F38" s="151"/>
      <c r="G38" s="151"/>
      <c r="H38" s="151"/>
      <c r="I38" s="151"/>
      <c r="J38" s="152"/>
      <c r="K38" s="151"/>
      <c r="L38" s="151"/>
      <c r="M38" s="151"/>
      <c r="N38" s="156"/>
    </row>
    <row r="39" spans="2:16" ht="16.8" x14ac:dyDescent="0.3">
      <c r="B39" s="149" t="s">
        <v>127</v>
      </c>
      <c r="C39" s="155"/>
      <c r="D39" s="154"/>
      <c r="E39" s="151"/>
      <c r="F39" s="151"/>
      <c r="G39" s="151"/>
      <c r="H39" s="151"/>
      <c r="I39" s="151"/>
      <c r="J39" s="152"/>
      <c r="K39" s="151"/>
      <c r="L39" s="151"/>
      <c r="M39" s="151"/>
      <c r="N39" s="150"/>
    </row>
    <row r="40" spans="2:16" ht="16.8" x14ac:dyDescent="0.3">
      <c r="B40" s="149" t="s">
        <v>126</v>
      </c>
      <c r="C40" s="153"/>
      <c r="D40" s="151"/>
      <c r="E40" s="151"/>
      <c r="F40" s="151"/>
      <c r="G40" s="151"/>
      <c r="H40" s="151"/>
      <c r="I40" s="151"/>
      <c r="J40" s="152"/>
      <c r="K40" s="151"/>
      <c r="L40" s="151"/>
      <c r="M40" s="151"/>
      <c r="N40" s="150"/>
    </row>
    <row r="41" spans="2:16" ht="16.8" x14ac:dyDescent="0.3">
      <c r="B41" s="149" t="s">
        <v>125</v>
      </c>
      <c r="N41" s="148"/>
    </row>
    <row r="42" spans="2:16" ht="16.8" x14ac:dyDescent="0.3">
      <c r="B42" s="149" t="s">
        <v>124</v>
      </c>
      <c r="N42" s="148"/>
    </row>
    <row r="43" spans="2:16" ht="16.8" x14ac:dyDescent="0.3">
      <c r="B43" s="149" t="s">
        <v>123</v>
      </c>
      <c r="N43" s="148"/>
    </row>
    <row r="44" spans="2:16" ht="16.8" x14ac:dyDescent="0.3">
      <c r="B44" s="149" t="s">
        <v>122</v>
      </c>
      <c r="N44" s="148"/>
    </row>
    <row r="45" spans="2:16" ht="16.8" x14ac:dyDescent="0.3">
      <c r="B45" s="149" t="s">
        <v>121</v>
      </c>
      <c r="N45" s="148"/>
    </row>
    <row r="46" spans="2:16" ht="16.8" x14ac:dyDescent="0.3">
      <c r="B46" s="149" t="s">
        <v>120</v>
      </c>
      <c r="N46" s="148"/>
    </row>
    <row r="47" spans="2:16" x14ac:dyDescent="0.3">
      <c r="B47" s="146" t="s">
        <v>39</v>
      </c>
      <c r="C47" s="145"/>
      <c r="D47" s="145"/>
      <c r="E47" s="145"/>
      <c r="F47" s="145"/>
      <c r="G47" s="145"/>
      <c r="H47" s="145"/>
      <c r="I47" s="145"/>
      <c r="J47" s="145"/>
      <c r="K47" s="145"/>
      <c r="L47" s="145"/>
      <c r="M47" s="145"/>
      <c r="N47" s="144"/>
      <c r="O47" s="147"/>
    </row>
    <row r="48" spans="2:16" x14ac:dyDescent="0.3">
      <c r="B48" s="146" t="s">
        <v>40</v>
      </c>
      <c r="C48" s="145"/>
      <c r="D48" s="145"/>
      <c r="E48" s="145"/>
      <c r="F48" s="145"/>
      <c r="G48" s="145"/>
      <c r="H48" s="145"/>
      <c r="I48" s="145"/>
      <c r="J48" s="145"/>
      <c r="K48" s="145"/>
      <c r="L48" s="145"/>
      <c r="M48" s="145"/>
      <c r="N48" s="144"/>
      <c r="O48" s="147"/>
    </row>
    <row r="49" spans="2:14" x14ac:dyDescent="0.3">
      <c r="B49" s="146" t="s">
        <v>119</v>
      </c>
      <c r="C49" s="145"/>
      <c r="D49" s="145"/>
      <c r="E49" s="145"/>
      <c r="F49" s="145"/>
      <c r="G49" s="145"/>
      <c r="H49" s="145"/>
      <c r="I49" s="145"/>
      <c r="J49" s="145"/>
      <c r="K49" s="145"/>
      <c r="L49" s="145"/>
      <c r="M49" s="145"/>
      <c r="N49" s="144"/>
    </row>
    <row r="50" spans="2:14" ht="25.8" x14ac:dyDescent="0.3">
      <c r="C50" s="15" t="s">
        <v>41</v>
      </c>
    </row>
    <row r="51" spans="2:14" ht="25.8" x14ac:dyDescent="0.3">
      <c r="C51" s="15" t="s">
        <v>42</v>
      </c>
    </row>
    <row r="52" spans="2:14" ht="25.8" x14ac:dyDescent="0.3">
      <c r="C52" s="15" t="s">
        <v>43</v>
      </c>
    </row>
    <row r="53" spans="2:14" ht="25.8" x14ac:dyDescent="0.3">
      <c r="C53" s="15" t="s">
        <v>44</v>
      </c>
    </row>
    <row r="54" spans="2:14" ht="25.8" x14ac:dyDescent="0.3">
      <c r="C54" s="15" t="s">
        <v>45</v>
      </c>
    </row>
  </sheetData>
  <dataConsolidate/>
  <mergeCells count="11">
    <mergeCell ref="F8:G8"/>
    <mergeCell ref="F9:G9"/>
    <mergeCell ref="G19:I19"/>
    <mergeCell ref="B22:N22"/>
    <mergeCell ref="B30:N30"/>
    <mergeCell ref="B32:N32"/>
    <mergeCell ref="B33:N33"/>
    <mergeCell ref="B47:N47"/>
    <mergeCell ref="B48:N48"/>
    <mergeCell ref="B49:N49"/>
    <mergeCell ref="B31:N31"/>
  </mergeCells>
  <dataValidations count="11">
    <dataValidation type="list" allowBlank="1" showInputMessage="1" showErrorMessage="1" sqref="H34" xr:uid="{2F68B9EE-CAE0-47FE-9781-BAD6D067CD1D}">
      <formula1>"ALAA HAMMAD,KHALED QASSEM,RAMY RAOUF,SIMON LOBO,MHAREN CLEMENTE GARADO"</formula1>
    </dataValidation>
    <dataValidation type="list" allowBlank="1" showInputMessage="1" showErrorMessage="1" sqref="M34" xr:uid="{6E35F5BD-BA4B-4749-83C4-CC57FA1D0682}">
      <formula1>"Alaa Hammad,Bachir Ibrahim Mourad,Khaled Qassem,Ramy Raoof,Simon Lobo,Mharen Clemente Garado,Ranjith"</formula1>
    </dataValidation>
    <dataValidation type="list" allowBlank="1" showInputMessage="1" showErrorMessage="1" sqref="B11" xr:uid="{E05DCB98-87AF-42EB-BE79-AF0D371CE648}">
      <formula1>"FO Ceramic+ Intr&amp;Extr CeramicGold WdwTnt,FO Mirror Camera Sensor"</formula1>
    </dataValidation>
    <dataValidation type="list" allowBlank="1" showInputMessage="1" showErrorMessage="1" sqref="B12" xr:uid="{537F8888-849B-40B0-8B69-C54DBE605CCC}">
      <formula1>"FO Exterior ceramic All Cars SCOTCHGUARD,FO Mirror Camera Sensor,FO PPF Gold Package "</formula1>
    </dataValidation>
    <dataValidation type="list" allowBlank="1" showInputMessage="1" showErrorMessage="1" sqref="K20" xr:uid="{CF8CEBB0-DBFA-43B3-B707-2881E8519E4B}">
      <formula1>"Esaad,Emirates Platinum,Fazaa,Humat Alwatan,Permissible,ASX,XPMLP,XP,MON,MON G57,OUT,F08,P08,F06,P06,F03,F03-1,P03,EC,G37,G38,G40,G43"</formula1>
    </dataValidation>
    <dataValidation type="list" allowBlank="1" showInputMessage="1" showErrorMessage="1" sqref="B16" xr:uid="{E210FFA1-FA22-4039-AE5F-329272B7DF62}">
      <formula1>"RMC-10-40KMS,RMC-10-60KMS,RMC-10-70KMS,RMC-10-100000KMS,RMC-40-70KMS,RMC-40-100000KMS"</formula1>
    </dataValidation>
    <dataValidation type="list" allowBlank="1" showInputMessage="1" showErrorMessage="1" sqref="K24" xr:uid="{9FA0358B-E2EF-4B68-A183-844D2FDC5E07}">
      <formula1>"RMC-10-70K,RMC-10-100000K,RMC-40-70K"</formula1>
    </dataValidation>
    <dataValidation type="list" allowBlank="1" showInputMessage="1" showErrorMessage="1" sqref="D5" xr:uid="{41917803-B52E-4534-9687-2E0C5FA1EFA0}">
      <formula1>"MIG09,MIG10,H16,P16,H17,H48,H43,H40,H42,H44,H45,H38,H37,EH40,EH43,ML,HL,PR, MLP,HLP,PRP,XPML,XPHL,XPMLP, XPMLP-01,XC, G10,P10, G03, P03, G06,P06,G12,P12,G05,P05,G08,P08,G09,P09,H57,P57,H64,H59,P59,H61,P61"</formula1>
    </dataValidation>
    <dataValidation type="list" allowBlank="1" showInputMessage="1" showErrorMessage="1" sqref="M21" xr:uid="{C4B7DFE7-6661-41BC-8CFE-426933A9ADF0}">
      <formula1>"3000-4999,5000-9999,5000-99999,10000-14999,15000-24999,25000-34999,35000-99999,5000-11999,12000-19999,20000-39999,40000-69999,70000-99999"</formula1>
    </dataValidation>
    <dataValidation type="list" allowBlank="1" showInputMessage="1" showErrorMessage="1" sqref="C10:C16 L20 L24:L25 G14:G15 J10" xr:uid="{BBEF1CA0-D13D-4358-871D-54AAD49E4813}">
      <formula1>"YES,NO"</formula1>
    </dataValidation>
    <dataValidation type="list" allowBlank="1" showInputMessage="1" showErrorMessage="1" sqref="K21" xr:uid="{949BFE9B-4050-4829-B272-CC5EBD97C8F3}">
      <formula1>"ADCB,ADCB PAY IN 2027,Ajman Bank,ADIB,DIB EXPAT,DIB LOCAL GVH,Emirates NBD,EIB,FAB,RAK,SIB STL,SIB NON STL"</formula1>
    </dataValidation>
  </dataValidations>
  <pageMargins left="0.23622047244094491" right="0.23622047244094491" top="0.74803149606299213" bottom="0.74803149606299213" header="0.31496062992125984" footer="0.31496062992125984"/>
  <pageSetup paperSize="9" scale="40" orientation="landscape" horizontalDpi="4294967295" verticalDpi="4294967295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8C3024-CF5A-4E6C-8FBF-DBF5D21AC34C}">
  <sheetPr>
    <pageSetUpPr fitToPage="1"/>
  </sheetPr>
  <dimension ref="A1:AA54"/>
  <sheetViews>
    <sheetView topLeftCell="B1" zoomScaleNormal="100" workbookViewId="0">
      <selection activeCell="D5" sqref="D5"/>
    </sheetView>
  </sheetViews>
  <sheetFormatPr defaultColWidth="9.109375" defaultRowHeight="15.6" x14ac:dyDescent="0.3"/>
  <cols>
    <col min="1" max="1" width="16" style="1" hidden="1" customWidth="1"/>
    <col min="2" max="2" width="75.109375" style="2" customWidth="1"/>
    <col min="3" max="3" width="26.88671875" style="3" customWidth="1"/>
    <col min="4" max="4" width="23.88671875" style="2" customWidth="1"/>
    <col min="5" max="5" width="23.33203125" style="2" customWidth="1"/>
    <col min="6" max="6" width="19.88671875" style="2" customWidth="1"/>
    <col min="7" max="7" width="23.33203125" style="2" customWidth="1"/>
    <col min="8" max="8" width="24.44140625" style="2" customWidth="1"/>
    <col min="9" max="9" width="27.109375" style="2" customWidth="1"/>
    <col min="10" max="10" width="26.6640625" style="2" customWidth="1"/>
    <col min="11" max="11" width="25.44140625" style="2" customWidth="1"/>
    <col min="12" max="12" width="20.5546875" style="2" customWidth="1"/>
    <col min="13" max="13" width="20.109375" style="2" customWidth="1"/>
    <col min="14" max="14" width="19.5546875" style="2" customWidth="1"/>
    <col min="15" max="15" width="15.109375" style="2" bestFit="1" customWidth="1"/>
    <col min="16" max="16" width="12.6640625" style="2" hidden="1" customWidth="1"/>
    <col min="17" max="17" width="12.6640625" style="1" hidden="1" customWidth="1"/>
    <col min="18" max="18" width="15.6640625" style="1" hidden="1" customWidth="1"/>
    <col min="19" max="19" width="13" style="1" hidden="1" customWidth="1"/>
    <col min="20" max="20" width="17.109375" style="1" hidden="1" customWidth="1"/>
    <col min="21" max="21" width="14.5546875" style="1" bestFit="1" customWidth="1"/>
    <col min="22" max="22" width="19" style="1" customWidth="1"/>
    <col min="23" max="23" width="22.5546875" style="1" bestFit="1" customWidth="1"/>
    <col min="24" max="25" width="9.109375" style="1"/>
    <col min="26" max="26" width="14" style="1" bestFit="1" customWidth="1"/>
    <col min="27" max="27" width="22.33203125" style="1" bestFit="1" customWidth="1"/>
    <col min="28" max="16384" width="9.109375" style="1"/>
  </cols>
  <sheetData>
    <row r="1" spans="1:27" ht="15.75" customHeight="1" x14ac:dyDescent="0.3">
      <c r="B1" s="222" t="s">
        <v>148</v>
      </c>
      <c r="C1" s="221"/>
      <c r="D1" s="221"/>
      <c r="E1" s="221"/>
      <c r="F1" s="221"/>
      <c r="G1" s="221"/>
      <c r="H1" s="221"/>
      <c r="I1" s="221"/>
      <c r="J1" s="221"/>
      <c r="K1" s="221"/>
      <c r="L1" s="221"/>
      <c r="M1" s="221"/>
      <c r="N1" s="220"/>
    </row>
    <row r="2" spans="1:27" ht="15.75" customHeight="1" x14ac:dyDescent="0.3">
      <c r="B2" s="219" t="s">
        <v>147</v>
      </c>
      <c r="C2" s="218"/>
      <c r="D2" s="218"/>
      <c r="E2" s="218"/>
      <c r="F2" s="218"/>
      <c r="G2" s="218"/>
      <c r="H2" s="218"/>
      <c r="I2" s="218"/>
      <c r="J2" s="218"/>
      <c r="K2" s="218"/>
      <c r="L2" s="218"/>
      <c r="M2" s="218"/>
      <c r="N2" s="217"/>
      <c r="Q2" s="2"/>
      <c r="S2" s="186"/>
    </row>
    <row r="3" spans="1:27" ht="15.75" customHeight="1" x14ac:dyDescent="0.3">
      <c r="B3" s="219" t="s">
        <v>146</v>
      </c>
      <c r="C3" s="218"/>
      <c r="D3" s="218"/>
      <c r="E3" s="218"/>
      <c r="F3" s="218"/>
      <c r="G3" s="218"/>
      <c r="H3" s="218"/>
      <c r="I3" s="218"/>
      <c r="J3" s="218"/>
      <c r="K3" s="218"/>
      <c r="L3" s="218"/>
      <c r="M3" s="218"/>
      <c r="N3" s="217"/>
      <c r="O3" s="3"/>
      <c r="P3" s="3"/>
      <c r="Q3" s="153"/>
      <c r="R3" s="153"/>
      <c r="S3" s="216" t="e">
        <f>N7+J14</f>
        <v>#VALUE!</v>
      </c>
      <c r="T3" s="216"/>
      <c r="U3" s="153"/>
      <c r="V3" s="153"/>
      <c r="W3" s="153"/>
      <c r="AA3" s="1">
        <f>273000/5</f>
        <v>54600</v>
      </c>
    </row>
    <row r="4" spans="1:27" ht="15.75" customHeight="1" x14ac:dyDescent="0.3">
      <c r="B4" s="215"/>
      <c r="C4" s="214"/>
      <c r="D4" s="214"/>
      <c r="E4" s="214"/>
      <c r="F4" s="214"/>
      <c r="G4" s="214"/>
      <c r="H4" s="214"/>
      <c r="I4" s="214"/>
      <c r="J4" s="214"/>
      <c r="K4" s="214"/>
      <c r="L4" s="214"/>
      <c r="M4" s="214"/>
      <c r="N4" s="213"/>
      <c r="O4" s="212" t="s">
        <v>0</v>
      </c>
      <c r="P4" s="212"/>
      <c r="Q4" s="210"/>
      <c r="R4" s="210"/>
      <c r="S4" s="211"/>
      <c r="T4" s="211"/>
      <c r="U4" s="210" t="s">
        <v>1</v>
      </c>
      <c r="V4" s="210" t="s">
        <v>2</v>
      </c>
      <c r="W4" s="210" t="s">
        <v>3</v>
      </c>
    </row>
    <row r="5" spans="1:27" ht="25.2" thickBot="1" x14ac:dyDescent="0.45">
      <c r="B5" s="17"/>
      <c r="C5" s="18" t="str">
        <f>IF(D5="MIG09","Mirage G09",IF(D5="MIG10","MirageG10",IF(D5="H16","Attrage H16",IF(D5="P16","Attrage P16",IF(D5="H17","Attrage H17",IF(D5="H48","ASX H48",IF(D5="H43","ASX H43",IF(D5="H40","ASX H40",IF(D5="H42","ASX H42",IF(D5="H44","ASX H44",IF(D5="H45","ASX H45",IF(D5="H38","Eclipse H38",IF(D5="H37","Eclipse H37",IF(D5="EH40","Eclipse H40",IF(D5="EH43","Eclipse H43",IF(D5="XPML","Xpander ML",IF(D5="ML","Destinator ML",IF(D5="HL","Destinator HL",IF(D5="PR","Destinator PR",IF(D5="MLP","Destinator MLP",IF(D5="HLP","Destinator HLP",IF(D5="PRP","Destinator PRP",IF(D5="XPHL","Xpander HL",IF(D5="XPMLP","Xpander ML P",IF(D5="XPMLP-01","Xpander ML P-01",IF(D5="XC","Xpander Cross",IF(D5="G03","Outlander G03",IF(D5="P03","Outlander P03",IF(D5="G06","Outlander G06",IF(D5="P06","Outlander P06",IF(D5="OTP06-01","Outlander P06-01",IF(D5="G08","Outlander G08",IF(D5="P08","Outlander P08",IF(D5="H57","Montero H57",IF(D5="P57","Montero P57",IF(D5="H64","Montero G64",IF(D5="H59","Montero G59",IF(D5="P59","Montero G59 P",IF(D5="H61","Montero G61",IF(D5="P61","Montero P61",IF(D5="G10","Outlander G10",IF(D5="P10","Outlander P10",IF(D5="G12","Outlander G12",IF(D5="P12","Outlander P12",IF(D5="G05","Outlander G05",IF(D5="P05","Outlander P05",IF(D5="G09","Outlander G09",IF(D5="P09","Outlander P09",))))))))))))))))))))))))))))))))))))))))))))))))</f>
        <v>Destinator PRP</v>
      </c>
      <c r="D5" s="19" t="s">
        <v>174</v>
      </c>
      <c r="E5" s="20" t="s">
        <v>145</v>
      </c>
      <c r="F5" s="37"/>
      <c r="G5" s="37"/>
      <c r="H5" s="37"/>
      <c r="I5" s="20"/>
      <c r="J5" s="34"/>
      <c r="K5" s="209">
        <v>0</v>
      </c>
      <c r="L5" s="208">
        <v>3.39E-2</v>
      </c>
      <c r="M5" s="208">
        <v>6.7799999999999999E-2</v>
      </c>
      <c r="N5" s="208">
        <v>0.1017</v>
      </c>
      <c r="O5" s="147">
        <f>K7+K14</f>
        <v>13151.304823195002</v>
      </c>
      <c r="S5" s="186"/>
      <c r="U5" s="186">
        <f>L7+L14</f>
        <v>5429.7167545804177</v>
      </c>
      <c r="V5" s="186">
        <f>M7+M14</f>
        <v>3671.7513271075004</v>
      </c>
      <c r="W5" s="186">
        <f>N7+N14</f>
        <v>2581.0792379137501</v>
      </c>
    </row>
    <row r="6" spans="1:27" s="5" customFormat="1" ht="99" thickBot="1" x14ac:dyDescent="0.35">
      <c r="A6" s="4" t="s">
        <v>4</v>
      </c>
      <c r="B6" s="26" t="s">
        <v>5</v>
      </c>
      <c r="C6" s="27" t="s">
        <v>6</v>
      </c>
      <c r="D6" s="27" t="s">
        <v>144</v>
      </c>
      <c r="E6" s="27" t="s">
        <v>7</v>
      </c>
      <c r="F6" s="27" t="s">
        <v>8</v>
      </c>
      <c r="G6" s="28" t="s">
        <v>9</v>
      </c>
      <c r="H6" s="28" t="s">
        <v>143</v>
      </c>
      <c r="I6" s="28" t="s">
        <v>10</v>
      </c>
      <c r="J6" s="28" t="s">
        <v>142</v>
      </c>
      <c r="K6" s="28" t="s">
        <v>11</v>
      </c>
      <c r="L6" s="28" t="s">
        <v>12</v>
      </c>
      <c r="M6" s="28" t="s">
        <v>13</v>
      </c>
      <c r="N6" s="28" t="s">
        <v>14</v>
      </c>
      <c r="O6" s="207"/>
      <c r="P6" s="206"/>
      <c r="T6" s="205"/>
      <c r="U6" s="205">
        <f>N7+L14</f>
        <v>4290.2617479137507</v>
      </c>
      <c r="V6" s="205">
        <f>N7+K14</f>
        <v>10587.531058195002</v>
      </c>
      <c r="W6" s="205" t="e">
        <f>N7+J14</f>
        <v>#VALUE!</v>
      </c>
    </row>
    <row r="7" spans="1:27" ht="25.2" thickBot="1" x14ac:dyDescent="0.45">
      <c r="A7" s="6">
        <f>B8</f>
        <v>102900</v>
      </c>
      <c r="B7" s="29">
        <f>IF(L20="YES",C8*1,IF(L20="NO",B8*1))</f>
        <v>102900</v>
      </c>
      <c r="C7" s="29">
        <f>B7*5/100</f>
        <v>5145</v>
      </c>
      <c r="D7" s="203">
        <f>B7+C7</f>
        <v>108045</v>
      </c>
      <c r="E7" s="29">
        <f>D17</f>
        <v>19578.688249999999</v>
      </c>
      <c r="F7" s="29">
        <f>(C7)+(D10+D11+D12+D13+D16)*5/100</f>
        <v>5710</v>
      </c>
      <c r="G7" s="30">
        <f>B7+E7+F7</f>
        <v>128188.68825000001</v>
      </c>
      <c r="H7" s="29">
        <f>G7*D20</f>
        <v>25637.737650000003</v>
      </c>
      <c r="I7" s="30">
        <f>(G7-H7)</f>
        <v>102550.95060000001</v>
      </c>
      <c r="J7" s="30">
        <f>(((I7*D19)*1)+I7)/12</f>
        <v>8878.3485481950011</v>
      </c>
      <c r="K7" s="30">
        <f>(((I7*D19)*2)+I7)/24</f>
        <v>4605.3922731950006</v>
      </c>
      <c r="L7" s="30">
        <f>(((I7*D19)*3)+I7)/36</f>
        <v>3181.0735148616673</v>
      </c>
      <c r="M7" s="30">
        <f>(((I7*D19)*4)+I7)/48</f>
        <v>2468.9141356950004</v>
      </c>
      <c r="N7" s="30">
        <f>((((I7*D19)*5)+I7)/60)</f>
        <v>2041.6185081950002</v>
      </c>
      <c r="O7" s="147"/>
      <c r="P7" s="2">
        <f>H7+H16</f>
        <v>26714.522631300002</v>
      </c>
      <c r="T7" s="186">
        <f>25973/2</f>
        <v>12986.5</v>
      </c>
    </row>
    <row r="8" spans="1:27" ht="24.6" x14ac:dyDescent="0.4">
      <c r="A8" s="7">
        <v>0.2</v>
      </c>
      <c r="B8" s="31">
        <f>IF(D5="MIG09",39900,IF(D5="MIG10",41900,IF(D5="H16",41900,IF(D5="P16",47400,IF(D5="H17",47900,IF(D5="H48",67900,IF(D5="H43",70900,IF(D5="H40",72900,IF(D5="H42",74900,IF(D5="H44",73900,IF(D5="H45",79900,IF(D5="H38",86900,IF(D5="H37",79900,IF(D5="EH40",99900,IF(D5="EH43",106900,IF(D5="ML",71900,IF(D5="HL",83900,IF(D5="PR",95900,IF(D5="MLP",80900,IF(D5="HLP",91900,IF(D5="PRP",102900,IF(D5="XPML",69900,IF(D5="XPHL",71000,IF(D5="XPMLP",75900,IF(D5="XPMLP-01",77800,IF(D5="XC",84900,IF(D5="G10",81900,IF(D5="P10",93900,IF(D5="G12",97900,IF(D5="P12",105900,IF(D5="G05",104900,IF(D5="P05",105900,IF(D5="G03",92900,IF(D5="P03",100900,IF(D5="G06",109900,IF(D5="P06",114900,IF(D5="OTP06-01",118900,IF(D5="G08",125900,IF(D5="P08",132900,IF(D5="OTP06-01",109900,IF(D5="G09",129900,IF(D5="P09",134900,IF(D5="H57",105900,IF(D5="P57",113900,IF(D5="H64",116900,IF(D5="H59",127900,IF(D5="P59",134900,IF(D5="H61",134900,IF(D5="P61",138900)))))))))))))))))))))))))))))))))))))))))))))))))</f>
        <v>102900</v>
      </c>
      <c r="C8" s="32">
        <f>IF(L20="YES",N20,IF(L20="NO",N20))</f>
        <v>102900</v>
      </c>
      <c r="D8" s="29">
        <v>0</v>
      </c>
      <c r="E8" s="33"/>
      <c r="F8" s="139"/>
      <c r="G8" s="140"/>
      <c r="H8" s="110">
        <f>G7*20/100</f>
        <v>25637.737650000003</v>
      </c>
      <c r="I8" s="34"/>
      <c r="J8" s="34" t="s">
        <v>15</v>
      </c>
      <c r="K8" s="34">
        <f>(I7*K5+I7)/24</f>
        <v>4272.9562750000005</v>
      </c>
      <c r="L8" s="34">
        <f>(I7*L5+I7)/36</f>
        <v>2945.2063284816668</v>
      </c>
      <c r="M8" s="34">
        <f>(I7*M5+I7)/48</f>
        <v>2281.3313552225004</v>
      </c>
      <c r="N8" s="34">
        <f>(I7*N5+I7)/60</f>
        <v>1883.0063712670003</v>
      </c>
      <c r="O8" s="147">
        <v>0</v>
      </c>
      <c r="P8" s="2">
        <f>P7/12</f>
        <v>2226.2102192750003</v>
      </c>
      <c r="T8" s="1">
        <f>25973-12973</f>
        <v>13000</v>
      </c>
    </row>
    <row r="9" spans="1:27" ht="24.6" x14ac:dyDescent="0.4">
      <c r="A9" s="8">
        <f>B8/(100%-A8)</f>
        <v>128625</v>
      </c>
      <c r="B9" s="109">
        <f>B7-B8</f>
        <v>0</v>
      </c>
      <c r="C9" s="109"/>
      <c r="D9" s="36"/>
      <c r="E9" s="33"/>
      <c r="F9" s="139"/>
      <c r="G9" s="140"/>
      <c r="H9" s="33"/>
      <c r="I9" s="37" t="s">
        <v>16</v>
      </c>
      <c r="J9" s="38">
        <f>(J7*12)-I7</f>
        <v>3989.2319783400017</v>
      </c>
      <c r="K9" s="38">
        <f>(K7*24)-I7</f>
        <v>7978.4639566800033</v>
      </c>
      <c r="L9" s="38">
        <f>(L7*36)-I7</f>
        <v>11967.695935020005</v>
      </c>
      <c r="M9" s="38">
        <f>(M7*48)-I7</f>
        <v>15956.927913360007</v>
      </c>
      <c r="N9" s="38">
        <f>(N7*60)-I7</f>
        <v>19946.159891700008</v>
      </c>
      <c r="O9" s="147"/>
      <c r="T9" s="1">
        <f>T8/12</f>
        <v>1083.3333333333333</v>
      </c>
      <c r="Z9" s="1" t="s">
        <v>86</v>
      </c>
    </row>
    <row r="10" spans="1:27" ht="24.6" x14ac:dyDescent="0.4">
      <c r="A10" s="8"/>
      <c r="B10" s="37" t="s">
        <v>141</v>
      </c>
      <c r="C10" s="20" t="s">
        <v>17</v>
      </c>
      <c r="D10" s="36">
        <f>IF(C10="YES",700,IF(C10="NO",0))</f>
        <v>0</v>
      </c>
      <c r="E10" s="39"/>
      <c r="F10" s="40"/>
      <c r="G10" s="40"/>
      <c r="H10" s="33"/>
      <c r="I10" s="44" t="s">
        <v>85</v>
      </c>
      <c r="J10" s="117" t="s">
        <v>19</v>
      </c>
      <c r="K10" s="117">
        <f>IF(J10="YES",Z10,IF(J10="NO",0))</f>
        <v>1000</v>
      </c>
      <c r="L10" s="41">
        <f>(L8*36)-I7</f>
        <v>3476.4772253400006</v>
      </c>
      <c r="M10" s="41">
        <f>(M8*48)-I7</f>
        <v>6952.9544506800012</v>
      </c>
      <c r="N10" s="41">
        <f>(N8*60)-I7</f>
        <v>10429.431676020002</v>
      </c>
      <c r="O10" s="147">
        <f>IF(D5="XC",3690,IF(D5="XPML",3690,IF(D5="XPHL",3690,IF(D5="XPMLP",3690,IF(D5="XPMLP-01",3690,IF(D5="Xpander P",3690,IF(D5="ML",3690,IF(D5="HL",3690,IF(D5="PR",(U19*3/100+510)*1.05,IF(D5="MLP",3690,IF(D5="HLP",(U19*3/100+510)*1.05,IF(D5="PRP",(U19*3/100+510)*1.05,IF(D5="H57",(U19*2.75/100+510)*1.05,IF(D5="P57",(U19*2.75/100+510)*1.05,IF(D5="H64",(U19*2.75/100+510)*1.05,IF(D5="H59",(U19*2.75/100+510)*1.05,IF(D5="P59",(U19*2.75/100+510)*1.05,IF(D5="H61",(U19*2.75/100+510)*1.05,IF(D5="P61",(U19*2.75/100+510)*1.05,IF(D5="G03",(U19*3/100+510)*1.05,IF(D5="G10",(U19*3/100+510)*1.05,IF(D5="P10",(U19*3/100+510)*1.05,IF(D5="G12",(U19*3/100+510)*1.05,IF(D5="P12",(U19*3/100+510)*1.05,IF(D5="G05",(U19*3/100+510)*1.05,IF(D5="P05",(U19*3/100+510)*1.05,IF(D5="P03",(U19*3/100+510)*1.05,IF(D5="G06",(U19*3/100+510)*1.05,IF(D5="P06",(U19*3/100+510)*1.05,IF(D5="OTP06-01",(U19*3/100+510)*1.05,IF(D5="G08",(U19*3/100+510)*1.05,IF(D5="P08",(U19*3/100+510)*1.05,IF(D5="G09",(U19*3/100+510)*1.05,IF(D5="P09",(U19*3/100+510)*1.05,IF(D5="H38",3625,IF(D5="H37",3625,IF(D5="EH40",(U19*3/100+450)*1.05,IF(D5="EH43",(U19*3/100+450)*1.05,IF(D5="H48",3625,IF(D5="H43",3625,IF(D5="H40",3625,IF(D5="H42",3625,IF(D5="H44",3625,IF(D5="H45",3625,IF(D5="ASX HL 4WD",3625,IF(D5="H16",3625,IF(D5="H17",3625,IF(D5="P16",3625,IF(D5="Attrage S",3625,IF(D5="MIG09",3625,IF(D5="MIG10",3625,IF(D5="Xpander HL",3690))))))))))))))))))))))))))))))))))))))))))))))))))))</f>
        <v>4312.665</v>
      </c>
      <c r="P10" s="204"/>
      <c r="Q10" s="204">
        <f>5.25*3</f>
        <v>15.75</v>
      </c>
      <c r="Z10" s="1">
        <f>IF(D5="MIG09",1000,IF(D5="MIG10",1000,IF(D5="H16",1000,IF(D5="P16",1000,IF(D5="H17",1000,IF(D5="H48",1000,IF(D5="H43",1000,IF(D5="H40",1000,IF(D5="H42",1000,IF(D5="H44",1000,IF(D5="H45",1000,IF(D5="H38",1000,IF(D5="H37",1000,IF(D5="EH40",1000,IF(D5="EH43",1000,IF(D5="ML",1000,IF(D5="HL",1000,IF(D5="PR",1000,IF(D5="MLP",1000,IF(D5="HLP",1000,IF(D5="PRP",1000,IF(D5="XPML",1000,IF(D5="XPHL",1000,IF(D5="XPMLP",1000,IF(D5="XPMLP-01",1000,IF(D5="XC",1000,IF(D5="G10",1000,IF(D5="P10",1000,IF(D5="G12",1000,IF(D5="P12",1000,IF(D5="G05",1000,IF(D5="P05",1000,IF(D5="G03",1000,IF(D5="P03",1000,IF(D5="G06",1000,IF(D5="P06",1000,IF(D5="OTP06-01",1000,IF(D5="G08",1000,IF(D5="P08",1000,IF(D5="OTP06-01",1000,IF(D5="G09",1000,IF(D5="P09",1000,IF(D5="H57",1000,IF(D5="P57",1000,IF(D5="H64",1000,IF(D5="H59",1000,IF(D5="P59",1000,IF(D5="H61",1000,IF(D5="P61",1000)))))))))))))))))))))))))))))))))))))))))))))))))</f>
        <v>1000</v>
      </c>
    </row>
    <row r="11" spans="1:27" ht="24.6" x14ac:dyDescent="0.4">
      <c r="A11" s="8"/>
      <c r="B11" s="37" t="s">
        <v>18</v>
      </c>
      <c r="C11" s="20" t="s">
        <v>19</v>
      </c>
      <c r="D11" s="203">
        <f>IF(C11="YES",O17,IF(C11="NO",0))</f>
        <v>2700</v>
      </c>
      <c r="E11" s="39"/>
      <c r="F11" s="40"/>
      <c r="G11" s="40"/>
      <c r="H11" s="33"/>
      <c r="I11" s="33"/>
      <c r="J11" s="44" t="s">
        <v>76</v>
      </c>
      <c r="K11" s="44">
        <f>H8-K10</f>
        <v>24637.737650000003</v>
      </c>
      <c r="L11" s="37"/>
      <c r="M11" s="37"/>
      <c r="N11" s="38"/>
      <c r="O11" s="147">
        <f>IF(D5="XC",6100,IF(D5="XPML",6100,IF(D5="XPHL",6100,IF(D5="XPMLP",6100,IF(D5="XPMLP-01",6100,IF(D5="Xpander P",6100,IF(D5="ML",6600,IF(D5="HL",6600,IF(D5="PR",6600,IF(D5="MLP",6600,IF(D5="HLP",6600,IF(D5="PRP",6600,IF(D5="H57",5900,IF(D5="P57",5900,IF(D5="H64",5900,IF(D5="H59",5900,IF(D5="P59",5900,IF(D5="H61",5900,IF(D5="P61",5900,IF(D5="G03",6700,IF(D5="G10",6700,IF(D5="P10",6700,IF(D5="G12",6700,IF(D5="P12",6700,IF(D5="G05",6700,IF(D5="P05",6700,IF(D5="P03",6700,IF(D5="G06",6700,IF(D5="P06",6700,IF(D5="OTP06-01",6700,IF(D5="G08",6700,IF(D5="G09",6700,IF(D5="G08",6700,IF(D5="P08",6700,IF(D5="P09",6700,IF(D5="H37",6400,IF(D5="H38",6400,IF(D5="EH40",6400,IF(D5="EH43",6400,IF(D5="H48",6600,IF(D5="H43",6600,IF(D5="H40",6600,IF(D5="H42",6600,IF(D5="H44",6600,IF(D5="H45",6600,IF(D5="ASX HL 4WD",6600,IF(D5="H16",5400,IF(D5="H17",5400,IF(D5="P16",5400,IF(D5="Attrage S",5400,IF(D5="MIG09",5400,IF(D5="MIG10",5400,IF(D5="Xpander HL",6000)))))))))))))))))))))))))))))))))))))))))))))))))))))</f>
        <v>6600</v>
      </c>
      <c r="P11" s="147"/>
      <c r="Q11" s="147"/>
      <c r="R11" s="147"/>
      <c r="S11" s="147"/>
      <c r="T11" s="147"/>
      <c r="U11" s="147">
        <f>IF(D5="XC",4900,IF(D5="XPML",4900,IF(D5="XPHL",4900,IF(D5="XPMLP",4900,IF(D5="XPMLP-01",4900,IF(D5="Xpander P",4900,IF(D5="ML",5400,IF(D5="HL",5400,IF(D5="PR",5400,IF(D5="MLP",5400,IF(D5="HLP",5400,IF(D5="PRP",5400,IF(D5="H57",4600,IF(D5="P57",4600,IF(D5="MOG64",4600,IF(D5="H59",4600,IF(D5="P59",4600,IF(D5="H61",4600,IF(D5="P61",4600,IF(D5="G03",5500,IF(D5="P03",5500,IF(D5="G10",5500,IF(D5="P10",5500,IF(D5="G12",5500,IF(D5="P12",5500,IF(D5="G05",5500,IF(D5="P05",5500,IF(D5="G06",5500,IF(D5="P06",5500,IF(D5="OTP06-01",5500,IF(D5="F08",5500,IF(D5="P08",5500,IF(D5="G09",5500,IF(D5="P09",5500,IF(D5="H38",5200,IF(D5="H37",5200,IF(D5="EH40",5200,IF(D5="EH43",5200,IF(D5="H48",5300,IF(D5="H43",5300,IF(D5="H40",5300,IF(D5="H42",5300,IF(D5="H44",5300,IF(D5="H45",5300,IF(D5="ASX HL",5300,IF(D5="ASX P",5300,IF(D5="ASX HL 4WD",5300,IF(D5="H16",4200,IF(D5="H17",4200,IF(D5="P16",4200,IF(D5="Attrage S",4200,IF(D5="MIG09",4200,IF(D5="MIG10",4200,IF(D5="Xpander HL",4900))))))))))))))))))))))))))))))))))))))))))))))))))))))</f>
        <v>5400</v>
      </c>
      <c r="V11" s="147">
        <f>IF(D5="XC",9700,IF(D5="XPML",9700,IF(D5="XPHL",9700,IF(D5="XPMLP",9700,IF(D5="XPMLP-01",9700,IF(D5="XPMLP-01",9700,IF(D5="Xpander P",9700,IF(D5="ML",10800,IF(D5="HL",10800,IF(D5="PR",10800,IF(D5="MLP",10800,IF(D5="HLP",10800,IF(D5="PRP",10800,IF(D5="H57",9300,IF(D5="P57",9300,IF(D5="MG64",9300,IF(D5="H59",9300,IF(D5="P59",9300,IF(D5="H61",9300,IF(D5="P61",9300,IF(D5="G03",11000,IF(D5="G10",11000,IF(D5="P10",11000,IF(D5="G12",11000,IF(D5="P12",11000,IF(D5="G05",11000,IF(D5="P05",11000,IF(D5="P03",11000,IF(D5="G06",11000,IF(D5="P06",11000,IF(D5="OTP06-01",11000,IF(D5="G08",11000,IF(D5="P08",11000,IF(D5="G09",11000,IF(D5="P09",11000,IF(D5="H38",10400,IF(D5="H37",10400,IF(D5="EH40",10400,IF(D5="EH43",10400,IF(D5="H48",10700,IF(D5="H43",10700,IF(D5="H40",10700,IF(D5="H42",10700,IF(D5="H44",10800,IF(D5="H45",10800,IF(D5="ASX HL",12200,IF(D5="ASX P",12200,IF(D5="ASX HL 4WD",12200,IF(D5="H16",8500,IF(D5="H17",8500,IF(D5="P16",8500,IF(D5="Attrage S",9600,IF(D5="MIG09",8500,IF(D5="MIG10",8500,IF(D5="Xpander HL",11300)))))))))))))))))))))))))))))))))))))))))))))))))))))))</f>
        <v>10800</v>
      </c>
      <c r="W11" s="147">
        <f>IF(D5="XC",9200,IF(D5="XPML",9200,IF(D5="XPHL",9200,IF(D5="XPMLP",9200,IF(D5="XPMLP-01",9200,IF(D5="Xpander P",9200,IF(D5="ML",10000,IF(D5="HL",10000,IF(D5="PR",10000,IF(D5="MLP",10000,IF(D5="HLP",10000,IF(D5="PRP",10000,IF(D5="H57",8700,IF(D5="P57",8700,IF(D5="H64",8700,IF(D5="H59",8700,IF(D5="P59",8700,IF(D5="H61",8700,IF(D5="P61",8700,IF(D5="G03",10400,IF(D5="P03",10400,IF(D5="G10",10400,IF(D5="P10",10400,IF(D5="G12",10400,IF(D5="P12",10400,IF(D5="G05",10400,IF(D5="P05",10400,IF(D5="G06",10400,IF(D5="P06",10400,IF(D5="OTP06-01",10400,IF(D5="G08",10400,IF(D5="P08",10400,IF(D5="G09",10400,IF(D5="P09",10400,IF(D5="H38",9800,IF(D5="H37",9800,IF(D5="EH40",9800,IF(D5="EH43",9800,IF(D5="H48",10100,IF(D5="H43",10100,IF(D5="H40",10100,IF(D5="H42",10100,IF(D5="H44",10100,IF(D5="H45",10100,IF(D5="ASX HL",10100,IF(D5="ASX P",10100,IF(D5="ASX HL 4WD",10100,IF(D5="H16",7900,IF(D5="H17",7900,IF(D5="P16",7900,IF(D5="Attrage S",7900,IF(D5="MIG09",7900,IF(D5="MIG10",7900,IF(D5="Xpander HL",9200))))))))))))))))))))))))))))))))))))))))))))))))))))))</f>
        <v>10000</v>
      </c>
      <c r="X11" s="147">
        <f>IF(D5="XC",4500,IF(D5="XPML",4500,IF(D5="XPHL",4500,IF(D5="XPMLP",4500,IF(D5="XPMLP-01",4500,IF(D5="Xpander P",4500,IF(D5="ML",5000,IF(D5="HL",5000,IF(D5="PR",5000,IF(D5="MLP",5000,IF(D5="HLP",5000,IF(D5="PRP",5000,IF(D5="H57",8700,IF(D5="P57",8700,IF(D5="MOG64",4300,IF(D5="H59",4300,IF(D5="P59",4300,IF(D5="H61",4300,IF(D5="P61",4300,IF(D5="G03",5000,IF(D5="P03",5000,IF(D5="G10",5000,IF(D5="P10",5000,IF(D5="G12",5000,IF(D5="P12",5000,IF(D5="G05",5000,IF(D5="P05",5000,IF(D5="G06",5000,IF(D5="P06",5000,IF(D5="OTP06-01",5000,IF(D5="G08",5000,IF(D5="P08",5000,IF(D5="G09",5000,IF(D5="P09",5000,IF(D5="H38",4900,IF(D5="H37",4900,IF(D5="EH40",4900,IF(D5="EH43",4900,IF(D5="H48",4900,IF(D5="H43",4900,IF(D5="H40",4900,IF(D5="H42",4900,IF(D5="H44",4900,IF(D5="H45",4900,IF(D5="ASX HL",4900,IF(D5="ASX P",4900,IF(D5="ASX HL 4WD",4900,IF(D5="H16",3700,IF(D5="H17",3700,IF(D5="P16",3700,IF(D5="Attrage S",3700,IF(D5="MIG09",3700,IF(D5="MIG10",3700,IF(D5="Xpander HL",4500))))))))))))))))))))))))))))))))))))))))))))))))))))))</f>
        <v>5000</v>
      </c>
      <c r="Y11" s="147">
        <f>IF(D5="XC",5400,IF(D5="XPML ",5400,IF(D5="XPHL",5400,IF(D5="XPMLP",5400,IF(D5="XPMLP-01",5400,IF(D5="Xpander P",5400,IF(D5="ML",6000,IF(D5="HL",6000,IF(D5="PR",6000,IF(D5="MLP",6000,IF(D5="HLP",6000,IF(D5="PRP",6000,IF(D5="H57",5200,IF(D5="57",5200,IF(D5="H64",5200,IF(D5="H59",5200,IF(D5="P59",5200,IF(D5="H61",5200,IF(D5="P61",5200,IF(D5="G03",6000,IF(D5="P03",6000,IF(D5="G10",6000,IF(D5="P10",6000,IF(D5="G12",6000,IF(D5="P12",6000,IF(D5="G05",6000,IF(D5="P05",6000,IF(D5="G06",6000,IF(D5="P06",6000,IF(D5="OTP06-01",6000,IF(D5="G08",6000,IF(D5="P08",6000,IF(D5="G09",6000,IF(D5="P09",6000,IF(D5="H38",5700,IF(D5="H37",5700,IF(D5="EH40",5700,IF(D5="EH43",5700,IF(D5="H48",5900,IF(D5="H43",5900,IF(D5="H40",5900,IF(D5="H42",5900,IF(D5="H44",5900,IF(D5="H45",5900,IF(D5="ASX HL",5900,IF(D5="ASX P",5900,IF(D5="ASX HL 4WD",5900,IF(D5="H16",4500,IF(D5="H17",4500,IF(D5="P16",4500,IF(D5="Attrage S",4500,IF(D5="MIG09",4500,IF(D5="MIG10",4500,IF(D5="Xpander HL",5400))))))))))))))))))))))))))))))))))))))))))))))))))))))</f>
        <v>6000</v>
      </c>
    </row>
    <row r="12" spans="1:27" ht="24.6" x14ac:dyDescent="0.4">
      <c r="A12" s="8"/>
      <c r="B12" s="37" t="s">
        <v>20</v>
      </c>
      <c r="C12" s="20" t="s">
        <v>17</v>
      </c>
      <c r="D12" s="36">
        <f>IF(C12="YES",2000,IF(C12="NO",0))</f>
        <v>0</v>
      </c>
      <c r="E12" s="43"/>
      <c r="F12" s="43" t="s">
        <v>21</v>
      </c>
      <c r="G12" s="40"/>
      <c r="H12" s="33">
        <v>600</v>
      </c>
      <c r="I12" s="33"/>
      <c r="J12" s="202" t="s">
        <v>140</v>
      </c>
      <c r="K12" s="45">
        <v>0</v>
      </c>
      <c r="L12" s="45">
        <v>5.2499999999999998E-2</v>
      </c>
      <c r="M12" s="45">
        <v>0.126</v>
      </c>
      <c r="N12" s="201">
        <v>0.26250000000000001</v>
      </c>
      <c r="O12" s="147">
        <f>IF(K20="Esaad",B8*3/100,IF(K20="Emirates Platinum",B8*3/100,IF(K20="Fazaa",B8*3/100,IF(K20="Humat Alwatan",B8*3/100,IF(K20="Permissible",2000,IF(K20="ASX",8400,IF(K20="XPMLP",15100,IF(K20="XP",7200,IF(K20="G43",11000,IF(K20="EC",17000,IF(K20="G37",17000,IF(K20="G38",15000,IF(K20="G40",11000,IF(K20="OUT",3000,IF(K20="F08",14400,IF(K20="P08",11100,IF(K20="F06",13100,IF(K20="P06",13400,IF(K20="F03",3500,IF(K20="F03-1",13500,IF(K20="P03",13100,IF(K20="MON",10000,IF(K20="MON G57",9000,0)))))))))))))))))))))))</f>
        <v>2000</v>
      </c>
      <c r="Z12" s="86" t="s">
        <v>83</v>
      </c>
      <c r="AA12" s="86" t="s">
        <v>84</v>
      </c>
    </row>
    <row r="13" spans="1:27" ht="24.6" x14ac:dyDescent="0.4">
      <c r="A13" s="8">
        <f>B8*1.26582</f>
        <v>130252.878</v>
      </c>
      <c r="B13" s="37" t="s">
        <v>23</v>
      </c>
      <c r="C13" s="20" t="s">
        <v>19</v>
      </c>
      <c r="D13" s="36">
        <f>IF(C13="YES",2000,IF(C13="NO",0))</f>
        <v>2000</v>
      </c>
      <c r="E13" s="47"/>
      <c r="F13" s="47" t="s">
        <v>75</v>
      </c>
      <c r="G13" s="51"/>
      <c r="H13" s="39">
        <v>315</v>
      </c>
      <c r="I13" s="33"/>
      <c r="J13" s="44" t="s">
        <v>54</v>
      </c>
      <c r="K13" s="29" t="s">
        <v>79</v>
      </c>
      <c r="L13" s="29" t="s">
        <v>25</v>
      </c>
      <c r="M13" s="29" t="s">
        <v>0</v>
      </c>
      <c r="N13" s="57" t="s">
        <v>26</v>
      </c>
      <c r="O13" s="9">
        <f>IF(M21="3000-4999",6%,IF(M21="5000-9999",4.75%,IF(M21="10000-14999",3.15%,IF(M21="15000-24999",2.5%,IF(M21="25000-34999",2.25%,IF(M21="35000-99999",2.15%))))))</f>
        <v>4.7500000000000001E-2</v>
      </c>
      <c r="Q13" s="2">
        <f>H7/12</f>
        <v>2136.4781375000002</v>
      </c>
      <c r="U13" s="9">
        <f>IF(M21="3000-4999",6%,IF(M21="5000-9999",3.25%,IF(M21="10000-14999",3%,IF(M21="15000-24999",2.25%,IF(M21="25000-34999",2.15%,IF(M21="35000-99999",1.99%))))))</f>
        <v>3.2500000000000001E-2</v>
      </c>
      <c r="Z13" s="99">
        <f>IF(M21="5000-9999",2.49%,IF(M21="10000-19999",2.19%,IF(M21="20000-34999",2.09%,IF(M21="35000-49999",1.89%,IF(M21="50000-99999",1.79%)))))</f>
        <v>2.4900000000000002E-2</v>
      </c>
      <c r="AA13" s="99">
        <f>IF(M21="5000-9999",2.59%,IF(M21="10000-19999",2.29%,IF(M21="20000-34999",2.19%,IF(M21="35000-49999",1.99%,IF(M21="50000-99999",1.89%)))))</f>
        <v>2.5899999999999999E-2</v>
      </c>
    </row>
    <row r="14" spans="1:27" ht="24.6" x14ac:dyDescent="0.4">
      <c r="A14" s="10" t="s">
        <v>27</v>
      </c>
      <c r="B14" s="37" t="s">
        <v>24</v>
      </c>
      <c r="C14" s="20" t="s">
        <v>19</v>
      </c>
      <c r="D14" s="50">
        <f>IF(C14="YES",U19*3.15*1.05/100,IF(C14="NO",U19*0/100))</f>
        <v>3966.0232500000002</v>
      </c>
      <c r="E14" s="48"/>
      <c r="F14" s="48" t="s">
        <v>24</v>
      </c>
      <c r="G14" s="51" t="s">
        <v>17</v>
      </c>
      <c r="H14" s="39">
        <f>IF(G14="YES",U19*3.15*1.05/100,IF(G14="NO",U19*0/100))</f>
        <v>0</v>
      </c>
      <c r="I14" s="33"/>
      <c r="J14" s="44" t="s">
        <v>55</v>
      </c>
      <c r="K14" s="44">
        <f>(H8*K12+H8)/3</f>
        <v>8545.9125500000009</v>
      </c>
      <c r="L14" s="44">
        <f>(H8*L12+H8)/12</f>
        <v>2248.6432397187505</v>
      </c>
      <c r="M14" s="44">
        <f>(H8*M12+H8)/24</f>
        <v>1202.8371914125003</v>
      </c>
      <c r="N14" s="200">
        <f>(H7*N12+H7)/60</f>
        <v>539.46072971875003</v>
      </c>
      <c r="O14" s="9">
        <f>IF(M21="3000-4999",3.89%,IF(M21="5000-9999",3.89%,IF(M21="10000-14999",3.89%,IF(M21="15000-24999",2.69%,IF(M21="25000-34999",2.69%,IF(M21="35000-99999",2.39%,IF(M21="76000-99999",2.5%)))))))</f>
        <v>3.8900000000000004E-2</v>
      </c>
    </row>
    <row r="15" spans="1:27" ht="24.6" x14ac:dyDescent="0.4">
      <c r="A15" s="11">
        <f>(B7*3%)+10+120</f>
        <v>3217</v>
      </c>
      <c r="B15" s="37" t="s">
        <v>28</v>
      </c>
      <c r="C15" s="20" t="s">
        <v>19</v>
      </c>
      <c r="D15" s="29">
        <f>IF(C15="YES",O10,IF(C15="NO",0))</f>
        <v>4312.665</v>
      </c>
      <c r="E15" s="48"/>
      <c r="F15" s="48" t="s">
        <v>53</v>
      </c>
      <c r="G15" s="51" t="s">
        <v>17</v>
      </c>
      <c r="H15" s="39">
        <f>IF(G15="YES",O10,IF(G15="NO",0))</f>
        <v>0</v>
      </c>
      <c r="I15" s="33"/>
      <c r="J15" s="44"/>
      <c r="K15" s="44"/>
      <c r="L15" s="44"/>
      <c r="M15" s="44"/>
      <c r="N15" s="198"/>
      <c r="O15" s="9" t="b">
        <f>IF(M21="3000-4999",4.99%, IF(M21="5000-11999",2.75%,IF(M21="12000-19999",2.75%,IF(M21="20000-39999",2.25%,IF(M21="40000-69999",2.25%,IF(M21="70000-99999",2.25%))))))</f>
        <v>0</v>
      </c>
      <c r="P15" s="191"/>
    </row>
    <row r="16" spans="1:27" ht="24.6" x14ac:dyDescent="0.4">
      <c r="A16" s="11">
        <f>((B7-B8)*3%+10+120)</f>
        <v>130</v>
      </c>
      <c r="B16" s="37" t="s">
        <v>78</v>
      </c>
      <c r="C16" s="20" t="s">
        <v>19</v>
      </c>
      <c r="D16" s="29">
        <f>IF(C16="YES",O16,IF(C16="NO",0))</f>
        <v>6600</v>
      </c>
      <c r="E16" s="47"/>
      <c r="F16" s="47" t="s">
        <v>74</v>
      </c>
      <c r="G16" s="54"/>
      <c r="H16" s="33">
        <f>I7*1.05%</f>
        <v>1076.7849813000003</v>
      </c>
      <c r="I16" s="33"/>
      <c r="J16" s="44" t="s">
        <v>16</v>
      </c>
      <c r="K16" s="44">
        <f>(K14*3)-H8</f>
        <v>0</v>
      </c>
      <c r="L16" s="44">
        <f>(L14*12)-H8</f>
        <v>1345.981226625001</v>
      </c>
      <c r="M16" s="44">
        <f>(M14*24)-H8</f>
        <v>3230.3549439000053</v>
      </c>
      <c r="N16" s="198"/>
      <c r="O16" s="147">
        <f>IF(B16="RMC-10-70KMS",O11,IF(B16="RMC-10-100000KMS",V11,IF(B16="RMC-40-70KMS",U11, IF(B16="RMC-10-40KMS",X11, IF(B16="RMC-10-60KMS",Y11, IF(B16="RMC-40-100000KMS",W11,0))))))</f>
        <v>6600</v>
      </c>
    </row>
    <row r="17" spans="1:23" ht="24.6" x14ac:dyDescent="0.4">
      <c r="A17" s="11">
        <f>A15+A16</f>
        <v>3347</v>
      </c>
      <c r="B17" s="37"/>
      <c r="C17" s="20"/>
      <c r="D17" s="29">
        <f>SUM(D10:D16)</f>
        <v>19578.688249999999</v>
      </c>
      <c r="E17" s="48"/>
      <c r="F17" s="48"/>
      <c r="G17" s="54"/>
      <c r="H17" s="33">
        <f>+SUM(H12:H16)+(H7)</f>
        <v>27629.522631300002</v>
      </c>
      <c r="I17" s="33"/>
      <c r="J17" s="20"/>
      <c r="K17" s="199"/>
      <c r="L17" s="199"/>
      <c r="M17" s="199"/>
      <c r="N17" s="198"/>
      <c r="O17" s="147">
        <f>IF(B11="FO Ceramic+ Intr&amp;Extr CeramicGold WdwTnt",2700,IF(B11="FO Mirror Camera Sensor",2000))</f>
        <v>2700</v>
      </c>
      <c r="T17" s="1">
        <f>19615-791</f>
        <v>18824</v>
      </c>
    </row>
    <row r="18" spans="1:23" ht="24.6" x14ac:dyDescent="0.4">
      <c r="A18" s="12" t="s">
        <v>29</v>
      </c>
      <c r="B18" s="55" t="s">
        <v>30</v>
      </c>
      <c r="C18" s="197"/>
      <c r="D18" s="57">
        <v>0</v>
      </c>
      <c r="E18" s="38"/>
      <c r="F18" s="20"/>
      <c r="G18" s="20"/>
      <c r="H18" s="37"/>
      <c r="I18" s="37"/>
      <c r="J18" s="37"/>
      <c r="K18" s="37"/>
      <c r="L18" s="37"/>
      <c r="M18" s="37"/>
      <c r="N18" s="37"/>
      <c r="O18" s="9" t="b">
        <f>IF(M21="5000-99999",1.99%)</f>
        <v>0</v>
      </c>
      <c r="U18" s="196" t="s">
        <v>52</v>
      </c>
      <c r="V18" s="196" t="s">
        <v>52</v>
      </c>
    </row>
    <row r="19" spans="1:23" ht="24.6" x14ac:dyDescent="0.4">
      <c r="A19" s="11">
        <f>B8*3.15%</f>
        <v>3241.35</v>
      </c>
      <c r="B19" s="58" t="s">
        <v>31</v>
      </c>
      <c r="C19" s="59"/>
      <c r="D19" s="60">
        <f>IF(K21="DIB EXPAT",O13,IF(K21="DIB LOCAL GVH",U13,IF(K21="Emirates NBD",O14,IF(K21="ADCB",O15,IF(K21="ADCB PAY IN 2027",O19,IF(K21="Ajman Bank",O18,IF(K21="SIB STL",Z13,IF(K21="SIB NON STL",AA13,))))))))</f>
        <v>3.8900000000000004E-2</v>
      </c>
      <c r="E19" s="20"/>
      <c r="F19" s="195"/>
      <c r="G19" s="141" t="s">
        <v>73</v>
      </c>
      <c r="H19" s="142"/>
      <c r="I19" s="143"/>
      <c r="J19" s="109">
        <f>(U19*20/100)/365</f>
        <v>65.704109589041096</v>
      </c>
      <c r="K19" s="37"/>
      <c r="L19" s="37"/>
      <c r="M19" s="37"/>
      <c r="N19" s="34">
        <f>D7</f>
        <v>108045</v>
      </c>
      <c r="O19" s="194" t="b">
        <f>IF(M21="5000-11999",3.35%,IF(M21="12000-19999",3.35%,IF(M21="20000-39999",2.85%,IF(M21="40000-69999",2.85%,IF(M21="70000-99999",2.85%)))))</f>
        <v>0</v>
      </c>
      <c r="P19" s="2">
        <f>81400-2500</f>
        <v>78900</v>
      </c>
      <c r="U19" s="193">
        <f>V19</f>
        <v>119910</v>
      </c>
      <c r="V19" s="192">
        <f>(B7+D10+D11+D12+D13+D16)*1.05</f>
        <v>119910</v>
      </c>
    </row>
    <row r="20" spans="1:23" ht="24.6" x14ac:dyDescent="0.4">
      <c r="A20" s="11"/>
      <c r="B20" s="58" t="s">
        <v>32</v>
      </c>
      <c r="C20" s="59"/>
      <c r="D20" s="63">
        <v>0.2</v>
      </c>
      <c r="E20" s="37"/>
      <c r="F20" s="37"/>
      <c r="G20" s="38"/>
      <c r="H20" s="38"/>
      <c r="I20" s="38"/>
      <c r="J20" s="103"/>
      <c r="K20" s="104" t="s">
        <v>33</v>
      </c>
      <c r="L20" s="104" t="s">
        <v>17</v>
      </c>
      <c r="M20" s="104">
        <f>IF(L20="YES",O12,IF(L20="NO",0))</f>
        <v>0</v>
      </c>
      <c r="N20" s="34">
        <f>B8-M20</f>
        <v>102900</v>
      </c>
      <c r="O20" s="187"/>
      <c r="P20" s="191"/>
      <c r="T20" s="1">
        <f>1992+1084</f>
        <v>3076</v>
      </c>
      <c r="U20" s="186"/>
      <c r="V20" s="2"/>
    </row>
    <row r="21" spans="1:23" ht="24.6" x14ac:dyDescent="0.4">
      <c r="A21" s="13">
        <f>A19+A20</f>
        <v>3241.35</v>
      </c>
      <c r="B21" s="37"/>
      <c r="C21" s="20"/>
      <c r="D21" s="37"/>
      <c r="E21" s="37"/>
      <c r="F21" s="37"/>
      <c r="G21" s="37"/>
      <c r="H21" s="37"/>
      <c r="I21" s="37"/>
      <c r="J21" s="190" t="s">
        <v>34</v>
      </c>
      <c r="K21" s="16" t="s">
        <v>139</v>
      </c>
      <c r="L21" s="16" t="s">
        <v>35</v>
      </c>
      <c r="M21" s="189" t="s">
        <v>80</v>
      </c>
      <c r="N21" s="188"/>
      <c r="O21" s="187"/>
      <c r="T21" s="1">
        <f>25973-12973</f>
        <v>13000</v>
      </c>
      <c r="U21" s="186">
        <f>M14+N7</f>
        <v>3244.4556996075007</v>
      </c>
    </row>
    <row r="22" spans="1:23" s="179" customFormat="1" ht="24.6" x14ac:dyDescent="0.4">
      <c r="A22" s="185"/>
      <c r="B22" s="184" t="s">
        <v>51</v>
      </c>
      <c r="C22" s="183"/>
      <c r="D22" s="183"/>
      <c r="E22" s="183"/>
      <c r="F22" s="183"/>
      <c r="G22" s="183"/>
      <c r="H22" s="183"/>
      <c r="I22" s="183"/>
      <c r="J22" s="183"/>
      <c r="K22" s="183"/>
      <c r="L22" s="183"/>
      <c r="M22" s="183"/>
      <c r="N22" s="182"/>
      <c r="O22" s="181"/>
      <c r="P22" s="180"/>
    </row>
    <row r="23" spans="1:23" s="168" customFormat="1" ht="26.4" x14ac:dyDescent="0.5">
      <c r="A23" s="175" t="s">
        <v>36</v>
      </c>
      <c r="B23" s="172" t="s">
        <v>138</v>
      </c>
      <c r="C23" s="169"/>
      <c r="D23" s="169"/>
      <c r="E23" s="169"/>
      <c r="F23" s="169"/>
      <c r="G23" s="169"/>
      <c r="H23" s="176"/>
      <c r="I23" s="176"/>
      <c r="J23" s="169"/>
      <c r="K23" s="169"/>
      <c r="L23" s="169"/>
      <c r="M23" s="169"/>
      <c r="N23" s="178"/>
      <c r="O23" s="170"/>
      <c r="P23" s="169"/>
    </row>
    <row r="24" spans="1:23" s="168" customFormat="1" ht="26.4" x14ac:dyDescent="0.5">
      <c r="A24" s="175" t="s">
        <v>36</v>
      </c>
      <c r="B24" s="172" t="s">
        <v>137</v>
      </c>
      <c r="C24" s="169"/>
      <c r="D24" s="169"/>
      <c r="E24" s="169"/>
      <c r="F24" s="169"/>
      <c r="G24" s="169"/>
      <c r="H24" s="177">
        <f>H7/365</f>
        <v>70.240377123287672</v>
      </c>
      <c r="I24" s="177">
        <f>H7+H12+H16</f>
        <v>27314.522631300002</v>
      </c>
      <c r="J24" s="169"/>
      <c r="K24" s="169"/>
      <c r="L24" s="169"/>
      <c r="M24" s="169"/>
      <c r="N24" s="173"/>
      <c r="O24" s="170"/>
      <c r="P24" s="169">
        <f>1232+480</f>
        <v>1712</v>
      </c>
      <c r="T24" s="168">
        <f>88704/1.05</f>
        <v>84480</v>
      </c>
    </row>
    <row r="25" spans="1:23" s="168" customFormat="1" ht="26.4" x14ac:dyDescent="0.5">
      <c r="A25" s="175" t="s">
        <v>36</v>
      </c>
      <c r="B25" s="172" t="s">
        <v>136</v>
      </c>
      <c r="C25" s="169"/>
      <c r="D25" s="169"/>
      <c r="E25" s="169"/>
      <c r="F25" s="169"/>
      <c r="G25" s="169"/>
      <c r="H25" s="176"/>
      <c r="I25" s="176"/>
      <c r="J25" s="169"/>
      <c r="K25" s="169"/>
      <c r="L25" s="169"/>
      <c r="M25" s="169"/>
      <c r="N25" s="173"/>
      <c r="O25" s="170"/>
      <c r="P25" s="169"/>
      <c r="Q25" s="168">
        <f>79400-5233.33</f>
        <v>74166.67</v>
      </c>
      <c r="R25" s="168">
        <f>Q25*1.05</f>
        <v>77875.003500000006</v>
      </c>
      <c r="W25" s="168">
        <f>1999+1224</f>
        <v>3223</v>
      </c>
    </row>
    <row r="26" spans="1:23" s="168" customFormat="1" ht="26.4" x14ac:dyDescent="0.5">
      <c r="A26" s="175" t="s">
        <v>36</v>
      </c>
      <c r="B26" s="172" t="s">
        <v>135</v>
      </c>
      <c r="C26" s="169"/>
      <c r="D26" s="169"/>
      <c r="E26" s="169"/>
      <c r="F26" s="169"/>
      <c r="G26" s="169"/>
      <c r="H26" s="169"/>
      <c r="I26" s="169"/>
      <c r="J26" s="169"/>
      <c r="K26" s="169"/>
      <c r="L26" s="169"/>
      <c r="M26" s="169"/>
      <c r="N26" s="173"/>
      <c r="O26" s="170" t="s">
        <v>37</v>
      </c>
      <c r="P26" s="169"/>
      <c r="R26" s="168">
        <f>R25+2469</f>
        <v>80344.003500000006</v>
      </c>
    </row>
    <row r="27" spans="1:23" s="168" customFormat="1" ht="26.4" x14ac:dyDescent="0.5">
      <c r="A27" s="175" t="s">
        <v>36</v>
      </c>
      <c r="B27" s="172" t="s">
        <v>134</v>
      </c>
      <c r="C27" s="169"/>
      <c r="D27" s="169"/>
      <c r="E27" s="169"/>
      <c r="F27" s="169"/>
      <c r="G27" s="169"/>
      <c r="H27" s="169"/>
      <c r="I27" s="169"/>
      <c r="J27" s="169"/>
      <c r="K27" s="169"/>
      <c r="L27" s="169"/>
      <c r="M27" s="169"/>
      <c r="N27" s="173"/>
      <c r="O27" s="170">
        <f>129500-110900</f>
        <v>18600</v>
      </c>
      <c r="P27" s="169"/>
      <c r="W27" s="174">
        <f>N7+L14</f>
        <v>4290.2617479137507</v>
      </c>
    </row>
    <row r="28" spans="1:23" s="168" customFormat="1" ht="26.4" x14ac:dyDescent="0.5">
      <c r="B28" s="172" t="s">
        <v>133</v>
      </c>
      <c r="C28" s="169"/>
      <c r="D28" s="169"/>
      <c r="E28" s="169"/>
      <c r="F28" s="169"/>
      <c r="G28" s="169"/>
      <c r="H28" s="169"/>
      <c r="I28" s="169"/>
      <c r="J28" s="169"/>
      <c r="K28" s="169"/>
      <c r="L28" s="169"/>
      <c r="M28" s="169"/>
      <c r="N28" s="173"/>
      <c r="O28" s="170">
        <f>85000-69900</f>
        <v>15100</v>
      </c>
      <c r="P28" s="169"/>
    </row>
    <row r="29" spans="1:23" s="168" customFormat="1" ht="26.4" x14ac:dyDescent="0.5">
      <c r="B29" s="172" t="s">
        <v>132</v>
      </c>
      <c r="C29" s="169"/>
      <c r="D29" s="169"/>
      <c r="E29" s="169"/>
      <c r="F29" s="169"/>
      <c r="G29" s="169"/>
      <c r="H29" s="169"/>
      <c r="I29" s="169"/>
      <c r="J29" s="169"/>
      <c r="K29" s="169"/>
      <c r="L29" s="169"/>
      <c r="M29" s="169"/>
      <c r="N29" s="171"/>
      <c r="O29" s="170"/>
      <c r="P29" s="169"/>
    </row>
    <row r="30" spans="1:23" x14ac:dyDescent="0.3">
      <c r="B30" s="167" t="s">
        <v>38</v>
      </c>
      <c r="C30" s="166"/>
      <c r="D30" s="166"/>
      <c r="E30" s="166"/>
      <c r="F30" s="166"/>
      <c r="G30" s="166"/>
      <c r="H30" s="166"/>
      <c r="I30" s="166"/>
      <c r="J30" s="166"/>
      <c r="K30" s="166"/>
      <c r="L30" s="166"/>
      <c r="M30" s="166"/>
      <c r="N30" s="165"/>
      <c r="O30" s="147"/>
    </row>
    <row r="31" spans="1:23" x14ac:dyDescent="0.3">
      <c r="B31" s="146"/>
      <c r="C31" s="145"/>
      <c r="D31" s="145"/>
      <c r="E31" s="145"/>
      <c r="F31" s="145"/>
      <c r="G31" s="145"/>
      <c r="H31" s="145"/>
      <c r="I31" s="145"/>
      <c r="J31" s="145"/>
      <c r="K31" s="145"/>
      <c r="L31" s="145"/>
      <c r="M31" s="145"/>
      <c r="N31" s="144"/>
      <c r="O31" s="147"/>
    </row>
    <row r="32" spans="1:23" s="86" customFormat="1" ht="20.399999999999999" x14ac:dyDescent="0.35">
      <c r="B32" s="118" t="s">
        <v>39</v>
      </c>
      <c r="C32" s="119"/>
      <c r="D32" s="119"/>
      <c r="E32" s="119"/>
      <c r="F32" s="119"/>
      <c r="G32" s="119"/>
      <c r="H32" s="119"/>
      <c r="I32" s="119"/>
      <c r="J32" s="119"/>
      <c r="K32" s="119"/>
      <c r="L32" s="119"/>
      <c r="M32" s="119"/>
      <c r="N32" s="120"/>
      <c r="O32" s="92"/>
      <c r="P32" s="83"/>
    </row>
    <row r="33" spans="2:16" s="86" customFormat="1" ht="20.399999999999999" x14ac:dyDescent="0.35">
      <c r="B33" s="118" t="s">
        <v>40</v>
      </c>
      <c r="C33" s="119"/>
      <c r="D33" s="119"/>
      <c r="E33" s="119"/>
      <c r="F33" s="119"/>
      <c r="G33" s="119"/>
      <c r="H33" s="119"/>
      <c r="I33" s="119"/>
      <c r="J33" s="119"/>
      <c r="K33" s="119"/>
      <c r="L33" s="119"/>
      <c r="M33" s="119"/>
      <c r="N33" s="120"/>
      <c r="O33" s="92"/>
      <c r="P33" s="83"/>
    </row>
    <row r="34" spans="2:16" s="86" customFormat="1" ht="20.399999999999999" x14ac:dyDescent="0.35">
      <c r="B34" s="107" t="s">
        <v>131</v>
      </c>
      <c r="C34" s="108"/>
      <c r="D34" s="108"/>
      <c r="E34" s="108"/>
      <c r="F34" s="108"/>
      <c r="G34" s="164" t="s">
        <v>130</v>
      </c>
      <c r="H34" s="164"/>
      <c r="I34" s="163"/>
      <c r="J34" s="163"/>
      <c r="K34" s="163"/>
      <c r="L34" s="163"/>
      <c r="M34" s="162" t="s">
        <v>129</v>
      </c>
      <c r="N34" s="161"/>
      <c r="O34" s="83"/>
      <c r="P34" s="83"/>
    </row>
    <row r="35" spans="2:16" x14ac:dyDescent="0.3">
      <c r="B35" s="160"/>
      <c r="C35" s="159"/>
      <c r="D35" s="159"/>
      <c r="E35" s="159"/>
      <c r="F35" s="159"/>
      <c r="G35" s="159"/>
      <c r="H35" s="159"/>
      <c r="I35" s="159"/>
      <c r="J35" s="159"/>
      <c r="K35" s="159"/>
      <c r="L35" s="159"/>
      <c r="M35" s="159"/>
      <c r="N35" s="158"/>
    </row>
    <row r="36" spans="2:16" x14ac:dyDescent="0.3">
      <c r="B36" s="160"/>
      <c r="C36" s="159"/>
      <c r="D36" s="159"/>
      <c r="E36" s="159"/>
      <c r="F36" s="159"/>
      <c r="G36" s="159"/>
      <c r="H36" s="159"/>
      <c r="I36" s="159"/>
      <c r="J36" s="159"/>
      <c r="K36" s="159"/>
      <c r="L36" s="159"/>
      <c r="M36" s="159"/>
      <c r="N36" s="158"/>
    </row>
    <row r="37" spans="2:16" x14ac:dyDescent="0.3">
      <c r="B37" s="160"/>
      <c r="C37" s="159"/>
      <c r="D37" s="159"/>
      <c r="E37" s="159"/>
      <c r="F37" s="159"/>
      <c r="G37" s="159"/>
      <c r="H37" s="159"/>
      <c r="I37" s="159"/>
      <c r="J37" s="159"/>
      <c r="K37" s="159"/>
      <c r="L37" s="159"/>
      <c r="M37" s="159"/>
      <c r="N37" s="158"/>
    </row>
    <row r="38" spans="2:16" ht="16.8" x14ac:dyDescent="0.3">
      <c r="B38" s="149" t="s">
        <v>128</v>
      </c>
      <c r="C38" s="157"/>
      <c r="D38" s="154"/>
      <c r="E38" s="151"/>
      <c r="F38" s="151"/>
      <c r="G38" s="151"/>
      <c r="H38" s="151"/>
      <c r="I38" s="151"/>
      <c r="J38" s="152"/>
      <c r="K38" s="151"/>
      <c r="L38" s="151"/>
      <c r="M38" s="151"/>
      <c r="N38" s="156"/>
    </row>
    <row r="39" spans="2:16" ht="16.8" x14ac:dyDescent="0.3">
      <c r="B39" s="149" t="s">
        <v>127</v>
      </c>
      <c r="C39" s="155"/>
      <c r="D39" s="154"/>
      <c r="E39" s="151"/>
      <c r="F39" s="151"/>
      <c r="G39" s="151"/>
      <c r="H39" s="151"/>
      <c r="I39" s="151"/>
      <c r="J39" s="152"/>
      <c r="K39" s="151"/>
      <c r="L39" s="151"/>
      <c r="M39" s="151"/>
      <c r="N39" s="150"/>
    </row>
    <row r="40" spans="2:16" ht="16.8" x14ac:dyDescent="0.3">
      <c r="B40" s="149" t="s">
        <v>126</v>
      </c>
      <c r="C40" s="153"/>
      <c r="D40" s="151"/>
      <c r="E40" s="151"/>
      <c r="F40" s="151"/>
      <c r="G40" s="151"/>
      <c r="H40" s="151"/>
      <c r="I40" s="151"/>
      <c r="J40" s="152"/>
      <c r="K40" s="151"/>
      <c r="L40" s="151"/>
      <c r="M40" s="151"/>
      <c r="N40" s="150"/>
    </row>
    <row r="41" spans="2:16" ht="16.8" x14ac:dyDescent="0.3">
      <c r="B41" s="149" t="s">
        <v>125</v>
      </c>
      <c r="N41" s="148"/>
    </row>
    <row r="42" spans="2:16" ht="16.8" x14ac:dyDescent="0.3">
      <c r="B42" s="149" t="s">
        <v>124</v>
      </c>
      <c r="N42" s="148"/>
    </row>
    <row r="43" spans="2:16" ht="16.8" x14ac:dyDescent="0.3">
      <c r="B43" s="149" t="s">
        <v>123</v>
      </c>
      <c r="N43" s="148"/>
    </row>
    <row r="44" spans="2:16" ht="16.8" x14ac:dyDescent="0.3">
      <c r="B44" s="149" t="s">
        <v>122</v>
      </c>
      <c r="N44" s="148"/>
    </row>
    <row r="45" spans="2:16" ht="16.8" x14ac:dyDescent="0.3">
      <c r="B45" s="149" t="s">
        <v>121</v>
      </c>
      <c r="N45" s="148"/>
    </row>
    <row r="46" spans="2:16" ht="16.8" x14ac:dyDescent="0.3">
      <c r="B46" s="149" t="s">
        <v>120</v>
      </c>
      <c r="N46" s="148"/>
    </row>
    <row r="47" spans="2:16" x14ac:dyDescent="0.3">
      <c r="B47" s="146" t="s">
        <v>39</v>
      </c>
      <c r="C47" s="145"/>
      <c r="D47" s="145"/>
      <c r="E47" s="145"/>
      <c r="F47" s="145"/>
      <c r="G47" s="145"/>
      <c r="H47" s="145"/>
      <c r="I47" s="145"/>
      <c r="J47" s="145"/>
      <c r="K47" s="145"/>
      <c r="L47" s="145"/>
      <c r="M47" s="145"/>
      <c r="N47" s="144"/>
      <c r="O47" s="147"/>
    </row>
    <row r="48" spans="2:16" x14ac:dyDescent="0.3">
      <c r="B48" s="146" t="s">
        <v>40</v>
      </c>
      <c r="C48" s="145"/>
      <c r="D48" s="145"/>
      <c r="E48" s="145"/>
      <c r="F48" s="145"/>
      <c r="G48" s="145"/>
      <c r="H48" s="145"/>
      <c r="I48" s="145"/>
      <c r="J48" s="145"/>
      <c r="K48" s="145"/>
      <c r="L48" s="145"/>
      <c r="M48" s="145"/>
      <c r="N48" s="144"/>
      <c r="O48" s="147"/>
    </row>
    <row r="49" spans="2:14" x14ac:dyDescent="0.3">
      <c r="B49" s="146" t="s">
        <v>119</v>
      </c>
      <c r="C49" s="145"/>
      <c r="D49" s="145"/>
      <c r="E49" s="145"/>
      <c r="F49" s="145"/>
      <c r="G49" s="145"/>
      <c r="H49" s="145"/>
      <c r="I49" s="145"/>
      <c r="J49" s="145"/>
      <c r="K49" s="145"/>
      <c r="L49" s="145"/>
      <c r="M49" s="145"/>
      <c r="N49" s="144"/>
    </row>
    <row r="50" spans="2:14" ht="25.8" x14ac:dyDescent="0.3">
      <c r="C50" s="15" t="s">
        <v>41</v>
      </c>
    </row>
    <row r="51" spans="2:14" ht="25.8" x14ac:dyDescent="0.3">
      <c r="C51" s="15" t="s">
        <v>42</v>
      </c>
    </row>
    <row r="52" spans="2:14" ht="25.8" x14ac:dyDescent="0.3">
      <c r="C52" s="15" t="s">
        <v>43</v>
      </c>
    </row>
    <row r="53" spans="2:14" ht="25.8" x14ac:dyDescent="0.3">
      <c r="C53" s="15" t="s">
        <v>44</v>
      </c>
    </row>
    <row r="54" spans="2:14" ht="25.8" x14ac:dyDescent="0.3">
      <c r="C54" s="15" t="s">
        <v>45</v>
      </c>
    </row>
  </sheetData>
  <dataConsolidate/>
  <mergeCells count="11">
    <mergeCell ref="F8:G8"/>
    <mergeCell ref="F9:G9"/>
    <mergeCell ref="G19:I19"/>
    <mergeCell ref="B22:N22"/>
    <mergeCell ref="B30:N30"/>
    <mergeCell ref="B32:N32"/>
    <mergeCell ref="B33:N33"/>
    <mergeCell ref="B47:N47"/>
    <mergeCell ref="B48:N48"/>
    <mergeCell ref="B49:N49"/>
    <mergeCell ref="B31:N31"/>
  </mergeCells>
  <dataValidations count="11">
    <dataValidation type="list" allowBlank="1" showInputMessage="1" showErrorMessage="1" sqref="H34" xr:uid="{31C53A48-2130-4ACC-9380-7F07EF8811F0}">
      <formula1>"ALAA HAMMAD,KHALED QASSEM,RAMY RAOUF,SIMON LOBO,MHAREN CLEMENTE GARADO"</formula1>
    </dataValidation>
    <dataValidation type="list" allowBlank="1" showInputMessage="1" showErrorMessage="1" sqref="M34" xr:uid="{63E02C7D-A5C8-4FA1-8274-1F7D3686734F}">
      <formula1>"Alaa Hammad,Bachir Ibrahim Mourad,Khaled Qassem,Ramy Raoof,Simon Lobo,Mharen Clemente Garado,Ranjith"</formula1>
    </dataValidation>
    <dataValidation type="list" allowBlank="1" showInputMessage="1" showErrorMessage="1" sqref="B11" xr:uid="{D295C745-81CA-43A7-A570-D08F2C87922A}">
      <formula1>"FO Ceramic+ Intr&amp;Extr CeramicGold WdwTnt,FO Mirror Camera Sensor"</formula1>
    </dataValidation>
    <dataValidation type="list" allowBlank="1" showInputMessage="1" showErrorMessage="1" sqref="B12" xr:uid="{471F5FA6-605C-4881-AFBA-A182BADFB0C2}">
      <formula1>"FO Exterior ceramic All Cars SCOTCHGUARD,FO Mirror Camera Sensor,FO PPF Gold Package "</formula1>
    </dataValidation>
    <dataValidation type="list" allowBlank="1" showInputMessage="1" showErrorMessage="1" sqref="K20" xr:uid="{B472BDAE-5C14-48EC-A448-DCA5A9CE56F1}">
      <formula1>"Esaad,Emirates Platinum,Fazaa,Humat Alwatan,Permissible,ASX,XPMLP,XP,MON,MON G57,OUT,F08,P08,F06,P06,F03,F03-1,P03,EC,G37,G38,G40,G43"</formula1>
    </dataValidation>
    <dataValidation type="list" allowBlank="1" showInputMessage="1" showErrorMessage="1" sqref="B16" xr:uid="{169BBD1F-E9BB-4460-8F4A-DA032DC218AC}">
      <formula1>"RMC-10-40KMS,RMC-10-60KMS,RMC-10-70KMS,RMC-10-100000KMS,RMC-40-70KMS,RMC-40-100000KMS"</formula1>
    </dataValidation>
    <dataValidation type="list" allowBlank="1" showInputMessage="1" showErrorMessage="1" sqref="K24" xr:uid="{97A61B80-8F40-4549-9F77-9D00278202DB}">
      <formula1>"RMC-10-70K,RMC-10-100000K,RMC-40-70K"</formula1>
    </dataValidation>
    <dataValidation type="list" allowBlank="1" showInputMessage="1" showErrorMessage="1" sqref="D5" xr:uid="{1B686F34-C2E1-43B1-96B7-E27703695962}">
      <formula1>"MIG09,MIG10,H16,P16,H17,H48,H43,H40,H42,H44,H45,H38,H37,EH40,EH43,ML,HL,PR, MLP,HLP,PRP,XPML,XPHL,XPMLP, XPMLP-01,XC, G10,P10, G03, P03, G06,P06,G12,P12,G05,P05,G08,P08,G09,P09,H57,P57,H64,H59,P59,H61,P61"</formula1>
    </dataValidation>
    <dataValidation type="list" allowBlank="1" showInputMessage="1" showErrorMessage="1" sqref="M21" xr:uid="{F59E5F16-41F1-4F39-A59A-D11FE10443F0}">
      <formula1>"3000-4999,5000-9999,5000-99999,10000-14999,15000-24999,25000-34999,35000-99999,5000-11999,12000-19999,20000-39999,40000-69999,70000-99999"</formula1>
    </dataValidation>
    <dataValidation type="list" allowBlank="1" showInputMessage="1" showErrorMessage="1" sqref="C10:C16 L20 L24:L25 G14:G15 J10" xr:uid="{EABE74CC-F9E9-4531-8CCD-04C44EB98366}">
      <formula1>"YES,NO"</formula1>
    </dataValidation>
    <dataValidation type="list" allowBlank="1" showInputMessage="1" showErrorMessage="1" sqref="K21" xr:uid="{0FEFBA30-064B-4712-B5F0-ABB92283AF26}">
      <formula1>"ADCB,ADCB PAY IN 2027,Ajman Bank,ADIB,DIB EXPAT,DIB LOCAL GVH,Emirates NBD,EIB,FAB,RAK,SIB STL,SIB NON STL"</formula1>
    </dataValidation>
  </dataValidations>
  <pageMargins left="0.23622047244094491" right="0.23622047244094491" top="0.74803149606299213" bottom="0.74803149606299213" header="0.31496062992125984" footer="0.31496062992125984"/>
  <pageSetup paperSize="9" scale="40" orientation="landscape" horizontalDpi="4294967295" verticalDpi="4294967295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93CC6B-0742-4EF5-BFEB-DAF18264547B}">
  <sheetPr>
    <pageSetUpPr fitToPage="1"/>
  </sheetPr>
  <dimension ref="A1:AA54"/>
  <sheetViews>
    <sheetView topLeftCell="B1" zoomScaleNormal="100" workbookViewId="0">
      <selection activeCell="D5" sqref="D5"/>
    </sheetView>
  </sheetViews>
  <sheetFormatPr defaultColWidth="9.109375" defaultRowHeight="15.6" x14ac:dyDescent="0.3"/>
  <cols>
    <col min="1" max="1" width="16" style="1" hidden="1" customWidth="1"/>
    <col min="2" max="2" width="75.109375" style="2" customWidth="1"/>
    <col min="3" max="3" width="26.88671875" style="3" customWidth="1"/>
    <col min="4" max="4" width="23.88671875" style="2" customWidth="1"/>
    <col min="5" max="5" width="23.33203125" style="2" customWidth="1"/>
    <col min="6" max="6" width="19.88671875" style="2" customWidth="1"/>
    <col min="7" max="7" width="23.33203125" style="2" customWidth="1"/>
    <col min="8" max="8" width="24.44140625" style="2" customWidth="1"/>
    <col min="9" max="9" width="27.109375" style="2" customWidth="1"/>
    <col min="10" max="10" width="26.6640625" style="2" customWidth="1"/>
    <col min="11" max="11" width="25.44140625" style="2" customWidth="1"/>
    <col min="12" max="12" width="20.5546875" style="2" customWidth="1"/>
    <col min="13" max="13" width="20.109375" style="2" customWidth="1"/>
    <col min="14" max="14" width="19.5546875" style="2" customWidth="1"/>
    <col min="15" max="15" width="15.109375" style="2" bestFit="1" customWidth="1"/>
    <col min="16" max="16" width="12.6640625" style="2" hidden="1" customWidth="1"/>
    <col min="17" max="17" width="12.6640625" style="1" hidden="1" customWidth="1"/>
    <col min="18" max="18" width="15.6640625" style="1" hidden="1" customWidth="1"/>
    <col min="19" max="19" width="13" style="1" hidden="1" customWidth="1"/>
    <col min="20" max="20" width="17.109375" style="1" hidden="1" customWidth="1"/>
    <col min="21" max="21" width="14.5546875" style="1" bestFit="1" customWidth="1"/>
    <col min="22" max="22" width="19" style="1" customWidth="1"/>
    <col min="23" max="23" width="22.5546875" style="1" bestFit="1" customWidth="1"/>
    <col min="24" max="25" width="9.109375" style="1"/>
    <col min="26" max="26" width="14" style="1" bestFit="1" customWidth="1"/>
    <col min="27" max="27" width="22.33203125" style="1" bestFit="1" customWidth="1"/>
    <col min="28" max="16384" width="9.109375" style="1"/>
  </cols>
  <sheetData>
    <row r="1" spans="1:27" ht="15.75" customHeight="1" x14ac:dyDescent="0.3">
      <c r="B1" s="222" t="s">
        <v>148</v>
      </c>
      <c r="C1" s="221"/>
      <c r="D1" s="221"/>
      <c r="E1" s="221"/>
      <c r="F1" s="221"/>
      <c r="G1" s="221"/>
      <c r="H1" s="221"/>
      <c r="I1" s="221"/>
      <c r="J1" s="221"/>
      <c r="K1" s="221"/>
      <c r="L1" s="221"/>
      <c r="M1" s="221"/>
      <c r="N1" s="220"/>
    </row>
    <row r="2" spans="1:27" ht="15.75" customHeight="1" x14ac:dyDescent="0.3">
      <c r="B2" s="219" t="s">
        <v>147</v>
      </c>
      <c r="C2" s="218"/>
      <c r="D2" s="218"/>
      <c r="E2" s="218"/>
      <c r="F2" s="218"/>
      <c r="G2" s="218"/>
      <c r="H2" s="218"/>
      <c r="I2" s="218"/>
      <c r="J2" s="218"/>
      <c r="K2" s="218"/>
      <c r="L2" s="218"/>
      <c r="M2" s="218"/>
      <c r="N2" s="217"/>
      <c r="Q2" s="2"/>
      <c r="S2" s="186"/>
    </row>
    <row r="3" spans="1:27" ht="15.75" customHeight="1" x14ac:dyDescent="0.3">
      <c r="B3" s="219" t="s">
        <v>146</v>
      </c>
      <c r="C3" s="218"/>
      <c r="D3" s="218"/>
      <c r="E3" s="218"/>
      <c r="F3" s="218"/>
      <c r="G3" s="218"/>
      <c r="H3" s="218"/>
      <c r="I3" s="218"/>
      <c r="J3" s="218"/>
      <c r="K3" s="218"/>
      <c r="L3" s="218"/>
      <c r="M3" s="218"/>
      <c r="N3" s="217"/>
      <c r="O3" s="3"/>
      <c r="P3" s="3"/>
      <c r="Q3" s="153"/>
      <c r="R3" s="153"/>
      <c r="S3" s="216" t="e">
        <f>N7+J14</f>
        <v>#VALUE!</v>
      </c>
      <c r="T3" s="216"/>
      <c r="U3" s="153"/>
      <c r="V3" s="153"/>
      <c r="W3" s="153"/>
      <c r="AA3" s="1">
        <f>273000/5</f>
        <v>54600</v>
      </c>
    </row>
    <row r="4" spans="1:27" ht="15.75" customHeight="1" x14ac:dyDescent="0.3">
      <c r="B4" s="215"/>
      <c r="C4" s="214"/>
      <c r="D4" s="214"/>
      <c r="E4" s="214"/>
      <c r="F4" s="214"/>
      <c r="G4" s="214"/>
      <c r="H4" s="214"/>
      <c r="I4" s="214"/>
      <c r="J4" s="214"/>
      <c r="K4" s="214"/>
      <c r="L4" s="214"/>
      <c r="M4" s="214"/>
      <c r="N4" s="213"/>
      <c r="O4" s="212" t="s">
        <v>0</v>
      </c>
      <c r="P4" s="212"/>
      <c r="Q4" s="210"/>
      <c r="R4" s="210"/>
      <c r="S4" s="211"/>
      <c r="T4" s="211"/>
      <c r="U4" s="210" t="s">
        <v>1</v>
      </c>
      <c r="V4" s="210" t="s">
        <v>2</v>
      </c>
      <c r="W4" s="210" t="s">
        <v>3</v>
      </c>
    </row>
    <row r="5" spans="1:27" ht="25.2" thickBot="1" x14ac:dyDescent="0.45">
      <c r="B5" s="17"/>
      <c r="C5" s="18" t="str">
        <f>IF(D5="MIG09","Mirage G09",IF(D5="MIG10","MirageG10",IF(D5="H16","Attrage H16",IF(D5="P16","Attrage P16",IF(D5="H17","Attrage H17",IF(D5="H48","ASX H48",IF(D5="H43","ASX H43",IF(D5="H40","ASX H40",IF(D5="H42","ASX H42",IF(D5="H44","ASX H44",IF(D5="H45","ASX H45",IF(D5="H38","Eclipse H38",IF(D5="H37","Eclipse H37",IF(D5="EH40","Eclipse H40",IF(D5="EH43","Eclipse H43",IF(D5="XPML","Xpander ML",IF(D5="ML","Destinator ML",IF(D5="HL","Destinator HL",IF(D5="PR","Destinator PR",IF(D5="MLP","Destinator MLP",IF(D5="HLP","Destinator HLP",IF(D5="PRP","Destinator PRP",IF(D5="XPHL","Xpander HL",IF(D5="XPMLP","Xpander ML P",IF(D5="XPMLP-01","Xpander ML P-01",IF(D5="XC","Xpander Cross",IF(D5="G03","Outlander G03",IF(D5="P03","Outlander P03",IF(D5="G06","Outlander G06",IF(D5="P06","Outlander P06",IF(D5="OTP06-01","Outlander P06-01",IF(D5="G08","Outlander G08",IF(D5="P08","Outlander P08",IF(D5="H57","Montero H57",IF(D5="P57","Montero P57",IF(D5="H64","Montero G64",IF(D5="H59","Montero G59",IF(D5="P59","Montero G59 P",IF(D5="H61","Montero G61",IF(D5="P61","Montero P61",IF(D5="G10","Outlander G10",IF(D5="P10","Outlander P10",IF(D5="G12","Outlander G12",IF(D5="P12","Outlander P12",IF(D5="G05","Outlander G05",IF(D5="P05","Outlander P05",IF(D5="G09","Outlander G09",IF(D5="P09","Outlander P09",))))))))))))))))))))))))))))))))))))))))))))))))</f>
        <v>Xpander HL</v>
      </c>
      <c r="D5" s="19" t="s">
        <v>102</v>
      </c>
      <c r="E5" s="20" t="s">
        <v>145</v>
      </c>
      <c r="F5" s="37"/>
      <c r="G5" s="37"/>
      <c r="H5" s="37"/>
      <c r="I5" s="20"/>
      <c r="J5" s="34"/>
      <c r="K5" s="209">
        <v>0</v>
      </c>
      <c r="L5" s="208">
        <v>3.39E-2</v>
      </c>
      <c r="M5" s="208">
        <v>6.7799999999999999E-2</v>
      </c>
      <c r="N5" s="208">
        <v>0.1017</v>
      </c>
      <c r="O5" s="147">
        <f>K7+K14</f>
        <v>9481.7591468049995</v>
      </c>
      <c r="S5" s="186"/>
      <c r="U5" s="186">
        <f>L7+L14</f>
        <v>3914.6888612529165</v>
      </c>
      <c r="V5" s="186">
        <f>M7+M14</f>
        <v>2647.2401178924997</v>
      </c>
      <c r="W5" s="186">
        <f>N7+N14</f>
        <v>1860.89304458625</v>
      </c>
    </row>
    <row r="6" spans="1:27" s="5" customFormat="1" ht="99" thickBot="1" x14ac:dyDescent="0.35">
      <c r="A6" s="4" t="s">
        <v>4</v>
      </c>
      <c r="B6" s="26" t="s">
        <v>5</v>
      </c>
      <c r="C6" s="27" t="s">
        <v>6</v>
      </c>
      <c r="D6" s="27" t="s">
        <v>144</v>
      </c>
      <c r="E6" s="27" t="s">
        <v>7</v>
      </c>
      <c r="F6" s="27" t="s">
        <v>8</v>
      </c>
      <c r="G6" s="28" t="s">
        <v>9</v>
      </c>
      <c r="H6" s="28" t="s">
        <v>143</v>
      </c>
      <c r="I6" s="28" t="s">
        <v>10</v>
      </c>
      <c r="J6" s="28" t="s">
        <v>142</v>
      </c>
      <c r="K6" s="28" t="s">
        <v>11</v>
      </c>
      <c r="L6" s="28" t="s">
        <v>12</v>
      </c>
      <c r="M6" s="28" t="s">
        <v>13</v>
      </c>
      <c r="N6" s="28" t="s">
        <v>14</v>
      </c>
      <c r="O6" s="207"/>
      <c r="P6" s="206"/>
      <c r="T6" s="205"/>
      <c r="U6" s="205">
        <f>N7+L14</f>
        <v>3093.1705345862497</v>
      </c>
      <c r="V6" s="205">
        <f>N7+K14</f>
        <v>7633.3429118049989</v>
      </c>
      <c r="W6" s="205" t="e">
        <f>N7+J14</f>
        <v>#VALUE!</v>
      </c>
    </row>
    <row r="7" spans="1:27" ht="25.2" thickBot="1" x14ac:dyDescent="0.45">
      <c r="A7" s="6">
        <f>B8</f>
        <v>71000</v>
      </c>
      <c r="B7" s="29">
        <f>IF(L20="YES",C8*1,IF(L20="NO",B8*1))</f>
        <v>71000</v>
      </c>
      <c r="C7" s="29">
        <f>B7*5/100</f>
        <v>3550</v>
      </c>
      <c r="D7" s="203">
        <f>B7+C7</f>
        <v>74550</v>
      </c>
      <c r="E7" s="29">
        <f>D17</f>
        <v>17330.811750000001</v>
      </c>
      <c r="F7" s="29">
        <f>(C7)+(D10+D11+D12+D13+D16)*5/100</f>
        <v>4090</v>
      </c>
      <c r="G7" s="30">
        <f>B7+E7+F7</f>
        <v>92420.811749999993</v>
      </c>
      <c r="H7" s="29">
        <f>G7*D20</f>
        <v>18484.162349999999</v>
      </c>
      <c r="I7" s="30">
        <f>(G7-H7)</f>
        <v>73936.649399999995</v>
      </c>
      <c r="J7" s="30">
        <f>(((I7*D19)*1)+I7)/12</f>
        <v>6401.0654218049995</v>
      </c>
      <c r="K7" s="30">
        <f>(((I7*D19)*2)+I7)/24</f>
        <v>3320.3716968049998</v>
      </c>
      <c r="L7" s="30">
        <f>(((I7*D19)*3)+I7)/36</f>
        <v>2293.4737884716665</v>
      </c>
      <c r="M7" s="30">
        <f>(((I7*D19)*4)+I7)/48</f>
        <v>1780.0248343049998</v>
      </c>
      <c r="N7" s="30">
        <f>((((I7*D19)*5)+I7)/60)</f>
        <v>1471.9554618049999</v>
      </c>
      <c r="O7" s="147"/>
      <c r="P7" s="2">
        <f>H7+H16</f>
        <v>19260.4971687</v>
      </c>
      <c r="T7" s="186">
        <f>25973/2</f>
        <v>12986.5</v>
      </c>
    </row>
    <row r="8" spans="1:27" ht="24.6" x14ac:dyDescent="0.4">
      <c r="A8" s="7">
        <v>0.2</v>
      </c>
      <c r="B8" s="31">
        <f>IF(D5="MIG09",39900,IF(D5="MIG10",41900,IF(D5="H16",41900,IF(D5="P16",47400,IF(D5="H17",47900,IF(D5="H48",67900,IF(D5="H43",70900,IF(D5="H40",72900,IF(D5="H42",74900,IF(D5="H44",73900,IF(D5="H45",79900,IF(D5="H38",86900,IF(D5="H37",79900,IF(D5="EH40",99900,IF(D5="EH43",106900,IF(D5="ML",71900,IF(D5="HL",83900,IF(D5="PR",95900,IF(D5="MLP",80900,IF(D5="HLP",91900,IF(D5="PRP",102900,IF(D5="XPML",69900,IF(D5="XPHL",71000,IF(D5="XPMLP",75900,IF(D5="XPMLP-01",77800,IF(D5="XC",84900,IF(D5="G10",81900,IF(D5="P10",93900,IF(D5="G12",97900,IF(D5="P12",105900,IF(D5="G05",104900,IF(D5="P05",105900,IF(D5="G03",92900,IF(D5="P03",100900,IF(D5="G06",109900,IF(D5="P06",114900,IF(D5="OTP06-01",118900,IF(D5="G08",125900,IF(D5="P08",132900,IF(D5="OTP06-01",109900,IF(D5="G09",129900,IF(D5="P09",134900,IF(D5="H57",105900,IF(D5="P57",113900,IF(D5="H64",116900,IF(D5="H59",127900,IF(D5="P59",134900,IF(D5="H61",134900,IF(D5="P61",138900)))))))))))))))))))))))))))))))))))))))))))))))))</f>
        <v>71000</v>
      </c>
      <c r="C8" s="32">
        <f>IF(L20="YES",N20,IF(L20="NO",N20))</f>
        <v>71000</v>
      </c>
      <c r="D8" s="29">
        <v>0</v>
      </c>
      <c r="E8" s="33"/>
      <c r="F8" s="139"/>
      <c r="G8" s="140"/>
      <c r="H8" s="110">
        <f>G7*20/100</f>
        <v>18484.162349999999</v>
      </c>
      <c r="I8" s="34"/>
      <c r="J8" s="34" t="s">
        <v>15</v>
      </c>
      <c r="K8" s="34">
        <f>(I7*K5+I7)/24</f>
        <v>3080.6937249999996</v>
      </c>
      <c r="L8" s="34">
        <f>(I7*L5+I7)/36</f>
        <v>2123.4194948516665</v>
      </c>
      <c r="M8" s="34">
        <f>(I7*M5+I7)/48</f>
        <v>1644.7823797775</v>
      </c>
      <c r="N8" s="34">
        <f>(I7*N5+I7)/60</f>
        <v>1357.6001107330001</v>
      </c>
      <c r="O8" s="147">
        <v>0</v>
      </c>
      <c r="P8" s="2">
        <f>P7/12</f>
        <v>1605.0414307250001</v>
      </c>
      <c r="T8" s="1">
        <f>25973-12973</f>
        <v>13000</v>
      </c>
    </row>
    <row r="9" spans="1:27" ht="24.6" x14ac:dyDescent="0.4">
      <c r="A9" s="8">
        <f>B8/(100%-A8)</f>
        <v>88750</v>
      </c>
      <c r="B9" s="109">
        <f>B7-B8</f>
        <v>0</v>
      </c>
      <c r="C9" s="109"/>
      <c r="D9" s="36"/>
      <c r="E9" s="33"/>
      <c r="F9" s="139"/>
      <c r="G9" s="140"/>
      <c r="H9" s="33"/>
      <c r="I9" s="37" t="s">
        <v>16</v>
      </c>
      <c r="J9" s="38">
        <f>(J7*12)-I7</f>
        <v>2876.1356616599951</v>
      </c>
      <c r="K9" s="38">
        <f>(K7*24)-I7</f>
        <v>5752.2713233200047</v>
      </c>
      <c r="L9" s="38">
        <f>(L7*36)-I7</f>
        <v>8628.4069849799998</v>
      </c>
      <c r="M9" s="38">
        <f>(M7*48)-I7</f>
        <v>11504.542646639995</v>
      </c>
      <c r="N9" s="38">
        <f>(N7*60)-I7</f>
        <v>14380.678308300005</v>
      </c>
      <c r="O9" s="147"/>
      <c r="T9" s="1">
        <f>T8/12</f>
        <v>1083.3333333333333</v>
      </c>
      <c r="Z9" s="1" t="s">
        <v>86</v>
      </c>
    </row>
    <row r="10" spans="1:27" ht="24.6" x14ac:dyDescent="0.4">
      <c r="A10" s="8"/>
      <c r="B10" s="37" t="s">
        <v>141</v>
      </c>
      <c r="C10" s="20" t="s">
        <v>17</v>
      </c>
      <c r="D10" s="36">
        <f>IF(C10="YES",700,IF(C10="NO",0))</f>
        <v>0</v>
      </c>
      <c r="E10" s="39"/>
      <c r="F10" s="40"/>
      <c r="G10" s="40"/>
      <c r="H10" s="33"/>
      <c r="I10" s="44" t="s">
        <v>85</v>
      </c>
      <c r="J10" s="117" t="s">
        <v>19</v>
      </c>
      <c r="K10" s="117">
        <f>IF(J10="YES",Z10,IF(J10="NO",0))</f>
        <v>1000</v>
      </c>
      <c r="L10" s="41">
        <f>(L8*36)-I7</f>
        <v>2506.4524146600015</v>
      </c>
      <c r="M10" s="41">
        <f>(M8*48)-I7</f>
        <v>5012.904829320003</v>
      </c>
      <c r="N10" s="41">
        <f>(N8*60)-I7</f>
        <v>7519.3572439800046</v>
      </c>
      <c r="O10" s="147">
        <f>IF(D5="XC",3690,IF(D5="XPML",3690,IF(D5="XPHL",3690,IF(D5="XPMLP",3690,IF(D5="XPMLP-01",3690,IF(D5="Xpander P",3690,IF(D5="ML",3690,IF(D5="HL",3690,IF(D5="PR",(U19*3/100+510)*1.05,IF(D5="MLP",3690,IF(D5="HLP",(U19*3/100+510)*1.05,IF(D5="PRP",(U19*3/100+510)*1.05,IF(D5="H57",(U19*2.75/100+510)*1.05,IF(D5="P57",(U19*2.75/100+510)*1.05,IF(D5="H64",(U19*2.75/100+510)*1.05,IF(D5="H59",(U19*2.75/100+510)*1.05,IF(D5="P59",(U19*2.75/100+510)*1.05,IF(D5="H61",(U19*2.75/100+510)*1.05,IF(D5="P61",(U19*2.75/100+510)*1.05,IF(D5="G03",(U19*3/100+510)*1.05,IF(D5="G10",(U19*3/100+510)*1.05,IF(D5="P10",(U19*3/100+510)*1.05,IF(D5="G12",(U19*3/100+510)*1.05,IF(D5="P12",(U19*3/100+510)*1.05,IF(D5="G05",(U19*3/100+510)*1.05,IF(D5="P05",(U19*3/100+510)*1.05,IF(D5="P03",(U19*3/100+510)*1.05,IF(D5="G06",(U19*3/100+510)*1.05,IF(D5="P06",(U19*3/100+510)*1.05,IF(D5="OTP06-01",(U19*3/100+510)*1.05,IF(D5="G08",(U19*3/100+510)*1.05,IF(D5="P08",(U19*3/100+510)*1.05,IF(D5="G09",(U19*3/100+510)*1.05,IF(D5="P09",(U19*3/100+510)*1.05,IF(D5="H38",3625,IF(D5="H37",3625,IF(D5="EH40",(U19*3/100+450)*1.05,IF(D5="EH43",(U19*3/100+450)*1.05,IF(D5="H48",3625,IF(D5="H43",3625,IF(D5="H40",3625,IF(D5="H42",3625,IF(D5="H44",3625,IF(D5="H45",3625,IF(D5="ASX HL 4WD",3625,IF(D5="H16",3625,IF(D5="H17",3625,IF(D5="P16",3625,IF(D5="Attrage S",3625,IF(D5="MIG09",3625,IF(D5="MIG10",3625,IF(D5="Xpander HL",3690))))))))))))))))))))))))))))))))))))))))))))))))))))</f>
        <v>3690</v>
      </c>
      <c r="P10" s="204"/>
      <c r="Q10" s="204">
        <f>5.25*3</f>
        <v>15.75</v>
      </c>
      <c r="Z10" s="1">
        <f>IF(D5="MIG09",1000,IF(D5="MIG10",1000,IF(D5="H16",1000,IF(D5="P16",1000,IF(D5="H17",1000,IF(D5="H48",1000,IF(D5="H43",1000,IF(D5="H40",1000,IF(D5="H42",1000,IF(D5="H44",1000,IF(D5="H45",1000,IF(D5="H38",1000,IF(D5="H37",1000,IF(D5="EH40",1000,IF(D5="EH43",1000,IF(D5="ML",1000,IF(D5="HL",1000,IF(D5="PR",1000,IF(D5="MLP",1000,IF(D5="HLP",1000,IF(D5="PRP",1000,IF(D5="XPML",1000,IF(D5="XPHL",1000,IF(D5="XPMLP",1000,IF(D5="XPMLP-01",1000,IF(D5="XC",1000,IF(D5="G10",1000,IF(D5="P10",1000,IF(D5="G12",1000,IF(D5="P12",1000,IF(D5="G05",1000,IF(D5="P05",1000,IF(D5="G03",1000,IF(D5="P03",1000,IF(D5="G06",1000,IF(D5="P06",1000,IF(D5="OTP06-01",1000,IF(D5="G08",1000,IF(D5="P08",1000,IF(D5="OTP06-01",1000,IF(D5="G09",1000,IF(D5="P09",1000,IF(D5="H57",1000,IF(D5="P57",1000,IF(D5="H64",1000,IF(D5="H59",1000,IF(D5="P59",1000,IF(D5="H61",1000,IF(D5="P61",1000)))))))))))))))))))))))))))))))))))))))))))))))))</f>
        <v>1000</v>
      </c>
    </row>
    <row r="11" spans="1:27" ht="24.6" x14ac:dyDescent="0.4">
      <c r="A11" s="8"/>
      <c r="B11" s="37" t="s">
        <v>18</v>
      </c>
      <c r="C11" s="20" t="s">
        <v>19</v>
      </c>
      <c r="D11" s="203">
        <f>IF(C11="YES",O17,IF(C11="NO",0))</f>
        <v>2700</v>
      </c>
      <c r="E11" s="39"/>
      <c r="F11" s="40"/>
      <c r="G11" s="40"/>
      <c r="H11" s="33"/>
      <c r="I11" s="33"/>
      <c r="J11" s="44" t="s">
        <v>76</v>
      </c>
      <c r="K11" s="44">
        <f>H8-K10</f>
        <v>17484.162349999999</v>
      </c>
      <c r="L11" s="37"/>
      <c r="M11" s="37"/>
      <c r="N11" s="38"/>
      <c r="O11" s="147">
        <f>IF(D5="XC",6100,IF(D5="XPML",6100,IF(D5="XPHL",6100,IF(D5="XPMLP",6100,IF(D5="XPMLP-01",6100,IF(D5="Xpander P",6100,IF(D5="ML",6600,IF(D5="HL",6600,IF(D5="PR",6600,IF(D5="MLP",6600,IF(D5="HLP",6600,IF(D5="PRP",6600,IF(D5="H57",5900,IF(D5="P57",5900,IF(D5="H64",5900,IF(D5="H59",5900,IF(D5="P59",5900,IF(D5="H61",5900,IF(D5="P61",5900,IF(D5="G03",6700,IF(D5="G10",6700,IF(D5="P10",6700,IF(D5="G12",6700,IF(D5="P12",6700,IF(D5="G05",6700,IF(D5="P05",6700,IF(D5="P03",6700,IF(D5="G06",6700,IF(D5="P06",6700,IF(D5="OTP06-01",6700,IF(D5="G08",6700,IF(D5="G09",6700,IF(D5="G08",6700,IF(D5="P08",6700,IF(D5="P09",6700,IF(D5="H37",6400,IF(D5="H38",6400,IF(D5="EH40",6400,IF(D5="EH43",6400,IF(D5="H48",6600,IF(D5="H43",6600,IF(D5="H40",6600,IF(D5="H42",6600,IF(D5="H44",6600,IF(D5="H45",6600,IF(D5="ASX HL 4WD",6600,IF(D5="H16",5400,IF(D5="H17",5400,IF(D5="P16",5400,IF(D5="Attrage S",5400,IF(D5="MIG09",5400,IF(D5="MIG10",5400,IF(D5="Xpander HL",6000)))))))))))))))))))))))))))))))))))))))))))))))))))))</f>
        <v>6100</v>
      </c>
      <c r="P11" s="147"/>
      <c r="Q11" s="147"/>
      <c r="R11" s="147"/>
      <c r="S11" s="147"/>
      <c r="T11" s="147"/>
      <c r="U11" s="147">
        <f>IF(D5="XC",4900,IF(D5="XPML",4900,IF(D5="XPHL",4900,IF(D5="XPMLP",4900,IF(D5="XPMLP-01",4900,IF(D5="Xpander P",4900,IF(D5="ML",5400,IF(D5="HL",5400,IF(D5="PR",5400,IF(D5="MLP",5400,IF(D5="HLP",5400,IF(D5="PRP",5400,IF(D5="H57",4600,IF(D5="P57",4600,IF(D5="MOG64",4600,IF(D5="H59",4600,IF(D5="P59",4600,IF(D5="H61",4600,IF(D5="P61",4600,IF(D5="G03",5500,IF(D5="P03",5500,IF(D5="G10",5500,IF(D5="P10",5500,IF(D5="G12",5500,IF(D5="P12",5500,IF(D5="G05",5500,IF(D5="P05",5500,IF(D5="G06",5500,IF(D5="P06",5500,IF(D5="OTP06-01",5500,IF(D5="F08",5500,IF(D5="P08",5500,IF(D5="G09",5500,IF(D5="P09",5500,IF(D5="H38",5200,IF(D5="H37",5200,IF(D5="EH40",5200,IF(D5="EH43",5200,IF(D5="H48",5300,IF(D5="H43",5300,IF(D5="H40",5300,IF(D5="H42",5300,IF(D5="H44",5300,IF(D5="H45",5300,IF(D5="ASX HL",5300,IF(D5="ASX P",5300,IF(D5="ASX HL 4WD",5300,IF(D5="H16",4200,IF(D5="H17",4200,IF(D5="P16",4200,IF(D5="Attrage S",4200,IF(D5="MIG09",4200,IF(D5="MIG10",4200,IF(D5="Xpander HL",4900))))))))))))))))))))))))))))))))))))))))))))))))))))))</f>
        <v>4900</v>
      </c>
      <c r="V11" s="147">
        <f>IF(D5="XC",9700,IF(D5="XPML",9700,IF(D5="XPHL",9700,IF(D5="XPMLP",9700,IF(D5="XPMLP-01",9700,IF(D5="XPMLP-01",9700,IF(D5="Xpander P",9700,IF(D5="ML",10800,IF(D5="HL",10800,IF(D5="PR",10800,IF(D5="MLP",10800,IF(D5="HLP",10800,IF(D5="PRP",10800,IF(D5="H57",9300,IF(D5="P57",9300,IF(D5="MG64",9300,IF(D5="H59",9300,IF(D5="P59",9300,IF(D5="H61",9300,IF(D5="P61",9300,IF(D5="G03",11000,IF(D5="G10",11000,IF(D5="P10",11000,IF(D5="G12",11000,IF(D5="P12",11000,IF(D5="G05",11000,IF(D5="P05",11000,IF(D5="P03",11000,IF(D5="G06",11000,IF(D5="P06",11000,IF(D5="OTP06-01",11000,IF(D5="G08",11000,IF(D5="P08",11000,IF(D5="G09",11000,IF(D5="P09",11000,IF(D5="H38",10400,IF(D5="H37",10400,IF(D5="EH40",10400,IF(D5="EH43",10400,IF(D5="H48",10700,IF(D5="H43",10700,IF(D5="H40",10700,IF(D5="H42",10700,IF(D5="H44",10800,IF(D5="H45",10800,IF(D5="ASX HL",12200,IF(D5="ASX P",12200,IF(D5="ASX HL 4WD",12200,IF(D5="H16",8500,IF(D5="H17",8500,IF(D5="P16",8500,IF(D5="Attrage S",9600,IF(D5="MIG09",8500,IF(D5="MIG10",8500,IF(D5="Xpander HL",11300)))))))))))))))))))))))))))))))))))))))))))))))))))))))</f>
        <v>9700</v>
      </c>
      <c r="W11" s="147">
        <f>IF(D5="XC",9200,IF(D5="XPML",9200,IF(D5="XPHL",9200,IF(D5="XPMLP",9200,IF(D5="XPMLP-01",9200,IF(D5="Xpander P",9200,IF(D5="ML",10000,IF(D5="HL",10000,IF(D5="PR",10000,IF(D5="MLP",10000,IF(D5="HLP",10000,IF(D5="PRP",10000,IF(D5="H57",8700,IF(D5="P57",8700,IF(D5="H64",8700,IF(D5="H59",8700,IF(D5="P59",8700,IF(D5="H61",8700,IF(D5="P61",8700,IF(D5="G03",10400,IF(D5="P03",10400,IF(D5="G10",10400,IF(D5="P10",10400,IF(D5="G12",10400,IF(D5="P12",10400,IF(D5="G05",10400,IF(D5="P05",10400,IF(D5="G06",10400,IF(D5="P06",10400,IF(D5="OTP06-01",10400,IF(D5="G08",10400,IF(D5="P08",10400,IF(D5="G09",10400,IF(D5="P09",10400,IF(D5="H38",9800,IF(D5="H37",9800,IF(D5="EH40",9800,IF(D5="EH43",9800,IF(D5="H48",10100,IF(D5="H43",10100,IF(D5="H40",10100,IF(D5="H42",10100,IF(D5="H44",10100,IF(D5="H45",10100,IF(D5="ASX HL",10100,IF(D5="ASX P",10100,IF(D5="ASX HL 4WD",10100,IF(D5="H16",7900,IF(D5="H17",7900,IF(D5="P16",7900,IF(D5="Attrage S",7900,IF(D5="MIG09",7900,IF(D5="MIG10",7900,IF(D5="Xpander HL",9200))))))))))))))))))))))))))))))))))))))))))))))))))))))</f>
        <v>9200</v>
      </c>
      <c r="X11" s="147">
        <f>IF(D5="XC",4500,IF(D5="XPML",4500,IF(D5="XPHL",4500,IF(D5="XPMLP",4500,IF(D5="XPMLP-01",4500,IF(D5="Xpander P",4500,IF(D5="ML",5000,IF(D5="HL",5000,IF(D5="PR",5000,IF(D5="MLP",5000,IF(D5="HLP",5000,IF(D5="PRP",5000,IF(D5="H57",8700,IF(D5="P57",8700,IF(D5="MOG64",4300,IF(D5="H59",4300,IF(D5="P59",4300,IF(D5="H61",4300,IF(D5="P61",4300,IF(D5="G03",5000,IF(D5="P03",5000,IF(D5="G10",5000,IF(D5="P10",5000,IF(D5="G12",5000,IF(D5="P12",5000,IF(D5="G05",5000,IF(D5="P05",5000,IF(D5="G06",5000,IF(D5="P06",5000,IF(D5="OTP06-01",5000,IF(D5="G08",5000,IF(D5="P08",5000,IF(D5="G09",5000,IF(D5="P09",5000,IF(D5="H38",4900,IF(D5="H37",4900,IF(D5="EH40",4900,IF(D5="EH43",4900,IF(D5="H48",4900,IF(D5="H43",4900,IF(D5="H40",4900,IF(D5="H42",4900,IF(D5="H44",4900,IF(D5="H45",4900,IF(D5="ASX HL",4900,IF(D5="ASX P",4900,IF(D5="ASX HL 4WD",4900,IF(D5="H16",3700,IF(D5="H17",3700,IF(D5="P16",3700,IF(D5="Attrage S",3700,IF(D5="MIG09",3700,IF(D5="MIG10",3700,IF(D5="Xpander HL",4500))))))))))))))))))))))))))))))))))))))))))))))))))))))</f>
        <v>4500</v>
      </c>
      <c r="Y11" s="147">
        <f>IF(D5="XC",5400,IF(D5="XPML ",5400,IF(D5="XPHL",5400,IF(D5="XPMLP",5400,IF(D5="XPMLP-01",5400,IF(D5="Xpander P",5400,IF(D5="ML",6000,IF(D5="HL",6000,IF(D5="PR",6000,IF(D5="MLP",6000,IF(D5="HLP",6000,IF(D5="PRP",6000,IF(D5="H57",5200,IF(D5="57",5200,IF(D5="H64",5200,IF(D5="H59",5200,IF(D5="P59",5200,IF(D5="H61",5200,IF(D5="P61",5200,IF(D5="G03",6000,IF(D5="P03",6000,IF(D5="G10",6000,IF(D5="P10",6000,IF(D5="G12",6000,IF(D5="P12",6000,IF(D5="G05",6000,IF(D5="P05",6000,IF(D5="G06",6000,IF(D5="P06",6000,IF(D5="OTP06-01",6000,IF(D5="G08",6000,IF(D5="P08",6000,IF(D5="G09",6000,IF(D5="P09",6000,IF(D5="H38",5700,IF(D5="H37",5700,IF(D5="EH40",5700,IF(D5="EH43",5700,IF(D5="H48",5900,IF(D5="H43",5900,IF(D5="H40",5900,IF(D5="H42",5900,IF(D5="H44",5900,IF(D5="H45",5900,IF(D5="ASX HL",5900,IF(D5="ASX P",5900,IF(D5="ASX HL 4WD",5900,IF(D5="H16",4500,IF(D5="H17",4500,IF(D5="P16",4500,IF(D5="Attrage S",4500,IF(D5="MIG09",4500,IF(D5="MIG10",4500,IF(D5="Xpander HL",5400))))))))))))))))))))))))))))))))))))))))))))))))))))))</f>
        <v>5400</v>
      </c>
    </row>
    <row r="12" spans="1:27" ht="24.6" x14ac:dyDescent="0.4">
      <c r="A12" s="8"/>
      <c r="B12" s="37" t="s">
        <v>20</v>
      </c>
      <c r="C12" s="20" t="s">
        <v>17</v>
      </c>
      <c r="D12" s="36">
        <f>IF(C12="YES",2000,IF(C12="NO",0))</f>
        <v>0</v>
      </c>
      <c r="E12" s="43"/>
      <c r="F12" s="43" t="s">
        <v>21</v>
      </c>
      <c r="G12" s="40"/>
      <c r="H12" s="33">
        <v>600</v>
      </c>
      <c r="I12" s="33"/>
      <c r="J12" s="202" t="s">
        <v>140</v>
      </c>
      <c r="K12" s="45">
        <v>0</v>
      </c>
      <c r="L12" s="45">
        <v>5.2499999999999998E-2</v>
      </c>
      <c r="M12" s="45">
        <v>0.126</v>
      </c>
      <c r="N12" s="201">
        <v>0.26250000000000001</v>
      </c>
      <c r="O12" s="147">
        <f>IF(K20="Esaad",B8*3/100,IF(K20="Emirates Platinum",B8*3/100,IF(K20="Fazaa",B8*3/100,IF(K20="Humat Alwatan",B8*3/100,IF(K20="Permissible",2000,IF(K20="ASX",8400,IF(K20="XPMLP",15100,IF(K20="XP",7200,IF(K20="G43",11000,IF(K20="EC",17000,IF(K20="G37",17000,IF(K20="G38",15000,IF(K20="G40",11000,IF(K20="OUT",3000,IF(K20="F08",14400,IF(K20="P08",11100,IF(K20="F06",13100,IF(K20="P06",13400,IF(K20="F03",3500,IF(K20="F03-1",13500,IF(K20="P03",13100,IF(K20="MON",10000,IF(K20="MON G57",9000,0)))))))))))))))))))))))</f>
        <v>2000</v>
      </c>
      <c r="Z12" s="86" t="s">
        <v>83</v>
      </c>
      <c r="AA12" s="86" t="s">
        <v>84</v>
      </c>
    </row>
    <row r="13" spans="1:27" ht="24.6" x14ac:dyDescent="0.4">
      <c r="A13" s="8">
        <f>B8*1.26582</f>
        <v>89873.22</v>
      </c>
      <c r="B13" s="37" t="s">
        <v>23</v>
      </c>
      <c r="C13" s="20" t="s">
        <v>19</v>
      </c>
      <c r="D13" s="36">
        <f>IF(C13="YES",2000,IF(C13="NO",0))</f>
        <v>2000</v>
      </c>
      <c r="E13" s="47"/>
      <c r="F13" s="47" t="s">
        <v>75</v>
      </c>
      <c r="G13" s="51"/>
      <c r="H13" s="39">
        <v>315</v>
      </c>
      <c r="I13" s="33"/>
      <c r="J13" s="44" t="s">
        <v>54</v>
      </c>
      <c r="K13" s="29" t="s">
        <v>79</v>
      </c>
      <c r="L13" s="29" t="s">
        <v>25</v>
      </c>
      <c r="M13" s="29" t="s">
        <v>0</v>
      </c>
      <c r="N13" s="57" t="s">
        <v>26</v>
      </c>
      <c r="O13" s="9">
        <f>IF(M21="3000-4999",6%,IF(M21="5000-9999",4.75%,IF(M21="10000-14999",3.15%,IF(M21="15000-24999",2.5%,IF(M21="25000-34999",2.25%,IF(M21="35000-99999",2.15%))))))</f>
        <v>4.7500000000000001E-2</v>
      </c>
      <c r="Q13" s="2">
        <f>H7/12</f>
        <v>1540.3468624999998</v>
      </c>
      <c r="U13" s="9">
        <f>IF(M21="3000-4999",6%,IF(M21="5000-9999",3.25%,IF(M21="10000-14999",3%,IF(M21="15000-24999",2.25%,IF(M21="25000-34999",2.15%,IF(M21="35000-99999",1.99%))))))</f>
        <v>3.2500000000000001E-2</v>
      </c>
      <c r="Z13" s="99">
        <f>IF(M21="5000-9999",2.49%,IF(M21="10000-19999",2.19%,IF(M21="20000-34999",2.09%,IF(M21="35000-49999",1.89%,IF(M21="50000-99999",1.79%)))))</f>
        <v>2.4900000000000002E-2</v>
      </c>
      <c r="AA13" s="99">
        <f>IF(M21="5000-9999",2.59%,IF(M21="10000-19999",2.29%,IF(M21="20000-34999",2.19%,IF(M21="35000-49999",1.99%,IF(M21="50000-99999",1.89%)))))</f>
        <v>2.5899999999999999E-2</v>
      </c>
    </row>
    <row r="14" spans="1:27" ht="24.6" x14ac:dyDescent="0.4">
      <c r="A14" s="10" t="s">
        <v>27</v>
      </c>
      <c r="B14" s="37" t="s">
        <v>24</v>
      </c>
      <c r="C14" s="20" t="s">
        <v>19</v>
      </c>
      <c r="D14" s="50">
        <f>IF(C14="YES",U19*3.15*1.05/100,IF(C14="NO",U19*0/100))</f>
        <v>2840.8117499999998</v>
      </c>
      <c r="E14" s="48"/>
      <c r="F14" s="48" t="s">
        <v>24</v>
      </c>
      <c r="G14" s="51" t="s">
        <v>17</v>
      </c>
      <c r="H14" s="39">
        <f>IF(G14="YES",U19*3.15*1.05/100,IF(G14="NO",U19*0/100))</f>
        <v>0</v>
      </c>
      <c r="I14" s="33"/>
      <c r="J14" s="44" t="s">
        <v>55</v>
      </c>
      <c r="K14" s="44">
        <f>(H8*K12+H8)/3</f>
        <v>6161.3874499999993</v>
      </c>
      <c r="L14" s="44">
        <f>(H8*L12+H8)/12</f>
        <v>1621.2150727812498</v>
      </c>
      <c r="M14" s="44">
        <f>(H8*M12+H8)/24</f>
        <v>867.21528358749993</v>
      </c>
      <c r="N14" s="200">
        <f>(H7*N12+H7)/60</f>
        <v>388.93758278125</v>
      </c>
      <c r="O14" s="9">
        <f>IF(M21="3000-4999",3.89%,IF(M21="5000-9999",3.89%,IF(M21="10000-14999",3.89%,IF(M21="15000-24999",2.69%,IF(M21="25000-34999",2.69%,IF(M21="35000-99999",2.39%,IF(M21="76000-99999",2.5%)))))))</f>
        <v>3.8900000000000004E-2</v>
      </c>
    </row>
    <row r="15" spans="1:27" ht="24.6" x14ac:dyDescent="0.4">
      <c r="A15" s="11">
        <f>(B7*3%)+10+120</f>
        <v>2260</v>
      </c>
      <c r="B15" s="37" t="s">
        <v>28</v>
      </c>
      <c r="C15" s="20" t="s">
        <v>19</v>
      </c>
      <c r="D15" s="29">
        <f>IF(C15="YES",O10,IF(C15="NO",0))</f>
        <v>3690</v>
      </c>
      <c r="E15" s="48"/>
      <c r="F15" s="48" t="s">
        <v>53</v>
      </c>
      <c r="G15" s="51" t="s">
        <v>17</v>
      </c>
      <c r="H15" s="39">
        <f>IF(G15="YES",O10,IF(G15="NO",0))</f>
        <v>0</v>
      </c>
      <c r="I15" s="33"/>
      <c r="J15" s="44"/>
      <c r="K15" s="44"/>
      <c r="L15" s="44"/>
      <c r="M15" s="44"/>
      <c r="N15" s="198"/>
      <c r="O15" s="9" t="b">
        <f>IF(M21="3000-4999",4.99%, IF(M21="5000-11999",2.75%,IF(M21="12000-19999",2.75%,IF(M21="20000-39999",2.25%,IF(M21="40000-69999",2.25%,IF(M21="70000-99999",2.25%))))))</f>
        <v>0</v>
      </c>
      <c r="P15" s="191"/>
    </row>
    <row r="16" spans="1:27" ht="24.6" x14ac:dyDescent="0.4">
      <c r="A16" s="11">
        <f>((B7-B8)*3%+10+120)</f>
        <v>130</v>
      </c>
      <c r="B16" s="37" t="s">
        <v>78</v>
      </c>
      <c r="C16" s="20" t="s">
        <v>19</v>
      </c>
      <c r="D16" s="29">
        <f>IF(C16="YES",O16,IF(C16="NO",0))</f>
        <v>6100</v>
      </c>
      <c r="E16" s="47"/>
      <c r="F16" s="47" t="s">
        <v>74</v>
      </c>
      <c r="G16" s="54"/>
      <c r="H16" s="33">
        <f>I7*1.05%</f>
        <v>776.33481870000003</v>
      </c>
      <c r="I16" s="33"/>
      <c r="J16" s="44" t="s">
        <v>16</v>
      </c>
      <c r="K16" s="44">
        <f>(K14*3)-H8</f>
        <v>0</v>
      </c>
      <c r="L16" s="44">
        <f>(L14*12)-H8</f>
        <v>970.41852337499949</v>
      </c>
      <c r="M16" s="44">
        <f>(M14*24)-H8</f>
        <v>2329.0044560999995</v>
      </c>
      <c r="N16" s="198"/>
      <c r="O16" s="147">
        <f>IF(B16="RMC-10-70KMS",O11,IF(B16="RMC-10-100000KMS",V11,IF(B16="RMC-40-70KMS",U11, IF(B16="RMC-10-40KMS",X11, IF(B16="RMC-10-60KMS",Y11, IF(B16="RMC-40-100000KMS",W11,0))))))</f>
        <v>6100</v>
      </c>
    </row>
    <row r="17" spans="1:23" ht="24.6" x14ac:dyDescent="0.4">
      <c r="A17" s="11">
        <f>A15+A16</f>
        <v>2390</v>
      </c>
      <c r="B17" s="37"/>
      <c r="C17" s="20"/>
      <c r="D17" s="29">
        <f>SUM(D10:D16)</f>
        <v>17330.811750000001</v>
      </c>
      <c r="E17" s="48"/>
      <c r="F17" s="48"/>
      <c r="G17" s="54"/>
      <c r="H17" s="33">
        <f>+SUM(H12:H16)+(H7)</f>
        <v>20175.4971687</v>
      </c>
      <c r="I17" s="33"/>
      <c r="J17" s="20"/>
      <c r="K17" s="199"/>
      <c r="L17" s="199"/>
      <c r="M17" s="199"/>
      <c r="N17" s="198"/>
      <c r="O17" s="147">
        <f>IF(B11="FO Ceramic+ Intr&amp;Extr CeramicGold WdwTnt",2700,IF(B11="FO Mirror Camera Sensor",2000))</f>
        <v>2700</v>
      </c>
      <c r="T17" s="1">
        <f>19615-791</f>
        <v>18824</v>
      </c>
    </row>
    <row r="18" spans="1:23" ht="24.6" x14ac:dyDescent="0.4">
      <c r="A18" s="12" t="s">
        <v>29</v>
      </c>
      <c r="B18" s="55" t="s">
        <v>30</v>
      </c>
      <c r="C18" s="197"/>
      <c r="D18" s="57">
        <v>0</v>
      </c>
      <c r="E18" s="38"/>
      <c r="F18" s="20"/>
      <c r="G18" s="20"/>
      <c r="H18" s="37"/>
      <c r="I18" s="37"/>
      <c r="J18" s="37"/>
      <c r="K18" s="37"/>
      <c r="L18" s="37"/>
      <c r="M18" s="37"/>
      <c r="N18" s="37"/>
      <c r="O18" s="9" t="b">
        <f>IF(M21="5000-99999",1.99%)</f>
        <v>0</v>
      </c>
      <c r="U18" s="196" t="s">
        <v>52</v>
      </c>
      <c r="V18" s="196" t="s">
        <v>52</v>
      </c>
    </row>
    <row r="19" spans="1:23" ht="24.6" x14ac:dyDescent="0.4">
      <c r="A19" s="11">
        <f>B8*3.15%</f>
        <v>2236.5</v>
      </c>
      <c r="B19" s="58" t="s">
        <v>31</v>
      </c>
      <c r="C19" s="59"/>
      <c r="D19" s="60">
        <f>IF(K21="DIB EXPAT",O13,IF(K21="DIB LOCAL GVH",U13,IF(K21="Emirates NBD",O14,IF(K21="ADCB",O15,IF(K21="ADCB PAY IN 2027",O19,IF(K21="Ajman Bank",O18,IF(K21="SIB STL",Z13,IF(K21="SIB NON STL",AA13,))))))))</f>
        <v>3.8900000000000004E-2</v>
      </c>
      <c r="E19" s="20"/>
      <c r="F19" s="195"/>
      <c r="G19" s="141" t="s">
        <v>73</v>
      </c>
      <c r="H19" s="142"/>
      <c r="I19" s="143"/>
      <c r="J19" s="109">
        <f>(U19*20/100)/365</f>
        <v>47.063013698630137</v>
      </c>
      <c r="K19" s="37"/>
      <c r="L19" s="37"/>
      <c r="M19" s="37"/>
      <c r="N19" s="34">
        <f>D7</f>
        <v>74550</v>
      </c>
      <c r="O19" s="194" t="b">
        <f>IF(M21="5000-11999",3.35%,IF(M21="12000-19999",3.35%,IF(M21="20000-39999",2.85%,IF(M21="40000-69999",2.85%,IF(M21="70000-99999",2.85%)))))</f>
        <v>0</v>
      </c>
      <c r="P19" s="2">
        <f>81400-2500</f>
        <v>78900</v>
      </c>
      <c r="U19" s="193">
        <f>V19</f>
        <v>85890</v>
      </c>
      <c r="V19" s="192">
        <f>(B7+D10+D11+D12+D13+D16)*1.05</f>
        <v>85890</v>
      </c>
    </row>
    <row r="20" spans="1:23" ht="24.6" x14ac:dyDescent="0.4">
      <c r="A20" s="11"/>
      <c r="B20" s="58" t="s">
        <v>32</v>
      </c>
      <c r="C20" s="59"/>
      <c r="D20" s="63">
        <v>0.2</v>
      </c>
      <c r="E20" s="37"/>
      <c r="F20" s="37"/>
      <c r="G20" s="38"/>
      <c r="H20" s="38"/>
      <c r="I20" s="38"/>
      <c r="J20" s="103"/>
      <c r="K20" s="104" t="s">
        <v>33</v>
      </c>
      <c r="L20" s="104" t="s">
        <v>17</v>
      </c>
      <c r="M20" s="104">
        <f>IF(L20="YES",O12,IF(L20="NO",0))</f>
        <v>0</v>
      </c>
      <c r="N20" s="34">
        <f>B8-M20</f>
        <v>71000</v>
      </c>
      <c r="O20" s="187"/>
      <c r="P20" s="191"/>
      <c r="T20" s="1">
        <f>1992+1084</f>
        <v>3076</v>
      </c>
      <c r="U20" s="186"/>
      <c r="V20" s="2"/>
    </row>
    <row r="21" spans="1:23" ht="24.6" x14ac:dyDescent="0.4">
      <c r="A21" s="13">
        <f>A19+A20</f>
        <v>2236.5</v>
      </c>
      <c r="B21" s="37"/>
      <c r="C21" s="20"/>
      <c r="D21" s="37"/>
      <c r="E21" s="37"/>
      <c r="F21" s="37"/>
      <c r="G21" s="37"/>
      <c r="H21" s="37"/>
      <c r="I21" s="37"/>
      <c r="J21" s="190" t="s">
        <v>34</v>
      </c>
      <c r="K21" s="16" t="s">
        <v>139</v>
      </c>
      <c r="L21" s="16" t="s">
        <v>35</v>
      </c>
      <c r="M21" s="189" t="s">
        <v>80</v>
      </c>
      <c r="N21" s="188"/>
      <c r="O21" s="187"/>
      <c r="T21" s="1">
        <f>25973-12973</f>
        <v>13000</v>
      </c>
      <c r="U21" s="186">
        <f>M14+N7</f>
        <v>2339.1707453925001</v>
      </c>
    </row>
    <row r="22" spans="1:23" s="179" customFormat="1" ht="24.6" x14ac:dyDescent="0.4">
      <c r="A22" s="185"/>
      <c r="B22" s="184" t="s">
        <v>51</v>
      </c>
      <c r="C22" s="183"/>
      <c r="D22" s="183"/>
      <c r="E22" s="183"/>
      <c r="F22" s="183"/>
      <c r="G22" s="183"/>
      <c r="H22" s="183"/>
      <c r="I22" s="183"/>
      <c r="J22" s="183"/>
      <c r="K22" s="183"/>
      <c r="L22" s="183"/>
      <c r="M22" s="183"/>
      <c r="N22" s="182"/>
      <c r="O22" s="181"/>
      <c r="P22" s="180"/>
    </row>
    <row r="23" spans="1:23" s="168" customFormat="1" ht="26.4" x14ac:dyDescent="0.5">
      <c r="A23" s="175" t="s">
        <v>36</v>
      </c>
      <c r="B23" s="172" t="s">
        <v>138</v>
      </c>
      <c r="C23" s="169"/>
      <c r="D23" s="169"/>
      <c r="E23" s="169"/>
      <c r="F23" s="169"/>
      <c r="G23" s="169"/>
      <c r="H23" s="176"/>
      <c r="I23" s="176"/>
      <c r="J23" s="169"/>
      <c r="K23" s="169"/>
      <c r="L23" s="169"/>
      <c r="M23" s="169"/>
      <c r="N23" s="178"/>
      <c r="O23" s="170"/>
      <c r="P23" s="169"/>
    </row>
    <row r="24" spans="1:23" s="168" customFormat="1" ht="26.4" x14ac:dyDescent="0.5">
      <c r="A24" s="175" t="s">
        <v>36</v>
      </c>
      <c r="B24" s="172" t="s">
        <v>137</v>
      </c>
      <c r="C24" s="169"/>
      <c r="D24" s="169"/>
      <c r="E24" s="169"/>
      <c r="F24" s="169"/>
      <c r="G24" s="169"/>
      <c r="H24" s="177">
        <f>H7/365</f>
        <v>50.641540684931506</v>
      </c>
      <c r="I24" s="177">
        <f>H7+H12+H16</f>
        <v>19860.4971687</v>
      </c>
      <c r="J24" s="169"/>
      <c r="K24" s="169"/>
      <c r="L24" s="169"/>
      <c r="M24" s="169"/>
      <c r="N24" s="173"/>
      <c r="O24" s="170"/>
      <c r="P24" s="169">
        <f>1232+480</f>
        <v>1712</v>
      </c>
      <c r="T24" s="168">
        <f>88704/1.05</f>
        <v>84480</v>
      </c>
    </row>
    <row r="25" spans="1:23" s="168" customFormat="1" ht="26.4" x14ac:dyDescent="0.5">
      <c r="A25" s="175" t="s">
        <v>36</v>
      </c>
      <c r="B25" s="172" t="s">
        <v>136</v>
      </c>
      <c r="C25" s="169"/>
      <c r="D25" s="169"/>
      <c r="E25" s="169"/>
      <c r="F25" s="169"/>
      <c r="G25" s="169"/>
      <c r="H25" s="176"/>
      <c r="I25" s="176"/>
      <c r="J25" s="169"/>
      <c r="K25" s="169"/>
      <c r="L25" s="169"/>
      <c r="M25" s="169"/>
      <c r="N25" s="173"/>
      <c r="O25" s="170"/>
      <c r="P25" s="169"/>
      <c r="Q25" s="168">
        <f>79400-5233.33</f>
        <v>74166.67</v>
      </c>
      <c r="R25" s="168">
        <f>Q25*1.05</f>
        <v>77875.003500000006</v>
      </c>
      <c r="W25" s="168">
        <f>1999+1224</f>
        <v>3223</v>
      </c>
    </row>
    <row r="26" spans="1:23" s="168" customFormat="1" ht="26.4" x14ac:dyDescent="0.5">
      <c r="A26" s="175" t="s">
        <v>36</v>
      </c>
      <c r="B26" s="172" t="s">
        <v>135</v>
      </c>
      <c r="C26" s="169"/>
      <c r="D26" s="169"/>
      <c r="E26" s="169"/>
      <c r="F26" s="169"/>
      <c r="G26" s="169"/>
      <c r="H26" s="169"/>
      <c r="I26" s="169"/>
      <c r="J26" s="169"/>
      <c r="K26" s="169"/>
      <c r="L26" s="169"/>
      <c r="M26" s="169"/>
      <c r="N26" s="173"/>
      <c r="O26" s="170" t="s">
        <v>37</v>
      </c>
      <c r="P26" s="169"/>
      <c r="R26" s="168">
        <f>R25+2469</f>
        <v>80344.003500000006</v>
      </c>
    </row>
    <row r="27" spans="1:23" s="168" customFormat="1" ht="26.4" x14ac:dyDescent="0.5">
      <c r="A27" s="175" t="s">
        <v>36</v>
      </c>
      <c r="B27" s="172" t="s">
        <v>134</v>
      </c>
      <c r="C27" s="169"/>
      <c r="D27" s="169"/>
      <c r="E27" s="169"/>
      <c r="F27" s="169"/>
      <c r="G27" s="169"/>
      <c r="H27" s="169"/>
      <c r="I27" s="169"/>
      <c r="J27" s="169"/>
      <c r="K27" s="169"/>
      <c r="L27" s="169"/>
      <c r="M27" s="169"/>
      <c r="N27" s="173"/>
      <c r="O27" s="170">
        <f>129500-110900</f>
        <v>18600</v>
      </c>
      <c r="P27" s="169"/>
      <c r="W27" s="174">
        <f>N7+L14</f>
        <v>3093.1705345862497</v>
      </c>
    </row>
    <row r="28" spans="1:23" s="168" customFormat="1" ht="26.4" x14ac:dyDescent="0.5">
      <c r="B28" s="172" t="s">
        <v>133</v>
      </c>
      <c r="C28" s="169"/>
      <c r="D28" s="169"/>
      <c r="E28" s="169"/>
      <c r="F28" s="169"/>
      <c r="G28" s="169"/>
      <c r="H28" s="169"/>
      <c r="I28" s="169"/>
      <c r="J28" s="169"/>
      <c r="K28" s="169"/>
      <c r="L28" s="169"/>
      <c r="M28" s="169"/>
      <c r="N28" s="173"/>
      <c r="O28" s="170">
        <f>85000-69900</f>
        <v>15100</v>
      </c>
      <c r="P28" s="169"/>
    </row>
    <row r="29" spans="1:23" s="168" customFormat="1" ht="26.4" x14ac:dyDescent="0.5">
      <c r="B29" s="172" t="s">
        <v>132</v>
      </c>
      <c r="C29" s="169"/>
      <c r="D29" s="169"/>
      <c r="E29" s="169"/>
      <c r="F29" s="169"/>
      <c r="G29" s="169"/>
      <c r="H29" s="169"/>
      <c r="I29" s="169"/>
      <c r="J29" s="169"/>
      <c r="K29" s="169"/>
      <c r="L29" s="169"/>
      <c r="M29" s="169"/>
      <c r="N29" s="171"/>
      <c r="O29" s="170"/>
      <c r="P29" s="169"/>
    </row>
    <row r="30" spans="1:23" x14ac:dyDescent="0.3">
      <c r="B30" s="167" t="s">
        <v>38</v>
      </c>
      <c r="C30" s="166"/>
      <c r="D30" s="166"/>
      <c r="E30" s="166"/>
      <c r="F30" s="166"/>
      <c r="G30" s="166"/>
      <c r="H30" s="166"/>
      <c r="I30" s="166"/>
      <c r="J30" s="166"/>
      <c r="K30" s="166"/>
      <c r="L30" s="166"/>
      <c r="M30" s="166"/>
      <c r="N30" s="165"/>
      <c r="O30" s="147"/>
    </row>
    <row r="31" spans="1:23" x14ac:dyDescent="0.3">
      <c r="B31" s="146"/>
      <c r="C31" s="145"/>
      <c r="D31" s="145"/>
      <c r="E31" s="145"/>
      <c r="F31" s="145"/>
      <c r="G31" s="145"/>
      <c r="H31" s="145"/>
      <c r="I31" s="145"/>
      <c r="J31" s="145"/>
      <c r="K31" s="145"/>
      <c r="L31" s="145"/>
      <c r="M31" s="145"/>
      <c r="N31" s="144"/>
      <c r="O31" s="147"/>
    </row>
    <row r="32" spans="1:23" s="86" customFormat="1" ht="20.399999999999999" x14ac:dyDescent="0.35">
      <c r="B32" s="118" t="s">
        <v>39</v>
      </c>
      <c r="C32" s="119"/>
      <c r="D32" s="119"/>
      <c r="E32" s="119"/>
      <c r="F32" s="119"/>
      <c r="G32" s="119"/>
      <c r="H32" s="119"/>
      <c r="I32" s="119"/>
      <c r="J32" s="119"/>
      <c r="K32" s="119"/>
      <c r="L32" s="119"/>
      <c r="M32" s="119"/>
      <c r="N32" s="120"/>
      <c r="O32" s="92"/>
      <c r="P32" s="83"/>
    </row>
    <row r="33" spans="2:16" s="86" customFormat="1" ht="20.399999999999999" x14ac:dyDescent="0.35">
      <c r="B33" s="118" t="s">
        <v>40</v>
      </c>
      <c r="C33" s="119"/>
      <c r="D33" s="119"/>
      <c r="E33" s="119"/>
      <c r="F33" s="119"/>
      <c r="G33" s="119"/>
      <c r="H33" s="119"/>
      <c r="I33" s="119"/>
      <c r="J33" s="119"/>
      <c r="K33" s="119"/>
      <c r="L33" s="119"/>
      <c r="M33" s="119"/>
      <c r="N33" s="120"/>
      <c r="O33" s="92"/>
      <c r="P33" s="83"/>
    </row>
    <row r="34" spans="2:16" s="86" customFormat="1" ht="20.399999999999999" x14ac:dyDescent="0.35">
      <c r="B34" s="107" t="s">
        <v>131</v>
      </c>
      <c r="C34" s="108"/>
      <c r="D34" s="108"/>
      <c r="E34" s="108"/>
      <c r="F34" s="108"/>
      <c r="G34" s="164" t="s">
        <v>130</v>
      </c>
      <c r="H34" s="164"/>
      <c r="I34" s="163"/>
      <c r="J34" s="163"/>
      <c r="K34" s="163"/>
      <c r="L34" s="163"/>
      <c r="M34" s="162" t="s">
        <v>129</v>
      </c>
      <c r="N34" s="161"/>
      <c r="O34" s="83"/>
      <c r="P34" s="83"/>
    </row>
    <row r="35" spans="2:16" x14ac:dyDescent="0.3">
      <c r="B35" s="160"/>
      <c r="C35" s="159"/>
      <c r="D35" s="159"/>
      <c r="E35" s="159"/>
      <c r="F35" s="159"/>
      <c r="G35" s="159"/>
      <c r="H35" s="159"/>
      <c r="I35" s="159"/>
      <c r="J35" s="159"/>
      <c r="K35" s="159"/>
      <c r="L35" s="159"/>
      <c r="M35" s="159"/>
      <c r="N35" s="158"/>
    </row>
    <row r="36" spans="2:16" x14ac:dyDescent="0.3">
      <c r="B36" s="160"/>
      <c r="C36" s="159"/>
      <c r="D36" s="159"/>
      <c r="E36" s="159"/>
      <c r="F36" s="159"/>
      <c r="G36" s="159"/>
      <c r="H36" s="159"/>
      <c r="I36" s="159"/>
      <c r="J36" s="159"/>
      <c r="K36" s="159"/>
      <c r="L36" s="159"/>
      <c r="M36" s="159"/>
      <c r="N36" s="158"/>
    </row>
    <row r="37" spans="2:16" x14ac:dyDescent="0.3">
      <c r="B37" s="160"/>
      <c r="C37" s="159"/>
      <c r="D37" s="159"/>
      <c r="E37" s="159"/>
      <c r="F37" s="159"/>
      <c r="G37" s="159"/>
      <c r="H37" s="159"/>
      <c r="I37" s="159"/>
      <c r="J37" s="159"/>
      <c r="K37" s="159"/>
      <c r="L37" s="159"/>
      <c r="M37" s="159"/>
      <c r="N37" s="158"/>
    </row>
    <row r="38" spans="2:16" ht="16.8" x14ac:dyDescent="0.3">
      <c r="B38" s="149" t="s">
        <v>128</v>
      </c>
      <c r="C38" s="157"/>
      <c r="D38" s="154"/>
      <c r="E38" s="151"/>
      <c r="F38" s="151"/>
      <c r="G38" s="151"/>
      <c r="H38" s="151"/>
      <c r="I38" s="151"/>
      <c r="J38" s="152"/>
      <c r="K38" s="151"/>
      <c r="L38" s="151"/>
      <c r="M38" s="151"/>
      <c r="N38" s="156"/>
    </row>
    <row r="39" spans="2:16" ht="16.8" x14ac:dyDescent="0.3">
      <c r="B39" s="149" t="s">
        <v>127</v>
      </c>
      <c r="C39" s="155"/>
      <c r="D39" s="154"/>
      <c r="E39" s="151"/>
      <c r="F39" s="151"/>
      <c r="G39" s="151"/>
      <c r="H39" s="151"/>
      <c r="I39" s="151"/>
      <c r="J39" s="152"/>
      <c r="K39" s="151"/>
      <c r="L39" s="151"/>
      <c r="M39" s="151"/>
      <c r="N39" s="150"/>
    </row>
    <row r="40" spans="2:16" ht="16.8" x14ac:dyDescent="0.3">
      <c r="B40" s="149" t="s">
        <v>126</v>
      </c>
      <c r="C40" s="153"/>
      <c r="D40" s="151"/>
      <c r="E40" s="151"/>
      <c r="F40" s="151"/>
      <c r="G40" s="151"/>
      <c r="H40" s="151"/>
      <c r="I40" s="151"/>
      <c r="J40" s="152"/>
      <c r="K40" s="151"/>
      <c r="L40" s="151"/>
      <c r="M40" s="151"/>
      <c r="N40" s="150"/>
    </row>
    <row r="41" spans="2:16" ht="16.8" x14ac:dyDescent="0.3">
      <c r="B41" s="149" t="s">
        <v>125</v>
      </c>
      <c r="N41" s="148"/>
    </row>
    <row r="42" spans="2:16" ht="16.8" x14ac:dyDescent="0.3">
      <c r="B42" s="149" t="s">
        <v>124</v>
      </c>
      <c r="N42" s="148"/>
    </row>
    <row r="43" spans="2:16" ht="16.8" x14ac:dyDescent="0.3">
      <c r="B43" s="149" t="s">
        <v>123</v>
      </c>
      <c r="N43" s="148"/>
    </row>
    <row r="44" spans="2:16" ht="16.8" x14ac:dyDescent="0.3">
      <c r="B44" s="149" t="s">
        <v>122</v>
      </c>
      <c r="N44" s="148"/>
    </row>
    <row r="45" spans="2:16" ht="16.8" x14ac:dyDescent="0.3">
      <c r="B45" s="149" t="s">
        <v>121</v>
      </c>
      <c r="N45" s="148"/>
    </row>
    <row r="46" spans="2:16" ht="16.8" x14ac:dyDescent="0.3">
      <c r="B46" s="149" t="s">
        <v>120</v>
      </c>
      <c r="N46" s="148"/>
    </row>
    <row r="47" spans="2:16" x14ac:dyDescent="0.3">
      <c r="B47" s="146" t="s">
        <v>39</v>
      </c>
      <c r="C47" s="145"/>
      <c r="D47" s="145"/>
      <c r="E47" s="145"/>
      <c r="F47" s="145"/>
      <c r="G47" s="145"/>
      <c r="H47" s="145"/>
      <c r="I47" s="145"/>
      <c r="J47" s="145"/>
      <c r="K47" s="145"/>
      <c r="L47" s="145"/>
      <c r="M47" s="145"/>
      <c r="N47" s="144"/>
      <c r="O47" s="147"/>
    </row>
    <row r="48" spans="2:16" x14ac:dyDescent="0.3">
      <c r="B48" s="146" t="s">
        <v>40</v>
      </c>
      <c r="C48" s="145"/>
      <c r="D48" s="145"/>
      <c r="E48" s="145"/>
      <c r="F48" s="145"/>
      <c r="G48" s="145"/>
      <c r="H48" s="145"/>
      <c r="I48" s="145"/>
      <c r="J48" s="145"/>
      <c r="K48" s="145"/>
      <c r="L48" s="145"/>
      <c r="M48" s="145"/>
      <c r="N48" s="144"/>
      <c r="O48" s="147"/>
    </row>
    <row r="49" spans="2:14" x14ac:dyDescent="0.3">
      <c r="B49" s="146" t="s">
        <v>119</v>
      </c>
      <c r="C49" s="145"/>
      <c r="D49" s="145"/>
      <c r="E49" s="145"/>
      <c r="F49" s="145"/>
      <c r="G49" s="145"/>
      <c r="H49" s="145"/>
      <c r="I49" s="145"/>
      <c r="J49" s="145"/>
      <c r="K49" s="145"/>
      <c r="L49" s="145"/>
      <c r="M49" s="145"/>
      <c r="N49" s="144"/>
    </row>
    <row r="50" spans="2:14" ht="25.8" x14ac:dyDescent="0.3">
      <c r="C50" s="15" t="s">
        <v>41</v>
      </c>
    </row>
    <row r="51" spans="2:14" ht="25.8" x14ac:dyDescent="0.3">
      <c r="C51" s="15" t="s">
        <v>42</v>
      </c>
    </row>
    <row r="52" spans="2:14" ht="25.8" x14ac:dyDescent="0.3">
      <c r="C52" s="15" t="s">
        <v>43</v>
      </c>
    </row>
    <row r="53" spans="2:14" ht="25.8" x14ac:dyDescent="0.3">
      <c r="C53" s="15" t="s">
        <v>44</v>
      </c>
    </row>
    <row r="54" spans="2:14" ht="25.8" x14ac:dyDescent="0.3">
      <c r="C54" s="15" t="s">
        <v>45</v>
      </c>
    </row>
  </sheetData>
  <dataConsolidate/>
  <mergeCells count="11">
    <mergeCell ref="F8:G8"/>
    <mergeCell ref="F9:G9"/>
    <mergeCell ref="G19:I19"/>
    <mergeCell ref="B22:N22"/>
    <mergeCell ref="B30:N30"/>
    <mergeCell ref="B32:N32"/>
    <mergeCell ref="B33:N33"/>
    <mergeCell ref="B47:N47"/>
    <mergeCell ref="B48:N48"/>
    <mergeCell ref="B49:N49"/>
    <mergeCell ref="B31:N31"/>
  </mergeCells>
  <dataValidations count="11">
    <dataValidation type="list" allowBlank="1" showInputMessage="1" showErrorMessage="1" sqref="H34" xr:uid="{62F77A77-B269-4CB3-BFAC-8FC0EE81DF62}">
      <formula1>"ALAA HAMMAD,KHALED QASSEM,RAMY RAOUF,SIMON LOBO,MHAREN CLEMENTE GARADO"</formula1>
    </dataValidation>
    <dataValidation type="list" allowBlank="1" showInputMessage="1" showErrorMessage="1" sqref="M34" xr:uid="{D1F31494-262D-4802-BFEF-D2C07A91B1F6}">
      <formula1>"Alaa Hammad,Bachir Ibrahim Mourad,Khaled Qassem,Ramy Raoof,Simon Lobo,Mharen Clemente Garado,Ranjith"</formula1>
    </dataValidation>
    <dataValidation type="list" allowBlank="1" showInputMessage="1" showErrorMessage="1" sqref="B11" xr:uid="{F8BAE27F-CBC0-495A-A6EC-72C31EE085F0}">
      <formula1>"FO Ceramic+ Intr&amp;Extr CeramicGold WdwTnt,FO Mirror Camera Sensor"</formula1>
    </dataValidation>
    <dataValidation type="list" allowBlank="1" showInputMessage="1" showErrorMessage="1" sqref="B12" xr:uid="{59FAA037-C1DF-4832-A590-40ACA2E4D291}">
      <formula1>"FO Exterior ceramic All Cars SCOTCHGUARD,FO Mirror Camera Sensor,FO PPF Gold Package "</formula1>
    </dataValidation>
    <dataValidation type="list" allowBlank="1" showInputMessage="1" showErrorMessage="1" sqref="K20" xr:uid="{0D8D27CD-C1A0-4454-8B0D-4759B496B136}">
      <formula1>"Esaad,Emirates Platinum,Fazaa,Humat Alwatan,Permissible,ASX,XPMLP,XP,MON,MON G57,OUT,F08,P08,F06,P06,F03,F03-1,P03,EC,G37,G38,G40,G43"</formula1>
    </dataValidation>
    <dataValidation type="list" allowBlank="1" showInputMessage="1" showErrorMessage="1" sqref="B16" xr:uid="{9DC58AC9-81B7-4A06-AD4C-2A33E3791CD2}">
      <formula1>"RMC-10-40KMS,RMC-10-60KMS,RMC-10-70KMS,RMC-10-100000KMS,RMC-40-70KMS,RMC-40-100000KMS"</formula1>
    </dataValidation>
    <dataValidation type="list" allowBlank="1" showInputMessage="1" showErrorMessage="1" sqref="K24" xr:uid="{1D4CD1C6-1E32-41C9-B6E1-31FC91C523BD}">
      <formula1>"RMC-10-70K,RMC-10-100000K,RMC-40-70K"</formula1>
    </dataValidation>
    <dataValidation type="list" allowBlank="1" showInputMessage="1" showErrorMessage="1" sqref="D5" xr:uid="{593D6F95-6DB4-40EC-980A-440B75732CCC}">
      <formula1>"MIG09,MIG10,H16,P16,H17,H48,H43,H40,H42,H44,H45,H38,H37,EH40,EH43,ML,HL,PR, MLP,HLP,PRP,XPML,XPHL,XPMLP, XPMLP-01,XC, G10,P10, G03, P03, G06,P06,G12,P12,G05,P05,G08,P08,G09,P09,H57,P57,H64,H59,P59,H61,P61"</formula1>
    </dataValidation>
    <dataValidation type="list" allowBlank="1" showInputMessage="1" showErrorMessage="1" sqref="M21" xr:uid="{8FFB5344-89D2-4E69-8601-4A5BDEA8284C}">
      <formula1>"3000-4999,5000-9999,5000-99999,10000-14999,15000-24999,25000-34999,35000-99999,5000-11999,12000-19999,20000-39999,40000-69999,70000-99999"</formula1>
    </dataValidation>
    <dataValidation type="list" allowBlank="1" showInputMessage="1" showErrorMessage="1" sqref="C10:C16 L20 L24:L25 G14:G15 J10" xr:uid="{9579A640-CBC3-48FA-96B2-29A945609289}">
      <formula1>"YES,NO"</formula1>
    </dataValidation>
    <dataValidation type="list" allowBlank="1" showInputMessage="1" showErrorMessage="1" sqref="K21" xr:uid="{9E36D2B2-2898-4F00-B802-D3F50A37B0E2}">
      <formula1>"ADCB,ADCB PAY IN 2027,Ajman Bank,ADIB,DIB EXPAT,DIB LOCAL GVH,Emirates NBD,EIB,FAB,RAK,SIB STL,SIB NON STL"</formula1>
    </dataValidation>
  </dataValidations>
  <pageMargins left="0.23622047244094491" right="0.23622047244094491" top="0.74803149606299213" bottom="0.74803149606299213" header="0.31496062992125984" footer="0.31496062992125984"/>
  <pageSetup paperSize="9" scale="40" orientation="landscape" horizontalDpi="4294967295" verticalDpi="4294967295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6840D-73F6-45E3-B622-DEDE03526B08}">
  <sheetPr>
    <pageSetUpPr fitToPage="1"/>
  </sheetPr>
  <dimension ref="A1:AA54"/>
  <sheetViews>
    <sheetView topLeftCell="B1" zoomScaleNormal="100" workbookViewId="0">
      <selection activeCell="D5" sqref="D5"/>
    </sheetView>
  </sheetViews>
  <sheetFormatPr defaultColWidth="9.109375" defaultRowHeight="15.6" x14ac:dyDescent="0.3"/>
  <cols>
    <col min="1" max="1" width="16" style="1" hidden="1" customWidth="1"/>
    <col min="2" max="2" width="75.109375" style="2" customWidth="1"/>
    <col min="3" max="3" width="26.88671875" style="3" customWidth="1"/>
    <col min="4" max="4" width="23.88671875" style="2" customWidth="1"/>
    <col min="5" max="5" width="23.33203125" style="2" customWidth="1"/>
    <col min="6" max="6" width="19.88671875" style="2" customWidth="1"/>
    <col min="7" max="7" width="23.33203125" style="2" customWidth="1"/>
    <col min="8" max="8" width="24.44140625" style="2" customWidth="1"/>
    <col min="9" max="9" width="27.109375" style="2" customWidth="1"/>
    <col min="10" max="10" width="26.6640625" style="2" customWidth="1"/>
    <col min="11" max="11" width="25.44140625" style="2" customWidth="1"/>
    <col min="12" max="12" width="20.5546875" style="2" customWidth="1"/>
    <col min="13" max="13" width="20.109375" style="2" customWidth="1"/>
    <col min="14" max="14" width="19.5546875" style="2" customWidth="1"/>
    <col min="15" max="15" width="15.109375" style="2" bestFit="1" customWidth="1"/>
    <col min="16" max="16" width="12.6640625" style="2" hidden="1" customWidth="1"/>
    <col min="17" max="17" width="12.6640625" style="1" hidden="1" customWidth="1"/>
    <col min="18" max="18" width="15.6640625" style="1" hidden="1" customWidth="1"/>
    <col min="19" max="19" width="13" style="1" hidden="1" customWidth="1"/>
    <col min="20" max="20" width="17.109375" style="1" hidden="1" customWidth="1"/>
    <col min="21" max="21" width="14.5546875" style="1" bestFit="1" customWidth="1"/>
    <col min="22" max="22" width="19" style="1" customWidth="1"/>
    <col min="23" max="23" width="22.5546875" style="1" bestFit="1" customWidth="1"/>
    <col min="24" max="25" width="9.109375" style="1"/>
    <col min="26" max="26" width="14" style="1" bestFit="1" customWidth="1"/>
    <col min="27" max="27" width="22.33203125" style="1" bestFit="1" customWidth="1"/>
    <col min="28" max="16384" width="9.109375" style="1"/>
  </cols>
  <sheetData>
    <row r="1" spans="1:27" ht="15.75" customHeight="1" x14ac:dyDescent="0.3">
      <c r="B1" s="222" t="s">
        <v>148</v>
      </c>
      <c r="C1" s="221"/>
      <c r="D1" s="221"/>
      <c r="E1" s="221"/>
      <c r="F1" s="221"/>
      <c r="G1" s="221"/>
      <c r="H1" s="221"/>
      <c r="I1" s="221"/>
      <c r="J1" s="221"/>
      <c r="K1" s="221"/>
      <c r="L1" s="221"/>
      <c r="M1" s="221"/>
      <c r="N1" s="220"/>
    </row>
    <row r="2" spans="1:27" ht="15.75" customHeight="1" x14ac:dyDescent="0.3">
      <c r="B2" s="219" t="s">
        <v>147</v>
      </c>
      <c r="C2" s="218"/>
      <c r="D2" s="218"/>
      <c r="E2" s="218"/>
      <c r="F2" s="218"/>
      <c r="G2" s="218"/>
      <c r="H2" s="218"/>
      <c r="I2" s="218"/>
      <c r="J2" s="218"/>
      <c r="K2" s="218"/>
      <c r="L2" s="218"/>
      <c r="M2" s="218"/>
      <c r="N2" s="217"/>
      <c r="Q2" s="2"/>
      <c r="S2" s="186"/>
    </row>
    <row r="3" spans="1:27" ht="15.75" customHeight="1" x14ac:dyDescent="0.3">
      <c r="B3" s="219" t="s">
        <v>146</v>
      </c>
      <c r="C3" s="218"/>
      <c r="D3" s="218"/>
      <c r="E3" s="218"/>
      <c r="F3" s="218"/>
      <c r="G3" s="218"/>
      <c r="H3" s="218"/>
      <c r="I3" s="218"/>
      <c r="J3" s="218"/>
      <c r="K3" s="218"/>
      <c r="L3" s="218"/>
      <c r="M3" s="218"/>
      <c r="N3" s="217"/>
      <c r="O3" s="3"/>
      <c r="P3" s="3"/>
      <c r="Q3" s="153"/>
      <c r="R3" s="153"/>
      <c r="S3" s="216" t="e">
        <f>N7+J14</f>
        <v>#VALUE!</v>
      </c>
      <c r="T3" s="216"/>
      <c r="U3" s="153"/>
      <c r="V3" s="153"/>
      <c r="W3" s="153"/>
      <c r="AA3" s="1">
        <f>273000/5</f>
        <v>54600</v>
      </c>
    </row>
    <row r="4" spans="1:27" ht="15.75" customHeight="1" x14ac:dyDescent="0.3">
      <c r="B4" s="215"/>
      <c r="C4" s="214"/>
      <c r="D4" s="214"/>
      <c r="E4" s="214"/>
      <c r="F4" s="214"/>
      <c r="G4" s="214"/>
      <c r="H4" s="214"/>
      <c r="I4" s="214"/>
      <c r="J4" s="214"/>
      <c r="K4" s="214"/>
      <c r="L4" s="214"/>
      <c r="M4" s="214"/>
      <c r="N4" s="213"/>
      <c r="O4" s="212" t="s">
        <v>0</v>
      </c>
      <c r="P4" s="212"/>
      <c r="Q4" s="210"/>
      <c r="R4" s="210"/>
      <c r="S4" s="211"/>
      <c r="T4" s="211"/>
      <c r="U4" s="210" t="s">
        <v>1</v>
      </c>
      <c r="V4" s="210" t="s">
        <v>2</v>
      </c>
      <c r="W4" s="210" t="s">
        <v>3</v>
      </c>
    </row>
    <row r="5" spans="1:27" ht="25.2" thickBot="1" x14ac:dyDescent="0.45">
      <c r="B5" s="17"/>
      <c r="C5" s="18" t="str">
        <f>IF(D5="MIG09","Mirage G09",IF(D5="MIG10","MirageG10",IF(D5="H16","Attrage H16",IF(D5="P16","Attrage P16",IF(D5="H17","Attrage H17",IF(D5="H48","ASX H48",IF(D5="H43","ASX H43",IF(D5="H40","ASX H40",IF(D5="H42","ASX H42",IF(D5="H44","ASX H44",IF(D5="H45","ASX H45",IF(D5="H38","Eclipse H38",IF(D5="H37","Eclipse H37",IF(D5="EH40","Eclipse H40",IF(D5="EH43","Eclipse H43",IF(D5="XPML","Xpander ML",IF(D5="ML","Destinator ML",IF(D5="HL","Destinator HL",IF(D5="PR","Destinator PR",IF(D5="MLP","Destinator MLP",IF(D5="HLP","Destinator HLP",IF(D5="PRP","Destinator PRP",IF(D5="XPHL","Xpander HL",IF(D5="XPMLP","Xpander ML P",IF(D5="XPMLP-01","Xpander ML P-01",IF(D5="XC","Xpander Cross",IF(D5="G03","Outlander G03",IF(D5="P03","Outlander P03",IF(D5="G06","Outlander G06",IF(D5="P06","Outlander P06",IF(D5="OTP06-01","Outlander P06-01",IF(D5="G08","Outlander G08",IF(D5="P08","Outlander P08",IF(D5="H57","Montero H57",IF(D5="P57","Montero P57",IF(D5="H64","Montero G64",IF(D5="H59","Montero G59",IF(D5="P59","Montero G59 P",IF(D5="H61","Montero G61",IF(D5="P61","Montero P61",IF(D5="G10","Outlander G10",IF(D5="P10","Outlander P10",IF(D5="G12","Outlander G12",IF(D5="P12","Outlander P12",IF(D5="G05","Outlander G05",IF(D5="P05","Outlander P05",IF(D5="G09","Outlander G09",IF(D5="P09","Outlander P09",))))))))))))))))))))))))))))))))))))))))))))))))</f>
        <v>Xpander ML P</v>
      </c>
      <c r="D5" s="19" t="s">
        <v>103</v>
      </c>
      <c r="E5" s="20" t="s">
        <v>145</v>
      </c>
      <c r="F5" s="37"/>
      <c r="G5" s="37"/>
      <c r="H5" s="37"/>
      <c r="I5" s="20"/>
      <c r="J5" s="34"/>
      <c r="K5" s="209">
        <v>0</v>
      </c>
      <c r="L5" s="208">
        <v>3.39E-2</v>
      </c>
      <c r="M5" s="208">
        <v>6.7799999999999999E-2</v>
      </c>
      <c r="N5" s="208">
        <v>0.1017</v>
      </c>
      <c r="O5" s="147">
        <f>K7+K14</f>
        <v>10027.060244107499</v>
      </c>
      <c r="S5" s="186"/>
      <c r="U5" s="186">
        <f>L7+L14</f>
        <v>4139.824735154375</v>
      </c>
      <c r="V5" s="186">
        <f>M7+M14</f>
        <v>2799.4843289887503</v>
      </c>
      <c r="W5" s="186">
        <f>N7+N14</f>
        <v>1967.9140101543753</v>
      </c>
    </row>
    <row r="6" spans="1:27" s="5" customFormat="1" ht="99" thickBot="1" x14ac:dyDescent="0.35">
      <c r="A6" s="4" t="s">
        <v>4</v>
      </c>
      <c r="B6" s="26" t="s">
        <v>5</v>
      </c>
      <c r="C6" s="27" t="s">
        <v>6</v>
      </c>
      <c r="D6" s="27" t="s">
        <v>144</v>
      </c>
      <c r="E6" s="27" t="s">
        <v>7</v>
      </c>
      <c r="F6" s="27" t="s">
        <v>8</v>
      </c>
      <c r="G6" s="28" t="s">
        <v>9</v>
      </c>
      <c r="H6" s="28" t="s">
        <v>143</v>
      </c>
      <c r="I6" s="28" t="s">
        <v>10</v>
      </c>
      <c r="J6" s="28" t="s">
        <v>142</v>
      </c>
      <c r="K6" s="28" t="s">
        <v>11</v>
      </c>
      <c r="L6" s="28" t="s">
        <v>12</v>
      </c>
      <c r="M6" s="28" t="s">
        <v>13</v>
      </c>
      <c r="N6" s="28" t="s">
        <v>14</v>
      </c>
      <c r="O6" s="207"/>
      <c r="P6" s="206"/>
      <c r="T6" s="205"/>
      <c r="U6" s="205">
        <f>N7+L14</f>
        <v>3271.060445154375</v>
      </c>
      <c r="V6" s="205">
        <f>N7+K14</f>
        <v>8072.3405916075008</v>
      </c>
      <c r="W6" s="205" t="e">
        <f>N7+J14</f>
        <v>#VALUE!</v>
      </c>
    </row>
    <row r="7" spans="1:27" ht="25.2" thickBot="1" x14ac:dyDescent="0.45">
      <c r="A7" s="6">
        <f>B8</f>
        <v>75900</v>
      </c>
      <c r="B7" s="29">
        <f>IF(L20="YES",C8*1,IF(L20="NO",B8*1))</f>
        <v>75900</v>
      </c>
      <c r="C7" s="29">
        <f>B7*5/100</f>
        <v>3795</v>
      </c>
      <c r="D7" s="203">
        <f>B7+C7</f>
        <v>79695</v>
      </c>
      <c r="E7" s="29">
        <f>D17</f>
        <v>17500.982625000001</v>
      </c>
      <c r="F7" s="29">
        <f>(C7)+(D10+D11+D12+D13+D16)*5/100</f>
        <v>4335</v>
      </c>
      <c r="G7" s="30">
        <f>B7+E7+F7</f>
        <v>97735.982625000004</v>
      </c>
      <c r="H7" s="29">
        <f>G7*D20</f>
        <v>19547.196525000003</v>
      </c>
      <c r="I7" s="30">
        <f>(G7-H7)</f>
        <v>78188.786099999998</v>
      </c>
      <c r="J7" s="30">
        <f>(((I7*D19)*1)+I7)/12</f>
        <v>6769.1941566075002</v>
      </c>
      <c r="K7" s="30">
        <f>(((I7*D19)*2)+I7)/24</f>
        <v>3511.3280691074997</v>
      </c>
      <c r="L7" s="30">
        <f>(((I7*D19)*3)+I7)/36</f>
        <v>2425.3727066074998</v>
      </c>
      <c r="M7" s="30">
        <f>(((I7*D19)*4)+I7)/48</f>
        <v>1882.3950253575001</v>
      </c>
      <c r="N7" s="30">
        <f>((((I7*D19)*5)+I7)/60)</f>
        <v>1556.6084166075002</v>
      </c>
      <c r="O7" s="147"/>
      <c r="P7" s="2">
        <f>H7+H16</f>
        <v>20368.178779050002</v>
      </c>
      <c r="T7" s="186">
        <f>25973/2</f>
        <v>12986.5</v>
      </c>
    </row>
    <row r="8" spans="1:27" ht="24.6" x14ac:dyDescent="0.4">
      <c r="A8" s="7">
        <v>0.2</v>
      </c>
      <c r="B8" s="31">
        <f>IF(D5="MIG09",39900,IF(D5="MIG10",41900,IF(D5="H16",41900,IF(D5="P16",47400,IF(D5="H17",47900,IF(D5="H48",67900,IF(D5="H43",70900,IF(D5="H40",72900,IF(D5="H42",74900,IF(D5="H44",73900,IF(D5="H45",79900,IF(D5="H38",86900,IF(D5="H37",79900,IF(D5="EH40",99900,IF(D5="EH43",106900,IF(D5="ML",71900,IF(D5="HL",83900,IF(D5="PR",95900,IF(D5="MLP",80900,IF(D5="HLP",91900,IF(D5="PRP",102900,IF(D5="XPML",69900,IF(D5="XPHL",71000,IF(D5="XPMLP",75900,IF(D5="XPMLP-01",77800,IF(D5="XC",84900,IF(D5="G10",81900,IF(D5="P10",93900,IF(D5="G12",97900,IF(D5="P12",105900,IF(D5="G05",104900,IF(D5="P05",105900,IF(D5="G03",92900,IF(D5="P03",100900,IF(D5="G06",109900,IF(D5="P06",114900,IF(D5="OTP06-01",118900,IF(D5="G08",125900,IF(D5="P08",132900,IF(D5="OTP06-01",109900,IF(D5="G09",129900,IF(D5="P09",134900,IF(D5="H57",105900,IF(D5="P57",113900,IF(D5="H64",116900,IF(D5="H59",127900,IF(D5="P59",134900,IF(D5="H61",134900,IF(D5="P61",138900)))))))))))))))))))))))))))))))))))))))))))))))))</f>
        <v>75900</v>
      </c>
      <c r="C8" s="32">
        <f>IF(L20="YES",N20,IF(L20="NO",N20))</f>
        <v>75900</v>
      </c>
      <c r="D8" s="29">
        <v>0</v>
      </c>
      <c r="E8" s="33"/>
      <c r="F8" s="139"/>
      <c r="G8" s="140"/>
      <c r="H8" s="110">
        <f>G7*20/100</f>
        <v>19547.196524999999</v>
      </c>
      <c r="I8" s="34"/>
      <c r="J8" s="34" t="s">
        <v>15</v>
      </c>
      <c r="K8" s="34">
        <f>(I7*K5+I7)/24</f>
        <v>3257.8660875</v>
      </c>
      <c r="L8" s="34">
        <f>(I7*L5+I7)/36</f>
        <v>2245.5384985774999</v>
      </c>
      <c r="M8" s="34">
        <f>(I7*M5+I7)/48</f>
        <v>1739.3747041162499</v>
      </c>
      <c r="N8" s="34">
        <f>(I7*N5+I7)/60</f>
        <v>1435.6764274395</v>
      </c>
      <c r="O8" s="147">
        <v>0</v>
      </c>
      <c r="P8" s="2">
        <f>P7/12</f>
        <v>1697.3482315875001</v>
      </c>
      <c r="T8" s="1">
        <f>25973-12973</f>
        <v>13000</v>
      </c>
    </row>
    <row r="9" spans="1:27" ht="24.6" x14ac:dyDescent="0.4">
      <c r="A9" s="8">
        <f>B8/(100%-A8)</f>
        <v>94875</v>
      </c>
      <c r="B9" s="109">
        <f>B7-B8</f>
        <v>0</v>
      </c>
      <c r="C9" s="109"/>
      <c r="D9" s="36"/>
      <c r="E9" s="33"/>
      <c r="F9" s="139"/>
      <c r="G9" s="140"/>
      <c r="H9" s="33"/>
      <c r="I9" s="37" t="s">
        <v>16</v>
      </c>
      <c r="J9" s="38">
        <f>(J7*12)-I7</f>
        <v>3041.5437792900047</v>
      </c>
      <c r="K9" s="38">
        <f>(K7*24)-I7</f>
        <v>6083.0875585799949</v>
      </c>
      <c r="L9" s="38">
        <f>(L7*36)-I7</f>
        <v>9124.6313378699997</v>
      </c>
      <c r="M9" s="38">
        <f>(M7*48)-I7</f>
        <v>12166.175117160004</v>
      </c>
      <c r="N9" s="38">
        <f>(N7*60)-I7</f>
        <v>15207.718896450009</v>
      </c>
      <c r="O9" s="147"/>
      <c r="T9" s="1">
        <f>T8/12</f>
        <v>1083.3333333333333</v>
      </c>
      <c r="Z9" s="1" t="s">
        <v>86</v>
      </c>
    </row>
    <row r="10" spans="1:27" ht="24.6" x14ac:dyDescent="0.4">
      <c r="A10" s="8"/>
      <c r="B10" s="37" t="s">
        <v>141</v>
      </c>
      <c r="C10" s="20" t="s">
        <v>17</v>
      </c>
      <c r="D10" s="36">
        <f>IF(C10="YES",700,IF(C10="NO",0))</f>
        <v>0</v>
      </c>
      <c r="E10" s="39"/>
      <c r="F10" s="40"/>
      <c r="G10" s="40"/>
      <c r="H10" s="33"/>
      <c r="I10" s="44" t="s">
        <v>85</v>
      </c>
      <c r="J10" s="117" t="s">
        <v>19</v>
      </c>
      <c r="K10" s="117">
        <f>IF(J10="YES",Z10,IF(J10="NO",0))</f>
        <v>1000</v>
      </c>
      <c r="L10" s="41">
        <f>(L8*36)-I7</f>
        <v>2650.5998487900069</v>
      </c>
      <c r="M10" s="41">
        <f>(M8*48)-I7</f>
        <v>5301.1996975799993</v>
      </c>
      <c r="N10" s="41">
        <f>(N8*60)-I7</f>
        <v>7951.7995463700063</v>
      </c>
      <c r="O10" s="147">
        <f>IF(D5="XC",3690,IF(D5="XPML",3690,IF(D5="XPHL",3690,IF(D5="XPMLP",3690,IF(D5="XPMLP-01",3690,IF(D5="Xpander P",3690,IF(D5="ML",3690,IF(D5="HL",3690,IF(D5="PR",(U19*3/100+510)*1.05,IF(D5="MLP",3690,IF(D5="HLP",(U19*3/100+510)*1.05,IF(D5="PRP",(U19*3/100+510)*1.05,IF(D5="H57",(U19*2.75/100+510)*1.05,IF(D5="P57",(U19*2.75/100+510)*1.05,IF(D5="H64",(U19*2.75/100+510)*1.05,IF(D5="H59",(U19*2.75/100+510)*1.05,IF(D5="P59",(U19*2.75/100+510)*1.05,IF(D5="H61",(U19*2.75/100+510)*1.05,IF(D5="P61",(U19*2.75/100+510)*1.05,IF(D5="G03",(U19*3/100+510)*1.05,IF(D5="G10",(U19*3/100+510)*1.05,IF(D5="P10",(U19*3/100+510)*1.05,IF(D5="G12",(U19*3/100+510)*1.05,IF(D5="P12",(U19*3/100+510)*1.05,IF(D5="G05",(U19*3/100+510)*1.05,IF(D5="P05",(U19*3/100+510)*1.05,IF(D5="P03",(U19*3/100+510)*1.05,IF(D5="G06",(U19*3/100+510)*1.05,IF(D5="P06",(U19*3/100+510)*1.05,IF(D5="OTP06-01",(U19*3/100+510)*1.05,IF(D5="G08",(U19*3/100+510)*1.05,IF(D5="P08",(U19*3/100+510)*1.05,IF(D5="G09",(U19*3/100+510)*1.05,IF(D5="P09",(U19*3/100+510)*1.05,IF(D5="H38",3625,IF(D5="H37",3625,IF(D5="EH40",(U19*3/100+450)*1.05,IF(D5="EH43",(U19*3/100+450)*1.05,IF(D5="H48",3625,IF(D5="H43",3625,IF(D5="H40",3625,IF(D5="H42",3625,IF(D5="H44",3625,IF(D5="H45",3625,IF(D5="ASX HL 4WD",3625,IF(D5="H16",3625,IF(D5="H17",3625,IF(D5="P16",3625,IF(D5="Attrage S",3625,IF(D5="MIG09",3625,IF(D5="MIG10",3625,IF(D5="Xpander HL",3690))))))))))))))))))))))))))))))))))))))))))))))))))))</f>
        <v>3690</v>
      </c>
      <c r="P10" s="204"/>
      <c r="Q10" s="204">
        <f>5.25*3</f>
        <v>15.75</v>
      </c>
      <c r="Z10" s="1">
        <f>IF(D5="MIG09",1000,IF(D5="MIG10",1000,IF(D5="H16",1000,IF(D5="P16",1000,IF(D5="H17",1000,IF(D5="H48",1000,IF(D5="H43",1000,IF(D5="H40",1000,IF(D5="H42",1000,IF(D5="H44",1000,IF(D5="H45",1000,IF(D5="H38",1000,IF(D5="H37",1000,IF(D5="EH40",1000,IF(D5="EH43",1000,IF(D5="ML",1000,IF(D5="HL",1000,IF(D5="PR",1000,IF(D5="MLP",1000,IF(D5="HLP",1000,IF(D5="PRP",1000,IF(D5="XPML",1000,IF(D5="XPHL",1000,IF(D5="XPMLP",1000,IF(D5="XPMLP-01",1000,IF(D5="XC",1000,IF(D5="G10",1000,IF(D5="P10",1000,IF(D5="G12",1000,IF(D5="P12",1000,IF(D5="G05",1000,IF(D5="P05",1000,IF(D5="G03",1000,IF(D5="P03",1000,IF(D5="G06",1000,IF(D5="P06",1000,IF(D5="OTP06-01",1000,IF(D5="G08",1000,IF(D5="P08",1000,IF(D5="OTP06-01",1000,IF(D5="G09",1000,IF(D5="P09",1000,IF(D5="H57",1000,IF(D5="P57",1000,IF(D5="H64",1000,IF(D5="H59",1000,IF(D5="P59",1000,IF(D5="H61",1000,IF(D5="P61",1000)))))))))))))))))))))))))))))))))))))))))))))))))</f>
        <v>1000</v>
      </c>
    </row>
    <row r="11" spans="1:27" ht="24.6" x14ac:dyDescent="0.4">
      <c r="A11" s="8"/>
      <c r="B11" s="37" t="s">
        <v>18</v>
      </c>
      <c r="C11" s="20" t="s">
        <v>19</v>
      </c>
      <c r="D11" s="203">
        <f>IF(C11="YES",O17,IF(C11="NO",0))</f>
        <v>2700</v>
      </c>
      <c r="E11" s="39"/>
      <c r="F11" s="40"/>
      <c r="G11" s="40"/>
      <c r="H11" s="33"/>
      <c r="I11" s="33"/>
      <c r="J11" s="44" t="s">
        <v>76</v>
      </c>
      <c r="K11" s="44">
        <f>H8-K10</f>
        <v>18547.196524999999</v>
      </c>
      <c r="L11" s="37"/>
      <c r="M11" s="37"/>
      <c r="N11" s="38"/>
      <c r="O11" s="147">
        <f>IF(D5="XC",6100,IF(D5="XPML",6100,IF(D5="XPHL",6100,IF(D5="XPMLP",6100,IF(D5="XPMLP-01",6100,IF(D5="Xpander P",6100,IF(D5="ML",6600,IF(D5="HL",6600,IF(D5="PR",6600,IF(D5="MLP",6600,IF(D5="HLP",6600,IF(D5="PRP",6600,IF(D5="H57",5900,IF(D5="P57",5900,IF(D5="H64",5900,IF(D5="H59",5900,IF(D5="P59",5900,IF(D5="H61",5900,IF(D5="P61",5900,IF(D5="G03",6700,IF(D5="G10",6700,IF(D5="P10",6700,IF(D5="G12",6700,IF(D5="P12",6700,IF(D5="G05",6700,IF(D5="P05",6700,IF(D5="P03",6700,IF(D5="G06",6700,IF(D5="P06",6700,IF(D5="OTP06-01",6700,IF(D5="G08",6700,IF(D5="G09",6700,IF(D5="G08",6700,IF(D5="P08",6700,IF(D5="P09",6700,IF(D5="H37",6400,IF(D5="H38",6400,IF(D5="EH40",6400,IF(D5="EH43",6400,IF(D5="H48",6600,IF(D5="H43",6600,IF(D5="H40",6600,IF(D5="H42",6600,IF(D5="H44",6600,IF(D5="H45",6600,IF(D5="ASX HL 4WD",6600,IF(D5="H16",5400,IF(D5="H17",5400,IF(D5="P16",5400,IF(D5="Attrage S",5400,IF(D5="MIG09",5400,IF(D5="MIG10",5400,IF(D5="Xpander HL",6000)))))))))))))))))))))))))))))))))))))))))))))))))))))</f>
        <v>6100</v>
      </c>
      <c r="P11" s="147"/>
      <c r="Q11" s="147"/>
      <c r="R11" s="147"/>
      <c r="S11" s="147"/>
      <c r="T11" s="147"/>
      <c r="U11" s="147">
        <f>IF(D5="XC",4900,IF(D5="XPML",4900,IF(D5="XPHL",4900,IF(D5="XPMLP",4900,IF(D5="XPMLP-01",4900,IF(D5="Xpander P",4900,IF(D5="ML",5400,IF(D5="HL",5400,IF(D5="PR",5400,IF(D5="MLP",5400,IF(D5="HLP",5400,IF(D5="PRP",5400,IF(D5="H57",4600,IF(D5="P57",4600,IF(D5="MOG64",4600,IF(D5="H59",4600,IF(D5="P59",4600,IF(D5="H61",4600,IF(D5="P61",4600,IF(D5="G03",5500,IF(D5="P03",5500,IF(D5="G10",5500,IF(D5="P10",5500,IF(D5="G12",5500,IF(D5="P12",5500,IF(D5="G05",5500,IF(D5="P05",5500,IF(D5="G06",5500,IF(D5="P06",5500,IF(D5="OTP06-01",5500,IF(D5="F08",5500,IF(D5="P08",5500,IF(D5="G09",5500,IF(D5="P09",5500,IF(D5="H38",5200,IF(D5="H37",5200,IF(D5="EH40",5200,IF(D5="EH43",5200,IF(D5="H48",5300,IF(D5="H43",5300,IF(D5="H40",5300,IF(D5="H42",5300,IF(D5="H44",5300,IF(D5="H45",5300,IF(D5="ASX HL",5300,IF(D5="ASX P",5300,IF(D5="ASX HL 4WD",5300,IF(D5="H16",4200,IF(D5="H17",4200,IF(D5="P16",4200,IF(D5="Attrage S",4200,IF(D5="MIG09",4200,IF(D5="MIG10",4200,IF(D5="Xpander HL",4900))))))))))))))))))))))))))))))))))))))))))))))))))))))</f>
        <v>4900</v>
      </c>
      <c r="V11" s="147">
        <f>IF(D5="XC",9700,IF(D5="XPML",9700,IF(D5="XPHL",9700,IF(D5="XPMLP",9700,IF(D5="XPMLP-01",9700,IF(D5="XPMLP-01",9700,IF(D5="Xpander P",9700,IF(D5="ML",10800,IF(D5="HL",10800,IF(D5="PR",10800,IF(D5="MLP",10800,IF(D5="HLP",10800,IF(D5="PRP",10800,IF(D5="H57",9300,IF(D5="P57",9300,IF(D5="MG64",9300,IF(D5="H59",9300,IF(D5="P59",9300,IF(D5="H61",9300,IF(D5="P61",9300,IF(D5="G03",11000,IF(D5="G10",11000,IF(D5="P10",11000,IF(D5="G12",11000,IF(D5="P12",11000,IF(D5="G05",11000,IF(D5="P05",11000,IF(D5="P03",11000,IF(D5="G06",11000,IF(D5="P06",11000,IF(D5="OTP06-01",11000,IF(D5="G08",11000,IF(D5="P08",11000,IF(D5="G09",11000,IF(D5="P09",11000,IF(D5="H38",10400,IF(D5="H37",10400,IF(D5="EH40",10400,IF(D5="EH43",10400,IF(D5="H48",10700,IF(D5="H43",10700,IF(D5="H40",10700,IF(D5="H42",10700,IF(D5="H44",10800,IF(D5="H45",10800,IF(D5="ASX HL",12200,IF(D5="ASX P",12200,IF(D5="ASX HL 4WD",12200,IF(D5="H16",8500,IF(D5="H17",8500,IF(D5="P16",8500,IF(D5="Attrage S",9600,IF(D5="MIG09",8500,IF(D5="MIG10",8500,IF(D5="Xpander HL",11300)))))))))))))))))))))))))))))))))))))))))))))))))))))))</f>
        <v>9700</v>
      </c>
      <c r="W11" s="147">
        <f>IF(D5="XC",9200,IF(D5="XPML",9200,IF(D5="XPHL",9200,IF(D5="XPMLP",9200,IF(D5="XPMLP-01",9200,IF(D5="Xpander P",9200,IF(D5="ML",10000,IF(D5="HL",10000,IF(D5="PR",10000,IF(D5="MLP",10000,IF(D5="HLP",10000,IF(D5="PRP",10000,IF(D5="H57",8700,IF(D5="P57",8700,IF(D5="H64",8700,IF(D5="H59",8700,IF(D5="P59",8700,IF(D5="H61",8700,IF(D5="P61",8700,IF(D5="G03",10400,IF(D5="P03",10400,IF(D5="G10",10400,IF(D5="P10",10400,IF(D5="G12",10400,IF(D5="P12",10400,IF(D5="G05",10400,IF(D5="P05",10400,IF(D5="G06",10400,IF(D5="P06",10400,IF(D5="OTP06-01",10400,IF(D5="G08",10400,IF(D5="P08",10400,IF(D5="G09",10400,IF(D5="P09",10400,IF(D5="H38",9800,IF(D5="H37",9800,IF(D5="EH40",9800,IF(D5="EH43",9800,IF(D5="H48",10100,IF(D5="H43",10100,IF(D5="H40",10100,IF(D5="H42",10100,IF(D5="H44",10100,IF(D5="H45",10100,IF(D5="ASX HL",10100,IF(D5="ASX P",10100,IF(D5="ASX HL 4WD",10100,IF(D5="H16",7900,IF(D5="H17",7900,IF(D5="P16",7900,IF(D5="Attrage S",7900,IF(D5="MIG09",7900,IF(D5="MIG10",7900,IF(D5="Xpander HL",9200))))))))))))))))))))))))))))))))))))))))))))))))))))))</f>
        <v>9200</v>
      </c>
      <c r="X11" s="147">
        <f>IF(D5="XC",4500,IF(D5="XPML",4500,IF(D5="XPHL",4500,IF(D5="XPMLP",4500,IF(D5="XPMLP-01",4500,IF(D5="Xpander P",4500,IF(D5="ML",5000,IF(D5="HL",5000,IF(D5="PR",5000,IF(D5="MLP",5000,IF(D5="HLP",5000,IF(D5="PRP",5000,IF(D5="H57",8700,IF(D5="P57",8700,IF(D5="MOG64",4300,IF(D5="H59",4300,IF(D5="P59",4300,IF(D5="H61",4300,IF(D5="P61",4300,IF(D5="G03",5000,IF(D5="P03",5000,IF(D5="G10",5000,IF(D5="P10",5000,IF(D5="G12",5000,IF(D5="P12",5000,IF(D5="G05",5000,IF(D5="P05",5000,IF(D5="G06",5000,IF(D5="P06",5000,IF(D5="OTP06-01",5000,IF(D5="G08",5000,IF(D5="P08",5000,IF(D5="G09",5000,IF(D5="P09",5000,IF(D5="H38",4900,IF(D5="H37",4900,IF(D5="EH40",4900,IF(D5="EH43",4900,IF(D5="H48",4900,IF(D5="H43",4900,IF(D5="H40",4900,IF(D5="H42",4900,IF(D5="H44",4900,IF(D5="H45",4900,IF(D5="ASX HL",4900,IF(D5="ASX P",4900,IF(D5="ASX HL 4WD",4900,IF(D5="H16",3700,IF(D5="H17",3700,IF(D5="P16",3700,IF(D5="Attrage S",3700,IF(D5="MIG09",3700,IF(D5="MIG10",3700,IF(D5="Xpander HL",4500))))))))))))))))))))))))))))))))))))))))))))))))))))))</f>
        <v>4500</v>
      </c>
      <c r="Y11" s="147">
        <f>IF(D5="XC",5400,IF(D5="XPML ",5400,IF(D5="XPHL",5400,IF(D5="XPMLP",5400,IF(D5="XPMLP-01",5400,IF(D5="Xpander P",5400,IF(D5="ML",6000,IF(D5="HL",6000,IF(D5="PR",6000,IF(D5="MLP",6000,IF(D5="HLP",6000,IF(D5="PRP",6000,IF(D5="H57",5200,IF(D5="57",5200,IF(D5="H64",5200,IF(D5="H59",5200,IF(D5="P59",5200,IF(D5="H61",5200,IF(D5="P61",5200,IF(D5="G03",6000,IF(D5="P03",6000,IF(D5="G10",6000,IF(D5="P10",6000,IF(D5="G12",6000,IF(D5="P12",6000,IF(D5="G05",6000,IF(D5="P05",6000,IF(D5="G06",6000,IF(D5="P06",6000,IF(D5="OTP06-01",6000,IF(D5="G08",6000,IF(D5="P08",6000,IF(D5="G09",6000,IF(D5="P09",6000,IF(D5="H38",5700,IF(D5="H37",5700,IF(D5="EH40",5700,IF(D5="EH43",5700,IF(D5="H48",5900,IF(D5="H43",5900,IF(D5="H40",5900,IF(D5="H42",5900,IF(D5="H44",5900,IF(D5="H45",5900,IF(D5="ASX HL",5900,IF(D5="ASX P",5900,IF(D5="ASX HL 4WD",5900,IF(D5="H16",4500,IF(D5="H17",4500,IF(D5="P16",4500,IF(D5="Attrage S",4500,IF(D5="MIG09",4500,IF(D5="MIG10",4500,IF(D5="Xpander HL",5400))))))))))))))))))))))))))))))))))))))))))))))))))))))</f>
        <v>5400</v>
      </c>
    </row>
    <row r="12" spans="1:27" ht="24.6" x14ac:dyDescent="0.4">
      <c r="A12" s="8"/>
      <c r="B12" s="37" t="s">
        <v>20</v>
      </c>
      <c r="C12" s="20" t="s">
        <v>17</v>
      </c>
      <c r="D12" s="36">
        <f>IF(C12="YES",2000,IF(C12="NO",0))</f>
        <v>0</v>
      </c>
      <c r="E12" s="43"/>
      <c r="F12" s="43" t="s">
        <v>21</v>
      </c>
      <c r="G12" s="40"/>
      <c r="H12" s="33">
        <v>600</v>
      </c>
      <c r="I12" s="33"/>
      <c r="J12" s="202" t="s">
        <v>140</v>
      </c>
      <c r="K12" s="45">
        <v>0</v>
      </c>
      <c r="L12" s="45">
        <v>5.2499999999999998E-2</v>
      </c>
      <c r="M12" s="45">
        <v>0.126</v>
      </c>
      <c r="N12" s="201">
        <v>0.26250000000000001</v>
      </c>
      <c r="O12" s="147">
        <f>IF(K20="Esaad",B8*3/100,IF(K20="Emirates Platinum",B8*3/100,IF(K20="Fazaa",B8*3/100,IF(K20="Humat Alwatan",B8*3/100,IF(K20="Permissible",2000,IF(K20="ASX",8400,IF(K20="XPMLP",15100,IF(K20="XP",7200,IF(K20="G43",11000,IF(K20="EC",17000,IF(K20="G37",17000,IF(K20="G38",15000,IF(K20="G40",11000,IF(K20="OUT",3000,IF(K20="F08",14400,IF(K20="P08",11100,IF(K20="F06",13100,IF(K20="P06",13400,IF(K20="F03",3500,IF(K20="F03-1",13500,IF(K20="P03",13100,IF(K20="MON",10000,IF(K20="MON G57",9000,0)))))))))))))))))))))))</f>
        <v>2000</v>
      </c>
      <c r="Z12" s="86" t="s">
        <v>83</v>
      </c>
      <c r="AA12" s="86" t="s">
        <v>84</v>
      </c>
    </row>
    <row r="13" spans="1:27" ht="24.6" x14ac:dyDescent="0.4">
      <c r="A13" s="8">
        <f>B8*1.26582</f>
        <v>96075.737999999998</v>
      </c>
      <c r="B13" s="37" t="s">
        <v>23</v>
      </c>
      <c r="C13" s="20" t="s">
        <v>19</v>
      </c>
      <c r="D13" s="36">
        <f>IF(C13="YES",2000,IF(C13="NO",0))</f>
        <v>2000</v>
      </c>
      <c r="E13" s="47"/>
      <c r="F13" s="47" t="s">
        <v>75</v>
      </c>
      <c r="G13" s="51"/>
      <c r="H13" s="39">
        <v>315</v>
      </c>
      <c r="I13" s="33"/>
      <c r="J13" s="44" t="s">
        <v>54</v>
      </c>
      <c r="K13" s="29" t="s">
        <v>79</v>
      </c>
      <c r="L13" s="29" t="s">
        <v>25</v>
      </c>
      <c r="M13" s="29" t="s">
        <v>0</v>
      </c>
      <c r="N13" s="57" t="s">
        <v>26</v>
      </c>
      <c r="O13" s="9">
        <f>IF(M21="3000-4999",6%,IF(M21="5000-9999",4.75%,IF(M21="10000-14999",3.15%,IF(M21="15000-24999",2.5%,IF(M21="25000-34999",2.25%,IF(M21="35000-99999",2.15%))))))</f>
        <v>4.7500000000000001E-2</v>
      </c>
      <c r="Q13" s="2">
        <f>H7/12</f>
        <v>1628.9330437500003</v>
      </c>
      <c r="U13" s="9">
        <f>IF(M21="3000-4999",6%,IF(M21="5000-9999",3.25%,IF(M21="10000-14999",3%,IF(M21="15000-24999",2.25%,IF(M21="25000-34999",2.15%,IF(M21="35000-99999",1.99%))))))</f>
        <v>3.2500000000000001E-2</v>
      </c>
      <c r="Z13" s="99">
        <f>IF(M21="5000-9999",2.49%,IF(M21="10000-19999",2.19%,IF(M21="20000-34999",2.09%,IF(M21="35000-49999",1.89%,IF(M21="50000-99999",1.79%)))))</f>
        <v>2.4900000000000002E-2</v>
      </c>
      <c r="AA13" s="99">
        <f>IF(M21="5000-9999",2.59%,IF(M21="10000-19999",2.29%,IF(M21="20000-34999",2.19%,IF(M21="35000-49999",1.99%,IF(M21="50000-99999",1.89%)))))</f>
        <v>2.5899999999999999E-2</v>
      </c>
    </row>
    <row r="14" spans="1:27" ht="24.6" x14ac:dyDescent="0.4">
      <c r="A14" s="10" t="s">
        <v>27</v>
      </c>
      <c r="B14" s="37" t="s">
        <v>24</v>
      </c>
      <c r="C14" s="20" t="s">
        <v>19</v>
      </c>
      <c r="D14" s="50">
        <f>IF(C14="YES",U19*3.15*1.05/100,IF(C14="NO",U19*0/100))</f>
        <v>3010.9826250000001</v>
      </c>
      <c r="E14" s="48"/>
      <c r="F14" s="48" t="s">
        <v>24</v>
      </c>
      <c r="G14" s="51" t="s">
        <v>17</v>
      </c>
      <c r="H14" s="39">
        <f>IF(G14="YES",U19*3.15*1.05/100,IF(G14="NO",U19*0/100))</f>
        <v>0</v>
      </c>
      <c r="I14" s="33"/>
      <c r="J14" s="44" t="s">
        <v>55</v>
      </c>
      <c r="K14" s="44">
        <f>(H8*K12+H8)/3</f>
        <v>6515.7321750000001</v>
      </c>
      <c r="L14" s="44">
        <f>(H8*L12+H8)/12</f>
        <v>1714.452028546875</v>
      </c>
      <c r="M14" s="44">
        <f>(H8*M12+H8)/24</f>
        <v>917.08930363125</v>
      </c>
      <c r="N14" s="200">
        <f>(H7*N12+H7)/60</f>
        <v>411.30559354687506</v>
      </c>
      <c r="O14" s="9">
        <f>IF(M21="3000-4999",3.89%,IF(M21="5000-9999",3.89%,IF(M21="10000-14999",3.89%,IF(M21="15000-24999",2.69%,IF(M21="25000-34999",2.69%,IF(M21="35000-99999",2.39%,IF(M21="76000-99999",2.5%)))))))</f>
        <v>3.8900000000000004E-2</v>
      </c>
    </row>
    <row r="15" spans="1:27" ht="24.6" x14ac:dyDescent="0.4">
      <c r="A15" s="11">
        <f>(B7*3%)+10+120</f>
        <v>2407</v>
      </c>
      <c r="B15" s="37" t="s">
        <v>28</v>
      </c>
      <c r="C15" s="20" t="s">
        <v>19</v>
      </c>
      <c r="D15" s="29">
        <f>IF(C15="YES",O10,IF(C15="NO",0))</f>
        <v>3690</v>
      </c>
      <c r="E15" s="48"/>
      <c r="F15" s="48" t="s">
        <v>53</v>
      </c>
      <c r="G15" s="51" t="s">
        <v>17</v>
      </c>
      <c r="H15" s="39">
        <f>IF(G15="YES",O10,IF(G15="NO",0))</f>
        <v>0</v>
      </c>
      <c r="I15" s="33"/>
      <c r="J15" s="44"/>
      <c r="K15" s="44"/>
      <c r="L15" s="44"/>
      <c r="M15" s="44"/>
      <c r="N15" s="198"/>
      <c r="O15" s="9" t="b">
        <f>IF(M21="3000-4999",4.99%, IF(M21="5000-11999",2.75%,IF(M21="12000-19999",2.75%,IF(M21="20000-39999",2.25%,IF(M21="40000-69999",2.25%,IF(M21="70000-99999",2.25%))))))</f>
        <v>0</v>
      </c>
      <c r="P15" s="191"/>
    </row>
    <row r="16" spans="1:27" ht="24.6" x14ac:dyDescent="0.4">
      <c r="A16" s="11">
        <f>((B7-B8)*3%+10+120)</f>
        <v>130</v>
      </c>
      <c r="B16" s="37" t="s">
        <v>78</v>
      </c>
      <c r="C16" s="20" t="s">
        <v>19</v>
      </c>
      <c r="D16" s="29">
        <f>IF(C16="YES",O16,IF(C16="NO",0))</f>
        <v>6100</v>
      </c>
      <c r="E16" s="47"/>
      <c r="F16" s="47" t="s">
        <v>74</v>
      </c>
      <c r="G16" s="54"/>
      <c r="H16" s="33">
        <f>I7*1.05%</f>
        <v>820.98225405000005</v>
      </c>
      <c r="I16" s="33"/>
      <c r="J16" s="44" t="s">
        <v>16</v>
      </c>
      <c r="K16" s="44">
        <f>(K14*3)-H8</f>
        <v>0</v>
      </c>
      <c r="L16" s="44">
        <f>(L14*12)-H8</f>
        <v>1026.2278175624997</v>
      </c>
      <c r="M16" s="44">
        <f>(M14*24)-H8</f>
        <v>2462.9467621500007</v>
      </c>
      <c r="N16" s="198"/>
      <c r="O16" s="147">
        <f>IF(B16="RMC-10-70KMS",O11,IF(B16="RMC-10-100000KMS",V11,IF(B16="RMC-40-70KMS",U11, IF(B16="RMC-10-40KMS",X11, IF(B16="RMC-10-60KMS",Y11, IF(B16="RMC-40-100000KMS",W11,0))))))</f>
        <v>6100</v>
      </c>
    </row>
    <row r="17" spans="1:23" ht="24.6" x14ac:dyDescent="0.4">
      <c r="A17" s="11">
        <f>A15+A16</f>
        <v>2537</v>
      </c>
      <c r="B17" s="37"/>
      <c r="C17" s="20"/>
      <c r="D17" s="29">
        <f>SUM(D10:D16)</f>
        <v>17500.982625000001</v>
      </c>
      <c r="E17" s="48"/>
      <c r="F17" s="48"/>
      <c r="G17" s="54"/>
      <c r="H17" s="33">
        <f>+SUM(H12:H16)+(H7)</f>
        <v>21283.178779050002</v>
      </c>
      <c r="I17" s="33"/>
      <c r="J17" s="20"/>
      <c r="K17" s="199"/>
      <c r="L17" s="199"/>
      <c r="M17" s="199"/>
      <c r="N17" s="198"/>
      <c r="O17" s="147">
        <f>IF(B11="FO Ceramic+ Intr&amp;Extr CeramicGold WdwTnt",2700,IF(B11="FO Mirror Camera Sensor",2000))</f>
        <v>2700</v>
      </c>
      <c r="T17" s="1">
        <f>19615-791</f>
        <v>18824</v>
      </c>
    </row>
    <row r="18" spans="1:23" ht="24.6" x14ac:dyDescent="0.4">
      <c r="A18" s="12" t="s">
        <v>29</v>
      </c>
      <c r="B18" s="55" t="s">
        <v>30</v>
      </c>
      <c r="C18" s="197"/>
      <c r="D18" s="57">
        <v>0</v>
      </c>
      <c r="E18" s="38"/>
      <c r="F18" s="20"/>
      <c r="G18" s="20"/>
      <c r="H18" s="37"/>
      <c r="I18" s="37"/>
      <c r="J18" s="37"/>
      <c r="K18" s="37"/>
      <c r="L18" s="37"/>
      <c r="M18" s="37"/>
      <c r="N18" s="37"/>
      <c r="O18" s="9" t="b">
        <f>IF(M21="5000-99999",1.99%)</f>
        <v>0</v>
      </c>
      <c r="U18" s="196" t="s">
        <v>52</v>
      </c>
      <c r="V18" s="196" t="s">
        <v>52</v>
      </c>
    </row>
    <row r="19" spans="1:23" ht="24.6" x14ac:dyDescent="0.4">
      <c r="A19" s="11">
        <f>B8*3.15%</f>
        <v>2390.85</v>
      </c>
      <c r="B19" s="58" t="s">
        <v>31</v>
      </c>
      <c r="C19" s="59"/>
      <c r="D19" s="60">
        <f>IF(K21="DIB EXPAT",O13,IF(K21="DIB LOCAL GVH",U13,IF(K21="Emirates NBD",O14,IF(K21="ADCB",O15,IF(K21="ADCB PAY IN 2027",O19,IF(K21="Ajman Bank",O18,IF(K21="SIB STL",Z13,IF(K21="SIB NON STL",AA13,))))))))</f>
        <v>3.8900000000000004E-2</v>
      </c>
      <c r="E19" s="20"/>
      <c r="F19" s="195"/>
      <c r="G19" s="141" t="s">
        <v>73</v>
      </c>
      <c r="H19" s="142"/>
      <c r="I19" s="143"/>
      <c r="J19" s="109">
        <f>(U19*20/100)/365</f>
        <v>49.88219178082192</v>
      </c>
      <c r="K19" s="37"/>
      <c r="L19" s="37"/>
      <c r="M19" s="37"/>
      <c r="N19" s="34">
        <f>D7</f>
        <v>79695</v>
      </c>
      <c r="O19" s="194" t="b">
        <f>IF(M21="5000-11999",3.35%,IF(M21="12000-19999",3.35%,IF(M21="20000-39999",2.85%,IF(M21="40000-69999",2.85%,IF(M21="70000-99999",2.85%)))))</f>
        <v>0</v>
      </c>
      <c r="P19" s="2">
        <f>81400-2500</f>
        <v>78900</v>
      </c>
      <c r="U19" s="193">
        <f>V19</f>
        <v>91035</v>
      </c>
      <c r="V19" s="192">
        <f>(B7+D10+D11+D12+D13+D16)*1.05</f>
        <v>91035</v>
      </c>
    </row>
    <row r="20" spans="1:23" ht="24.6" x14ac:dyDescent="0.4">
      <c r="A20" s="11"/>
      <c r="B20" s="58" t="s">
        <v>32</v>
      </c>
      <c r="C20" s="59"/>
      <c r="D20" s="63">
        <v>0.2</v>
      </c>
      <c r="E20" s="37"/>
      <c r="F20" s="37"/>
      <c r="G20" s="38"/>
      <c r="H20" s="38"/>
      <c r="I20" s="38"/>
      <c r="J20" s="103"/>
      <c r="K20" s="104" t="s">
        <v>33</v>
      </c>
      <c r="L20" s="104" t="s">
        <v>17</v>
      </c>
      <c r="M20" s="104">
        <f>IF(L20="YES",O12,IF(L20="NO",0))</f>
        <v>0</v>
      </c>
      <c r="N20" s="34">
        <f>B8-M20</f>
        <v>75900</v>
      </c>
      <c r="O20" s="187"/>
      <c r="P20" s="191"/>
      <c r="T20" s="1">
        <f>1992+1084</f>
        <v>3076</v>
      </c>
      <c r="U20" s="186"/>
      <c r="V20" s="2"/>
    </row>
    <row r="21" spans="1:23" ht="24.6" x14ac:dyDescent="0.4">
      <c r="A21" s="13">
        <f>A19+A20</f>
        <v>2390.85</v>
      </c>
      <c r="B21" s="37"/>
      <c r="C21" s="20"/>
      <c r="D21" s="37"/>
      <c r="E21" s="37"/>
      <c r="F21" s="37"/>
      <c r="G21" s="37"/>
      <c r="H21" s="37"/>
      <c r="I21" s="37"/>
      <c r="J21" s="190" t="s">
        <v>34</v>
      </c>
      <c r="K21" s="16" t="s">
        <v>139</v>
      </c>
      <c r="L21" s="16" t="s">
        <v>35</v>
      </c>
      <c r="M21" s="189" t="s">
        <v>80</v>
      </c>
      <c r="N21" s="188"/>
      <c r="O21" s="187"/>
      <c r="T21" s="1">
        <f>25973-12973</f>
        <v>13000</v>
      </c>
      <c r="U21" s="186">
        <f>M14+N7</f>
        <v>2473.6977202387502</v>
      </c>
    </row>
    <row r="22" spans="1:23" s="179" customFormat="1" ht="24.6" x14ac:dyDescent="0.4">
      <c r="A22" s="185"/>
      <c r="B22" s="184" t="s">
        <v>51</v>
      </c>
      <c r="C22" s="183"/>
      <c r="D22" s="183"/>
      <c r="E22" s="183"/>
      <c r="F22" s="183"/>
      <c r="G22" s="183"/>
      <c r="H22" s="183"/>
      <c r="I22" s="183"/>
      <c r="J22" s="183"/>
      <c r="K22" s="183"/>
      <c r="L22" s="183"/>
      <c r="M22" s="183"/>
      <c r="N22" s="182"/>
      <c r="O22" s="181"/>
      <c r="P22" s="180"/>
    </row>
    <row r="23" spans="1:23" s="168" customFormat="1" ht="26.4" x14ac:dyDescent="0.5">
      <c r="A23" s="175" t="s">
        <v>36</v>
      </c>
      <c r="B23" s="172" t="s">
        <v>138</v>
      </c>
      <c r="C23" s="169"/>
      <c r="D23" s="169"/>
      <c r="E23" s="169"/>
      <c r="F23" s="169"/>
      <c r="G23" s="169"/>
      <c r="H23" s="176"/>
      <c r="I23" s="176"/>
      <c r="J23" s="169"/>
      <c r="K23" s="169"/>
      <c r="L23" s="169"/>
      <c r="M23" s="169"/>
      <c r="N23" s="178"/>
      <c r="O23" s="170"/>
      <c r="P23" s="169"/>
    </row>
    <row r="24" spans="1:23" s="168" customFormat="1" ht="26.4" x14ac:dyDescent="0.5">
      <c r="A24" s="175" t="s">
        <v>36</v>
      </c>
      <c r="B24" s="172" t="s">
        <v>137</v>
      </c>
      <c r="C24" s="169"/>
      <c r="D24" s="169"/>
      <c r="E24" s="169"/>
      <c r="F24" s="169"/>
      <c r="G24" s="169"/>
      <c r="H24" s="177">
        <f>H7/365</f>
        <v>53.553963082191792</v>
      </c>
      <c r="I24" s="177">
        <f>H7+H12+H16</f>
        <v>20968.178779050002</v>
      </c>
      <c r="J24" s="169"/>
      <c r="K24" s="169"/>
      <c r="L24" s="169"/>
      <c r="M24" s="169"/>
      <c r="N24" s="173"/>
      <c r="O24" s="170"/>
      <c r="P24" s="169">
        <f>1232+480</f>
        <v>1712</v>
      </c>
      <c r="T24" s="168">
        <f>88704/1.05</f>
        <v>84480</v>
      </c>
    </row>
    <row r="25" spans="1:23" s="168" customFormat="1" ht="26.4" x14ac:dyDescent="0.5">
      <c r="A25" s="175" t="s">
        <v>36</v>
      </c>
      <c r="B25" s="172" t="s">
        <v>136</v>
      </c>
      <c r="C25" s="169"/>
      <c r="D25" s="169"/>
      <c r="E25" s="169"/>
      <c r="F25" s="169"/>
      <c r="G25" s="169"/>
      <c r="H25" s="176"/>
      <c r="I25" s="176"/>
      <c r="J25" s="169"/>
      <c r="K25" s="169"/>
      <c r="L25" s="169"/>
      <c r="M25" s="169"/>
      <c r="N25" s="173"/>
      <c r="O25" s="170"/>
      <c r="P25" s="169"/>
      <c r="Q25" s="168">
        <f>79400-5233.33</f>
        <v>74166.67</v>
      </c>
      <c r="R25" s="168">
        <f>Q25*1.05</f>
        <v>77875.003500000006</v>
      </c>
      <c r="W25" s="168">
        <f>1999+1224</f>
        <v>3223</v>
      </c>
    </row>
    <row r="26" spans="1:23" s="168" customFormat="1" ht="26.4" x14ac:dyDescent="0.5">
      <c r="A26" s="175" t="s">
        <v>36</v>
      </c>
      <c r="B26" s="172" t="s">
        <v>135</v>
      </c>
      <c r="C26" s="169"/>
      <c r="D26" s="169"/>
      <c r="E26" s="169"/>
      <c r="F26" s="169"/>
      <c r="G26" s="169"/>
      <c r="H26" s="169"/>
      <c r="I26" s="169"/>
      <c r="J26" s="169"/>
      <c r="K26" s="169"/>
      <c r="L26" s="169"/>
      <c r="M26" s="169"/>
      <c r="N26" s="173"/>
      <c r="O26" s="170" t="s">
        <v>37</v>
      </c>
      <c r="P26" s="169"/>
      <c r="R26" s="168">
        <f>R25+2469</f>
        <v>80344.003500000006</v>
      </c>
    </row>
    <row r="27" spans="1:23" s="168" customFormat="1" ht="26.4" x14ac:dyDescent="0.5">
      <c r="A27" s="175" t="s">
        <v>36</v>
      </c>
      <c r="B27" s="172" t="s">
        <v>134</v>
      </c>
      <c r="C27" s="169"/>
      <c r="D27" s="169"/>
      <c r="E27" s="169"/>
      <c r="F27" s="169"/>
      <c r="G27" s="169"/>
      <c r="H27" s="169"/>
      <c r="I27" s="169"/>
      <c r="J27" s="169"/>
      <c r="K27" s="169"/>
      <c r="L27" s="169"/>
      <c r="M27" s="169"/>
      <c r="N27" s="173"/>
      <c r="O27" s="170">
        <f>129500-110900</f>
        <v>18600</v>
      </c>
      <c r="P27" s="169"/>
      <c r="W27" s="174">
        <f>N7+L14</f>
        <v>3271.060445154375</v>
      </c>
    </row>
    <row r="28" spans="1:23" s="168" customFormat="1" ht="26.4" x14ac:dyDescent="0.5">
      <c r="B28" s="172" t="s">
        <v>133</v>
      </c>
      <c r="C28" s="169"/>
      <c r="D28" s="169"/>
      <c r="E28" s="169"/>
      <c r="F28" s="169"/>
      <c r="G28" s="169"/>
      <c r="H28" s="169"/>
      <c r="I28" s="169"/>
      <c r="J28" s="169"/>
      <c r="K28" s="169"/>
      <c r="L28" s="169"/>
      <c r="M28" s="169"/>
      <c r="N28" s="173"/>
      <c r="O28" s="170">
        <f>85000-69900</f>
        <v>15100</v>
      </c>
      <c r="P28" s="169"/>
    </row>
    <row r="29" spans="1:23" s="168" customFormat="1" ht="26.4" x14ac:dyDescent="0.5">
      <c r="B29" s="172" t="s">
        <v>132</v>
      </c>
      <c r="C29" s="169"/>
      <c r="D29" s="169"/>
      <c r="E29" s="169"/>
      <c r="F29" s="169"/>
      <c r="G29" s="169"/>
      <c r="H29" s="169"/>
      <c r="I29" s="169"/>
      <c r="J29" s="169"/>
      <c r="K29" s="169"/>
      <c r="L29" s="169"/>
      <c r="M29" s="169"/>
      <c r="N29" s="171"/>
      <c r="O29" s="170"/>
      <c r="P29" s="169"/>
    </row>
    <row r="30" spans="1:23" x14ac:dyDescent="0.3">
      <c r="B30" s="167" t="s">
        <v>38</v>
      </c>
      <c r="C30" s="166"/>
      <c r="D30" s="166"/>
      <c r="E30" s="166"/>
      <c r="F30" s="166"/>
      <c r="G30" s="166"/>
      <c r="H30" s="166"/>
      <c r="I30" s="166"/>
      <c r="J30" s="166"/>
      <c r="K30" s="166"/>
      <c r="L30" s="166"/>
      <c r="M30" s="166"/>
      <c r="N30" s="165"/>
      <c r="O30" s="147"/>
    </row>
    <row r="31" spans="1:23" x14ac:dyDescent="0.3">
      <c r="B31" s="146"/>
      <c r="C31" s="145"/>
      <c r="D31" s="145"/>
      <c r="E31" s="145"/>
      <c r="F31" s="145"/>
      <c r="G31" s="145"/>
      <c r="H31" s="145"/>
      <c r="I31" s="145"/>
      <c r="J31" s="145"/>
      <c r="K31" s="145"/>
      <c r="L31" s="145"/>
      <c r="M31" s="145"/>
      <c r="N31" s="144"/>
      <c r="O31" s="147"/>
    </row>
    <row r="32" spans="1:23" s="86" customFormat="1" ht="20.399999999999999" x14ac:dyDescent="0.35">
      <c r="B32" s="118" t="s">
        <v>39</v>
      </c>
      <c r="C32" s="119"/>
      <c r="D32" s="119"/>
      <c r="E32" s="119"/>
      <c r="F32" s="119"/>
      <c r="G32" s="119"/>
      <c r="H32" s="119"/>
      <c r="I32" s="119"/>
      <c r="J32" s="119"/>
      <c r="K32" s="119"/>
      <c r="L32" s="119"/>
      <c r="M32" s="119"/>
      <c r="N32" s="120"/>
      <c r="O32" s="92"/>
      <c r="P32" s="83"/>
    </row>
    <row r="33" spans="2:16" s="86" customFormat="1" ht="20.399999999999999" x14ac:dyDescent="0.35">
      <c r="B33" s="118" t="s">
        <v>40</v>
      </c>
      <c r="C33" s="119"/>
      <c r="D33" s="119"/>
      <c r="E33" s="119"/>
      <c r="F33" s="119"/>
      <c r="G33" s="119"/>
      <c r="H33" s="119"/>
      <c r="I33" s="119"/>
      <c r="J33" s="119"/>
      <c r="K33" s="119"/>
      <c r="L33" s="119"/>
      <c r="M33" s="119"/>
      <c r="N33" s="120"/>
      <c r="O33" s="92"/>
      <c r="P33" s="83"/>
    </row>
    <row r="34" spans="2:16" s="86" customFormat="1" ht="20.399999999999999" x14ac:dyDescent="0.35">
      <c r="B34" s="107" t="s">
        <v>131</v>
      </c>
      <c r="C34" s="108"/>
      <c r="D34" s="108"/>
      <c r="E34" s="108"/>
      <c r="F34" s="108"/>
      <c r="G34" s="164" t="s">
        <v>130</v>
      </c>
      <c r="H34" s="164"/>
      <c r="I34" s="163"/>
      <c r="J34" s="163"/>
      <c r="K34" s="163"/>
      <c r="L34" s="163"/>
      <c r="M34" s="162" t="s">
        <v>129</v>
      </c>
      <c r="N34" s="161"/>
      <c r="O34" s="83"/>
      <c r="P34" s="83"/>
    </row>
    <row r="35" spans="2:16" x14ac:dyDescent="0.3">
      <c r="B35" s="160"/>
      <c r="C35" s="159"/>
      <c r="D35" s="159"/>
      <c r="E35" s="159"/>
      <c r="F35" s="159"/>
      <c r="G35" s="159"/>
      <c r="H35" s="159"/>
      <c r="I35" s="159"/>
      <c r="J35" s="159"/>
      <c r="K35" s="159"/>
      <c r="L35" s="159"/>
      <c r="M35" s="159"/>
      <c r="N35" s="158"/>
    </row>
    <row r="36" spans="2:16" x14ac:dyDescent="0.3">
      <c r="B36" s="160"/>
      <c r="C36" s="159"/>
      <c r="D36" s="159"/>
      <c r="E36" s="159"/>
      <c r="F36" s="159"/>
      <c r="G36" s="159"/>
      <c r="H36" s="159"/>
      <c r="I36" s="159"/>
      <c r="J36" s="159"/>
      <c r="K36" s="159"/>
      <c r="L36" s="159"/>
      <c r="M36" s="159"/>
      <c r="N36" s="158"/>
    </row>
    <row r="37" spans="2:16" x14ac:dyDescent="0.3">
      <c r="B37" s="160"/>
      <c r="C37" s="159"/>
      <c r="D37" s="159"/>
      <c r="E37" s="159"/>
      <c r="F37" s="159"/>
      <c r="G37" s="159"/>
      <c r="H37" s="159"/>
      <c r="I37" s="159"/>
      <c r="J37" s="159"/>
      <c r="K37" s="159"/>
      <c r="L37" s="159"/>
      <c r="M37" s="159"/>
      <c r="N37" s="158"/>
    </row>
    <row r="38" spans="2:16" ht="16.8" x14ac:dyDescent="0.3">
      <c r="B38" s="149" t="s">
        <v>128</v>
      </c>
      <c r="C38" s="157"/>
      <c r="D38" s="154"/>
      <c r="E38" s="151"/>
      <c r="F38" s="151"/>
      <c r="G38" s="151"/>
      <c r="H38" s="151"/>
      <c r="I38" s="151"/>
      <c r="J38" s="152"/>
      <c r="K38" s="151"/>
      <c r="L38" s="151"/>
      <c r="M38" s="151"/>
      <c r="N38" s="156"/>
    </row>
    <row r="39" spans="2:16" ht="16.8" x14ac:dyDescent="0.3">
      <c r="B39" s="149" t="s">
        <v>127</v>
      </c>
      <c r="C39" s="155"/>
      <c r="D39" s="154"/>
      <c r="E39" s="151"/>
      <c r="F39" s="151"/>
      <c r="G39" s="151"/>
      <c r="H39" s="151"/>
      <c r="I39" s="151"/>
      <c r="J39" s="152"/>
      <c r="K39" s="151"/>
      <c r="L39" s="151"/>
      <c r="M39" s="151"/>
      <c r="N39" s="150"/>
    </row>
    <row r="40" spans="2:16" ht="16.8" x14ac:dyDescent="0.3">
      <c r="B40" s="149" t="s">
        <v>126</v>
      </c>
      <c r="C40" s="153"/>
      <c r="D40" s="151"/>
      <c r="E40" s="151"/>
      <c r="F40" s="151"/>
      <c r="G40" s="151"/>
      <c r="H40" s="151"/>
      <c r="I40" s="151"/>
      <c r="J40" s="152"/>
      <c r="K40" s="151"/>
      <c r="L40" s="151"/>
      <c r="M40" s="151"/>
      <c r="N40" s="150"/>
    </row>
    <row r="41" spans="2:16" ht="16.8" x14ac:dyDescent="0.3">
      <c r="B41" s="149" t="s">
        <v>125</v>
      </c>
      <c r="N41" s="148"/>
    </row>
    <row r="42" spans="2:16" ht="16.8" x14ac:dyDescent="0.3">
      <c r="B42" s="149" t="s">
        <v>124</v>
      </c>
      <c r="N42" s="148"/>
    </row>
    <row r="43" spans="2:16" ht="16.8" x14ac:dyDescent="0.3">
      <c r="B43" s="149" t="s">
        <v>123</v>
      </c>
      <c r="N43" s="148"/>
    </row>
    <row r="44" spans="2:16" ht="16.8" x14ac:dyDescent="0.3">
      <c r="B44" s="149" t="s">
        <v>122</v>
      </c>
      <c r="N44" s="148"/>
    </row>
    <row r="45" spans="2:16" ht="16.8" x14ac:dyDescent="0.3">
      <c r="B45" s="149" t="s">
        <v>121</v>
      </c>
      <c r="N45" s="148"/>
    </row>
    <row r="46" spans="2:16" ht="16.8" x14ac:dyDescent="0.3">
      <c r="B46" s="149" t="s">
        <v>120</v>
      </c>
      <c r="N46" s="148"/>
    </row>
    <row r="47" spans="2:16" x14ac:dyDescent="0.3">
      <c r="B47" s="146" t="s">
        <v>39</v>
      </c>
      <c r="C47" s="145"/>
      <c r="D47" s="145"/>
      <c r="E47" s="145"/>
      <c r="F47" s="145"/>
      <c r="G47" s="145"/>
      <c r="H47" s="145"/>
      <c r="I47" s="145"/>
      <c r="J47" s="145"/>
      <c r="K47" s="145"/>
      <c r="L47" s="145"/>
      <c r="M47" s="145"/>
      <c r="N47" s="144"/>
      <c r="O47" s="147"/>
    </row>
    <row r="48" spans="2:16" x14ac:dyDescent="0.3">
      <c r="B48" s="146" t="s">
        <v>40</v>
      </c>
      <c r="C48" s="145"/>
      <c r="D48" s="145"/>
      <c r="E48" s="145"/>
      <c r="F48" s="145"/>
      <c r="G48" s="145"/>
      <c r="H48" s="145"/>
      <c r="I48" s="145"/>
      <c r="J48" s="145"/>
      <c r="K48" s="145"/>
      <c r="L48" s="145"/>
      <c r="M48" s="145"/>
      <c r="N48" s="144"/>
      <c r="O48" s="147"/>
    </row>
    <row r="49" spans="2:14" x14ac:dyDescent="0.3">
      <c r="B49" s="146" t="s">
        <v>119</v>
      </c>
      <c r="C49" s="145"/>
      <c r="D49" s="145"/>
      <c r="E49" s="145"/>
      <c r="F49" s="145"/>
      <c r="G49" s="145"/>
      <c r="H49" s="145"/>
      <c r="I49" s="145"/>
      <c r="J49" s="145"/>
      <c r="K49" s="145"/>
      <c r="L49" s="145"/>
      <c r="M49" s="145"/>
      <c r="N49" s="144"/>
    </row>
    <row r="50" spans="2:14" ht="25.8" x14ac:dyDescent="0.3">
      <c r="C50" s="15" t="s">
        <v>41</v>
      </c>
    </row>
    <row r="51" spans="2:14" ht="25.8" x14ac:dyDescent="0.3">
      <c r="C51" s="15" t="s">
        <v>42</v>
      </c>
    </row>
    <row r="52" spans="2:14" ht="25.8" x14ac:dyDescent="0.3">
      <c r="C52" s="15" t="s">
        <v>43</v>
      </c>
    </row>
    <row r="53" spans="2:14" ht="25.8" x14ac:dyDescent="0.3">
      <c r="C53" s="15" t="s">
        <v>44</v>
      </c>
    </row>
    <row r="54" spans="2:14" ht="25.8" x14ac:dyDescent="0.3">
      <c r="C54" s="15" t="s">
        <v>45</v>
      </c>
    </row>
  </sheetData>
  <dataConsolidate/>
  <mergeCells count="11">
    <mergeCell ref="F8:G8"/>
    <mergeCell ref="F9:G9"/>
    <mergeCell ref="G19:I19"/>
    <mergeCell ref="B22:N22"/>
    <mergeCell ref="B30:N30"/>
    <mergeCell ref="B32:N32"/>
    <mergeCell ref="B33:N33"/>
    <mergeCell ref="B47:N47"/>
    <mergeCell ref="B48:N48"/>
    <mergeCell ref="B49:N49"/>
    <mergeCell ref="B31:N31"/>
  </mergeCells>
  <dataValidations count="11">
    <dataValidation type="list" allowBlank="1" showInputMessage="1" showErrorMessage="1" sqref="H34" xr:uid="{661E2B98-87AA-4210-9F4D-28B9E8B70629}">
      <formula1>"ALAA HAMMAD,KHALED QASSEM,RAMY RAOUF,SIMON LOBO,MHAREN CLEMENTE GARADO"</formula1>
    </dataValidation>
    <dataValidation type="list" allowBlank="1" showInputMessage="1" showErrorMessage="1" sqref="M34" xr:uid="{5E66A3C9-44E3-4F9A-967A-3FC32F8EC35B}">
      <formula1>"Alaa Hammad,Bachir Ibrahim Mourad,Khaled Qassem,Ramy Raoof,Simon Lobo,Mharen Clemente Garado,Ranjith"</formula1>
    </dataValidation>
    <dataValidation type="list" allowBlank="1" showInputMessage="1" showErrorMessage="1" sqref="B11" xr:uid="{9FA04911-3694-4DCA-AAD3-FC2B0854766E}">
      <formula1>"FO Ceramic+ Intr&amp;Extr CeramicGold WdwTnt,FO Mirror Camera Sensor"</formula1>
    </dataValidation>
    <dataValidation type="list" allowBlank="1" showInputMessage="1" showErrorMessage="1" sqref="B12" xr:uid="{8B654996-A0E3-4A05-A8E6-032D73D3EBFD}">
      <formula1>"FO Exterior ceramic All Cars SCOTCHGUARD,FO Mirror Camera Sensor,FO PPF Gold Package "</formula1>
    </dataValidation>
    <dataValidation type="list" allowBlank="1" showInputMessage="1" showErrorMessage="1" sqref="K20" xr:uid="{B2B55519-10A7-450F-BE0D-FB05978F5EF8}">
      <formula1>"Esaad,Emirates Platinum,Fazaa,Humat Alwatan,Permissible,ASX,XPMLP,XP,MON,MON G57,OUT,F08,P08,F06,P06,F03,F03-1,P03,EC,G37,G38,G40,G43"</formula1>
    </dataValidation>
    <dataValidation type="list" allowBlank="1" showInputMessage="1" showErrorMessage="1" sqref="B16" xr:uid="{CB8A9DA5-2E74-4BEE-86CB-D9E5C546C4AB}">
      <formula1>"RMC-10-40KMS,RMC-10-60KMS,RMC-10-70KMS,RMC-10-100000KMS,RMC-40-70KMS,RMC-40-100000KMS"</formula1>
    </dataValidation>
    <dataValidation type="list" allowBlank="1" showInputMessage="1" showErrorMessage="1" sqref="K24" xr:uid="{70630857-8F5F-458E-B406-00F0AFCA0222}">
      <formula1>"RMC-10-70K,RMC-10-100000K,RMC-40-70K"</formula1>
    </dataValidation>
    <dataValidation type="list" allowBlank="1" showInputMessage="1" showErrorMessage="1" sqref="D5" xr:uid="{60E92CBD-0760-4CDE-96C7-E0384E9319C1}">
      <formula1>"MIG09,MIG10,H16,P16,H17,H48,H43,H40,H42,H44,H45,H38,H37,EH40,EH43,ML,HL,PR, MLP,HLP,PRP,XPML,XPHL,XPMLP, XPMLP-01,XC, G10,P10, G03, P03, G06,P06,G12,P12,G05,P05,G08,P08,G09,P09,H57,P57,H64,H59,P59,H61,P61"</formula1>
    </dataValidation>
    <dataValidation type="list" allowBlank="1" showInputMessage="1" showErrorMessage="1" sqref="M21" xr:uid="{1EDEF984-AD96-4023-B24F-28EF699E5EDE}">
      <formula1>"3000-4999,5000-9999,5000-99999,10000-14999,15000-24999,25000-34999,35000-99999,5000-11999,12000-19999,20000-39999,40000-69999,70000-99999"</formula1>
    </dataValidation>
    <dataValidation type="list" allowBlank="1" showInputMessage="1" showErrorMessage="1" sqref="C10:C16 L20 L24:L25 G14:G15 J10" xr:uid="{0FBF97BF-3148-4C20-A458-FA420AB3A217}">
      <formula1>"YES,NO"</formula1>
    </dataValidation>
    <dataValidation type="list" allowBlank="1" showInputMessage="1" showErrorMessage="1" sqref="K21" xr:uid="{DCCE52F0-67CD-4DA7-8419-0142F5F1DF94}">
      <formula1>"ADCB,ADCB PAY IN 2027,Ajman Bank,ADIB,DIB EXPAT,DIB LOCAL GVH,Emirates NBD,EIB,FAB,RAK,SIB STL,SIB NON STL"</formula1>
    </dataValidation>
  </dataValidations>
  <pageMargins left="0.23622047244094491" right="0.23622047244094491" top="0.74803149606299213" bottom="0.74803149606299213" header="0.31496062992125984" footer="0.31496062992125984"/>
  <pageSetup paperSize="9" scale="40" orientation="landscape" horizontalDpi="4294967295" verticalDpi="4294967295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A3692E-80E6-4DAD-846A-23EAA7FEEA13}">
  <sheetPr>
    <pageSetUpPr fitToPage="1"/>
  </sheetPr>
  <dimension ref="A1:AA54"/>
  <sheetViews>
    <sheetView topLeftCell="B1" zoomScaleNormal="100" workbookViewId="0">
      <selection activeCell="D5" sqref="D5"/>
    </sheetView>
  </sheetViews>
  <sheetFormatPr defaultColWidth="9.109375" defaultRowHeight="15.6" x14ac:dyDescent="0.3"/>
  <cols>
    <col min="1" max="1" width="16" style="1" hidden="1" customWidth="1"/>
    <col min="2" max="2" width="75.109375" style="2" customWidth="1"/>
    <col min="3" max="3" width="26.88671875" style="3" customWidth="1"/>
    <col min="4" max="4" width="23.88671875" style="2" customWidth="1"/>
    <col min="5" max="5" width="23.33203125" style="2" customWidth="1"/>
    <col min="6" max="6" width="19.88671875" style="2" customWidth="1"/>
    <col min="7" max="7" width="23.33203125" style="2" customWidth="1"/>
    <col min="8" max="8" width="24.44140625" style="2" customWidth="1"/>
    <col min="9" max="9" width="27.109375" style="2" customWidth="1"/>
    <col min="10" max="10" width="26.6640625" style="2" customWidth="1"/>
    <col min="11" max="11" width="25.44140625" style="2" customWidth="1"/>
    <col min="12" max="12" width="20.5546875" style="2" customWidth="1"/>
    <col min="13" max="13" width="20.109375" style="2" customWidth="1"/>
    <col min="14" max="14" width="19.5546875" style="2" customWidth="1"/>
    <col min="15" max="15" width="15.109375" style="2" bestFit="1" customWidth="1"/>
    <col min="16" max="16" width="12.6640625" style="2" hidden="1" customWidth="1"/>
    <col min="17" max="17" width="12.6640625" style="1" hidden="1" customWidth="1"/>
    <col min="18" max="18" width="15.6640625" style="1" hidden="1" customWidth="1"/>
    <col min="19" max="19" width="13" style="1" hidden="1" customWidth="1"/>
    <col min="20" max="20" width="17.109375" style="1" hidden="1" customWidth="1"/>
    <col min="21" max="21" width="14.5546875" style="1" bestFit="1" customWidth="1"/>
    <col min="22" max="22" width="19" style="1" customWidth="1"/>
    <col min="23" max="23" width="22.5546875" style="1" bestFit="1" customWidth="1"/>
    <col min="24" max="25" width="9.109375" style="1"/>
    <col min="26" max="26" width="14" style="1" bestFit="1" customWidth="1"/>
    <col min="27" max="27" width="22.33203125" style="1" bestFit="1" customWidth="1"/>
    <col min="28" max="16384" width="9.109375" style="1"/>
  </cols>
  <sheetData>
    <row r="1" spans="1:27" ht="15.75" customHeight="1" x14ac:dyDescent="0.3">
      <c r="B1" s="222" t="s">
        <v>148</v>
      </c>
      <c r="C1" s="221"/>
      <c r="D1" s="221"/>
      <c r="E1" s="221"/>
      <c r="F1" s="221"/>
      <c r="G1" s="221"/>
      <c r="H1" s="221"/>
      <c r="I1" s="221"/>
      <c r="J1" s="221"/>
      <c r="K1" s="221"/>
      <c r="L1" s="221"/>
      <c r="M1" s="221"/>
      <c r="N1" s="220"/>
    </row>
    <row r="2" spans="1:27" ht="15.75" customHeight="1" x14ac:dyDescent="0.3">
      <c r="B2" s="219" t="s">
        <v>147</v>
      </c>
      <c r="C2" s="218"/>
      <c r="D2" s="218"/>
      <c r="E2" s="218"/>
      <c r="F2" s="218"/>
      <c r="G2" s="218"/>
      <c r="H2" s="218"/>
      <c r="I2" s="218"/>
      <c r="J2" s="218"/>
      <c r="K2" s="218"/>
      <c r="L2" s="218"/>
      <c r="M2" s="218"/>
      <c r="N2" s="217"/>
      <c r="Q2" s="2"/>
      <c r="S2" s="186"/>
    </row>
    <row r="3" spans="1:27" ht="15.75" customHeight="1" x14ac:dyDescent="0.3">
      <c r="B3" s="219" t="s">
        <v>146</v>
      </c>
      <c r="C3" s="218"/>
      <c r="D3" s="218"/>
      <c r="E3" s="218"/>
      <c r="F3" s="218"/>
      <c r="G3" s="218"/>
      <c r="H3" s="218"/>
      <c r="I3" s="218"/>
      <c r="J3" s="218"/>
      <c r="K3" s="218"/>
      <c r="L3" s="218"/>
      <c r="M3" s="218"/>
      <c r="N3" s="217"/>
      <c r="O3" s="3"/>
      <c r="P3" s="3"/>
      <c r="Q3" s="153"/>
      <c r="R3" s="153"/>
      <c r="S3" s="216" t="e">
        <f>N7+J14</f>
        <v>#VALUE!</v>
      </c>
      <c r="T3" s="216"/>
      <c r="U3" s="153"/>
      <c r="V3" s="153"/>
      <c r="W3" s="153"/>
      <c r="AA3" s="1">
        <f>273000/5</f>
        <v>54600</v>
      </c>
    </row>
    <row r="4" spans="1:27" ht="15.75" customHeight="1" x14ac:dyDescent="0.3">
      <c r="B4" s="215"/>
      <c r="C4" s="214"/>
      <c r="D4" s="214"/>
      <c r="E4" s="214"/>
      <c r="F4" s="214"/>
      <c r="G4" s="214"/>
      <c r="H4" s="214"/>
      <c r="I4" s="214"/>
      <c r="J4" s="214"/>
      <c r="K4" s="214"/>
      <c r="L4" s="214"/>
      <c r="M4" s="214"/>
      <c r="N4" s="213"/>
      <c r="O4" s="212" t="s">
        <v>0</v>
      </c>
      <c r="P4" s="212"/>
      <c r="Q4" s="210"/>
      <c r="R4" s="210"/>
      <c r="S4" s="211"/>
      <c r="T4" s="211"/>
      <c r="U4" s="210" t="s">
        <v>1</v>
      </c>
      <c r="V4" s="210" t="s">
        <v>2</v>
      </c>
      <c r="W4" s="210" t="s">
        <v>3</v>
      </c>
    </row>
    <row r="5" spans="1:27" ht="25.2" thickBot="1" x14ac:dyDescent="0.45">
      <c r="B5" s="17"/>
      <c r="C5" s="18" t="str">
        <f>IF(D5="MIG09","Mirage G09",IF(D5="MIG10","MirageG10",IF(D5="H16","Attrage H16",IF(D5="P16","Attrage P16",IF(D5="H17","Attrage H17",IF(D5="H48","ASX H48",IF(D5="H43","ASX H43",IF(D5="H40","ASX H40",IF(D5="H42","ASX H42",IF(D5="H44","ASX H44",IF(D5="H45","ASX H45",IF(D5="H38","Eclipse H38",IF(D5="H37","Eclipse H37",IF(D5="EH40","Eclipse H40",IF(D5="EH43","Eclipse H43",IF(D5="XPML","Xpander ML",IF(D5="ML","Destinator ML",IF(D5="HL","Destinator HL",IF(D5="PR","Destinator PR",IF(D5="MLP","Destinator MLP",IF(D5="HLP","Destinator HLP",IF(D5="PRP","Destinator PRP",IF(D5="XPHL","Xpander HL",IF(D5="XPMLP","Xpander ML P",IF(D5="XPMLP-01","Xpander ML P-01",IF(D5="XC","Xpander Cross",IF(D5="G03","Outlander G03",IF(D5="P03","Outlander P03",IF(D5="G06","Outlander G06",IF(D5="P06","Outlander P06",IF(D5="OTP06-01","Outlander P06-01",IF(D5="G08","Outlander G08",IF(D5="P08","Outlander P08",IF(D5="H57","Montero H57",IF(D5="P57","Montero P57",IF(D5="H64","Montero G64",IF(D5="H59","Montero G59",IF(D5="P59","Montero G59 P",IF(D5="H61","Montero G61",IF(D5="P61","Montero P61",IF(D5="G10","Outlander G10",IF(D5="P10","Outlander P10",IF(D5="G12","Outlander G12",IF(D5="P12","Outlander P12",IF(D5="G05","Outlander G05",IF(D5="P05","Outlander P05",IF(D5="G09","Outlander G09",IF(D5="P09","Outlander P09",))))))))))))))))))))))))))))))))))))))))))))))))</f>
        <v>Xpander ML</v>
      </c>
      <c r="D5" s="19" t="s">
        <v>101</v>
      </c>
      <c r="E5" s="20" t="s">
        <v>145</v>
      </c>
      <c r="F5" s="37"/>
      <c r="G5" s="37"/>
      <c r="H5" s="37"/>
      <c r="I5" s="20"/>
      <c r="J5" s="34"/>
      <c r="K5" s="209">
        <v>0</v>
      </c>
      <c r="L5" s="208">
        <v>3.39E-2</v>
      </c>
      <c r="M5" s="208">
        <v>6.7799999999999999E-2</v>
      </c>
      <c r="N5" s="208">
        <v>0.1017</v>
      </c>
      <c r="O5" s="147">
        <f>K7+K14</f>
        <v>9359.3446147575014</v>
      </c>
      <c r="S5" s="186"/>
      <c r="U5" s="186">
        <f>L7+L14</f>
        <v>3864.1481548668753</v>
      </c>
      <c r="V5" s="186">
        <f>M7+M14</f>
        <v>2613.0628460137505</v>
      </c>
      <c r="W5" s="186">
        <f>N7+N14</f>
        <v>1836.8679298668751</v>
      </c>
    </row>
    <row r="6" spans="1:27" s="5" customFormat="1" ht="99" thickBot="1" x14ac:dyDescent="0.35">
      <c r="A6" s="4" t="s">
        <v>4</v>
      </c>
      <c r="B6" s="26" t="s">
        <v>5</v>
      </c>
      <c r="C6" s="27" t="s">
        <v>6</v>
      </c>
      <c r="D6" s="27" t="s">
        <v>144</v>
      </c>
      <c r="E6" s="27" t="s">
        <v>7</v>
      </c>
      <c r="F6" s="27" t="s">
        <v>8</v>
      </c>
      <c r="G6" s="28" t="s">
        <v>9</v>
      </c>
      <c r="H6" s="28" t="s">
        <v>143</v>
      </c>
      <c r="I6" s="28" t="s">
        <v>10</v>
      </c>
      <c r="J6" s="28" t="s">
        <v>142</v>
      </c>
      <c r="K6" s="28" t="s">
        <v>11</v>
      </c>
      <c r="L6" s="28" t="s">
        <v>12</v>
      </c>
      <c r="M6" s="28" t="s">
        <v>13</v>
      </c>
      <c r="N6" s="28" t="s">
        <v>14</v>
      </c>
      <c r="O6" s="207"/>
      <c r="P6" s="206"/>
      <c r="T6" s="205"/>
      <c r="U6" s="205">
        <f>N7+L14</f>
        <v>3053.2360648668755</v>
      </c>
      <c r="V6" s="205">
        <f>N7+K14</f>
        <v>7534.7924122575005</v>
      </c>
      <c r="W6" s="205" t="e">
        <f>N7+J14</f>
        <v>#VALUE!</v>
      </c>
    </row>
    <row r="7" spans="1:27" ht="25.2" thickBot="1" x14ac:dyDescent="0.45">
      <c r="A7" s="6">
        <f>B8</f>
        <v>69900</v>
      </c>
      <c r="B7" s="29">
        <f>IF(L20="YES",C8*1,IF(L20="NO",B8*1))</f>
        <v>69900</v>
      </c>
      <c r="C7" s="29">
        <f>B7*5/100</f>
        <v>3495</v>
      </c>
      <c r="D7" s="203">
        <f>B7+C7</f>
        <v>73395</v>
      </c>
      <c r="E7" s="29">
        <f>D17</f>
        <v>17292.610124999999</v>
      </c>
      <c r="F7" s="29">
        <f>(C7)+(D10+D11+D12+D13+D16)*5/100</f>
        <v>4035</v>
      </c>
      <c r="G7" s="30">
        <f>B7+E7+F7</f>
        <v>91227.610125000007</v>
      </c>
      <c r="H7" s="29">
        <f>G7*D20</f>
        <v>18245.522025000002</v>
      </c>
      <c r="I7" s="30">
        <f>(G7-H7)</f>
        <v>72982.088100000008</v>
      </c>
      <c r="J7" s="30">
        <f>(((I7*D19)*1)+I7)/12</f>
        <v>6318.4242772575008</v>
      </c>
      <c r="K7" s="30">
        <f>(((I7*D19)*2)+I7)/24</f>
        <v>3277.5039397575001</v>
      </c>
      <c r="L7" s="30">
        <f>(((I7*D19)*3)+I7)/36</f>
        <v>2263.8638272575004</v>
      </c>
      <c r="M7" s="30">
        <f>(((I7*D19)*4)+I7)/48</f>
        <v>1757.0437710075003</v>
      </c>
      <c r="N7" s="30">
        <f>((((I7*D19)*5)+I7)/60)</f>
        <v>1452.9517372575001</v>
      </c>
      <c r="O7" s="147"/>
      <c r="P7" s="2">
        <f>H7+H16</f>
        <v>19011.833950050001</v>
      </c>
      <c r="T7" s="186">
        <f>25973/2</f>
        <v>12986.5</v>
      </c>
    </row>
    <row r="8" spans="1:27" ht="24.6" x14ac:dyDescent="0.4">
      <c r="A8" s="7">
        <v>0.2</v>
      </c>
      <c r="B8" s="31">
        <f>IF(D5="MIG09",39900,IF(D5="MIG10",41900,IF(D5="H16",41900,IF(D5="P16",47400,IF(D5="H17",47900,IF(D5="H48",67900,IF(D5="H43",70900,IF(D5="H40",72900,IF(D5="H42",74900,IF(D5="H44",73900,IF(D5="H45",79900,IF(D5="H38",86900,IF(D5="H37",79900,IF(D5="EH40",99900,IF(D5="EH43",106900,IF(D5="ML",71900,IF(D5="HL",83900,IF(D5="PR",95900,IF(D5="MLP",80900,IF(D5="HLP",91900,IF(D5="PRP",102900,IF(D5="XPML",69900,IF(D5="XPHL",71000,IF(D5="XPMLP",75900,IF(D5="XPMLP-01",77800,IF(D5="XC",84900,IF(D5="G10",81900,IF(D5="P10",93900,IF(D5="G12",97900,IF(D5="P12",105900,IF(D5="G05",104900,IF(D5="P05",105900,IF(D5="G03",92900,IF(D5="P03",100900,IF(D5="G06",109900,IF(D5="P06",114900,IF(D5="OTP06-01",118900,IF(D5="G08",125900,IF(D5="P08",132900,IF(D5="OTP06-01",109900,IF(D5="G09",129900,IF(D5="P09",134900,IF(D5="H57",105900,IF(D5="P57",113900,IF(D5="H64",116900,IF(D5="H59",127900,IF(D5="P59",134900,IF(D5="H61",134900,IF(D5="P61",138900)))))))))))))))))))))))))))))))))))))))))))))))))</f>
        <v>69900</v>
      </c>
      <c r="C8" s="32">
        <f>IF(L20="YES",N20,IF(L20="NO",N20))</f>
        <v>69900</v>
      </c>
      <c r="D8" s="29">
        <v>0</v>
      </c>
      <c r="E8" s="33"/>
      <c r="F8" s="139"/>
      <c r="G8" s="140"/>
      <c r="H8" s="110">
        <f>G7*20/100</f>
        <v>18245.522025000002</v>
      </c>
      <c r="I8" s="34"/>
      <c r="J8" s="34" t="s">
        <v>15</v>
      </c>
      <c r="K8" s="34">
        <f>(I7*K5+I7)/24</f>
        <v>3040.9203375000002</v>
      </c>
      <c r="L8" s="34">
        <f>(I7*L5+I7)/36</f>
        <v>2096.0050246275005</v>
      </c>
      <c r="M8" s="34">
        <f>(I7*M5+I7)/48</f>
        <v>1623.5473681912501</v>
      </c>
      <c r="N8" s="34">
        <f>(I7*N5+I7)/60</f>
        <v>1340.0727743295001</v>
      </c>
      <c r="O8" s="147">
        <v>0</v>
      </c>
      <c r="P8" s="2">
        <f>P7/12</f>
        <v>1584.3194958375</v>
      </c>
      <c r="T8" s="1">
        <f>25973-12973</f>
        <v>13000</v>
      </c>
    </row>
    <row r="9" spans="1:27" ht="24.6" x14ac:dyDescent="0.4">
      <c r="A9" s="8">
        <f>B8/(100%-A8)</f>
        <v>87375</v>
      </c>
      <c r="B9" s="109">
        <f>B7-B8</f>
        <v>0</v>
      </c>
      <c r="C9" s="109"/>
      <c r="D9" s="36"/>
      <c r="E9" s="33"/>
      <c r="F9" s="139"/>
      <c r="G9" s="140"/>
      <c r="H9" s="33"/>
      <c r="I9" s="37" t="s">
        <v>16</v>
      </c>
      <c r="J9" s="38">
        <f>(J7*12)-I7</f>
        <v>2839.0032270899974</v>
      </c>
      <c r="K9" s="38">
        <f>(K7*24)-I7</f>
        <v>5678.0064541799948</v>
      </c>
      <c r="L9" s="38">
        <f>(L7*36)-I7</f>
        <v>8517.0096812700067</v>
      </c>
      <c r="M9" s="38">
        <f>(M7*48)-I7</f>
        <v>11356.012908360004</v>
      </c>
      <c r="N9" s="38">
        <f>(N7*60)-I7</f>
        <v>14195.016135450001</v>
      </c>
      <c r="O9" s="147"/>
      <c r="T9" s="1">
        <f>T8/12</f>
        <v>1083.3333333333333</v>
      </c>
      <c r="Z9" s="1" t="s">
        <v>86</v>
      </c>
    </row>
    <row r="10" spans="1:27" ht="24.6" x14ac:dyDescent="0.4">
      <c r="A10" s="8"/>
      <c r="B10" s="37" t="s">
        <v>141</v>
      </c>
      <c r="C10" s="20" t="s">
        <v>17</v>
      </c>
      <c r="D10" s="36">
        <f>IF(C10="YES",700,IF(C10="NO",0))</f>
        <v>0</v>
      </c>
      <c r="E10" s="39"/>
      <c r="F10" s="40"/>
      <c r="G10" s="40"/>
      <c r="H10" s="33"/>
      <c r="I10" s="44" t="s">
        <v>85</v>
      </c>
      <c r="J10" s="117" t="s">
        <v>19</v>
      </c>
      <c r="K10" s="117">
        <f>IF(J10="YES",Z10,IF(J10="NO",0))</f>
        <v>1000</v>
      </c>
      <c r="L10" s="41">
        <f>(L8*36)-I7</f>
        <v>2474.0927865900012</v>
      </c>
      <c r="M10" s="41">
        <f>(M8*48)-I7</f>
        <v>4948.1855731800024</v>
      </c>
      <c r="N10" s="41">
        <f>(N8*60)-I7</f>
        <v>7422.2783597700036</v>
      </c>
      <c r="O10" s="147">
        <f>IF(D5="XC",3690,IF(D5="XPML",3690,IF(D5="XPHL",3690,IF(D5="XPMLP",3690,IF(D5="XPMLP-01",3690,IF(D5="Xpander P",3690,IF(D5="ML",3690,IF(D5="HL",3690,IF(D5="PR",(U19*3/100+510)*1.05,IF(D5="MLP",3690,IF(D5="HLP",(U19*3/100+510)*1.05,IF(D5="PRP",(U19*3/100+510)*1.05,IF(D5="H57",(U19*2.75/100+510)*1.05,IF(D5="P57",(U19*2.75/100+510)*1.05,IF(D5="H64",(U19*2.75/100+510)*1.05,IF(D5="H59",(U19*2.75/100+510)*1.05,IF(D5="P59",(U19*2.75/100+510)*1.05,IF(D5="H61",(U19*2.75/100+510)*1.05,IF(D5="P61",(U19*2.75/100+510)*1.05,IF(D5="G03",(U19*3/100+510)*1.05,IF(D5="G10",(U19*3/100+510)*1.05,IF(D5="P10",(U19*3/100+510)*1.05,IF(D5="G12",(U19*3/100+510)*1.05,IF(D5="P12",(U19*3/100+510)*1.05,IF(D5="G05",(U19*3/100+510)*1.05,IF(D5="P05",(U19*3/100+510)*1.05,IF(D5="P03",(U19*3/100+510)*1.05,IF(D5="G06",(U19*3/100+510)*1.05,IF(D5="P06",(U19*3/100+510)*1.05,IF(D5="OTP06-01",(U19*3/100+510)*1.05,IF(D5="G08",(U19*3/100+510)*1.05,IF(D5="P08",(U19*3/100+510)*1.05,IF(D5="G09",(U19*3/100+510)*1.05,IF(D5="P09",(U19*3/100+510)*1.05,IF(D5="H38",3625,IF(D5="H37",3625,IF(D5="EH40",(U19*3/100+450)*1.05,IF(D5="EH43",(U19*3/100+450)*1.05,IF(D5="H48",3625,IF(D5="H43",3625,IF(D5="H40",3625,IF(D5="H42",3625,IF(D5="H44",3625,IF(D5="H45",3625,IF(D5="ASX HL 4WD",3625,IF(D5="H16",3625,IF(D5="H17",3625,IF(D5="P16",3625,IF(D5="Attrage S",3625,IF(D5="MIG09",3625,IF(D5="MIG10",3625,IF(D5="Xpander HL",3690))))))))))))))))))))))))))))))))))))))))))))))))))))</f>
        <v>3690</v>
      </c>
      <c r="P10" s="204"/>
      <c r="Q10" s="204">
        <f>5.25*3</f>
        <v>15.75</v>
      </c>
      <c r="Z10" s="1">
        <f>IF(D5="MIG09",1000,IF(D5="MIG10",1000,IF(D5="H16",1000,IF(D5="P16",1000,IF(D5="H17",1000,IF(D5="H48",1000,IF(D5="H43",1000,IF(D5="H40",1000,IF(D5="H42",1000,IF(D5="H44",1000,IF(D5="H45",1000,IF(D5="H38",1000,IF(D5="H37",1000,IF(D5="EH40",1000,IF(D5="EH43",1000,IF(D5="ML",1000,IF(D5="HL",1000,IF(D5="PR",1000,IF(D5="MLP",1000,IF(D5="HLP",1000,IF(D5="PRP",1000,IF(D5="XPML",1000,IF(D5="XPHL",1000,IF(D5="XPMLP",1000,IF(D5="XPMLP-01",1000,IF(D5="XC",1000,IF(D5="G10",1000,IF(D5="P10",1000,IF(D5="G12",1000,IF(D5="P12",1000,IF(D5="G05",1000,IF(D5="P05",1000,IF(D5="G03",1000,IF(D5="P03",1000,IF(D5="G06",1000,IF(D5="P06",1000,IF(D5="OTP06-01",1000,IF(D5="G08",1000,IF(D5="P08",1000,IF(D5="OTP06-01",1000,IF(D5="G09",1000,IF(D5="P09",1000,IF(D5="H57",1000,IF(D5="P57",1000,IF(D5="H64",1000,IF(D5="H59",1000,IF(D5="P59",1000,IF(D5="H61",1000,IF(D5="P61",1000)))))))))))))))))))))))))))))))))))))))))))))))))</f>
        <v>1000</v>
      </c>
    </row>
    <row r="11" spans="1:27" ht="24.6" x14ac:dyDescent="0.4">
      <c r="A11" s="8"/>
      <c r="B11" s="37" t="s">
        <v>18</v>
      </c>
      <c r="C11" s="20" t="s">
        <v>19</v>
      </c>
      <c r="D11" s="203">
        <f>IF(C11="YES",O17,IF(C11="NO",0))</f>
        <v>2700</v>
      </c>
      <c r="E11" s="39"/>
      <c r="F11" s="40"/>
      <c r="G11" s="40"/>
      <c r="H11" s="33"/>
      <c r="I11" s="33"/>
      <c r="J11" s="44" t="s">
        <v>76</v>
      </c>
      <c r="K11" s="44">
        <f>H8-K10</f>
        <v>17245.522025000002</v>
      </c>
      <c r="L11" s="37"/>
      <c r="M11" s="37"/>
      <c r="N11" s="38"/>
      <c r="O11" s="147">
        <f>IF(D5="XC",6100,IF(D5="XPML",6100,IF(D5="XPHL",6100,IF(D5="XPMLP",6100,IF(D5="XPMLP-01",6100,IF(D5="Xpander P",6100,IF(D5="ML",6600,IF(D5="HL",6600,IF(D5="PR",6600,IF(D5="MLP",6600,IF(D5="HLP",6600,IF(D5="PRP",6600,IF(D5="H57",5900,IF(D5="P57",5900,IF(D5="H64",5900,IF(D5="H59",5900,IF(D5="P59",5900,IF(D5="H61",5900,IF(D5="P61",5900,IF(D5="G03",6700,IF(D5="G10",6700,IF(D5="P10",6700,IF(D5="G12",6700,IF(D5="P12",6700,IF(D5="G05",6700,IF(D5="P05",6700,IF(D5="P03",6700,IF(D5="G06",6700,IF(D5="P06",6700,IF(D5="OTP06-01",6700,IF(D5="G08",6700,IF(D5="G09",6700,IF(D5="G08",6700,IF(D5="P08",6700,IF(D5="P09",6700,IF(D5="H37",6400,IF(D5="H38",6400,IF(D5="EH40",6400,IF(D5="EH43",6400,IF(D5="H48",6600,IF(D5="H43",6600,IF(D5="H40",6600,IF(D5="H42",6600,IF(D5="H44",6600,IF(D5="H45",6600,IF(D5="ASX HL 4WD",6600,IF(D5="H16",5400,IF(D5="H17",5400,IF(D5="P16",5400,IF(D5="Attrage S",5400,IF(D5="MIG09",5400,IF(D5="MIG10",5400,IF(D5="Xpander HL",6000)))))))))))))))))))))))))))))))))))))))))))))))))))))</f>
        <v>6100</v>
      </c>
      <c r="P11" s="147"/>
      <c r="Q11" s="147"/>
      <c r="R11" s="147"/>
      <c r="S11" s="147"/>
      <c r="T11" s="147"/>
      <c r="U11" s="147">
        <f>IF(D5="XC",4900,IF(D5="XPML",4900,IF(D5="XPHL",4900,IF(D5="XPMLP",4900,IF(D5="XPMLP-01",4900,IF(D5="Xpander P",4900,IF(D5="ML",5400,IF(D5="HL",5400,IF(D5="PR",5400,IF(D5="MLP",5400,IF(D5="HLP",5400,IF(D5="PRP",5400,IF(D5="H57",4600,IF(D5="P57",4600,IF(D5="MOG64",4600,IF(D5="H59",4600,IF(D5="P59",4600,IF(D5="H61",4600,IF(D5="P61",4600,IF(D5="G03",5500,IF(D5="P03",5500,IF(D5="G10",5500,IF(D5="P10",5500,IF(D5="G12",5500,IF(D5="P12",5500,IF(D5="G05",5500,IF(D5="P05",5500,IF(D5="G06",5500,IF(D5="P06",5500,IF(D5="OTP06-01",5500,IF(D5="F08",5500,IF(D5="P08",5500,IF(D5="G09",5500,IF(D5="P09",5500,IF(D5="H38",5200,IF(D5="H37",5200,IF(D5="EH40",5200,IF(D5="EH43",5200,IF(D5="H48",5300,IF(D5="H43",5300,IF(D5="H40",5300,IF(D5="H42",5300,IF(D5="H44",5300,IF(D5="H45",5300,IF(D5="ASX HL",5300,IF(D5="ASX P",5300,IF(D5="ASX HL 4WD",5300,IF(D5="H16",4200,IF(D5="H17",4200,IF(D5="P16",4200,IF(D5="Attrage S",4200,IF(D5="MIG09",4200,IF(D5="MIG10",4200,IF(D5="Xpander HL",4900))))))))))))))))))))))))))))))))))))))))))))))))))))))</f>
        <v>4900</v>
      </c>
      <c r="V11" s="147">
        <f>IF(D5="XC",9700,IF(D5="XPML",9700,IF(D5="XPHL",9700,IF(D5="XPMLP",9700,IF(D5="XPMLP-01",9700,IF(D5="XPMLP-01",9700,IF(D5="Xpander P",9700,IF(D5="ML",10800,IF(D5="HL",10800,IF(D5="PR",10800,IF(D5="MLP",10800,IF(D5="HLP",10800,IF(D5="PRP",10800,IF(D5="H57",9300,IF(D5="P57",9300,IF(D5="MG64",9300,IF(D5="H59",9300,IF(D5="P59",9300,IF(D5="H61",9300,IF(D5="P61",9300,IF(D5="G03",11000,IF(D5="G10",11000,IF(D5="P10",11000,IF(D5="G12",11000,IF(D5="P12",11000,IF(D5="G05",11000,IF(D5="P05",11000,IF(D5="P03",11000,IF(D5="G06",11000,IF(D5="P06",11000,IF(D5="OTP06-01",11000,IF(D5="G08",11000,IF(D5="P08",11000,IF(D5="G09",11000,IF(D5="P09",11000,IF(D5="H38",10400,IF(D5="H37",10400,IF(D5="EH40",10400,IF(D5="EH43",10400,IF(D5="H48",10700,IF(D5="H43",10700,IF(D5="H40",10700,IF(D5="H42",10700,IF(D5="H44",10800,IF(D5="H45",10800,IF(D5="ASX HL",12200,IF(D5="ASX P",12200,IF(D5="ASX HL 4WD",12200,IF(D5="H16",8500,IF(D5="H17",8500,IF(D5="P16",8500,IF(D5="Attrage S",9600,IF(D5="MIG09",8500,IF(D5="MIG10",8500,IF(D5="Xpander HL",11300)))))))))))))))))))))))))))))))))))))))))))))))))))))))</f>
        <v>9700</v>
      </c>
      <c r="W11" s="147">
        <f>IF(D5="XC",9200,IF(D5="XPML",9200,IF(D5="XPHL",9200,IF(D5="XPMLP",9200,IF(D5="XPMLP-01",9200,IF(D5="Xpander P",9200,IF(D5="ML",10000,IF(D5="HL",10000,IF(D5="PR",10000,IF(D5="MLP",10000,IF(D5="HLP",10000,IF(D5="PRP",10000,IF(D5="H57",8700,IF(D5="P57",8700,IF(D5="H64",8700,IF(D5="H59",8700,IF(D5="P59",8700,IF(D5="H61",8700,IF(D5="P61",8700,IF(D5="G03",10400,IF(D5="P03",10400,IF(D5="G10",10400,IF(D5="P10",10400,IF(D5="G12",10400,IF(D5="P12",10400,IF(D5="G05",10400,IF(D5="P05",10400,IF(D5="G06",10400,IF(D5="P06",10400,IF(D5="OTP06-01",10400,IF(D5="G08",10400,IF(D5="P08",10400,IF(D5="G09",10400,IF(D5="P09",10400,IF(D5="H38",9800,IF(D5="H37",9800,IF(D5="EH40",9800,IF(D5="EH43",9800,IF(D5="H48",10100,IF(D5="H43",10100,IF(D5="H40",10100,IF(D5="H42",10100,IF(D5="H44",10100,IF(D5="H45",10100,IF(D5="ASX HL",10100,IF(D5="ASX P",10100,IF(D5="ASX HL 4WD",10100,IF(D5="H16",7900,IF(D5="H17",7900,IF(D5="P16",7900,IF(D5="Attrage S",7900,IF(D5="MIG09",7900,IF(D5="MIG10",7900,IF(D5="Xpander HL",9200))))))))))))))))))))))))))))))))))))))))))))))))))))))</f>
        <v>9200</v>
      </c>
      <c r="X11" s="147">
        <f>IF(D5="XC",4500,IF(D5="XPML",4500,IF(D5="XPHL",4500,IF(D5="XPMLP",4500,IF(D5="XPMLP-01",4500,IF(D5="Xpander P",4500,IF(D5="ML",5000,IF(D5="HL",5000,IF(D5="PR",5000,IF(D5="MLP",5000,IF(D5="HLP",5000,IF(D5="PRP",5000,IF(D5="H57",8700,IF(D5="P57",8700,IF(D5="MOG64",4300,IF(D5="H59",4300,IF(D5="P59",4300,IF(D5="H61",4300,IF(D5="P61",4300,IF(D5="G03",5000,IF(D5="P03",5000,IF(D5="G10",5000,IF(D5="P10",5000,IF(D5="G12",5000,IF(D5="P12",5000,IF(D5="G05",5000,IF(D5="P05",5000,IF(D5="G06",5000,IF(D5="P06",5000,IF(D5="OTP06-01",5000,IF(D5="G08",5000,IF(D5="P08",5000,IF(D5="G09",5000,IF(D5="P09",5000,IF(D5="H38",4900,IF(D5="H37",4900,IF(D5="EH40",4900,IF(D5="EH43",4900,IF(D5="H48",4900,IF(D5="H43",4900,IF(D5="H40",4900,IF(D5="H42",4900,IF(D5="H44",4900,IF(D5="H45",4900,IF(D5="ASX HL",4900,IF(D5="ASX P",4900,IF(D5="ASX HL 4WD",4900,IF(D5="H16",3700,IF(D5="H17",3700,IF(D5="P16",3700,IF(D5="Attrage S",3700,IF(D5="MIG09",3700,IF(D5="MIG10",3700,IF(D5="Xpander HL",4500))))))))))))))))))))))))))))))))))))))))))))))))))))))</f>
        <v>4500</v>
      </c>
      <c r="Y11" s="147" t="b">
        <f>IF(D5="XC",5400,IF(D5="XPML ",5400,IF(D5="XPHL",5400,IF(D5="XPMLP",5400,IF(D5="XPMLP-01",5400,IF(D5="Xpander P",5400,IF(D5="ML",6000,IF(D5="HL",6000,IF(D5="PR",6000,IF(D5="MLP",6000,IF(D5="HLP",6000,IF(D5="PRP",6000,IF(D5="H57",5200,IF(D5="57",5200,IF(D5="H64",5200,IF(D5="H59",5200,IF(D5="P59",5200,IF(D5="H61",5200,IF(D5="P61",5200,IF(D5="G03",6000,IF(D5="P03",6000,IF(D5="G10",6000,IF(D5="P10",6000,IF(D5="G12",6000,IF(D5="P12",6000,IF(D5="G05",6000,IF(D5="P05",6000,IF(D5="G06",6000,IF(D5="P06",6000,IF(D5="OTP06-01",6000,IF(D5="G08",6000,IF(D5="P08",6000,IF(D5="G09",6000,IF(D5="P09",6000,IF(D5="H38",5700,IF(D5="H37",5700,IF(D5="EH40",5700,IF(D5="EH43",5700,IF(D5="H48",5900,IF(D5="H43",5900,IF(D5="H40",5900,IF(D5="H42",5900,IF(D5="H44",5900,IF(D5="H45",5900,IF(D5="ASX HL",5900,IF(D5="ASX P",5900,IF(D5="ASX HL 4WD",5900,IF(D5="H16",4500,IF(D5="H17",4500,IF(D5="P16",4500,IF(D5="Attrage S",4500,IF(D5="MIG09",4500,IF(D5="MIG10",4500,IF(D5="Xpander HL",5400))))))))))))))))))))))))))))))))))))))))))))))))))))))</f>
        <v>0</v>
      </c>
    </row>
    <row r="12" spans="1:27" ht="24.6" x14ac:dyDescent="0.4">
      <c r="A12" s="8"/>
      <c r="B12" s="37" t="s">
        <v>20</v>
      </c>
      <c r="C12" s="20" t="s">
        <v>17</v>
      </c>
      <c r="D12" s="36">
        <f>IF(C12="YES",2000,IF(C12="NO",0))</f>
        <v>0</v>
      </c>
      <c r="E12" s="43"/>
      <c r="F12" s="43" t="s">
        <v>21</v>
      </c>
      <c r="G12" s="40"/>
      <c r="H12" s="33">
        <v>600</v>
      </c>
      <c r="I12" s="33"/>
      <c r="J12" s="202" t="s">
        <v>140</v>
      </c>
      <c r="K12" s="45">
        <v>0</v>
      </c>
      <c r="L12" s="45">
        <v>5.2499999999999998E-2</v>
      </c>
      <c r="M12" s="45">
        <v>0.126</v>
      </c>
      <c r="N12" s="201">
        <v>0.26250000000000001</v>
      </c>
      <c r="O12" s="147">
        <f>IF(K20="Esaad",B8*3/100,IF(K20="Emirates Platinum",B8*3/100,IF(K20="Fazaa",B8*3/100,IF(K20="Humat Alwatan",B8*3/100,IF(K20="Permissible",2000,IF(K20="ASX",8400,IF(K20="XPMLP",15100,IF(K20="XP",7200,IF(K20="G43",11000,IF(K20="EC",17000,IF(K20="G37",17000,IF(K20="G38",15000,IF(K20="G40",11000,IF(K20="OUT",3000,IF(K20="F08",14400,IF(K20="P08",11100,IF(K20="F06",13100,IF(K20="P06",13400,IF(K20="F03",3500,IF(K20="F03-1",13500,IF(K20="P03",13100,IF(K20="MON",10000,IF(K20="MON G57",9000,0)))))))))))))))))))))))</f>
        <v>2000</v>
      </c>
      <c r="Z12" s="86" t="s">
        <v>83</v>
      </c>
      <c r="AA12" s="86" t="s">
        <v>84</v>
      </c>
    </row>
    <row r="13" spans="1:27" ht="24.6" x14ac:dyDescent="0.4">
      <c r="A13" s="8">
        <f>B8*1.26582</f>
        <v>88480.817999999999</v>
      </c>
      <c r="B13" s="37" t="s">
        <v>23</v>
      </c>
      <c r="C13" s="20" t="s">
        <v>19</v>
      </c>
      <c r="D13" s="36">
        <f>IF(C13="YES",2000,IF(C13="NO",0))</f>
        <v>2000</v>
      </c>
      <c r="E13" s="47"/>
      <c r="F13" s="47" t="s">
        <v>75</v>
      </c>
      <c r="G13" s="51"/>
      <c r="H13" s="39">
        <v>315</v>
      </c>
      <c r="I13" s="33"/>
      <c r="J13" s="44" t="s">
        <v>54</v>
      </c>
      <c r="K13" s="29" t="s">
        <v>79</v>
      </c>
      <c r="L13" s="29" t="s">
        <v>25</v>
      </c>
      <c r="M13" s="29" t="s">
        <v>0</v>
      </c>
      <c r="N13" s="57" t="s">
        <v>26</v>
      </c>
      <c r="O13" s="9">
        <f>IF(M21="3000-4999",6%,IF(M21="5000-9999",4.75%,IF(M21="10000-14999",3.15%,IF(M21="15000-24999",2.5%,IF(M21="25000-34999",2.25%,IF(M21="35000-99999",2.15%))))))</f>
        <v>4.7500000000000001E-2</v>
      </c>
      <c r="Q13" s="2">
        <f>H7/12</f>
        <v>1520.4601687500001</v>
      </c>
      <c r="U13" s="9">
        <f>IF(M21="3000-4999",6%,IF(M21="5000-9999",3.25%,IF(M21="10000-14999",3%,IF(M21="15000-24999",2.25%,IF(M21="25000-34999",2.15%,IF(M21="35000-99999",1.99%))))))</f>
        <v>3.2500000000000001E-2</v>
      </c>
      <c r="Z13" s="99">
        <f>IF(M21="5000-9999",2.49%,IF(M21="10000-19999",2.19%,IF(M21="20000-34999",2.09%,IF(M21="35000-49999",1.89%,IF(M21="50000-99999",1.79%)))))</f>
        <v>2.4900000000000002E-2</v>
      </c>
      <c r="AA13" s="99">
        <f>IF(M21="5000-9999",2.59%,IF(M21="10000-19999",2.29%,IF(M21="20000-34999",2.19%,IF(M21="35000-49999",1.99%,IF(M21="50000-99999",1.89%)))))</f>
        <v>2.5899999999999999E-2</v>
      </c>
    </row>
    <row r="14" spans="1:27" ht="24.6" x14ac:dyDescent="0.4">
      <c r="A14" s="10" t="s">
        <v>27</v>
      </c>
      <c r="B14" s="37" t="s">
        <v>24</v>
      </c>
      <c r="C14" s="20" t="s">
        <v>19</v>
      </c>
      <c r="D14" s="50">
        <f>IF(C14="YES",U19*3.15*1.05/100,IF(C14="NO",U19*0/100))</f>
        <v>2802.6101250000002</v>
      </c>
      <c r="E14" s="48"/>
      <c r="F14" s="48" t="s">
        <v>24</v>
      </c>
      <c r="G14" s="51" t="s">
        <v>17</v>
      </c>
      <c r="H14" s="39">
        <f>IF(G14="YES",U19*3.15*1.05/100,IF(G14="NO",U19*0/100))</f>
        <v>0</v>
      </c>
      <c r="I14" s="33"/>
      <c r="J14" s="44" t="s">
        <v>55</v>
      </c>
      <c r="K14" s="44">
        <f>(H8*K12+H8)/3</f>
        <v>6081.8406750000004</v>
      </c>
      <c r="L14" s="44">
        <f>(H8*L12+H8)/12</f>
        <v>1600.2843276093752</v>
      </c>
      <c r="M14" s="44">
        <f>(H8*M12+H8)/24</f>
        <v>856.01907500625009</v>
      </c>
      <c r="N14" s="200">
        <f>(H7*N12+H7)/60</f>
        <v>383.916192609375</v>
      </c>
      <c r="O14" s="9">
        <f>IF(M21="3000-4999",3.89%,IF(M21="5000-9999",3.89%,IF(M21="10000-14999",3.89%,IF(M21="15000-24999",2.69%,IF(M21="25000-34999",2.69%,IF(M21="35000-99999",2.39%,IF(M21="76000-99999",2.5%)))))))</f>
        <v>3.8900000000000004E-2</v>
      </c>
    </row>
    <row r="15" spans="1:27" ht="24.6" x14ac:dyDescent="0.4">
      <c r="A15" s="11">
        <f>(B7*3%)+10+120</f>
        <v>2227</v>
      </c>
      <c r="B15" s="37" t="s">
        <v>28</v>
      </c>
      <c r="C15" s="20" t="s">
        <v>19</v>
      </c>
      <c r="D15" s="29">
        <f>IF(C15="YES",O10,IF(C15="NO",0))</f>
        <v>3690</v>
      </c>
      <c r="E15" s="48"/>
      <c r="F15" s="48" t="s">
        <v>53</v>
      </c>
      <c r="G15" s="51" t="s">
        <v>17</v>
      </c>
      <c r="H15" s="39">
        <f>IF(G15="YES",O10,IF(G15="NO",0))</f>
        <v>0</v>
      </c>
      <c r="I15" s="33"/>
      <c r="J15" s="44"/>
      <c r="K15" s="44"/>
      <c r="L15" s="44"/>
      <c r="M15" s="44"/>
      <c r="N15" s="198"/>
      <c r="O15" s="9" t="b">
        <f>IF(M21="3000-4999",4.99%, IF(M21="5000-11999",2.75%,IF(M21="12000-19999",2.75%,IF(M21="20000-39999",2.25%,IF(M21="40000-69999",2.25%,IF(M21="70000-99999",2.25%))))))</f>
        <v>0</v>
      </c>
      <c r="P15" s="191"/>
    </row>
    <row r="16" spans="1:27" ht="24.6" x14ac:dyDescent="0.4">
      <c r="A16" s="11">
        <f>((B7-B8)*3%+10+120)</f>
        <v>130</v>
      </c>
      <c r="B16" s="37" t="s">
        <v>78</v>
      </c>
      <c r="C16" s="20" t="s">
        <v>19</v>
      </c>
      <c r="D16" s="29">
        <f>IF(C16="YES",O16,IF(C16="NO",0))</f>
        <v>6100</v>
      </c>
      <c r="E16" s="47"/>
      <c r="F16" s="47" t="s">
        <v>74</v>
      </c>
      <c r="G16" s="54"/>
      <c r="H16" s="33">
        <f>I7*1.05%</f>
        <v>766.31192505000013</v>
      </c>
      <c r="I16" s="33"/>
      <c r="J16" s="44" t="s">
        <v>16</v>
      </c>
      <c r="K16" s="44">
        <f>(K14*3)-H8</f>
        <v>0</v>
      </c>
      <c r="L16" s="44">
        <f>(L14*12)-H8</f>
        <v>957.88990631249908</v>
      </c>
      <c r="M16" s="44">
        <f>(M14*24)-H8</f>
        <v>2298.9357751499992</v>
      </c>
      <c r="N16" s="198"/>
      <c r="O16" s="147">
        <f>IF(B16="RMC-10-70KMS",O11,IF(B16="RMC-10-100000KMS",V11,IF(B16="RMC-40-70KMS",U11, IF(B16="RMC-10-40KMS",X11, IF(B16="RMC-10-60KMS",Y11, IF(B16="RMC-40-100000KMS",W11,0))))))</f>
        <v>6100</v>
      </c>
    </row>
    <row r="17" spans="1:23" ht="24.6" x14ac:dyDescent="0.4">
      <c r="A17" s="11">
        <f>A15+A16</f>
        <v>2357</v>
      </c>
      <c r="B17" s="37"/>
      <c r="C17" s="20"/>
      <c r="D17" s="29">
        <f>SUM(D10:D16)</f>
        <v>17292.610124999999</v>
      </c>
      <c r="E17" s="48"/>
      <c r="F17" s="48"/>
      <c r="G17" s="54"/>
      <c r="H17" s="33">
        <f>+SUM(H12:H16)+(H7)</f>
        <v>19926.833950050001</v>
      </c>
      <c r="I17" s="33"/>
      <c r="J17" s="20"/>
      <c r="K17" s="199"/>
      <c r="L17" s="199"/>
      <c r="M17" s="199"/>
      <c r="N17" s="198"/>
      <c r="O17" s="147">
        <f>IF(B11="FO Ceramic+ Intr&amp;Extr CeramicGold WdwTnt",2700,IF(B11="FO Mirror Camera Sensor",2000))</f>
        <v>2700</v>
      </c>
      <c r="T17" s="1">
        <f>19615-791</f>
        <v>18824</v>
      </c>
    </row>
    <row r="18" spans="1:23" ht="24.6" x14ac:dyDescent="0.4">
      <c r="A18" s="12" t="s">
        <v>29</v>
      </c>
      <c r="B18" s="55" t="s">
        <v>30</v>
      </c>
      <c r="C18" s="197"/>
      <c r="D18" s="57">
        <v>0</v>
      </c>
      <c r="E18" s="38"/>
      <c r="F18" s="20"/>
      <c r="G18" s="20"/>
      <c r="H18" s="37"/>
      <c r="I18" s="37"/>
      <c r="J18" s="37"/>
      <c r="K18" s="37"/>
      <c r="L18" s="37"/>
      <c r="M18" s="37"/>
      <c r="N18" s="37"/>
      <c r="O18" s="9" t="b">
        <f>IF(M21="5000-99999",1.99%)</f>
        <v>0</v>
      </c>
      <c r="U18" s="196" t="s">
        <v>52</v>
      </c>
      <c r="V18" s="196" t="s">
        <v>52</v>
      </c>
    </row>
    <row r="19" spans="1:23" ht="24.6" x14ac:dyDescent="0.4">
      <c r="A19" s="11">
        <f>B8*3.15%</f>
        <v>2201.85</v>
      </c>
      <c r="B19" s="58" t="s">
        <v>31</v>
      </c>
      <c r="C19" s="59"/>
      <c r="D19" s="60">
        <f>IF(K21="DIB EXPAT",O13,IF(K21="DIB LOCAL GVH",U13,IF(K21="Emirates NBD",O14,IF(K21="ADCB",O15,IF(K21="ADCB PAY IN 2027",O19,IF(K21="Ajman Bank",O18,IF(K21="SIB STL",Z13,IF(K21="SIB NON STL",AA13,))))))))</f>
        <v>3.8900000000000004E-2</v>
      </c>
      <c r="E19" s="20"/>
      <c r="F19" s="195"/>
      <c r="G19" s="141" t="s">
        <v>73</v>
      </c>
      <c r="H19" s="142"/>
      <c r="I19" s="143"/>
      <c r="J19" s="109">
        <f>(U19*20/100)/365</f>
        <v>46.43013698630137</v>
      </c>
      <c r="K19" s="37"/>
      <c r="L19" s="37"/>
      <c r="M19" s="37"/>
      <c r="N19" s="34">
        <f>D7</f>
        <v>73395</v>
      </c>
      <c r="O19" s="194" t="b">
        <f>IF(M21="5000-11999",3.35%,IF(M21="12000-19999",3.35%,IF(M21="20000-39999",2.85%,IF(M21="40000-69999",2.85%,IF(M21="70000-99999",2.85%)))))</f>
        <v>0</v>
      </c>
      <c r="P19" s="2">
        <f>81400-2500</f>
        <v>78900</v>
      </c>
      <c r="U19" s="193">
        <f>V19</f>
        <v>84735</v>
      </c>
      <c r="V19" s="192">
        <f>(B7+D10+D11+D12+D13+D16)*1.05</f>
        <v>84735</v>
      </c>
    </row>
    <row r="20" spans="1:23" ht="24.6" x14ac:dyDescent="0.4">
      <c r="A20" s="11"/>
      <c r="B20" s="58" t="s">
        <v>32</v>
      </c>
      <c r="C20" s="59"/>
      <c r="D20" s="63">
        <v>0.2</v>
      </c>
      <c r="E20" s="37"/>
      <c r="F20" s="37"/>
      <c r="G20" s="38"/>
      <c r="H20" s="38"/>
      <c r="I20" s="38"/>
      <c r="J20" s="103"/>
      <c r="K20" s="104" t="s">
        <v>33</v>
      </c>
      <c r="L20" s="104" t="s">
        <v>17</v>
      </c>
      <c r="M20" s="104">
        <f>IF(L20="YES",O12,IF(L20="NO",0))</f>
        <v>0</v>
      </c>
      <c r="N20" s="34">
        <f>B8-M20</f>
        <v>69900</v>
      </c>
      <c r="O20" s="187"/>
      <c r="P20" s="191"/>
      <c r="T20" s="1">
        <f>1992+1084</f>
        <v>3076</v>
      </c>
      <c r="U20" s="186"/>
      <c r="V20" s="2"/>
    </row>
    <row r="21" spans="1:23" ht="24.6" x14ac:dyDescent="0.4">
      <c r="A21" s="13">
        <f>A19+A20</f>
        <v>2201.85</v>
      </c>
      <c r="B21" s="37"/>
      <c r="C21" s="20"/>
      <c r="D21" s="37"/>
      <c r="E21" s="37"/>
      <c r="F21" s="37"/>
      <c r="G21" s="37"/>
      <c r="H21" s="37"/>
      <c r="I21" s="37"/>
      <c r="J21" s="190" t="s">
        <v>34</v>
      </c>
      <c r="K21" s="16" t="s">
        <v>139</v>
      </c>
      <c r="L21" s="16" t="s">
        <v>35</v>
      </c>
      <c r="M21" s="189" t="s">
        <v>80</v>
      </c>
      <c r="N21" s="188"/>
      <c r="O21" s="187"/>
      <c r="T21" s="1">
        <f>25973-12973</f>
        <v>13000</v>
      </c>
      <c r="U21" s="186">
        <f>M14+N7</f>
        <v>2308.9708122637503</v>
      </c>
    </row>
    <row r="22" spans="1:23" s="179" customFormat="1" ht="24.6" x14ac:dyDescent="0.4">
      <c r="A22" s="185"/>
      <c r="B22" s="184" t="s">
        <v>51</v>
      </c>
      <c r="C22" s="183"/>
      <c r="D22" s="183"/>
      <c r="E22" s="183"/>
      <c r="F22" s="183"/>
      <c r="G22" s="183"/>
      <c r="H22" s="183"/>
      <c r="I22" s="183"/>
      <c r="J22" s="183"/>
      <c r="K22" s="183"/>
      <c r="L22" s="183"/>
      <c r="M22" s="183"/>
      <c r="N22" s="182"/>
      <c r="O22" s="181"/>
      <c r="P22" s="180"/>
    </row>
    <row r="23" spans="1:23" s="168" customFormat="1" ht="26.4" x14ac:dyDescent="0.5">
      <c r="A23" s="175" t="s">
        <v>36</v>
      </c>
      <c r="B23" s="172" t="s">
        <v>138</v>
      </c>
      <c r="C23" s="169"/>
      <c r="D23" s="169"/>
      <c r="E23" s="169"/>
      <c r="F23" s="169"/>
      <c r="G23" s="169"/>
      <c r="H23" s="176"/>
      <c r="I23" s="176"/>
      <c r="J23" s="169"/>
      <c r="K23" s="169"/>
      <c r="L23" s="169"/>
      <c r="M23" s="169"/>
      <c r="N23" s="178"/>
      <c r="O23" s="170"/>
      <c r="P23" s="169"/>
    </row>
    <row r="24" spans="1:23" s="168" customFormat="1" ht="26.4" x14ac:dyDescent="0.5">
      <c r="A24" s="175" t="s">
        <v>36</v>
      </c>
      <c r="B24" s="172" t="s">
        <v>137</v>
      </c>
      <c r="C24" s="169"/>
      <c r="D24" s="169"/>
      <c r="E24" s="169"/>
      <c r="F24" s="169"/>
      <c r="G24" s="169"/>
      <c r="H24" s="177">
        <f>H7/365</f>
        <v>49.987731575342472</v>
      </c>
      <c r="I24" s="177">
        <f>H7+H12+H16</f>
        <v>19611.833950050001</v>
      </c>
      <c r="J24" s="169"/>
      <c r="K24" s="169"/>
      <c r="L24" s="169"/>
      <c r="M24" s="169"/>
      <c r="N24" s="173"/>
      <c r="O24" s="170"/>
      <c r="P24" s="169">
        <f>1232+480</f>
        <v>1712</v>
      </c>
      <c r="T24" s="168">
        <f>88704/1.05</f>
        <v>84480</v>
      </c>
    </row>
    <row r="25" spans="1:23" s="168" customFormat="1" ht="26.4" x14ac:dyDescent="0.5">
      <c r="A25" s="175" t="s">
        <v>36</v>
      </c>
      <c r="B25" s="172" t="s">
        <v>136</v>
      </c>
      <c r="C25" s="169"/>
      <c r="D25" s="169"/>
      <c r="E25" s="169"/>
      <c r="F25" s="169"/>
      <c r="G25" s="169"/>
      <c r="H25" s="176"/>
      <c r="I25" s="176"/>
      <c r="J25" s="169"/>
      <c r="K25" s="169"/>
      <c r="L25" s="169"/>
      <c r="M25" s="169"/>
      <c r="N25" s="173"/>
      <c r="O25" s="170"/>
      <c r="P25" s="169"/>
      <c r="Q25" s="168">
        <f>79400-5233.33</f>
        <v>74166.67</v>
      </c>
      <c r="R25" s="168">
        <f>Q25*1.05</f>
        <v>77875.003500000006</v>
      </c>
      <c r="W25" s="168">
        <f>1999+1224</f>
        <v>3223</v>
      </c>
    </row>
    <row r="26" spans="1:23" s="168" customFormat="1" ht="26.4" x14ac:dyDescent="0.5">
      <c r="A26" s="175" t="s">
        <v>36</v>
      </c>
      <c r="B26" s="172" t="s">
        <v>135</v>
      </c>
      <c r="C26" s="169"/>
      <c r="D26" s="169"/>
      <c r="E26" s="169"/>
      <c r="F26" s="169"/>
      <c r="G26" s="169"/>
      <c r="H26" s="169"/>
      <c r="I26" s="169"/>
      <c r="J26" s="169"/>
      <c r="K26" s="169"/>
      <c r="L26" s="169"/>
      <c r="M26" s="169"/>
      <c r="N26" s="173"/>
      <c r="O26" s="170" t="s">
        <v>37</v>
      </c>
      <c r="P26" s="169"/>
      <c r="R26" s="168">
        <f>R25+2469</f>
        <v>80344.003500000006</v>
      </c>
    </row>
    <row r="27" spans="1:23" s="168" customFormat="1" ht="26.4" x14ac:dyDescent="0.5">
      <c r="A27" s="175" t="s">
        <v>36</v>
      </c>
      <c r="B27" s="172" t="s">
        <v>134</v>
      </c>
      <c r="C27" s="169"/>
      <c r="D27" s="169"/>
      <c r="E27" s="169"/>
      <c r="F27" s="169"/>
      <c r="G27" s="169"/>
      <c r="H27" s="169"/>
      <c r="I27" s="169"/>
      <c r="J27" s="169"/>
      <c r="K27" s="169"/>
      <c r="L27" s="169"/>
      <c r="M27" s="169"/>
      <c r="N27" s="173"/>
      <c r="O27" s="170">
        <f>129500-110900</f>
        <v>18600</v>
      </c>
      <c r="P27" s="169"/>
      <c r="W27" s="174">
        <f>N7+L14</f>
        <v>3053.2360648668755</v>
      </c>
    </row>
    <row r="28" spans="1:23" s="168" customFormat="1" ht="26.4" x14ac:dyDescent="0.5">
      <c r="B28" s="172" t="s">
        <v>133</v>
      </c>
      <c r="C28" s="169"/>
      <c r="D28" s="169"/>
      <c r="E28" s="169"/>
      <c r="F28" s="169"/>
      <c r="G28" s="169"/>
      <c r="H28" s="169"/>
      <c r="I28" s="169"/>
      <c r="J28" s="169"/>
      <c r="K28" s="169"/>
      <c r="L28" s="169"/>
      <c r="M28" s="169"/>
      <c r="N28" s="173"/>
      <c r="O28" s="170">
        <f>85000-69900</f>
        <v>15100</v>
      </c>
      <c r="P28" s="169"/>
    </row>
    <row r="29" spans="1:23" s="168" customFormat="1" ht="26.4" x14ac:dyDescent="0.5">
      <c r="B29" s="172" t="s">
        <v>132</v>
      </c>
      <c r="C29" s="169"/>
      <c r="D29" s="169"/>
      <c r="E29" s="169"/>
      <c r="F29" s="169"/>
      <c r="G29" s="169"/>
      <c r="H29" s="169"/>
      <c r="I29" s="169"/>
      <c r="J29" s="169"/>
      <c r="K29" s="169"/>
      <c r="L29" s="169"/>
      <c r="M29" s="169"/>
      <c r="N29" s="171"/>
      <c r="O29" s="170"/>
      <c r="P29" s="169"/>
    </row>
    <row r="30" spans="1:23" x14ac:dyDescent="0.3">
      <c r="B30" s="167" t="s">
        <v>38</v>
      </c>
      <c r="C30" s="166"/>
      <c r="D30" s="166"/>
      <c r="E30" s="166"/>
      <c r="F30" s="166"/>
      <c r="G30" s="166"/>
      <c r="H30" s="166"/>
      <c r="I30" s="166"/>
      <c r="J30" s="166"/>
      <c r="K30" s="166"/>
      <c r="L30" s="166"/>
      <c r="M30" s="166"/>
      <c r="N30" s="165"/>
      <c r="O30" s="147"/>
    </row>
    <row r="31" spans="1:23" x14ac:dyDescent="0.3">
      <c r="B31" s="146"/>
      <c r="C31" s="145"/>
      <c r="D31" s="145"/>
      <c r="E31" s="145"/>
      <c r="F31" s="145"/>
      <c r="G31" s="145"/>
      <c r="H31" s="145"/>
      <c r="I31" s="145"/>
      <c r="J31" s="145"/>
      <c r="K31" s="145"/>
      <c r="L31" s="145"/>
      <c r="M31" s="145"/>
      <c r="N31" s="144"/>
      <c r="O31" s="147"/>
    </row>
    <row r="32" spans="1:23" s="86" customFormat="1" ht="20.399999999999999" x14ac:dyDescent="0.35">
      <c r="B32" s="118" t="s">
        <v>39</v>
      </c>
      <c r="C32" s="119"/>
      <c r="D32" s="119"/>
      <c r="E32" s="119"/>
      <c r="F32" s="119"/>
      <c r="G32" s="119"/>
      <c r="H32" s="119"/>
      <c r="I32" s="119"/>
      <c r="J32" s="119"/>
      <c r="K32" s="119"/>
      <c r="L32" s="119"/>
      <c r="M32" s="119"/>
      <c r="N32" s="120"/>
      <c r="O32" s="92"/>
      <c r="P32" s="83"/>
    </row>
    <row r="33" spans="2:16" s="86" customFormat="1" ht="20.399999999999999" x14ac:dyDescent="0.35">
      <c r="B33" s="118" t="s">
        <v>40</v>
      </c>
      <c r="C33" s="119"/>
      <c r="D33" s="119"/>
      <c r="E33" s="119"/>
      <c r="F33" s="119"/>
      <c r="G33" s="119"/>
      <c r="H33" s="119"/>
      <c r="I33" s="119"/>
      <c r="J33" s="119"/>
      <c r="K33" s="119"/>
      <c r="L33" s="119"/>
      <c r="M33" s="119"/>
      <c r="N33" s="120"/>
      <c r="O33" s="92"/>
      <c r="P33" s="83"/>
    </row>
    <row r="34" spans="2:16" s="86" customFormat="1" ht="20.399999999999999" x14ac:dyDescent="0.35">
      <c r="B34" s="107" t="s">
        <v>131</v>
      </c>
      <c r="C34" s="108"/>
      <c r="D34" s="108"/>
      <c r="E34" s="108"/>
      <c r="F34" s="108"/>
      <c r="G34" s="164" t="s">
        <v>130</v>
      </c>
      <c r="H34" s="164"/>
      <c r="I34" s="163"/>
      <c r="J34" s="163"/>
      <c r="K34" s="163"/>
      <c r="L34" s="163"/>
      <c r="M34" s="162" t="s">
        <v>129</v>
      </c>
      <c r="N34" s="161"/>
      <c r="O34" s="83"/>
      <c r="P34" s="83"/>
    </row>
    <row r="35" spans="2:16" x14ac:dyDescent="0.3">
      <c r="B35" s="160"/>
      <c r="C35" s="159"/>
      <c r="D35" s="159"/>
      <c r="E35" s="159"/>
      <c r="F35" s="159"/>
      <c r="G35" s="159"/>
      <c r="H35" s="159"/>
      <c r="I35" s="159"/>
      <c r="J35" s="159"/>
      <c r="K35" s="159"/>
      <c r="L35" s="159"/>
      <c r="M35" s="159"/>
      <c r="N35" s="158"/>
    </row>
    <row r="36" spans="2:16" x14ac:dyDescent="0.3">
      <c r="B36" s="160"/>
      <c r="C36" s="159"/>
      <c r="D36" s="159"/>
      <c r="E36" s="159"/>
      <c r="F36" s="159"/>
      <c r="G36" s="159"/>
      <c r="H36" s="159"/>
      <c r="I36" s="159"/>
      <c r="J36" s="159"/>
      <c r="K36" s="159"/>
      <c r="L36" s="159"/>
      <c r="M36" s="159"/>
      <c r="N36" s="158"/>
    </row>
    <row r="37" spans="2:16" x14ac:dyDescent="0.3">
      <c r="B37" s="160"/>
      <c r="C37" s="159"/>
      <c r="D37" s="159"/>
      <c r="E37" s="159"/>
      <c r="F37" s="159"/>
      <c r="G37" s="159"/>
      <c r="H37" s="159"/>
      <c r="I37" s="159"/>
      <c r="J37" s="159"/>
      <c r="K37" s="159"/>
      <c r="L37" s="159"/>
      <c r="M37" s="159"/>
      <c r="N37" s="158"/>
    </row>
    <row r="38" spans="2:16" ht="16.8" x14ac:dyDescent="0.3">
      <c r="B38" s="149" t="s">
        <v>128</v>
      </c>
      <c r="C38" s="157"/>
      <c r="D38" s="154"/>
      <c r="E38" s="151"/>
      <c r="F38" s="151"/>
      <c r="G38" s="151"/>
      <c r="H38" s="151"/>
      <c r="I38" s="151"/>
      <c r="J38" s="152"/>
      <c r="K38" s="151"/>
      <c r="L38" s="151"/>
      <c r="M38" s="151"/>
      <c r="N38" s="156"/>
    </row>
    <row r="39" spans="2:16" ht="16.8" x14ac:dyDescent="0.3">
      <c r="B39" s="149" t="s">
        <v>127</v>
      </c>
      <c r="C39" s="155"/>
      <c r="D39" s="154"/>
      <c r="E39" s="151"/>
      <c r="F39" s="151"/>
      <c r="G39" s="151"/>
      <c r="H39" s="151"/>
      <c r="I39" s="151"/>
      <c r="J39" s="152"/>
      <c r="K39" s="151"/>
      <c r="L39" s="151"/>
      <c r="M39" s="151"/>
      <c r="N39" s="150"/>
    </row>
    <row r="40" spans="2:16" ht="16.8" x14ac:dyDescent="0.3">
      <c r="B40" s="149" t="s">
        <v>126</v>
      </c>
      <c r="C40" s="153"/>
      <c r="D40" s="151"/>
      <c r="E40" s="151"/>
      <c r="F40" s="151"/>
      <c r="G40" s="151"/>
      <c r="H40" s="151"/>
      <c r="I40" s="151"/>
      <c r="J40" s="152"/>
      <c r="K40" s="151"/>
      <c r="L40" s="151"/>
      <c r="M40" s="151"/>
      <c r="N40" s="150"/>
    </row>
    <row r="41" spans="2:16" ht="16.8" x14ac:dyDescent="0.3">
      <c r="B41" s="149" t="s">
        <v>125</v>
      </c>
      <c r="N41" s="148"/>
    </row>
    <row r="42" spans="2:16" ht="16.8" x14ac:dyDescent="0.3">
      <c r="B42" s="149" t="s">
        <v>124</v>
      </c>
      <c r="N42" s="148"/>
    </row>
    <row r="43" spans="2:16" ht="16.8" x14ac:dyDescent="0.3">
      <c r="B43" s="149" t="s">
        <v>123</v>
      </c>
      <c r="N43" s="148"/>
    </row>
    <row r="44" spans="2:16" ht="16.8" x14ac:dyDescent="0.3">
      <c r="B44" s="149" t="s">
        <v>122</v>
      </c>
      <c r="N44" s="148"/>
    </row>
    <row r="45" spans="2:16" ht="16.8" x14ac:dyDescent="0.3">
      <c r="B45" s="149" t="s">
        <v>121</v>
      </c>
      <c r="N45" s="148"/>
    </row>
    <row r="46" spans="2:16" ht="16.8" x14ac:dyDescent="0.3">
      <c r="B46" s="149" t="s">
        <v>120</v>
      </c>
      <c r="N46" s="148"/>
    </row>
    <row r="47" spans="2:16" x14ac:dyDescent="0.3">
      <c r="B47" s="146" t="s">
        <v>39</v>
      </c>
      <c r="C47" s="145"/>
      <c r="D47" s="145"/>
      <c r="E47" s="145"/>
      <c r="F47" s="145"/>
      <c r="G47" s="145"/>
      <c r="H47" s="145"/>
      <c r="I47" s="145"/>
      <c r="J47" s="145"/>
      <c r="K47" s="145"/>
      <c r="L47" s="145"/>
      <c r="M47" s="145"/>
      <c r="N47" s="144"/>
      <c r="O47" s="147"/>
    </row>
    <row r="48" spans="2:16" x14ac:dyDescent="0.3">
      <c r="B48" s="146" t="s">
        <v>40</v>
      </c>
      <c r="C48" s="145"/>
      <c r="D48" s="145"/>
      <c r="E48" s="145"/>
      <c r="F48" s="145"/>
      <c r="G48" s="145"/>
      <c r="H48" s="145"/>
      <c r="I48" s="145"/>
      <c r="J48" s="145"/>
      <c r="K48" s="145"/>
      <c r="L48" s="145"/>
      <c r="M48" s="145"/>
      <c r="N48" s="144"/>
      <c r="O48" s="147"/>
    </row>
    <row r="49" spans="2:14" x14ac:dyDescent="0.3">
      <c r="B49" s="146" t="s">
        <v>119</v>
      </c>
      <c r="C49" s="145"/>
      <c r="D49" s="145"/>
      <c r="E49" s="145"/>
      <c r="F49" s="145"/>
      <c r="G49" s="145"/>
      <c r="H49" s="145"/>
      <c r="I49" s="145"/>
      <c r="J49" s="145"/>
      <c r="K49" s="145"/>
      <c r="L49" s="145"/>
      <c r="M49" s="145"/>
      <c r="N49" s="144"/>
    </row>
    <row r="50" spans="2:14" ht="25.8" x14ac:dyDescent="0.3">
      <c r="C50" s="15" t="s">
        <v>41</v>
      </c>
    </row>
    <row r="51" spans="2:14" ht="25.8" x14ac:dyDescent="0.3">
      <c r="C51" s="15" t="s">
        <v>42</v>
      </c>
    </row>
    <row r="52" spans="2:14" ht="25.8" x14ac:dyDescent="0.3">
      <c r="C52" s="15" t="s">
        <v>43</v>
      </c>
    </row>
    <row r="53" spans="2:14" ht="25.8" x14ac:dyDescent="0.3">
      <c r="C53" s="15" t="s">
        <v>44</v>
      </c>
    </row>
    <row r="54" spans="2:14" ht="25.8" x14ac:dyDescent="0.3">
      <c r="C54" s="15" t="s">
        <v>45</v>
      </c>
    </row>
  </sheetData>
  <dataConsolidate/>
  <mergeCells count="11">
    <mergeCell ref="F8:G8"/>
    <mergeCell ref="F9:G9"/>
    <mergeCell ref="G19:I19"/>
    <mergeCell ref="B22:N22"/>
    <mergeCell ref="B30:N30"/>
    <mergeCell ref="B32:N32"/>
    <mergeCell ref="B33:N33"/>
    <mergeCell ref="B47:N47"/>
    <mergeCell ref="B48:N48"/>
    <mergeCell ref="B49:N49"/>
    <mergeCell ref="B31:N31"/>
  </mergeCells>
  <dataValidations count="11">
    <dataValidation type="list" allowBlank="1" showInputMessage="1" showErrorMessage="1" sqref="H34" xr:uid="{33F25576-CB7B-4610-AF81-D18DC96299EA}">
      <formula1>"ALAA HAMMAD,KHALED QASSEM,RAMY RAOUF,SIMON LOBO,MHAREN CLEMENTE GARADO"</formula1>
    </dataValidation>
    <dataValidation type="list" allowBlank="1" showInputMessage="1" showErrorMessage="1" sqref="M34" xr:uid="{A1398AB4-5579-47EB-84B1-3046BACAEFC6}">
      <formula1>"Alaa Hammad,Bachir Ibrahim Mourad,Khaled Qassem,Ramy Raoof,Simon Lobo,Mharen Clemente Garado,Ranjith"</formula1>
    </dataValidation>
    <dataValidation type="list" allowBlank="1" showInputMessage="1" showErrorMessage="1" sqref="B11" xr:uid="{BA13ADE4-4636-40B9-A425-8588BAD72E87}">
      <formula1>"FO Ceramic+ Intr&amp;Extr CeramicGold WdwTnt,FO Mirror Camera Sensor"</formula1>
    </dataValidation>
    <dataValidation type="list" allowBlank="1" showInputMessage="1" showErrorMessage="1" sqref="B12" xr:uid="{795616FB-4E41-4732-AF5E-E660B418FEFF}">
      <formula1>"FO Exterior ceramic All Cars SCOTCHGUARD,FO Mirror Camera Sensor,FO PPF Gold Package "</formula1>
    </dataValidation>
    <dataValidation type="list" allowBlank="1" showInputMessage="1" showErrorMessage="1" sqref="K20" xr:uid="{940E1A67-A9E1-4F7A-970D-68918F8385B9}">
      <formula1>"Esaad,Emirates Platinum,Fazaa,Humat Alwatan,Permissible,ASX,XPMLP,XP,MON,MON G57,OUT,F08,P08,F06,P06,F03,F03-1,P03,EC,G37,G38,G40,G43"</formula1>
    </dataValidation>
    <dataValidation type="list" allowBlank="1" showInputMessage="1" showErrorMessage="1" sqref="B16" xr:uid="{FCCF4AF9-3E4E-4F16-A0BA-B2CAE55AEAA5}">
      <formula1>"RMC-10-40KMS,RMC-10-60KMS,RMC-10-70KMS,RMC-10-100000KMS,RMC-40-70KMS,RMC-40-100000KMS"</formula1>
    </dataValidation>
    <dataValidation type="list" allowBlank="1" showInputMessage="1" showErrorMessage="1" sqref="K24" xr:uid="{8928B528-ACEB-4E23-A0CF-BB8F92A88953}">
      <formula1>"RMC-10-70K,RMC-10-100000K,RMC-40-70K"</formula1>
    </dataValidation>
    <dataValidation type="list" allowBlank="1" showInputMessage="1" showErrorMessage="1" sqref="D5" xr:uid="{F26CE11F-708D-47B0-B8CB-858E416D57F6}">
      <formula1>"MIG09,MIG10,H16,P16,H17,H48,H43,H40,H42,H44,H45,H38,H37,EH40,EH43,ML,HL,PR, MLP,HLP,PRP,XPML,XPHL,XPMLP, XPMLP-01,XC, G10,P10, G03, P03, G06,P06,G12,P12,G05,P05,G08,P08,G09,P09,H57,P57,H64,H59,P59,H61,P61"</formula1>
    </dataValidation>
    <dataValidation type="list" allowBlank="1" showInputMessage="1" showErrorMessage="1" sqref="M21" xr:uid="{BCDB0083-0B95-48BE-9001-35A28086BCDA}">
      <formula1>"3000-4999,5000-9999,5000-99999,10000-14999,15000-24999,25000-34999,35000-99999,5000-11999,12000-19999,20000-39999,40000-69999,70000-99999"</formula1>
    </dataValidation>
    <dataValidation type="list" allowBlank="1" showInputMessage="1" showErrorMessage="1" sqref="C10:C16 L20 L24:L25 G14:G15 J10" xr:uid="{933A300B-1BB2-475B-8D35-14247FF8C14C}">
      <formula1>"YES,NO"</formula1>
    </dataValidation>
    <dataValidation type="list" allowBlank="1" showInputMessage="1" showErrorMessage="1" sqref="K21" xr:uid="{35F0D139-BC11-47B0-A305-5F36A8247573}">
      <formula1>"ADCB,ADCB PAY IN 2027,Ajman Bank,ADIB,DIB EXPAT,DIB LOCAL GVH,Emirates NBD,EIB,FAB,RAK,SIB STL,SIB NON STL"</formula1>
    </dataValidation>
  </dataValidations>
  <pageMargins left="0.23622047244094491" right="0.23622047244094491" top="0.74803149606299213" bottom="0.74803149606299213" header="0.31496062992125984" footer="0.31496062992125984"/>
  <pageSetup paperSize="9" scale="40" orientation="landscape" horizontalDpi="4294967295" verticalDpi="4294967295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412206-73DC-450D-A11F-B37C422EBACC}">
  <sheetPr>
    <pageSetUpPr fitToPage="1"/>
  </sheetPr>
  <dimension ref="A1:AA54"/>
  <sheetViews>
    <sheetView topLeftCell="B1" zoomScaleNormal="100" workbookViewId="0">
      <selection activeCell="D5" sqref="D5"/>
    </sheetView>
  </sheetViews>
  <sheetFormatPr defaultColWidth="9.109375" defaultRowHeight="15.6" x14ac:dyDescent="0.3"/>
  <cols>
    <col min="1" max="1" width="16" style="1" hidden="1" customWidth="1"/>
    <col min="2" max="2" width="75.109375" style="2" customWidth="1"/>
    <col min="3" max="3" width="26.88671875" style="3" customWidth="1"/>
    <col min="4" max="4" width="23.88671875" style="2" customWidth="1"/>
    <col min="5" max="5" width="23.33203125" style="2" customWidth="1"/>
    <col min="6" max="6" width="19.88671875" style="2" customWidth="1"/>
    <col min="7" max="7" width="23.33203125" style="2" customWidth="1"/>
    <col min="8" max="8" width="24.44140625" style="2" customWidth="1"/>
    <col min="9" max="9" width="27.109375" style="2" customWidth="1"/>
    <col min="10" max="10" width="26.6640625" style="2" customWidth="1"/>
    <col min="11" max="11" width="25.44140625" style="2" customWidth="1"/>
    <col min="12" max="12" width="20.5546875" style="2" customWidth="1"/>
    <col min="13" max="13" width="20.109375" style="2" customWidth="1"/>
    <col min="14" max="14" width="19.5546875" style="2" customWidth="1"/>
    <col min="15" max="15" width="15.109375" style="2" bestFit="1" customWidth="1"/>
    <col min="16" max="16" width="12.6640625" style="2" hidden="1" customWidth="1"/>
    <col min="17" max="17" width="12.6640625" style="1" hidden="1" customWidth="1"/>
    <col min="18" max="18" width="15.6640625" style="1" hidden="1" customWidth="1"/>
    <col min="19" max="19" width="13" style="1" hidden="1" customWidth="1"/>
    <col min="20" max="20" width="17.109375" style="1" hidden="1" customWidth="1"/>
    <col min="21" max="21" width="14.5546875" style="1" bestFit="1" customWidth="1"/>
    <col min="22" max="22" width="19" style="1" customWidth="1"/>
    <col min="23" max="23" width="22.5546875" style="1" bestFit="1" customWidth="1"/>
    <col min="24" max="25" width="9.109375" style="1"/>
    <col min="26" max="26" width="14" style="1" bestFit="1" customWidth="1"/>
    <col min="27" max="27" width="22.33203125" style="1" bestFit="1" customWidth="1"/>
    <col min="28" max="16384" width="9.109375" style="1"/>
  </cols>
  <sheetData>
    <row r="1" spans="1:27" ht="15.75" customHeight="1" x14ac:dyDescent="0.3">
      <c r="B1" s="222" t="s">
        <v>148</v>
      </c>
      <c r="C1" s="221"/>
      <c r="D1" s="221"/>
      <c r="E1" s="221"/>
      <c r="F1" s="221"/>
      <c r="G1" s="221"/>
      <c r="H1" s="221"/>
      <c r="I1" s="221"/>
      <c r="J1" s="221"/>
      <c r="K1" s="221"/>
      <c r="L1" s="221"/>
      <c r="M1" s="221"/>
      <c r="N1" s="220"/>
    </row>
    <row r="2" spans="1:27" ht="15.75" customHeight="1" x14ac:dyDescent="0.3">
      <c r="B2" s="219" t="s">
        <v>147</v>
      </c>
      <c r="C2" s="218"/>
      <c r="D2" s="218"/>
      <c r="E2" s="218"/>
      <c r="F2" s="218"/>
      <c r="G2" s="218"/>
      <c r="H2" s="218"/>
      <c r="I2" s="218"/>
      <c r="J2" s="218"/>
      <c r="K2" s="218"/>
      <c r="L2" s="218"/>
      <c r="M2" s="218"/>
      <c r="N2" s="217"/>
      <c r="Q2" s="2"/>
      <c r="S2" s="186"/>
    </row>
    <row r="3" spans="1:27" ht="15.75" customHeight="1" x14ac:dyDescent="0.3">
      <c r="B3" s="219" t="s">
        <v>146</v>
      </c>
      <c r="C3" s="218"/>
      <c r="D3" s="218"/>
      <c r="E3" s="218"/>
      <c r="F3" s="218"/>
      <c r="G3" s="218"/>
      <c r="H3" s="218"/>
      <c r="I3" s="218"/>
      <c r="J3" s="218"/>
      <c r="K3" s="218"/>
      <c r="L3" s="218"/>
      <c r="M3" s="218"/>
      <c r="N3" s="217"/>
      <c r="O3" s="3"/>
      <c r="P3" s="3"/>
      <c r="Q3" s="153"/>
      <c r="R3" s="153"/>
      <c r="S3" s="216" t="e">
        <f>N7+J14</f>
        <v>#VALUE!</v>
      </c>
      <c r="T3" s="216"/>
      <c r="U3" s="153"/>
      <c r="V3" s="153"/>
      <c r="W3" s="153"/>
      <c r="AA3" s="1">
        <f>273000/5</f>
        <v>54600</v>
      </c>
    </row>
    <row r="4" spans="1:27" ht="15.75" customHeight="1" x14ac:dyDescent="0.3">
      <c r="B4" s="215"/>
      <c r="C4" s="214"/>
      <c r="D4" s="214"/>
      <c r="E4" s="214"/>
      <c r="F4" s="214"/>
      <c r="G4" s="214"/>
      <c r="H4" s="214"/>
      <c r="I4" s="214"/>
      <c r="J4" s="214"/>
      <c r="K4" s="214"/>
      <c r="L4" s="214"/>
      <c r="M4" s="214"/>
      <c r="N4" s="213"/>
      <c r="O4" s="212" t="s">
        <v>0</v>
      </c>
      <c r="P4" s="212"/>
      <c r="Q4" s="210"/>
      <c r="R4" s="210"/>
      <c r="S4" s="211"/>
      <c r="T4" s="211"/>
      <c r="U4" s="210" t="s">
        <v>1</v>
      </c>
      <c r="V4" s="210" t="s">
        <v>2</v>
      </c>
      <c r="W4" s="210" t="s">
        <v>3</v>
      </c>
    </row>
    <row r="5" spans="1:27" ht="25.2" thickBot="1" x14ac:dyDescent="0.45">
      <c r="B5" s="17"/>
      <c r="C5" s="18" t="str">
        <f>IF(D5="MIG09","Mirage G09",IF(D5="MIG10","MirageG10",IF(D5="H16","Attrage H16",IF(D5="P16","Attrage P16",IF(D5="H17","Attrage H17",IF(D5="H48","ASX H48",IF(D5="H43","ASX H43",IF(D5="H40","ASX H40",IF(D5="H42","ASX H42",IF(D5="H44","ASX H44",IF(D5="H45","ASX H45",IF(D5="H38","Eclipse H38",IF(D5="H37","Eclipse H37",IF(D5="EH40","Eclipse H40",IF(D5="EH43","Eclipse H43",IF(D5="XPML","Xpander ML",IF(D5="ML","Destinator ML",IF(D5="HL","Destinator HL",IF(D5="PR","Destinator PR",IF(D5="MLP","Destinator MLP",IF(D5="HLP","Destinator HLP",IF(D5="PRP","Destinator PRP",IF(D5="XPHL","Xpander HL",IF(D5="XPMLP","Xpander ML P",IF(D5="XPMLP-01","Xpander ML P-01",IF(D5="XC","Xpander Cross",IF(D5="G03","Outlander G03",IF(D5="P03","Outlander P03",IF(D5="G06","Outlander G06",IF(D5="P06","Outlander P06",IF(D5="OTP06-01","Outlander P06-01",IF(D5="G08","Outlander G08",IF(D5="P08","Outlander P08",IF(D5="H57","Montero H57",IF(D5="P57","Montero P57",IF(D5="H64","Montero G64",IF(D5="H59","Montero G59",IF(D5="P59","Montero G59 P",IF(D5="H61","Montero G61",IF(D5="P61","Montero P61",IF(D5="G10","Outlander G10",IF(D5="P10","Outlander P10",IF(D5="G12","Outlander G12",IF(D5="P12","Outlander P12",IF(D5="G05","Outlander G05",IF(D5="P05","Outlander P05",IF(D5="G09","Outlander G09",IF(D5="P09","Outlander P09",))))))))))))))))))))))))))))))))))))))))))))))))</f>
        <v>Xpander ML P-01</v>
      </c>
      <c r="D5" s="19" t="s">
        <v>104</v>
      </c>
      <c r="E5" s="20" t="s">
        <v>145</v>
      </c>
      <c r="F5" s="37"/>
      <c r="G5" s="37"/>
      <c r="H5" s="37"/>
      <c r="I5" s="20"/>
      <c r="J5" s="34"/>
      <c r="K5" s="209">
        <v>0</v>
      </c>
      <c r="L5" s="208">
        <v>3.39E-2</v>
      </c>
      <c r="M5" s="208">
        <v>6.7799999999999999E-2</v>
      </c>
      <c r="N5" s="208">
        <v>0.1017</v>
      </c>
      <c r="O5" s="147">
        <f>K7+K14</f>
        <v>10238.503526734999</v>
      </c>
      <c r="S5" s="186"/>
      <c r="U5" s="186">
        <f>L7+L14</f>
        <v>4227.1223189120828</v>
      </c>
      <c r="V5" s="186">
        <f>M7+M14</f>
        <v>2858.5177985975001</v>
      </c>
      <c r="W5" s="186">
        <f>N7+N14</f>
        <v>2009.41193557875</v>
      </c>
    </row>
    <row r="6" spans="1:27" s="5" customFormat="1" ht="99" thickBot="1" x14ac:dyDescent="0.35">
      <c r="A6" s="4" t="s">
        <v>4</v>
      </c>
      <c r="B6" s="26" t="s">
        <v>5</v>
      </c>
      <c r="C6" s="27" t="s">
        <v>6</v>
      </c>
      <c r="D6" s="27" t="s">
        <v>144</v>
      </c>
      <c r="E6" s="27" t="s">
        <v>7</v>
      </c>
      <c r="F6" s="27" t="s">
        <v>8</v>
      </c>
      <c r="G6" s="28" t="s">
        <v>9</v>
      </c>
      <c r="H6" s="28" t="s">
        <v>143</v>
      </c>
      <c r="I6" s="28" t="s">
        <v>10</v>
      </c>
      <c r="J6" s="28" t="s">
        <v>142</v>
      </c>
      <c r="K6" s="28" t="s">
        <v>11</v>
      </c>
      <c r="L6" s="28" t="s">
        <v>12</v>
      </c>
      <c r="M6" s="28" t="s">
        <v>13</v>
      </c>
      <c r="N6" s="28" t="s">
        <v>14</v>
      </c>
      <c r="O6" s="207"/>
      <c r="P6" s="206"/>
      <c r="T6" s="205"/>
      <c r="U6" s="205">
        <f>N7+L14</f>
        <v>3340.0381655787501</v>
      </c>
      <c r="V6" s="205">
        <f>N7+K14</f>
        <v>8242.5641817350006</v>
      </c>
      <c r="W6" s="205" t="e">
        <f>N7+J14</f>
        <v>#VALUE!</v>
      </c>
    </row>
    <row r="7" spans="1:27" ht="25.2" thickBot="1" x14ac:dyDescent="0.45">
      <c r="A7" s="6">
        <f>B8</f>
        <v>77800</v>
      </c>
      <c r="B7" s="29">
        <f>IF(L20="YES",C8*1,IF(L20="NO",B8*1))</f>
        <v>77800</v>
      </c>
      <c r="C7" s="29">
        <f>B7*5/100</f>
        <v>3890</v>
      </c>
      <c r="D7" s="203">
        <f>B7+C7</f>
        <v>81690</v>
      </c>
      <c r="E7" s="29">
        <f>D17</f>
        <v>17566.967250000002</v>
      </c>
      <c r="F7" s="29">
        <f>(C7)+(D10+D11+D12+D13+D16)*5/100</f>
        <v>4430</v>
      </c>
      <c r="G7" s="30">
        <f>B7+E7+F7</f>
        <v>99796.967250000002</v>
      </c>
      <c r="H7" s="29">
        <f>G7*D20</f>
        <v>19959.393450000003</v>
      </c>
      <c r="I7" s="30">
        <f>(G7-H7)</f>
        <v>79837.573799999998</v>
      </c>
      <c r="J7" s="30">
        <f>(((I7*D19)*1)+I7)/12</f>
        <v>6911.9379517349998</v>
      </c>
      <c r="K7" s="30">
        <f>(((I7*D19)*2)+I7)/24</f>
        <v>3585.3723767350002</v>
      </c>
      <c r="L7" s="30">
        <f>(((I7*D19)*3)+I7)/36</f>
        <v>2476.5171850683332</v>
      </c>
      <c r="M7" s="30">
        <f>(((I7*D19)*4)+I7)/48</f>
        <v>1922.0895892349999</v>
      </c>
      <c r="N7" s="30">
        <f>((((I7*D19)*5)+I7)/60)</f>
        <v>1589.433031735</v>
      </c>
      <c r="O7" s="147"/>
      <c r="P7" s="2">
        <f>H7+H16</f>
        <v>20797.687974900004</v>
      </c>
      <c r="T7" s="186">
        <f>25973/2</f>
        <v>12986.5</v>
      </c>
    </row>
    <row r="8" spans="1:27" ht="24.6" x14ac:dyDescent="0.4">
      <c r="A8" s="7">
        <v>0.2</v>
      </c>
      <c r="B8" s="31">
        <f>IF(D5="MIG09",39900,IF(D5="MIG10",41900,IF(D5="H16",41900,IF(D5="P16",47400,IF(D5="H17",47900,IF(D5="H48",67900,IF(D5="H43",70900,IF(D5="H40",72900,IF(D5="H42",74900,IF(D5="H44",73900,IF(D5="H45",79900,IF(D5="H38",86900,IF(D5="H37",79900,IF(D5="EH40",99900,IF(D5="EH43",106900,IF(D5="ML",71900,IF(D5="HL",83900,IF(D5="PR",95900,IF(D5="MLP",80900,IF(D5="HLP",91900,IF(D5="PRP",102900,IF(D5="XPML",69900,IF(D5="XPHL",71000,IF(D5="XPMLP",75900,IF(D5="XPMLP-01",77800,IF(D5="XC",84900,IF(D5="G10",81900,IF(D5="P10",93900,IF(D5="G12",97900,IF(D5="P12",105900,IF(D5="G05",104900,IF(D5="P05",105900,IF(D5="G03",92900,IF(D5="P03",100900,IF(D5="G06",109900,IF(D5="P06",114900,IF(D5="OTP06-01",118900,IF(D5="G08",125900,IF(D5="P08",132900,IF(D5="OTP06-01",109900,IF(D5="G09",129900,IF(D5="P09",134900,IF(D5="H57",105900,IF(D5="P57",113900,IF(D5="H64",116900,IF(D5="H59",127900,IF(D5="P59",134900,IF(D5="H61",134900,IF(D5="P61",138900)))))))))))))))))))))))))))))))))))))))))))))))))</f>
        <v>77800</v>
      </c>
      <c r="C8" s="32">
        <f>IF(L20="YES",N20,IF(L20="NO",N20))</f>
        <v>77800</v>
      </c>
      <c r="D8" s="29">
        <v>0</v>
      </c>
      <c r="E8" s="33"/>
      <c r="F8" s="139"/>
      <c r="G8" s="140"/>
      <c r="H8" s="110">
        <f>G7*20/100</f>
        <v>19959.39345</v>
      </c>
      <c r="I8" s="34"/>
      <c r="J8" s="34" t="s">
        <v>15</v>
      </c>
      <c r="K8" s="34">
        <f>(I7*K5+I7)/24</f>
        <v>3326.5655750000001</v>
      </c>
      <c r="L8" s="34">
        <f>(I7*L5+I7)/36</f>
        <v>2292.8907653283331</v>
      </c>
      <c r="M8" s="34">
        <f>(I7*M5+I7)/48</f>
        <v>1776.0533604925001</v>
      </c>
      <c r="N8" s="34">
        <f>(I7*N5+I7)/60</f>
        <v>1465.9509175909998</v>
      </c>
      <c r="O8" s="147">
        <v>0</v>
      </c>
      <c r="P8" s="2">
        <f>P7/12</f>
        <v>1733.1406645750003</v>
      </c>
      <c r="T8" s="1">
        <f>25973-12973</f>
        <v>13000</v>
      </c>
    </row>
    <row r="9" spans="1:27" ht="24.6" x14ac:dyDescent="0.4">
      <c r="A9" s="8">
        <f>B8/(100%-A8)</f>
        <v>97250</v>
      </c>
      <c r="B9" s="109">
        <f>B7-B8</f>
        <v>0</v>
      </c>
      <c r="C9" s="109"/>
      <c r="D9" s="36"/>
      <c r="E9" s="33"/>
      <c r="F9" s="139"/>
      <c r="G9" s="140"/>
      <c r="H9" s="33"/>
      <c r="I9" s="37" t="s">
        <v>16</v>
      </c>
      <c r="J9" s="38">
        <f>(J7*12)-I7</f>
        <v>3105.6816208200034</v>
      </c>
      <c r="K9" s="38">
        <f>(K7*24)-I7</f>
        <v>6211.3632416400069</v>
      </c>
      <c r="L9" s="38">
        <f>(L7*36)-I7</f>
        <v>9317.0448624599958</v>
      </c>
      <c r="M9" s="38">
        <f>(M7*48)-I7</f>
        <v>12422.726483279999</v>
      </c>
      <c r="N9" s="38">
        <f>(N7*60)-I7</f>
        <v>15528.408104100003</v>
      </c>
      <c r="O9" s="147"/>
      <c r="T9" s="1">
        <f>T8/12</f>
        <v>1083.3333333333333</v>
      </c>
      <c r="Z9" s="1" t="s">
        <v>86</v>
      </c>
    </row>
    <row r="10" spans="1:27" ht="24.6" x14ac:dyDescent="0.4">
      <c r="A10" s="8"/>
      <c r="B10" s="37" t="s">
        <v>141</v>
      </c>
      <c r="C10" s="20" t="s">
        <v>17</v>
      </c>
      <c r="D10" s="36">
        <f>IF(C10="YES",700,IF(C10="NO",0))</f>
        <v>0</v>
      </c>
      <c r="E10" s="39"/>
      <c r="F10" s="40"/>
      <c r="G10" s="40"/>
      <c r="H10" s="33"/>
      <c r="I10" s="44" t="s">
        <v>85</v>
      </c>
      <c r="J10" s="117" t="s">
        <v>19</v>
      </c>
      <c r="K10" s="117">
        <f>IF(J10="YES",Z10,IF(J10="NO",0))</f>
        <v>1000</v>
      </c>
      <c r="L10" s="41">
        <f>(L8*36)-I7</f>
        <v>2706.4937518199877</v>
      </c>
      <c r="M10" s="41">
        <f>(M8*48)-I7</f>
        <v>5412.9875036400044</v>
      </c>
      <c r="N10" s="41">
        <f>(N8*60)-I7</f>
        <v>8119.4812554599921</v>
      </c>
      <c r="O10" s="147">
        <f>IF(D5="XC",3690,IF(D5="XPML",3690,IF(D5="XPHL",3690,IF(D5="XPMLP",3690,IF(D5="XPMLP-01",3690,IF(D5="Xpander P",3690,IF(D5="ML",3690,IF(D5="HL",3690,IF(D5="PR",(U19*3/100+510)*1.05,IF(D5="MLP",3690,IF(D5="HLP",(U19*3/100+510)*1.05,IF(D5="PRP",(U19*3/100+510)*1.05,IF(D5="H57",(U19*2.75/100+510)*1.05,IF(D5="P57",(U19*2.75/100+510)*1.05,IF(D5="H64",(U19*2.75/100+510)*1.05,IF(D5="H59",(U19*2.75/100+510)*1.05,IF(D5="P59",(U19*2.75/100+510)*1.05,IF(D5="H61",(U19*2.75/100+510)*1.05,IF(D5="P61",(U19*2.75/100+510)*1.05,IF(D5="G03",(U19*3/100+510)*1.05,IF(D5="G10",(U19*3/100+510)*1.05,IF(D5="P10",(U19*3/100+510)*1.05,IF(D5="G12",(U19*3/100+510)*1.05,IF(D5="P12",(U19*3/100+510)*1.05,IF(D5="G05",(U19*3/100+510)*1.05,IF(D5="P05",(U19*3/100+510)*1.05,IF(D5="P03",(U19*3/100+510)*1.05,IF(D5="G06",(U19*3/100+510)*1.05,IF(D5="P06",(U19*3/100+510)*1.05,IF(D5="OTP06-01",(U19*3/100+510)*1.05,IF(D5="G08",(U19*3/100+510)*1.05,IF(D5="P08",(U19*3/100+510)*1.05,IF(D5="G09",(U19*3/100+510)*1.05,IF(D5="P09",(U19*3/100+510)*1.05,IF(D5="H38",3625,IF(D5="H37",3625,IF(D5="EH40",(U19*3/100+450)*1.05,IF(D5="EH43",(U19*3/100+450)*1.05,IF(D5="H48",3625,IF(D5="H43",3625,IF(D5="H40",3625,IF(D5="H42",3625,IF(D5="H44",3625,IF(D5="H45",3625,IF(D5="ASX HL 4WD",3625,IF(D5="H16",3625,IF(D5="H17",3625,IF(D5="P16",3625,IF(D5="Attrage S",3625,IF(D5="MIG09",3625,IF(D5="MIG10",3625,IF(D5="Xpander HL",3690))))))))))))))))))))))))))))))))))))))))))))))))))))</f>
        <v>3690</v>
      </c>
      <c r="P10" s="204"/>
      <c r="Q10" s="204">
        <f>5.25*3</f>
        <v>15.75</v>
      </c>
      <c r="Z10" s="1">
        <f>IF(D5="MIG09",1000,IF(D5="MIG10",1000,IF(D5="H16",1000,IF(D5="P16",1000,IF(D5="H17",1000,IF(D5="H48",1000,IF(D5="H43",1000,IF(D5="H40",1000,IF(D5="H42",1000,IF(D5="H44",1000,IF(D5="H45",1000,IF(D5="H38",1000,IF(D5="H37",1000,IF(D5="EH40",1000,IF(D5="EH43",1000,IF(D5="ML",1000,IF(D5="HL",1000,IF(D5="PR",1000,IF(D5="MLP",1000,IF(D5="HLP",1000,IF(D5="PRP",1000,IF(D5="XPML",1000,IF(D5="XPHL",1000,IF(D5="XPMLP",1000,IF(D5="XPMLP-01",1000,IF(D5="XC",1000,IF(D5="G10",1000,IF(D5="P10",1000,IF(D5="G12",1000,IF(D5="P12",1000,IF(D5="G05",1000,IF(D5="P05",1000,IF(D5="G03",1000,IF(D5="P03",1000,IF(D5="G06",1000,IF(D5="P06",1000,IF(D5="OTP06-01",1000,IF(D5="G08",1000,IF(D5="P08",1000,IF(D5="OTP06-01",1000,IF(D5="G09",1000,IF(D5="P09",1000,IF(D5="H57",1000,IF(D5="P57",1000,IF(D5="H64",1000,IF(D5="H59",1000,IF(D5="P59",1000,IF(D5="H61",1000,IF(D5="P61",1000)))))))))))))))))))))))))))))))))))))))))))))))))</f>
        <v>1000</v>
      </c>
    </row>
    <row r="11" spans="1:27" ht="24.6" x14ac:dyDescent="0.4">
      <c r="A11" s="8"/>
      <c r="B11" s="37" t="s">
        <v>18</v>
      </c>
      <c r="C11" s="20" t="s">
        <v>19</v>
      </c>
      <c r="D11" s="203">
        <f>IF(C11="YES",O17,IF(C11="NO",0))</f>
        <v>2700</v>
      </c>
      <c r="E11" s="39"/>
      <c r="F11" s="40"/>
      <c r="G11" s="40"/>
      <c r="H11" s="33"/>
      <c r="I11" s="33"/>
      <c r="J11" s="44" t="s">
        <v>76</v>
      </c>
      <c r="K11" s="44">
        <f>H8-K10</f>
        <v>18959.39345</v>
      </c>
      <c r="L11" s="37"/>
      <c r="M11" s="37"/>
      <c r="N11" s="38"/>
      <c r="O11" s="147">
        <f>IF(D5="XC",6100,IF(D5="XPML",6100,IF(D5="XPHL",6100,IF(D5="XPMLP",6100,IF(D5="XPMLP-01",6100,IF(D5="Xpander P",6100,IF(D5="ML",6600,IF(D5="HL",6600,IF(D5="PR",6600,IF(D5="MLP",6600,IF(D5="HLP",6600,IF(D5="PRP",6600,IF(D5="H57",5900,IF(D5="P57",5900,IF(D5="H64",5900,IF(D5="H59",5900,IF(D5="P59",5900,IF(D5="H61",5900,IF(D5="P61",5900,IF(D5="G03",6700,IF(D5="G10",6700,IF(D5="P10",6700,IF(D5="G12",6700,IF(D5="P12",6700,IF(D5="G05",6700,IF(D5="P05",6700,IF(D5="P03",6700,IF(D5="G06",6700,IF(D5="P06",6700,IF(D5="OTP06-01",6700,IF(D5="G08",6700,IF(D5="G09",6700,IF(D5="G08",6700,IF(D5="P08",6700,IF(D5="P09",6700,IF(D5="H37",6400,IF(D5="H38",6400,IF(D5="EH40",6400,IF(D5="EH43",6400,IF(D5="H48",6600,IF(D5="H43",6600,IF(D5="H40",6600,IF(D5="H42",6600,IF(D5="H44",6600,IF(D5="H45",6600,IF(D5="ASX HL 4WD",6600,IF(D5="H16",5400,IF(D5="H17",5400,IF(D5="P16",5400,IF(D5="Attrage S",5400,IF(D5="MIG09",5400,IF(D5="MIG10",5400,IF(D5="Xpander HL",6000)))))))))))))))))))))))))))))))))))))))))))))))))))))</f>
        <v>6100</v>
      </c>
      <c r="P11" s="147"/>
      <c r="Q11" s="147"/>
      <c r="R11" s="147"/>
      <c r="S11" s="147"/>
      <c r="T11" s="147"/>
      <c r="U11" s="147">
        <f>IF(D5="XC",4900,IF(D5="XPML",4900,IF(D5="XPHL",4900,IF(D5="XPMLP",4900,IF(D5="XPMLP-01",4900,IF(D5="Xpander P",4900,IF(D5="ML",5400,IF(D5="HL",5400,IF(D5="PR",5400,IF(D5="MLP",5400,IF(D5="HLP",5400,IF(D5="PRP",5400,IF(D5="H57",4600,IF(D5="P57",4600,IF(D5="MOG64",4600,IF(D5="H59",4600,IF(D5="P59",4600,IF(D5="H61",4600,IF(D5="P61",4600,IF(D5="G03",5500,IF(D5="P03",5500,IF(D5="G10",5500,IF(D5="P10",5500,IF(D5="G12",5500,IF(D5="P12",5500,IF(D5="G05",5500,IF(D5="P05",5500,IF(D5="G06",5500,IF(D5="P06",5500,IF(D5="OTP06-01",5500,IF(D5="F08",5500,IF(D5="P08",5500,IF(D5="G09",5500,IF(D5="P09",5500,IF(D5="H38",5200,IF(D5="H37",5200,IF(D5="EH40",5200,IF(D5="EH43",5200,IF(D5="H48",5300,IF(D5="H43",5300,IF(D5="H40",5300,IF(D5="H42",5300,IF(D5="H44",5300,IF(D5="H45",5300,IF(D5="ASX HL",5300,IF(D5="ASX P",5300,IF(D5="ASX HL 4WD",5300,IF(D5="H16",4200,IF(D5="H17",4200,IF(D5="P16",4200,IF(D5="Attrage S",4200,IF(D5="MIG09",4200,IF(D5="MIG10",4200,IF(D5="Xpander HL",4900))))))))))))))))))))))))))))))))))))))))))))))))))))))</f>
        <v>4900</v>
      </c>
      <c r="V11" s="147">
        <f>IF(D5="XC",9700,IF(D5="XPML",9700,IF(D5="XPHL",9700,IF(D5="XPMLP",9700,IF(D5="XPMLP-01",9700,IF(D5="XPMLP-01",9700,IF(D5="Xpander P",9700,IF(D5="ML",10800,IF(D5="HL",10800,IF(D5="PR",10800,IF(D5="MLP",10800,IF(D5="HLP",10800,IF(D5="PRP",10800,IF(D5="H57",9300,IF(D5="P57",9300,IF(D5="MG64",9300,IF(D5="H59",9300,IF(D5="P59",9300,IF(D5="H61",9300,IF(D5="P61",9300,IF(D5="G03",11000,IF(D5="G10",11000,IF(D5="P10",11000,IF(D5="G12",11000,IF(D5="P12",11000,IF(D5="G05",11000,IF(D5="P05",11000,IF(D5="P03",11000,IF(D5="G06",11000,IF(D5="P06",11000,IF(D5="OTP06-01",11000,IF(D5="G08",11000,IF(D5="P08",11000,IF(D5="G09",11000,IF(D5="P09",11000,IF(D5="H38",10400,IF(D5="H37",10400,IF(D5="EH40",10400,IF(D5="EH43",10400,IF(D5="H48",10700,IF(D5="H43",10700,IF(D5="H40",10700,IF(D5="H42",10700,IF(D5="H44",10800,IF(D5="H45",10800,IF(D5="ASX HL",12200,IF(D5="ASX P",12200,IF(D5="ASX HL 4WD",12200,IF(D5="H16",8500,IF(D5="H17",8500,IF(D5="P16",8500,IF(D5="Attrage S",9600,IF(D5="MIG09",8500,IF(D5="MIG10",8500,IF(D5="Xpander HL",11300)))))))))))))))))))))))))))))))))))))))))))))))))))))))</f>
        <v>9700</v>
      </c>
      <c r="W11" s="147">
        <f>IF(D5="XC",9200,IF(D5="XPML",9200,IF(D5="XPHL",9200,IF(D5="XPMLP",9200,IF(D5="XPMLP-01",9200,IF(D5="Xpander P",9200,IF(D5="ML",10000,IF(D5="HL",10000,IF(D5="PR",10000,IF(D5="MLP",10000,IF(D5="HLP",10000,IF(D5="PRP",10000,IF(D5="H57",8700,IF(D5="P57",8700,IF(D5="H64",8700,IF(D5="H59",8700,IF(D5="P59",8700,IF(D5="H61",8700,IF(D5="P61",8700,IF(D5="G03",10400,IF(D5="P03",10400,IF(D5="G10",10400,IF(D5="P10",10400,IF(D5="G12",10400,IF(D5="P12",10400,IF(D5="G05",10400,IF(D5="P05",10400,IF(D5="G06",10400,IF(D5="P06",10400,IF(D5="OTP06-01",10400,IF(D5="G08",10400,IF(D5="P08",10400,IF(D5="G09",10400,IF(D5="P09",10400,IF(D5="H38",9800,IF(D5="H37",9800,IF(D5="EH40",9800,IF(D5="EH43",9800,IF(D5="H48",10100,IF(D5="H43",10100,IF(D5="H40",10100,IF(D5="H42",10100,IF(D5="H44",10100,IF(D5="H45",10100,IF(D5="ASX HL",10100,IF(D5="ASX P",10100,IF(D5="ASX HL 4WD",10100,IF(D5="H16",7900,IF(D5="H17",7900,IF(D5="P16",7900,IF(D5="Attrage S",7900,IF(D5="MIG09",7900,IF(D5="MIG10",7900,IF(D5="Xpander HL",9200))))))))))))))))))))))))))))))))))))))))))))))))))))))</f>
        <v>9200</v>
      </c>
      <c r="X11" s="147">
        <f>IF(D5="XC",4500,IF(D5="XPML",4500,IF(D5="XPHL",4500,IF(D5="XPMLP",4500,IF(D5="XPMLP-01",4500,IF(D5="Xpander P",4500,IF(D5="ML",5000,IF(D5="HL",5000,IF(D5="PR",5000,IF(D5="MLP",5000,IF(D5="HLP",5000,IF(D5="PRP",5000,IF(D5="H57",8700,IF(D5="P57",8700,IF(D5="MOG64",4300,IF(D5="H59",4300,IF(D5="P59",4300,IF(D5="H61",4300,IF(D5="P61",4300,IF(D5="G03",5000,IF(D5="P03",5000,IF(D5="G10",5000,IF(D5="P10",5000,IF(D5="G12",5000,IF(D5="P12",5000,IF(D5="G05",5000,IF(D5="P05",5000,IF(D5="G06",5000,IF(D5="P06",5000,IF(D5="OTP06-01",5000,IF(D5="G08",5000,IF(D5="P08",5000,IF(D5="G09",5000,IF(D5="P09",5000,IF(D5="H38",4900,IF(D5="H37",4900,IF(D5="EH40",4900,IF(D5="EH43",4900,IF(D5="H48",4900,IF(D5="H43",4900,IF(D5="H40",4900,IF(D5="H42",4900,IF(D5="H44",4900,IF(D5="H45",4900,IF(D5="ASX HL",4900,IF(D5="ASX P",4900,IF(D5="ASX HL 4WD",4900,IF(D5="H16",3700,IF(D5="H17",3700,IF(D5="P16",3700,IF(D5="Attrage S",3700,IF(D5="MIG09",3700,IF(D5="MIG10",3700,IF(D5="Xpander HL",4500))))))))))))))))))))))))))))))))))))))))))))))))))))))</f>
        <v>4500</v>
      </c>
      <c r="Y11" s="147">
        <f>IF(D5="XC",5400,IF(D5="XPML ",5400,IF(D5="XPHL",5400,IF(D5="XPMLP",5400,IF(D5="XPMLP-01",5400,IF(D5="Xpander P",5400,IF(D5="ML",6000,IF(D5="HL",6000,IF(D5="PR",6000,IF(D5="MLP",6000,IF(D5="HLP",6000,IF(D5="PRP",6000,IF(D5="H57",5200,IF(D5="57",5200,IF(D5="H64",5200,IF(D5="H59",5200,IF(D5="P59",5200,IF(D5="H61",5200,IF(D5="P61",5200,IF(D5="G03",6000,IF(D5="P03",6000,IF(D5="G10",6000,IF(D5="P10",6000,IF(D5="G12",6000,IF(D5="P12",6000,IF(D5="G05",6000,IF(D5="P05",6000,IF(D5="G06",6000,IF(D5="P06",6000,IF(D5="OTP06-01",6000,IF(D5="G08",6000,IF(D5="P08",6000,IF(D5="G09",6000,IF(D5="P09",6000,IF(D5="H38",5700,IF(D5="H37",5700,IF(D5="EH40",5700,IF(D5="EH43",5700,IF(D5="H48",5900,IF(D5="H43",5900,IF(D5="H40",5900,IF(D5="H42",5900,IF(D5="H44",5900,IF(D5="H45",5900,IF(D5="ASX HL",5900,IF(D5="ASX P",5900,IF(D5="ASX HL 4WD",5900,IF(D5="H16",4500,IF(D5="H17",4500,IF(D5="P16",4500,IF(D5="Attrage S",4500,IF(D5="MIG09",4500,IF(D5="MIG10",4500,IF(D5="Xpander HL",5400))))))))))))))))))))))))))))))))))))))))))))))))))))))</f>
        <v>5400</v>
      </c>
    </row>
    <row r="12" spans="1:27" ht="24.6" x14ac:dyDescent="0.4">
      <c r="A12" s="8"/>
      <c r="B12" s="37" t="s">
        <v>20</v>
      </c>
      <c r="C12" s="20" t="s">
        <v>17</v>
      </c>
      <c r="D12" s="36">
        <f>IF(C12="YES",2000,IF(C12="NO",0))</f>
        <v>0</v>
      </c>
      <c r="E12" s="43"/>
      <c r="F12" s="43" t="s">
        <v>21</v>
      </c>
      <c r="G12" s="40"/>
      <c r="H12" s="33">
        <v>600</v>
      </c>
      <c r="I12" s="33"/>
      <c r="J12" s="202" t="s">
        <v>140</v>
      </c>
      <c r="K12" s="45">
        <v>0</v>
      </c>
      <c r="L12" s="45">
        <v>5.2499999999999998E-2</v>
      </c>
      <c r="M12" s="45">
        <v>0.126</v>
      </c>
      <c r="N12" s="201">
        <v>0.26250000000000001</v>
      </c>
      <c r="O12" s="147">
        <f>IF(K20="Esaad",B8*3/100,IF(K20="Emirates Platinum",B8*3/100,IF(K20="Fazaa",B8*3/100,IF(K20="Humat Alwatan",B8*3/100,IF(K20="Permissible",2000,IF(K20="ASX",8400,IF(K20="XPMLP",15100,IF(K20="XP",7200,IF(K20="G43",11000,IF(K20="EC",17000,IF(K20="G37",17000,IF(K20="G38",15000,IF(K20="G40",11000,IF(K20="OUT",3000,IF(K20="F08",14400,IF(K20="P08",11100,IF(K20="F06",13100,IF(K20="P06",13400,IF(K20="F03",3500,IF(K20="F03-1",13500,IF(K20="P03",13100,IF(K20="MON",10000,IF(K20="MON G57",9000,0)))))))))))))))))))))))</f>
        <v>2000</v>
      </c>
      <c r="Z12" s="86" t="s">
        <v>83</v>
      </c>
      <c r="AA12" s="86" t="s">
        <v>84</v>
      </c>
    </row>
    <row r="13" spans="1:27" ht="24.6" x14ac:dyDescent="0.4">
      <c r="A13" s="8">
        <f>B8*1.26582</f>
        <v>98480.796000000002</v>
      </c>
      <c r="B13" s="37" t="s">
        <v>23</v>
      </c>
      <c r="C13" s="20" t="s">
        <v>19</v>
      </c>
      <c r="D13" s="36">
        <f>IF(C13="YES",2000,IF(C13="NO",0))</f>
        <v>2000</v>
      </c>
      <c r="E13" s="47"/>
      <c r="F13" s="47" t="s">
        <v>75</v>
      </c>
      <c r="G13" s="51"/>
      <c r="H13" s="39">
        <v>315</v>
      </c>
      <c r="I13" s="33"/>
      <c r="J13" s="44" t="s">
        <v>54</v>
      </c>
      <c r="K13" s="29" t="s">
        <v>79</v>
      </c>
      <c r="L13" s="29" t="s">
        <v>25</v>
      </c>
      <c r="M13" s="29" t="s">
        <v>0</v>
      </c>
      <c r="N13" s="57" t="s">
        <v>26</v>
      </c>
      <c r="O13" s="9">
        <f>IF(M21="3000-4999",6%,IF(M21="5000-9999",4.75%,IF(M21="10000-14999",3.15%,IF(M21="15000-24999",2.5%,IF(M21="25000-34999",2.25%,IF(M21="35000-99999",2.15%))))))</f>
        <v>4.7500000000000001E-2</v>
      </c>
      <c r="Q13" s="2">
        <f>H7/12</f>
        <v>1663.2827875000003</v>
      </c>
      <c r="U13" s="9">
        <f>IF(M21="3000-4999",6%,IF(M21="5000-9999",3.25%,IF(M21="10000-14999",3%,IF(M21="15000-24999",2.25%,IF(M21="25000-34999",2.15%,IF(M21="35000-99999",1.99%))))))</f>
        <v>3.2500000000000001E-2</v>
      </c>
      <c r="Z13" s="99">
        <f>IF(M21="5000-9999",2.49%,IF(M21="10000-19999",2.19%,IF(M21="20000-34999",2.09%,IF(M21="35000-49999",1.89%,IF(M21="50000-99999",1.79%)))))</f>
        <v>2.4900000000000002E-2</v>
      </c>
      <c r="AA13" s="99">
        <f>IF(M21="5000-9999",2.59%,IF(M21="10000-19999",2.29%,IF(M21="20000-34999",2.19%,IF(M21="35000-49999",1.99%,IF(M21="50000-99999",1.89%)))))</f>
        <v>2.5899999999999999E-2</v>
      </c>
    </row>
    <row r="14" spans="1:27" ht="24.6" x14ac:dyDescent="0.4">
      <c r="A14" s="10" t="s">
        <v>27</v>
      </c>
      <c r="B14" s="37" t="s">
        <v>24</v>
      </c>
      <c r="C14" s="20" t="s">
        <v>19</v>
      </c>
      <c r="D14" s="50">
        <f>IF(C14="YES",U19*3.15*1.05/100,IF(C14="NO",U19*0/100))</f>
        <v>3076.9672500000001</v>
      </c>
      <c r="E14" s="48"/>
      <c r="F14" s="48" t="s">
        <v>24</v>
      </c>
      <c r="G14" s="51" t="s">
        <v>17</v>
      </c>
      <c r="H14" s="39">
        <f>IF(G14="YES",U19*3.15*1.05/100,IF(G14="NO",U19*0/100))</f>
        <v>0</v>
      </c>
      <c r="I14" s="33"/>
      <c r="J14" s="44" t="s">
        <v>55</v>
      </c>
      <c r="K14" s="44">
        <f>(H8*K12+H8)/3</f>
        <v>6653.1311500000002</v>
      </c>
      <c r="L14" s="44">
        <f>(H8*L12+H8)/12</f>
        <v>1750.6051338437501</v>
      </c>
      <c r="M14" s="44">
        <f>(H8*M12+H8)/24</f>
        <v>936.42820936250007</v>
      </c>
      <c r="N14" s="200">
        <f>(H7*N12+H7)/60</f>
        <v>419.97890384375006</v>
      </c>
      <c r="O14" s="9">
        <f>IF(M21="3000-4999",3.89%,IF(M21="5000-9999",3.89%,IF(M21="10000-14999",3.89%,IF(M21="15000-24999",2.69%,IF(M21="25000-34999",2.69%,IF(M21="35000-99999",2.39%,IF(M21="76000-99999",2.5%)))))))</f>
        <v>3.8900000000000004E-2</v>
      </c>
    </row>
    <row r="15" spans="1:27" ht="24.6" x14ac:dyDescent="0.4">
      <c r="A15" s="11">
        <f>(B7*3%)+10+120</f>
        <v>2464</v>
      </c>
      <c r="B15" s="37" t="s">
        <v>28</v>
      </c>
      <c r="C15" s="20" t="s">
        <v>19</v>
      </c>
      <c r="D15" s="29">
        <f>IF(C15="YES",O10,IF(C15="NO",0))</f>
        <v>3690</v>
      </c>
      <c r="E15" s="48"/>
      <c r="F15" s="48" t="s">
        <v>53</v>
      </c>
      <c r="G15" s="51" t="s">
        <v>17</v>
      </c>
      <c r="H15" s="39">
        <f>IF(G15="YES",O10,IF(G15="NO",0))</f>
        <v>0</v>
      </c>
      <c r="I15" s="33"/>
      <c r="J15" s="44"/>
      <c r="K15" s="44"/>
      <c r="L15" s="44"/>
      <c r="M15" s="44"/>
      <c r="N15" s="198"/>
      <c r="O15" s="9" t="b">
        <f>IF(M21="3000-4999",4.99%, IF(M21="5000-11999",2.75%,IF(M21="12000-19999",2.75%,IF(M21="20000-39999",2.25%,IF(M21="40000-69999",2.25%,IF(M21="70000-99999",2.25%))))))</f>
        <v>0</v>
      </c>
      <c r="P15" s="191"/>
    </row>
    <row r="16" spans="1:27" ht="24.6" x14ac:dyDescent="0.4">
      <c r="A16" s="11">
        <f>((B7-B8)*3%+10+120)</f>
        <v>130</v>
      </c>
      <c r="B16" s="37" t="s">
        <v>78</v>
      </c>
      <c r="C16" s="20" t="s">
        <v>19</v>
      </c>
      <c r="D16" s="29">
        <f>IF(C16="YES",O16,IF(C16="NO",0))</f>
        <v>6100</v>
      </c>
      <c r="E16" s="47"/>
      <c r="F16" s="47" t="s">
        <v>74</v>
      </c>
      <c r="G16" s="54"/>
      <c r="H16" s="33">
        <f>I7*1.05%</f>
        <v>838.29452490000006</v>
      </c>
      <c r="I16" s="33"/>
      <c r="J16" s="44" t="s">
        <v>16</v>
      </c>
      <c r="K16" s="44">
        <f>(K14*3)-H8</f>
        <v>0</v>
      </c>
      <c r="L16" s="44">
        <f>(L14*12)-H8</f>
        <v>1047.8681561250014</v>
      </c>
      <c r="M16" s="44">
        <f>(M14*24)-H8</f>
        <v>2514.8835747000012</v>
      </c>
      <c r="N16" s="198"/>
      <c r="O16" s="147">
        <f>IF(B16="RMC-10-70KMS",O11,IF(B16="RMC-10-100000KMS",V11,IF(B16="RMC-40-70KMS",U11, IF(B16="RMC-10-40KMS",X11, IF(B16="RMC-10-60KMS",Y11, IF(B16="RMC-40-100000KMS",W11,0))))))</f>
        <v>6100</v>
      </c>
    </row>
    <row r="17" spans="1:23" ht="24.6" x14ac:dyDescent="0.4">
      <c r="A17" s="11">
        <f>A15+A16</f>
        <v>2594</v>
      </c>
      <c r="B17" s="37"/>
      <c r="C17" s="20"/>
      <c r="D17" s="29">
        <f>SUM(D10:D16)</f>
        <v>17566.967250000002</v>
      </c>
      <c r="E17" s="48"/>
      <c r="F17" s="48"/>
      <c r="G17" s="54"/>
      <c r="H17" s="33">
        <f>+SUM(H12:H16)+(H7)</f>
        <v>21712.687974900004</v>
      </c>
      <c r="I17" s="33"/>
      <c r="J17" s="20"/>
      <c r="K17" s="199"/>
      <c r="L17" s="199"/>
      <c r="M17" s="199"/>
      <c r="N17" s="198"/>
      <c r="O17" s="147">
        <f>IF(B11="FO Ceramic+ Intr&amp;Extr CeramicGold WdwTnt",2700,IF(B11="FO Mirror Camera Sensor",2000))</f>
        <v>2700</v>
      </c>
      <c r="T17" s="1">
        <f>19615-791</f>
        <v>18824</v>
      </c>
    </row>
    <row r="18" spans="1:23" ht="24.6" x14ac:dyDescent="0.4">
      <c r="A18" s="12" t="s">
        <v>29</v>
      </c>
      <c r="B18" s="55" t="s">
        <v>30</v>
      </c>
      <c r="C18" s="197"/>
      <c r="D18" s="57">
        <v>0</v>
      </c>
      <c r="E18" s="38"/>
      <c r="F18" s="20"/>
      <c r="G18" s="20"/>
      <c r="H18" s="37"/>
      <c r="I18" s="37"/>
      <c r="J18" s="37"/>
      <c r="K18" s="37"/>
      <c r="L18" s="37"/>
      <c r="M18" s="37"/>
      <c r="N18" s="37"/>
      <c r="O18" s="9" t="b">
        <f>IF(M21="5000-99999",1.99%)</f>
        <v>0</v>
      </c>
      <c r="U18" s="196" t="s">
        <v>52</v>
      </c>
      <c r="V18" s="196" t="s">
        <v>52</v>
      </c>
    </row>
    <row r="19" spans="1:23" ht="24.6" x14ac:dyDescent="0.4">
      <c r="A19" s="11">
        <f>B8*3.15%</f>
        <v>2450.6999999999998</v>
      </c>
      <c r="B19" s="58" t="s">
        <v>31</v>
      </c>
      <c r="C19" s="59"/>
      <c r="D19" s="60">
        <f>IF(K21="DIB EXPAT",O13,IF(K21="DIB LOCAL GVH",U13,IF(K21="Emirates NBD",O14,IF(K21="ADCB",O15,IF(K21="ADCB PAY IN 2027",O19,IF(K21="Ajman Bank",O18,IF(K21="SIB STL",Z13,IF(K21="SIB NON STL",AA13,))))))))</f>
        <v>3.8900000000000004E-2</v>
      </c>
      <c r="E19" s="20"/>
      <c r="F19" s="195"/>
      <c r="G19" s="141" t="s">
        <v>73</v>
      </c>
      <c r="H19" s="142"/>
      <c r="I19" s="143"/>
      <c r="J19" s="109">
        <f>(U19*20/100)/365</f>
        <v>50.975342465753428</v>
      </c>
      <c r="K19" s="37"/>
      <c r="L19" s="37"/>
      <c r="M19" s="37"/>
      <c r="N19" s="34">
        <f>D7</f>
        <v>81690</v>
      </c>
      <c r="O19" s="194" t="b">
        <f>IF(M21="5000-11999",3.35%,IF(M21="12000-19999",3.35%,IF(M21="20000-39999",2.85%,IF(M21="40000-69999",2.85%,IF(M21="70000-99999",2.85%)))))</f>
        <v>0</v>
      </c>
      <c r="P19" s="2">
        <f>81400-2500</f>
        <v>78900</v>
      </c>
      <c r="U19" s="193">
        <f>V19</f>
        <v>93030</v>
      </c>
      <c r="V19" s="192">
        <f>(B7+D10+D11+D12+D13+D16)*1.05</f>
        <v>93030</v>
      </c>
    </row>
    <row r="20" spans="1:23" ht="24.6" x14ac:dyDescent="0.4">
      <c r="A20" s="11"/>
      <c r="B20" s="58" t="s">
        <v>32</v>
      </c>
      <c r="C20" s="59"/>
      <c r="D20" s="63">
        <v>0.2</v>
      </c>
      <c r="E20" s="37"/>
      <c r="F20" s="37"/>
      <c r="G20" s="38"/>
      <c r="H20" s="38"/>
      <c r="I20" s="38"/>
      <c r="J20" s="103"/>
      <c r="K20" s="104" t="s">
        <v>33</v>
      </c>
      <c r="L20" s="104" t="s">
        <v>17</v>
      </c>
      <c r="M20" s="104">
        <f>IF(L20="YES",O12,IF(L20="NO",0))</f>
        <v>0</v>
      </c>
      <c r="N20" s="34">
        <f>B8-M20</f>
        <v>77800</v>
      </c>
      <c r="O20" s="187"/>
      <c r="P20" s="191"/>
      <c r="T20" s="1">
        <f>1992+1084</f>
        <v>3076</v>
      </c>
      <c r="U20" s="186"/>
      <c r="V20" s="2"/>
    </row>
    <row r="21" spans="1:23" ht="24.6" x14ac:dyDescent="0.4">
      <c r="A21" s="13">
        <f>A19+A20</f>
        <v>2450.6999999999998</v>
      </c>
      <c r="B21" s="37"/>
      <c r="C21" s="20"/>
      <c r="D21" s="37"/>
      <c r="E21" s="37"/>
      <c r="F21" s="37"/>
      <c r="G21" s="37"/>
      <c r="H21" s="37"/>
      <c r="I21" s="37"/>
      <c r="J21" s="190" t="s">
        <v>34</v>
      </c>
      <c r="K21" s="16" t="s">
        <v>139</v>
      </c>
      <c r="L21" s="16" t="s">
        <v>35</v>
      </c>
      <c r="M21" s="189" t="s">
        <v>80</v>
      </c>
      <c r="N21" s="188"/>
      <c r="O21" s="187"/>
      <c r="T21" s="1">
        <f>25973-12973</f>
        <v>13000</v>
      </c>
      <c r="U21" s="186">
        <f>M14+N7</f>
        <v>2525.8612410975002</v>
      </c>
    </row>
    <row r="22" spans="1:23" s="179" customFormat="1" ht="24.6" x14ac:dyDescent="0.4">
      <c r="A22" s="185"/>
      <c r="B22" s="184" t="s">
        <v>51</v>
      </c>
      <c r="C22" s="183"/>
      <c r="D22" s="183"/>
      <c r="E22" s="183"/>
      <c r="F22" s="183"/>
      <c r="G22" s="183"/>
      <c r="H22" s="183"/>
      <c r="I22" s="183"/>
      <c r="J22" s="183"/>
      <c r="K22" s="183"/>
      <c r="L22" s="183"/>
      <c r="M22" s="183"/>
      <c r="N22" s="182"/>
      <c r="O22" s="181"/>
      <c r="P22" s="180"/>
    </row>
    <row r="23" spans="1:23" s="168" customFormat="1" ht="26.4" x14ac:dyDescent="0.5">
      <c r="A23" s="175" t="s">
        <v>36</v>
      </c>
      <c r="B23" s="172" t="s">
        <v>138</v>
      </c>
      <c r="C23" s="169"/>
      <c r="D23" s="169"/>
      <c r="E23" s="169"/>
      <c r="F23" s="169"/>
      <c r="G23" s="169"/>
      <c r="H23" s="176"/>
      <c r="I23" s="176"/>
      <c r="J23" s="169"/>
      <c r="K23" s="169"/>
      <c r="L23" s="169"/>
      <c r="M23" s="169"/>
      <c r="N23" s="178"/>
      <c r="O23" s="170"/>
      <c r="P23" s="169"/>
    </row>
    <row r="24" spans="1:23" s="168" customFormat="1" ht="26.4" x14ac:dyDescent="0.5">
      <c r="A24" s="175" t="s">
        <v>36</v>
      </c>
      <c r="B24" s="172" t="s">
        <v>137</v>
      </c>
      <c r="C24" s="169"/>
      <c r="D24" s="169"/>
      <c r="E24" s="169"/>
      <c r="F24" s="169"/>
      <c r="G24" s="169"/>
      <c r="H24" s="177">
        <f>H7/365</f>
        <v>54.683269726027405</v>
      </c>
      <c r="I24" s="177">
        <f>H7+H12+H16</f>
        <v>21397.687974900004</v>
      </c>
      <c r="J24" s="169"/>
      <c r="K24" s="169"/>
      <c r="L24" s="169"/>
      <c r="M24" s="169"/>
      <c r="N24" s="173"/>
      <c r="O24" s="170"/>
      <c r="P24" s="169">
        <f>1232+480</f>
        <v>1712</v>
      </c>
      <c r="T24" s="168">
        <f>88704/1.05</f>
        <v>84480</v>
      </c>
    </row>
    <row r="25" spans="1:23" s="168" customFormat="1" ht="26.4" x14ac:dyDescent="0.5">
      <c r="A25" s="175" t="s">
        <v>36</v>
      </c>
      <c r="B25" s="172" t="s">
        <v>136</v>
      </c>
      <c r="C25" s="169"/>
      <c r="D25" s="169"/>
      <c r="E25" s="169"/>
      <c r="F25" s="169"/>
      <c r="G25" s="169"/>
      <c r="H25" s="176"/>
      <c r="I25" s="176"/>
      <c r="J25" s="169"/>
      <c r="K25" s="169"/>
      <c r="L25" s="169"/>
      <c r="M25" s="169"/>
      <c r="N25" s="173"/>
      <c r="O25" s="170"/>
      <c r="P25" s="169"/>
      <c r="Q25" s="168">
        <f>79400-5233.33</f>
        <v>74166.67</v>
      </c>
      <c r="R25" s="168">
        <f>Q25*1.05</f>
        <v>77875.003500000006</v>
      </c>
      <c r="W25" s="168">
        <f>1999+1224</f>
        <v>3223</v>
      </c>
    </row>
    <row r="26" spans="1:23" s="168" customFormat="1" ht="26.4" x14ac:dyDescent="0.5">
      <c r="A26" s="175" t="s">
        <v>36</v>
      </c>
      <c r="B26" s="172" t="s">
        <v>135</v>
      </c>
      <c r="C26" s="169"/>
      <c r="D26" s="169"/>
      <c r="E26" s="169"/>
      <c r="F26" s="169"/>
      <c r="G26" s="169"/>
      <c r="H26" s="169"/>
      <c r="I26" s="169"/>
      <c r="J26" s="169"/>
      <c r="K26" s="169"/>
      <c r="L26" s="169"/>
      <c r="M26" s="169"/>
      <c r="N26" s="173"/>
      <c r="O26" s="170" t="s">
        <v>37</v>
      </c>
      <c r="P26" s="169"/>
      <c r="R26" s="168">
        <f>R25+2469</f>
        <v>80344.003500000006</v>
      </c>
    </row>
    <row r="27" spans="1:23" s="168" customFormat="1" ht="26.4" x14ac:dyDescent="0.5">
      <c r="A27" s="175" t="s">
        <v>36</v>
      </c>
      <c r="B27" s="172" t="s">
        <v>134</v>
      </c>
      <c r="C27" s="169"/>
      <c r="D27" s="169"/>
      <c r="E27" s="169"/>
      <c r="F27" s="169"/>
      <c r="G27" s="169"/>
      <c r="H27" s="169"/>
      <c r="I27" s="169"/>
      <c r="J27" s="169"/>
      <c r="K27" s="169"/>
      <c r="L27" s="169"/>
      <c r="M27" s="169"/>
      <c r="N27" s="173"/>
      <c r="O27" s="170">
        <f>129500-110900</f>
        <v>18600</v>
      </c>
      <c r="P27" s="169"/>
      <c r="W27" s="174">
        <f>N7+L14</f>
        <v>3340.0381655787501</v>
      </c>
    </row>
    <row r="28" spans="1:23" s="168" customFormat="1" ht="26.4" x14ac:dyDescent="0.5">
      <c r="B28" s="172" t="s">
        <v>133</v>
      </c>
      <c r="C28" s="169"/>
      <c r="D28" s="169"/>
      <c r="E28" s="169"/>
      <c r="F28" s="169"/>
      <c r="G28" s="169"/>
      <c r="H28" s="169"/>
      <c r="I28" s="169"/>
      <c r="J28" s="169"/>
      <c r="K28" s="169"/>
      <c r="L28" s="169"/>
      <c r="M28" s="169"/>
      <c r="N28" s="173"/>
      <c r="O28" s="170">
        <f>85000-69900</f>
        <v>15100</v>
      </c>
      <c r="P28" s="169"/>
    </row>
    <row r="29" spans="1:23" s="168" customFormat="1" ht="26.4" x14ac:dyDescent="0.5">
      <c r="B29" s="172" t="s">
        <v>132</v>
      </c>
      <c r="C29" s="169"/>
      <c r="D29" s="169"/>
      <c r="E29" s="169"/>
      <c r="F29" s="169"/>
      <c r="G29" s="169"/>
      <c r="H29" s="169"/>
      <c r="I29" s="169"/>
      <c r="J29" s="169"/>
      <c r="K29" s="169"/>
      <c r="L29" s="169"/>
      <c r="M29" s="169"/>
      <c r="N29" s="171"/>
      <c r="O29" s="170"/>
      <c r="P29" s="169"/>
    </row>
    <row r="30" spans="1:23" x14ac:dyDescent="0.3">
      <c r="B30" s="167" t="s">
        <v>38</v>
      </c>
      <c r="C30" s="166"/>
      <c r="D30" s="166"/>
      <c r="E30" s="166"/>
      <c r="F30" s="166"/>
      <c r="G30" s="166"/>
      <c r="H30" s="166"/>
      <c r="I30" s="166"/>
      <c r="J30" s="166"/>
      <c r="K30" s="166"/>
      <c r="L30" s="166"/>
      <c r="M30" s="166"/>
      <c r="N30" s="165"/>
      <c r="O30" s="147"/>
    </row>
    <row r="31" spans="1:23" x14ac:dyDescent="0.3">
      <c r="B31" s="146"/>
      <c r="C31" s="145"/>
      <c r="D31" s="145"/>
      <c r="E31" s="145"/>
      <c r="F31" s="145"/>
      <c r="G31" s="145"/>
      <c r="H31" s="145"/>
      <c r="I31" s="145"/>
      <c r="J31" s="145"/>
      <c r="K31" s="145"/>
      <c r="L31" s="145"/>
      <c r="M31" s="145"/>
      <c r="N31" s="144"/>
      <c r="O31" s="147"/>
    </row>
    <row r="32" spans="1:23" s="86" customFormat="1" ht="20.399999999999999" x14ac:dyDescent="0.35">
      <c r="B32" s="118" t="s">
        <v>39</v>
      </c>
      <c r="C32" s="119"/>
      <c r="D32" s="119"/>
      <c r="E32" s="119"/>
      <c r="F32" s="119"/>
      <c r="G32" s="119"/>
      <c r="H32" s="119"/>
      <c r="I32" s="119"/>
      <c r="J32" s="119"/>
      <c r="K32" s="119"/>
      <c r="L32" s="119"/>
      <c r="M32" s="119"/>
      <c r="N32" s="120"/>
      <c r="O32" s="92"/>
      <c r="P32" s="83"/>
    </row>
    <row r="33" spans="2:16" s="86" customFormat="1" ht="20.399999999999999" x14ac:dyDescent="0.35">
      <c r="B33" s="118" t="s">
        <v>40</v>
      </c>
      <c r="C33" s="119"/>
      <c r="D33" s="119"/>
      <c r="E33" s="119"/>
      <c r="F33" s="119"/>
      <c r="G33" s="119"/>
      <c r="H33" s="119"/>
      <c r="I33" s="119"/>
      <c r="J33" s="119"/>
      <c r="K33" s="119"/>
      <c r="L33" s="119"/>
      <c r="M33" s="119"/>
      <c r="N33" s="120"/>
      <c r="O33" s="92"/>
      <c r="P33" s="83"/>
    </row>
    <row r="34" spans="2:16" s="86" customFormat="1" ht="20.399999999999999" x14ac:dyDescent="0.35">
      <c r="B34" s="107" t="s">
        <v>131</v>
      </c>
      <c r="C34" s="108"/>
      <c r="D34" s="108"/>
      <c r="E34" s="108"/>
      <c r="F34" s="108"/>
      <c r="G34" s="164" t="s">
        <v>130</v>
      </c>
      <c r="H34" s="164"/>
      <c r="I34" s="163"/>
      <c r="J34" s="163"/>
      <c r="K34" s="163"/>
      <c r="L34" s="163"/>
      <c r="M34" s="162" t="s">
        <v>129</v>
      </c>
      <c r="N34" s="161"/>
      <c r="O34" s="83"/>
      <c r="P34" s="83"/>
    </row>
    <row r="35" spans="2:16" x14ac:dyDescent="0.3">
      <c r="B35" s="160"/>
      <c r="C35" s="159"/>
      <c r="D35" s="159"/>
      <c r="E35" s="159"/>
      <c r="F35" s="159"/>
      <c r="G35" s="159"/>
      <c r="H35" s="159"/>
      <c r="I35" s="159"/>
      <c r="J35" s="159"/>
      <c r="K35" s="159"/>
      <c r="L35" s="159"/>
      <c r="M35" s="159"/>
      <c r="N35" s="158"/>
    </row>
    <row r="36" spans="2:16" x14ac:dyDescent="0.3">
      <c r="B36" s="160"/>
      <c r="C36" s="159"/>
      <c r="D36" s="159"/>
      <c r="E36" s="159"/>
      <c r="F36" s="159"/>
      <c r="G36" s="159"/>
      <c r="H36" s="159"/>
      <c r="I36" s="159"/>
      <c r="J36" s="159"/>
      <c r="K36" s="159"/>
      <c r="L36" s="159"/>
      <c r="M36" s="159"/>
      <c r="N36" s="158"/>
    </row>
    <row r="37" spans="2:16" x14ac:dyDescent="0.3">
      <c r="B37" s="160"/>
      <c r="C37" s="159"/>
      <c r="D37" s="159"/>
      <c r="E37" s="159"/>
      <c r="F37" s="159"/>
      <c r="G37" s="159"/>
      <c r="H37" s="159"/>
      <c r="I37" s="159"/>
      <c r="J37" s="159"/>
      <c r="K37" s="159"/>
      <c r="L37" s="159"/>
      <c r="M37" s="159"/>
      <c r="N37" s="158"/>
    </row>
    <row r="38" spans="2:16" ht="16.8" x14ac:dyDescent="0.3">
      <c r="B38" s="149" t="s">
        <v>128</v>
      </c>
      <c r="C38" s="157"/>
      <c r="D38" s="154"/>
      <c r="E38" s="151"/>
      <c r="F38" s="151"/>
      <c r="G38" s="151"/>
      <c r="H38" s="151"/>
      <c r="I38" s="151"/>
      <c r="J38" s="152"/>
      <c r="K38" s="151"/>
      <c r="L38" s="151"/>
      <c r="M38" s="151"/>
      <c r="N38" s="156"/>
    </row>
    <row r="39" spans="2:16" ht="16.8" x14ac:dyDescent="0.3">
      <c r="B39" s="149" t="s">
        <v>127</v>
      </c>
      <c r="C39" s="155"/>
      <c r="D39" s="154"/>
      <c r="E39" s="151"/>
      <c r="F39" s="151"/>
      <c r="G39" s="151"/>
      <c r="H39" s="151"/>
      <c r="I39" s="151"/>
      <c r="J39" s="152"/>
      <c r="K39" s="151"/>
      <c r="L39" s="151"/>
      <c r="M39" s="151"/>
      <c r="N39" s="150"/>
    </row>
    <row r="40" spans="2:16" ht="16.8" x14ac:dyDescent="0.3">
      <c r="B40" s="149" t="s">
        <v>126</v>
      </c>
      <c r="C40" s="153"/>
      <c r="D40" s="151"/>
      <c r="E40" s="151"/>
      <c r="F40" s="151"/>
      <c r="G40" s="151"/>
      <c r="H40" s="151"/>
      <c r="I40" s="151"/>
      <c r="J40" s="152"/>
      <c r="K40" s="151"/>
      <c r="L40" s="151"/>
      <c r="M40" s="151"/>
      <c r="N40" s="150"/>
    </row>
    <row r="41" spans="2:16" ht="16.8" x14ac:dyDescent="0.3">
      <c r="B41" s="149" t="s">
        <v>125</v>
      </c>
      <c r="N41" s="148"/>
    </row>
    <row r="42" spans="2:16" ht="16.8" x14ac:dyDescent="0.3">
      <c r="B42" s="149" t="s">
        <v>124</v>
      </c>
      <c r="N42" s="148"/>
    </row>
    <row r="43" spans="2:16" ht="16.8" x14ac:dyDescent="0.3">
      <c r="B43" s="149" t="s">
        <v>123</v>
      </c>
      <c r="N43" s="148"/>
    </row>
    <row r="44" spans="2:16" ht="16.8" x14ac:dyDescent="0.3">
      <c r="B44" s="149" t="s">
        <v>122</v>
      </c>
      <c r="N44" s="148"/>
    </row>
    <row r="45" spans="2:16" ht="16.8" x14ac:dyDescent="0.3">
      <c r="B45" s="149" t="s">
        <v>121</v>
      </c>
      <c r="N45" s="148"/>
    </row>
    <row r="46" spans="2:16" ht="16.8" x14ac:dyDescent="0.3">
      <c r="B46" s="149" t="s">
        <v>120</v>
      </c>
      <c r="N46" s="148"/>
    </row>
    <row r="47" spans="2:16" x14ac:dyDescent="0.3">
      <c r="B47" s="146" t="s">
        <v>39</v>
      </c>
      <c r="C47" s="145"/>
      <c r="D47" s="145"/>
      <c r="E47" s="145"/>
      <c r="F47" s="145"/>
      <c r="G47" s="145"/>
      <c r="H47" s="145"/>
      <c r="I47" s="145"/>
      <c r="J47" s="145"/>
      <c r="K47" s="145"/>
      <c r="L47" s="145"/>
      <c r="M47" s="145"/>
      <c r="N47" s="144"/>
      <c r="O47" s="147"/>
    </row>
    <row r="48" spans="2:16" x14ac:dyDescent="0.3">
      <c r="B48" s="146" t="s">
        <v>40</v>
      </c>
      <c r="C48" s="145"/>
      <c r="D48" s="145"/>
      <c r="E48" s="145"/>
      <c r="F48" s="145"/>
      <c r="G48" s="145"/>
      <c r="H48" s="145"/>
      <c r="I48" s="145"/>
      <c r="J48" s="145"/>
      <c r="K48" s="145"/>
      <c r="L48" s="145"/>
      <c r="M48" s="145"/>
      <c r="N48" s="144"/>
      <c r="O48" s="147"/>
    </row>
    <row r="49" spans="2:14" x14ac:dyDescent="0.3">
      <c r="B49" s="146" t="s">
        <v>119</v>
      </c>
      <c r="C49" s="145"/>
      <c r="D49" s="145"/>
      <c r="E49" s="145"/>
      <c r="F49" s="145"/>
      <c r="G49" s="145"/>
      <c r="H49" s="145"/>
      <c r="I49" s="145"/>
      <c r="J49" s="145"/>
      <c r="K49" s="145"/>
      <c r="L49" s="145"/>
      <c r="M49" s="145"/>
      <c r="N49" s="144"/>
    </row>
    <row r="50" spans="2:14" ht="25.8" x14ac:dyDescent="0.3">
      <c r="C50" s="15" t="s">
        <v>41</v>
      </c>
    </row>
    <row r="51" spans="2:14" ht="25.8" x14ac:dyDescent="0.3">
      <c r="C51" s="15" t="s">
        <v>42</v>
      </c>
    </row>
    <row r="52" spans="2:14" ht="25.8" x14ac:dyDescent="0.3">
      <c r="C52" s="15" t="s">
        <v>43</v>
      </c>
    </row>
    <row r="53" spans="2:14" ht="25.8" x14ac:dyDescent="0.3">
      <c r="C53" s="15" t="s">
        <v>44</v>
      </c>
    </row>
    <row r="54" spans="2:14" ht="25.8" x14ac:dyDescent="0.3">
      <c r="C54" s="15" t="s">
        <v>45</v>
      </c>
    </row>
  </sheetData>
  <dataConsolidate/>
  <mergeCells count="11">
    <mergeCell ref="F8:G8"/>
    <mergeCell ref="F9:G9"/>
    <mergeCell ref="G19:I19"/>
    <mergeCell ref="B22:N22"/>
    <mergeCell ref="B30:N30"/>
    <mergeCell ref="B32:N32"/>
    <mergeCell ref="B33:N33"/>
    <mergeCell ref="B47:N47"/>
    <mergeCell ref="B48:N48"/>
    <mergeCell ref="B49:N49"/>
    <mergeCell ref="B31:N31"/>
  </mergeCells>
  <dataValidations count="11">
    <dataValidation type="list" allowBlank="1" showInputMessage="1" showErrorMessage="1" sqref="H34" xr:uid="{D53ED190-1199-4C97-8FB3-F0908F974CC6}">
      <formula1>"ALAA HAMMAD,KHALED QASSEM,RAMY RAOUF,SIMON LOBO,MHAREN CLEMENTE GARADO"</formula1>
    </dataValidation>
    <dataValidation type="list" allowBlank="1" showInputMessage="1" showErrorMessage="1" sqref="M34" xr:uid="{1F81F778-2772-42E5-9445-04A62D02E317}">
      <formula1>"Alaa Hammad,Bachir Ibrahim Mourad,Khaled Qassem,Ramy Raoof,Simon Lobo,Mharen Clemente Garado,Ranjith"</formula1>
    </dataValidation>
    <dataValidation type="list" allowBlank="1" showInputMessage="1" showErrorMessage="1" sqref="B11" xr:uid="{03774AB9-0A3C-4CF5-93CC-C069D993ECC9}">
      <formula1>"FO Ceramic+ Intr&amp;Extr CeramicGold WdwTnt,FO Mirror Camera Sensor"</formula1>
    </dataValidation>
    <dataValidation type="list" allowBlank="1" showInputMessage="1" showErrorMessage="1" sqref="B12" xr:uid="{901B227C-FEC6-4DB1-9084-47BA0008D184}">
      <formula1>"FO Exterior ceramic All Cars SCOTCHGUARD,FO Mirror Camera Sensor,FO PPF Gold Package "</formula1>
    </dataValidation>
    <dataValidation type="list" allowBlank="1" showInputMessage="1" showErrorMessage="1" sqref="K20" xr:uid="{5073F5C3-6627-415B-985E-CE515A949B3E}">
      <formula1>"Esaad,Emirates Platinum,Fazaa,Humat Alwatan,Permissible,ASX,XPMLP,XP,MON,MON G57,OUT,F08,P08,F06,P06,F03,F03-1,P03,EC,G37,G38,G40,G43"</formula1>
    </dataValidation>
    <dataValidation type="list" allowBlank="1" showInputMessage="1" showErrorMessage="1" sqref="B16" xr:uid="{414CCAA5-7F8A-4724-9C3B-D01D881FE6F9}">
      <formula1>"RMC-10-40KMS,RMC-10-60KMS,RMC-10-70KMS,RMC-10-100000KMS,RMC-40-70KMS,RMC-40-100000KMS"</formula1>
    </dataValidation>
    <dataValidation type="list" allowBlank="1" showInputMessage="1" showErrorMessage="1" sqref="K24" xr:uid="{E7AB3507-BC6C-4925-BA8D-C1389AEC5DB9}">
      <formula1>"RMC-10-70K,RMC-10-100000K,RMC-40-70K"</formula1>
    </dataValidation>
    <dataValidation type="list" allowBlank="1" showInputMessage="1" showErrorMessage="1" sqref="D5" xr:uid="{3D7DF99F-5083-47DF-868D-6019701ACEC1}">
      <formula1>"MIG09,MIG10,H16,P16,H17,H48,H43,H40,H42,H44,H45,H38,H37,EH40,EH43,ML,HL,PR, MLP,HLP,PRP,XPML,XPHL,XPMLP, XPMLP-01,XC, G10,P10, G03, P03, G06,P06,G12,P12,G05,P05,G08,P08,G09,P09,H57,P57,H64,H59,P59,H61,P61"</formula1>
    </dataValidation>
    <dataValidation type="list" allowBlank="1" showInputMessage="1" showErrorMessage="1" sqref="M21" xr:uid="{5BC6427D-F4A8-4C19-BCC2-F659114C297C}">
      <formula1>"3000-4999,5000-9999,5000-99999,10000-14999,15000-24999,25000-34999,35000-99999,5000-11999,12000-19999,20000-39999,40000-69999,70000-99999"</formula1>
    </dataValidation>
    <dataValidation type="list" allowBlank="1" showInputMessage="1" showErrorMessage="1" sqref="C10:C16 L20 L24:L25 G14:G15 J10" xr:uid="{58C49599-B0D0-4FA2-8F5B-A7BFDF2DA1DC}">
      <formula1>"YES,NO"</formula1>
    </dataValidation>
    <dataValidation type="list" allowBlank="1" showInputMessage="1" showErrorMessage="1" sqref="K21" xr:uid="{0BEAD2B8-5847-4193-8946-E81AA402345B}">
      <formula1>"ADCB,ADCB PAY IN 2027,Ajman Bank,ADIB,DIB EXPAT,DIB LOCAL GVH,Emirates NBD,EIB,FAB,RAK,SIB STL,SIB NON STL"</formula1>
    </dataValidation>
  </dataValidations>
  <pageMargins left="0.23622047244094491" right="0.23622047244094491" top="0.74803149606299213" bottom="0.74803149606299213" header="0.31496062992125984" footer="0.31496062992125984"/>
  <pageSetup paperSize="9" scale="40" orientation="landscape" horizontalDpi="4294967295" verticalDpi="4294967295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6893C2-C206-43E9-BE1E-586414D564FB}">
  <sheetPr>
    <pageSetUpPr fitToPage="1"/>
  </sheetPr>
  <dimension ref="A1:AA54"/>
  <sheetViews>
    <sheetView topLeftCell="B1" zoomScaleNormal="100" workbookViewId="0">
      <selection activeCell="D5" sqref="D5"/>
    </sheetView>
  </sheetViews>
  <sheetFormatPr defaultColWidth="9.109375" defaultRowHeight="15.6" x14ac:dyDescent="0.3"/>
  <cols>
    <col min="1" max="1" width="16" style="1" hidden="1" customWidth="1"/>
    <col min="2" max="2" width="75.109375" style="2" customWidth="1"/>
    <col min="3" max="3" width="26.88671875" style="3" customWidth="1"/>
    <col min="4" max="4" width="23.88671875" style="2" customWidth="1"/>
    <col min="5" max="5" width="23.33203125" style="2" customWidth="1"/>
    <col min="6" max="6" width="19.88671875" style="2" customWidth="1"/>
    <col min="7" max="7" width="23.33203125" style="2" customWidth="1"/>
    <col min="8" max="8" width="24.44140625" style="2" customWidth="1"/>
    <col min="9" max="9" width="27.109375" style="2" customWidth="1"/>
    <col min="10" max="10" width="26.6640625" style="2" customWidth="1"/>
    <col min="11" max="11" width="25.44140625" style="2" customWidth="1"/>
    <col min="12" max="12" width="20.5546875" style="2" customWidth="1"/>
    <col min="13" max="13" width="20.109375" style="2" customWidth="1"/>
    <col min="14" max="14" width="19.5546875" style="2" customWidth="1"/>
    <col min="15" max="15" width="15.109375" style="2" bestFit="1" customWidth="1"/>
    <col min="16" max="16" width="12.6640625" style="2" hidden="1" customWidth="1"/>
    <col min="17" max="17" width="12.6640625" style="1" hidden="1" customWidth="1"/>
    <col min="18" max="18" width="15.6640625" style="1" hidden="1" customWidth="1"/>
    <col min="19" max="19" width="13" style="1" hidden="1" customWidth="1"/>
    <col min="20" max="20" width="17.109375" style="1" hidden="1" customWidth="1"/>
    <col min="21" max="21" width="14.5546875" style="1" bestFit="1" customWidth="1"/>
    <col min="22" max="22" width="19" style="1" customWidth="1"/>
    <col min="23" max="23" width="22.5546875" style="1" bestFit="1" customWidth="1"/>
    <col min="24" max="25" width="9.109375" style="1"/>
    <col min="26" max="26" width="14" style="1" bestFit="1" customWidth="1"/>
    <col min="27" max="27" width="22.33203125" style="1" bestFit="1" customWidth="1"/>
    <col min="28" max="16384" width="9.109375" style="1"/>
  </cols>
  <sheetData>
    <row r="1" spans="1:27" ht="15.75" customHeight="1" x14ac:dyDescent="0.3">
      <c r="B1" s="222" t="s">
        <v>148</v>
      </c>
      <c r="C1" s="221"/>
      <c r="D1" s="221"/>
      <c r="E1" s="221"/>
      <c r="F1" s="221"/>
      <c r="G1" s="221"/>
      <c r="H1" s="221"/>
      <c r="I1" s="221"/>
      <c r="J1" s="221"/>
      <c r="K1" s="221"/>
      <c r="L1" s="221"/>
      <c r="M1" s="221"/>
      <c r="N1" s="220"/>
    </row>
    <row r="2" spans="1:27" ht="15.75" customHeight="1" x14ac:dyDescent="0.3">
      <c r="B2" s="219" t="s">
        <v>147</v>
      </c>
      <c r="C2" s="218"/>
      <c r="D2" s="218"/>
      <c r="E2" s="218"/>
      <c r="F2" s="218"/>
      <c r="G2" s="218"/>
      <c r="H2" s="218"/>
      <c r="I2" s="218"/>
      <c r="J2" s="218"/>
      <c r="K2" s="218"/>
      <c r="L2" s="218"/>
      <c r="M2" s="218"/>
      <c r="N2" s="217"/>
      <c r="Q2" s="2"/>
      <c r="S2" s="186"/>
    </row>
    <row r="3" spans="1:27" ht="15.75" customHeight="1" x14ac:dyDescent="0.3">
      <c r="B3" s="219" t="s">
        <v>146</v>
      </c>
      <c r="C3" s="218"/>
      <c r="D3" s="218"/>
      <c r="E3" s="218"/>
      <c r="F3" s="218"/>
      <c r="G3" s="218"/>
      <c r="H3" s="218"/>
      <c r="I3" s="218"/>
      <c r="J3" s="218"/>
      <c r="K3" s="218"/>
      <c r="L3" s="218"/>
      <c r="M3" s="218"/>
      <c r="N3" s="217"/>
      <c r="O3" s="3"/>
      <c r="P3" s="3"/>
      <c r="Q3" s="153"/>
      <c r="R3" s="153"/>
      <c r="S3" s="216" t="e">
        <f>N7+J14</f>
        <v>#VALUE!</v>
      </c>
      <c r="T3" s="216"/>
      <c r="U3" s="153"/>
      <c r="V3" s="153"/>
      <c r="W3" s="153"/>
      <c r="AA3" s="1">
        <f>273000/5</f>
        <v>54600</v>
      </c>
    </row>
    <row r="4" spans="1:27" ht="15.75" customHeight="1" x14ac:dyDescent="0.3">
      <c r="B4" s="215"/>
      <c r="C4" s="214"/>
      <c r="D4" s="214"/>
      <c r="E4" s="214"/>
      <c r="F4" s="214"/>
      <c r="G4" s="214"/>
      <c r="H4" s="214"/>
      <c r="I4" s="214"/>
      <c r="J4" s="214"/>
      <c r="K4" s="214"/>
      <c r="L4" s="214"/>
      <c r="M4" s="214"/>
      <c r="N4" s="213"/>
      <c r="O4" s="212" t="s">
        <v>0</v>
      </c>
      <c r="P4" s="212"/>
      <c r="Q4" s="210"/>
      <c r="R4" s="210"/>
      <c r="S4" s="211"/>
      <c r="T4" s="211"/>
      <c r="U4" s="210" t="s">
        <v>1</v>
      </c>
      <c r="V4" s="210" t="s">
        <v>2</v>
      </c>
      <c r="W4" s="210" t="s">
        <v>3</v>
      </c>
    </row>
    <row r="5" spans="1:27" ht="25.2" thickBot="1" x14ac:dyDescent="0.45">
      <c r="B5" s="17"/>
      <c r="C5" s="18" t="str">
        <f>IF(D5="MIG09","Mirage G09",IF(D5="MIG10","MirageG10",IF(D5="H16","Attrage H16",IF(D5="P16","Attrage P16",IF(D5="H17","Attrage H17",IF(D5="H48","ASX H48",IF(D5="H43","ASX H43",IF(D5="H40","ASX H40",IF(D5="H42","ASX H42",IF(D5="H44","ASX H44",IF(D5="H45","ASX H45",IF(D5="H38","Eclipse H38",IF(D5="H37","Eclipse H37",IF(D5="EH40","Eclipse H40",IF(D5="EH43","Eclipse H43",IF(D5="XPML","Xpander ML",IF(D5="ML","Destinator ML",IF(D5="HL","Destinator HL",IF(D5="PR","Destinator PR",IF(D5="MLP","Destinator MLP",IF(D5="HLP","Destinator HLP",IF(D5="PRP","Destinator PRP",IF(D5="XPHL","Xpander HL",IF(D5="XPMLP","Xpander ML P",IF(D5="XPMLP-01","Xpander ML P-01",IF(D5="XC","Xpander Cross",IF(D5="G03","Outlander G03",IF(D5="P03","Outlander P03",IF(D5="G06","Outlander G06",IF(D5="P06","Outlander P06",IF(D5="OTP06-01","Outlander P06-01",IF(D5="G08","Outlander G08",IF(D5="P08","Outlander P08",IF(D5="H57","Montero H57",IF(D5="P57","Montero P57",IF(D5="H64","Montero G64",IF(D5="H59","Montero G59",IF(D5="P59","Montero G59 P",IF(D5="H61","Montero G61",IF(D5="P61","Montero P61",IF(D5="G10","Outlander G10",IF(D5="P10","Outlander P10",IF(D5="G12","Outlander G12",IF(D5="P12","Outlander P12",IF(D5="G05","Outlander G05",IF(D5="P05","Outlander P05",IF(D5="G09","Outlander G09",IF(D5="P09","Outlander P09",))))))))))))))))))))))))))))))))))))))))))))))))</f>
        <v>Xpander Cross</v>
      </c>
      <c r="D5" s="19" t="s">
        <v>105</v>
      </c>
      <c r="E5" s="20" t="s">
        <v>145</v>
      </c>
      <c r="F5" s="37"/>
      <c r="G5" s="37"/>
      <c r="H5" s="37"/>
      <c r="I5" s="20"/>
      <c r="J5" s="34"/>
      <c r="K5" s="209">
        <v>0</v>
      </c>
      <c r="L5" s="208">
        <v>3.39E-2</v>
      </c>
      <c r="M5" s="208">
        <v>6.7799999999999999E-2</v>
      </c>
      <c r="N5" s="208">
        <v>0.1017</v>
      </c>
      <c r="O5" s="147">
        <f>K7+K14</f>
        <v>11028.633688132501</v>
      </c>
      <c r="S5" s="186"/>
      <c r="U5" s="186">
        <f>L7+L14</f>
        <v>4553.3396055856247</v>
      </c>
      <c r="V5" s="186">
        <f>M7+M14</f>
        <v>3079.1165534512502</v>
      </c>
      <c r="W5" s="186">
        <f>N7+N14</f>
        <v>2164.4831305856251</v>
      </c>
    </row>
    <row r="6" spans="1:27" s="5" customFormat="1" ht="99" thickBot="1" x14ac:dyDescent="0.35">
      <c r="A6" s="4" t="s">
        <v>4</v>
      </c>
      <c r="B6" s="26" t="s">
        <v>5</v>
      </c>
      <c r="C6" s="27" t="s">
        <v>6</v>
      </c>
      <c r="D6" s="27" t="s">
        <v>144</v>
      </c>
      <c r="E6" s="27" t="s">
        <v>7</v>
      </c>
      <c r="F6" s="27" t="s">
        <v>8</v>
      </c>
      <c r="G6" s="28" t="s">
        <v>9</v>
      </c>
      <c r="H6" s="28" t="s">
        <v>143</v>
      </c>
      <c r="I6" s="28" t="s">
        <v>10</v>
      </c>
      <c r="J6" s="28" t="s">
        <v>142</v>
      </c>
      <c r="K6" s="28" t="s">
        <v>11</v>
      </c>
      <c r="L6" s="28" t="s">
        <v>12</v>
      </c>
      <c r="M6" s="28" t="s">
        <v>13</v>
      </c>
      <c r="N6" s="28" t="s">
        <v>14</v>
      </c>
      <c r="O6" s="207"/>
      <c r="P6" s="206"/>
      <c r="T6" s="205"/>
      <c r="U6" s="205">
        <f>N7+L14</f>
        <v>3597.7970155856251</v>
      </c>
      <c r="V6" s="205">
        <f>N7+K14</f>
        <v>8878.6628606325012</v>
      </c>
      <c r="W6" s="205" t="e">
        <f>N7+J14</f>
        <v>#VALUE!</v>
      </c>
    </row>
    <row r="7" spans="1:27" ht="25.2" thickBot="1" x14ac:dyDescent="0.45">
      <c r="A7" s="6">
        <f>B8</f>
        <v>84900</v>
      </c>
      <c r="B7" s="29">
        <f>IF(L20="YES",C8*1,IF(L20="NO",B8*1))</f>
        <v>84900</v>
      </c>
      <c r="C7" s="29">
        <f>B7*5/100</f>
        <v>4245</v>
      </c>
      <c r="D7" s="203">
        <f>B7+C7</f>
        <v>89145</v>
      </c>
      <c r="E7" s="29">
        <f>D17</f>
        <v>17813.541375000001</v>
      </c>
      <c r="F7" s="29">
        <f>(C7)+(D10+D11+D12+D13+D16)*5/100</f>
        <v>4785</v>
      </c>
      <c r="G7" s="30">
        <f>B7+E7+F7</f>
        <v>107498.541375</v>
      </c>
      <c r="H7" s="29">
        <f>G7*D20</f>
        <v>21499.708275000001</v>
      </c>
      <c r="I7" s="30">
        <f>(G7-H7)</f>
        <v>85998.833100000003</v>
      </c>
      <c r="J7" s="30">
        <f>(((I7*D19)*1)+I7)/12</f>
        <v>7445.3489756324998</v>
      </c>
      <c r="K7" s="30">
        <f>(((I7*D19)*2)+I7)/24</f>
        <v>3862.0642631325004</v>
      </c>
      <c r="L7" s="30">
        <f>(((I7*D19)*3)+I7)/36</f>
        <v>2667.6360256325002</v>
      </c>
      <c r="M7" s="30">
        <f>(((I7*D19)*4)+I7)/48</f>
        <v>2070.4219068825</v>
      </c>
      <c r="N7" s="30">
        <f>((((I7*D19)*5)+I7)/60)</f>
        <v>1712.0934356325001</v>
      </c>
      <c r="O7" s="147"/>
      <c r="P7" s="2">
        <f>H7+H16</f>
        <v>22402.696022550001</v>
      </c>
      <c r="T7" s="186">
        <f>25973/2</f>
        <v>12986.5</v>
      </c>
    </row>
    <row r="8" spans="1:27" ht="24.6" x14ac:dyDescent="0.4">
      <c r="A8" s="7">
        <v>0.2</v>
      </c>
      <c r="B8" s="31">
        <f>IF(D5="MIG09",39900,IF(D5="MIG10",41900,IF(D5="H16",41900,IF(D5="P16",47400,IF(D5="H17",47900,IF(D5="H48",67900,IF(D5="H43",70900,IF(D5="H40",72900,IF(D5="H42",74900,IF(D5="H44",73900,IF(D5="H45",79900,IF(D5="H38",86900,IF(D5="H37",79900,IF(D5="EH40",99900,IF(D5="EH43",106900,IF(D5="ML",71900,IF(D5="HL",83900,IF(D5="PR",95900,IF(D5="MLP",80900,IF(D5="HLP",91900,IF(D5="PRP",102900,IF(D5="XPML",69900,IF(D5="XPHL",71000,IF(D5="XPMLP",75900,IF(D5="XPMLP-01",77800,IF(D5="XC",84900,IF(D5="G10",81900,IF(D5="P10",93900,IF(D5="G12",97900,IF(D5="P12",105900,IF(D5="G05",104900,IF(D5="P05",105900,IF(D5="G03",92900,IF(D5="P03",100900,IF(D5="G06",109900,IF(D5="P06",114900,IF(D5="OTP06-01",118900,IF(D5="G08",125900,IF(D5="P08",132900,IF(D5="OTP06-01",109900,IF(D5="G09",129900,IF(D5="P09",134900,IF(D5="H57",105900,IF(D5="P57",113900,IF(D5="H64",116900,IF(D5="H59",127900,IF(D5="P59",134900,IF(D5="H61",134900,IF(D5="P61",138900)))))))))))))))))))))))))))))))))))))))))))))))))</f>
        <v>84900</v>
      </c>
      <c r="C8" s="32">
        <f>IF(L20="YES",N20,IF(L20="NO",N20))</f>
        <v>84900</v>
      </c>
      <c r="D8" s="29">
        <v>0</v>
      </c>
      <c r="E8" s="33"/>
      <c r="F8" s="139"/>
      <c r="G8" s="140"/>
      <c r="H8" s="110">
        <f>G7*20/100</f>
        <v>21499.708275000001</v>
      </c>
      <c r="I8" s="34"/>
      <c r="J8" s="34" t="s">
        <v>15</v>
      </c>
      <c r="K8" s="34">
        <f>(I7*K5+I7)/24</f>
        <v>3583.2847125000003</v>
      </c>
      <c r="L8" s="34">
        <f>(I7*L5+I7)/36</f>
        <v>2469.8387095025</v>
      </c>
      <c r="M8" s="34">
        <f>(I7*M5+I7)/48</f>
        <v>1913.1157080037501</v>
      </c>
      <c r="N8" s="34">
        <f>(I7*N5+I7)/60</f>
        <v>1579.0819071045</v>
      </c>
      <c r="O8" s="147">
        <v>0</v>
      </c>
      <c r="P8" s="2">
        <f>P7/12</f>
        <v>1866.8913352125001</v>
      </c>
      <c r="T8" s="1">
        <f>25973-12973</f>
        <v>13000</v>
      </c>
    </row>
    <row r="9" spans="1:27" ht="24.6" x14ac:dyDescent="0.4">
      <c r="A9" s="8">
        <f>B8/(100%-A8)</f>
        <v>106125</v>
      </c>
      <c r="B9" s="109">
        <f>B7-B8</f>
        <v>0</v>
      </c>
      <c r="C9" s="109"/>
      <c r="D9" s="36"/>
      <c r="E9" s="33"/>
      <c r="F9" s="139"/>
      <c r="G9" s="140"/>
      <c r="H9" s="33"/>
      <c r="I9" s="37" t="s">
        <v>16</v>
      </c>
      <c r="J9" s="38">
        <f>(J7*12)-I7</f>
        <v>3345.354607589994</v>
      </c>
      <c r="K9" s="38">
        <f>(K7*24)-I7</f>
        <v>6690.7092151800025</v>
      </c>
      <c r="L9" s="38">
        <f>(L7*36)-I7</f>
        <v>10036.063822769996</v>
      </c>
      <c r="M9" s="38">
        <f>(M7*48)-I7</f>
        <v>13381.41843035999</v>
      </c>
      <c r="N9" s="38">
        <f>(N7*60)-I7</f>
        <v>16726.773037949999</v>
      </c>
      <c r="O9" s="147"/>
      <c r="T9" s="1">
        <f>T8/12</f>
        <v>1083.3333333333333</v>
      </c>
      <c r="Z9" s="1" t="s">
        <v>86</v>
      </c>
    </row>
    <row r="10" spans="1:27" ht="24.6" x14ac:dyDescent="0.4">
      <c r="A10" s="8"/>
      <c r="B10" s="37" t="s">
        <v>141</v>
      </c>
      <c r="C10" s="20" t="s">
        <v>17</v>
      </c>
      <c r="D10" s="36">
        <f>IF(C10="YES",700,IF(C10="NO",0))</f>
        <v>0</v>
      </c>
      <c r="E10" s="39"/>
      <c r="F10" s="40"/>
      <c r="G10" s="40"/>
      <c r="H10" s="33"/>
      <c r="I10" s="44" t="s">
        <v>85</v>
      </c>
      <c r="J10" s="117" t="s">
        <v>19</v>
      </c>
      <c r="K10" s="117">
        <f>IF(J10="YES",Z10,IF(J10="NO",0))</f>
        <v>1000</v>
      </c>
      <c r="L10" s="41">
        <f>(L8*36)-I7</f>
        <v>2915.3604420899937</v>
      </c>
      <c r="M10" s="41">
        <f>(M8*48)-I7</f>
        <v>5830.720884180002</v>
      </c>
      <c r="N10" s="41">
        <f>(N8*60)-I7</f>
        <v>8746.0813262699958</v>
      </c>
      <c r="O10" s="147">
        <f>IF(D5="XC",3690,IF(D5="XPML",3690,IF(D5="XPHL",3690,IF(D5="XPMLP",3690,IF(D5="XPMLP-01",3690,IF(D5="Xpander P",3690,IF(D5="ML",3690,IF(D5="HL",3690,IF(D5="PR",(U19*3/100+510)*1.05,IF(D5="MLP",3690,IF(D5="HLP",(U19*3/100+510)*1.05,IF(D5="PRP",(U19*3/100+510)*1.05,IF(D5="H57",(U19*2.75/100+510)*1.05,IF(D5="P57",(U19*2.75/100+510)*1.05,IF(D5="H64",(U19*2.75/100+510)*1.05,IF(D5="H59",(U19*2.75/100+510)*1.05,IF(D5="P59",(U19*2.75/100+510)*1.05,IF(D5="H61",(U19*2.75/100+510)*1.05,IF(D5="P61",(U19*2.75/100+510)*1.05,IF(D5="G03",(U19*3/100+510)*1.05,IF(D5="G10",(U19*3/100+510)*1.05,IF(D5="P10",(U19*3/100+510)*1.05,IF(D5="G12",(U19*3/100+510)*1.05,IF(D5="P12",(U19*3/100+510)*1.05,IF(D5="G05",(U19*3/100+510)*1.05,IF(D5="P05",(U19*3/100+510)*1.05,IF(D5="P03",(U19*3/100+510)*1.05,IF(D5="G06",(U19*3/100+510)*1.05,IF(D5="P06",(U19*3/100+510)*1.05,IF(D5="OTP06-01",(U19*3/100+510)*1.05,IF(D5="G08",(U19*3/100+510)*1.05,IF(D5="P08",(U19*3/100+510)*1.05,IF(D5="G09",(U19*3/100+510)*1.05,IF(D5="P09",(U19*3/100+510)*1.05,IF(D5="H38",3625,IF(D5="H37",3625,IF(D5="EH40",(U19*3/100+450)*1.05,IF(D5="EH43",(U19*3/100+450)*1.05,IF(D5="H48",3625,IF(D5="H43",3625,IF(D5="H40",3625,IF(D5="H42",3625,IF(D5="H44",3625,IF(D5="H45",3625,IF(D5="ASX HL 4WD",3625,IF(D5="H16",3625,IF(D5="H17",3625,IF(D5="P16",3625,IF(D5="Attrage S",3625,IF(D5="MIG09",3625,IF(D5="MIG10",3625,IF(D5="Xpander HL",3690))))))))))))))))))))))))))))))))))))))))))))))))))))</f>
        <v>3690</v>
      </c>
      <c r="P10" s="204"/>
      <c r="Q10" s="204">
        <f>5.25*3</f>
        <v>15.75</v>
      </c>
      <c r="Z10" s="1">
        <f>IF(D5="MIG09",1000,IF(D5="MIG10",1000,IF(D5="H16",1000,IF(D5="P16",1000,IF(D5="H17",1000,IF(D5="H48",1000,IF(D5="H43",1000,IF(D5="H40",1000,IF(D5="H42",1000,IF(D5="H44",1000,IF(D5="H45",1000,IF(D5="H38",1000,IF(D5="H37",1000,IF(D5="EH40",1000,IF(D5="EH43",1000,IF(D5="ML",1000,IF(D5="HL",1000,IF(D5="PR",1000,IF(D5="MLP",1000,IF(D5="HLP",1000,IF(D5="PRP",1000,IF(D5="XPML",1000,IF(D5="XPHL",1000,IF(D5="XPMLP",1000,IF(D5="XPMLP-01",1000,IF(D5="XC",1000,IF(D5="G10",1000,IF(D5="P10",1000,IF(D5="G12",1000,IF(D5="P12",1000,IF(D5="G05",1000,IF(D5="P05",1000,IF(D5="G03",1000,IF(D5="P03",1000,IF(D5="G06",1000,IF(D5="P06",1000,IF(D5="OTP06-01",1000,IF(D5="G08",1000,IF(D5="P08",1000,IF(D5="OTP06-01",1000,IF(D5="G09",1000,IF(D5="P09",1000,IF(D5="H57",1000,IF(D5="P57",1000,IF(D5="H64",1000,IF(D5="H59",1000,IF(D5="P59",1000,IF(D5="H61",1000,IF(D5="P61",1000)))))))))))))))))))))))))))))))))))))))))))))))))</f>
        <v>1000</v>
      </c>
    </row>
    <row r="11" spans="1:27" ht="24.6" x14ac:dyDescent="0.4">
      <c r="A11" s="8"/>
      <c r="B11" s="37" t="s">
        <v>18</v>
      </c>
      <c r="C11" s="20" t="s">
        <v>19</v>
      </c>
      <c r="D11" s="203">
        <f>IF(C11="YES",O17,IF(C11="NO",0))</f>
        <v>2700</v>
      </c>
      <c r="E11" s="39"/>
      <c r="F11" s="40"/>
      <c r="G11" s="40"/>
      <c r="H11" s="33"/>
      <c r="I11" s="33"/>
      <c r="J11" s="44" t="s">
        <v>76</v>
      </c>
      <c r="K11" s="44">
        <f>H8-K10</f>
        <v>20499.708275000001</v>
      </c>
      <c r="L11" s="37"/>
      <c r="M11" s="37"/>
      <c r="N11" s="38"/>
      <c r="O11" s="147">
        <f>IF(D5="XC",6100,IF(D5="XPML",6100,IF(D5="XPHL",6100,IF(D5="XPMLP",6100,IF(D5="XPMLP-01",6100,IF(D5="Xpander P",6100,IF(D5="ML",6600,IF(D5="HL",6600,IF(D5="PR",6600,IF(D5="MLP",6600,IF(D5="HLP",6600,IF(D5="PRP",6600,IF(D5="H57",5900,IF(D5="P57",5900,IF(D5="H64",5900,IF(D5="H59",5900,IF(D5="P59",5900,IF(D5="H61",5900,IF(D5="P61",5900,IF(D5="G03",6700,IF(D5="G10",6700,IF(D5="P10",6700,IF(D5="G12",6700,IF(D5="P12",6700,IF(D5="G05",6700,IF(D5="P05",6700,IF(D5="P03",6700,IF(D5="G06",6700,IF(D5="P06",6700,IF(D5="OTP06-01",6700,IF(D5="G08",6700,IF(D5="G09",6700,IF(D5="G08",6700,IF(D5="P08",6700,IF(D5="P09",6700,IF(D5="H37",6400,IF(D5="H38",6400,IF(D5="EH40",6400,IF(D5="EH43",6400,IF(D5="H48",6600,IF(D5="H43",6600,IF(D5="H40",6600,IF(D5="H42",6600,IF(D5="H44",6600,IF(D5="H45",6600,IF(D5="ASX HL 4WD",6600,IF(D5="H16",5400,IF(D5="H17",5400,IF(D5="P16",5400,IF(D5="Attrage S",5400,IF(D5="MIG09",5400,IF(D5="MIG10",5400,IF(D5="Xpander HL",6000)))))))))))))))))))))))))))))))))))))))))))))))))))))</f>
        <v>6100</v>
      </c>
      <c r="P11" s="147"/>
      <c r="Q11" s="147"/>
      <c r="R11" s="147"/>
      <c r="S11" s="147"/>
      <c r="T11" s="147"/>
      <c r="U11" s="147">
        <f>IF(D5="XC",4900,IF(D5="XPML",4900,IF(D5="XPHL",4900,IF(D5="XPMLP",4900,IF(D5="XPMLP-01",4900,IF(D5="Xpander P",4900,IF(D5="ML",5400,IF(D5="HL",5400,IF(D5="PR",5400,IF(D5="MLP",5400,IF(D5="HLP",5400,IF(D5="PRP",5400,IF(D5="H57",4600,IF(D5="P57",4600,IF(D5="MOG64",4600,IF(D5="H59",4600,IF(D5="P59",4600,IF(D5="H61",4600,IF(D5="P61",4600,IF(D5="G03",5500,IF(D5="P03",5500,IF(D5="G10",5500,IF(D5="P10",5500,IF(D5="G12",5500,IF(D5="P12",5500,IF(D5="G05",5500,IF(D5="P05",5500,IF(D5="G06",5500,IF(D5="P06",5500,IF(D5="OTP06-01",5500,IF(D5="F08",5500,IF(D5="P08",5500,IF(D5="G09",5500,IF(D5="P09",5500,IF(D5="H38",5200,IF(D5="H37",5200,IF(D5="EH40",5200,IF(D5="EH43",5200,IF(D5="H48",5300,IF(D5="H43",5300,IF(D5="H40",5300,IF(D5="H42",5300,IF(D5="H44",5300,IF(D5="H45",5300,IF(D5="ASX HL",5300,IF(D5="ASX P",5300,IF(D5="ASX HL 4WD",5300,IF(D5="H16",4200,IF(D5="H17",4200,IF(D5="P16",4200,IF(D5="Attrage S",4200,IF(D5="MIG09",4200,IF(D5="MIG10",4200,IF(D5="Xpander HL",4900))))))))))))))))))))))))))))))))))))))))))))))))))))))</f>
        <v>4900</v>
      </c>
      <c r="V11" s="147">
        <f>IF(D5="XC",9700,IF(D5="XPML",9700,IF(D5="XPHL",9700,IF(D5="XPMLP",9700,IF(D5="XPMLP-01",9700,IF(D5="XPMLP-01",9700,IF(D5="Xpander P",9700,IF(D5="ML",10800,IF(D5="HL",10800,IF(D5="PR",10800,IF(D5="MLP",10800,IF(D5="HLP",10800,IF(D5="PRP",10800,IF(D5="H57",9300,IF(D5="P57",9300,IF(D5="MG64",9300,IF(D5="H59",9300,IF(D5="P59",9300,IF(D5="H61",9300,IF(D5="P61",9300,IF(D5="G03",11000,IF(D5="G10",11000,IF(D5="P10",11000,IF(D5="G12",11000,IF(D5="P12",11000,IF(D5="G05",11000,IF(D5="P05",11000,IF(D5="P03",11000,IF(D5="G06",11000,IF(D5="P06",11000,IF(D5="OTP06-01",11000,IF(D5="G08",11000,IF(D5="P08",11000,IF(D5="G09",11000,IF(D5="P09",11000,IF(D5="H38",10400,IF(D5="H37",10400,IF(D5="EH40",10400,IF(D5="EH43",10400,IF(D5="H48",10700,IF(D5="H43",10700,IF(D5="H40",10700,IF(D5="H42",10700,IF(D5="H44",10800,IF(D5="H45",10800,IF(D5="ASX HL",12200,IF(D5="ASX P",12200,IF(D5="ASX HL 4WD",12200,IF(D5="H16",8500,IF(D5="H17",8500,IF(D5="P16",8500,IF(D5="Attrage S",9600,IF(D5="MIG09",8500,IF(D5="MIG10",8500,IF(D5="Xpander HL",11300)))))))))))))))))))))))))))))))))))))))))))))))))))))))</f>
        <v>9700</v>
      </c>
      <c r="W11" s="147">
        <f>IF(D5="XC",9200,IF(D5="XPML",9200,IF(D5="XPHL",9200,IF(D5="XPMLP",9200,IF(D5="XPMLP-01",9200,IF(D5="Xpander P",9200,IF(D5="ML",10000,IF(D5="HL",10000,IF(D5="PR",10000,IF(D5="MLP",10000,IF(D5="HLP",10000,IF(D5="PRP",10000,IF(D5="H57",8700,IF(D5="P57",8700,IF(D5="H64",8700,IF(D5="H59",8700,IF(D5="P59",8700,IF(D5="H61",8700,IF(D5="P61",8700,IF(D5="G03",10400,IF(D5="P03",10400,IF(D5="G10",10400,IF(D5="P10",10400,IF(D5="G12",10400,IF(D5="P12",10400,IF(D5="G05",10400,IF(D5="P05",10400,IF(D5="G06",10400,IF(D5="P06",10400,IF(D5="OTP06-01",10400,IF(D5="G08",10400,IF(D5="P08",10400,IF(D5="G09",10400,IF(D5="P09",10400,IF(D5="H38",9800,IF(D5="H37",9800,IF(D5="EH40",9800,IF(D5="EH43",9800,IF(D5="H48",10100,IF(D5="H43",10100,IF(D5="H40",10100,IF(D5="H42",10100,IF(D5="H44",10100,IF(D5="H45",10100,IF(D5="ASX HL",10100,IF(D5="ASX P",10100,IF(D5="ASX HL 4WD",10100,IF(D5="H16",7900,IF(D5="H17",7900,IF(D5="P16",7900,IF(D5="Attrage S",7900,IF(D5="MIG09",7900,IF(D5="MIG10",7900,IF(D5="Xpander HL",9200))))))))))))))))))))))))))))))))))))))))))))))))))))))</f>
        <v>9200</v>
      </c>
      <c r="X11" s="147">
        <f>IF(D5="XC",4500,IF(D5="XPML",4500,IF(D5="XPHL",4500,IF(D5="XPMLP",4500,IF(D5="XPMLP-01",4500,IF(D5="Xpander P",4500,IF(D5="ML",5000,IF(D5="HL",5000,IF(D5="PR",5000,IF(D5="MLP",5000,IF(D5="HLP",5000,IF(D5="PRP",5000,IF(D5="H57",8700,IF(D5="P57",8700,IF(D5="MOG64",4300,IF(D5="H59",4300,IF(D5="P59",4300,IF(D5="H61",4300,IF(D5="P61",4300,IF(D5="G03",5000,IF(D5="P03",5000,IF(D5="G10",5000,IF(D5="P10",5000,IF(D5="G12",5000,IF(D5="P12",5000,IF(D5="G05",5000,IF(D5="P05",5000,IF(D5="G06",5000,IF(D5="P06",5000,IF(D5="OTP06-01",5000,IF(D5="G08",5000,IF(D5="P08",5000,IF(D5="G09",5000,IF(D5="P09",5000,IF(D5="H38",4900,IF(D5="H37",4900,IF(D5="EH40",4900,IF(D5="EH43",4900,IF(D5="H48",4900,IF(D5="H43",4900,IF(D5="H40",4900,IF(D5="H42",4900,IF(D5="H44",4900,IF(D5="H45",4900,IF(D5="ASX HL",4900,IF(D5="ASX P",4900,IF(D5="ASX HL 4WD",4900,IF(D5="H16",3700,IF(D5="H17",3700,IF(D5="P16",3700,IF(D5="Attrage S",3700,IF(D5="MIG09",3700,IF(D5="MIG10",3700,IF(D5="Xpander HL",4500))))))))))))))))))))))))))))))))))))))))))))))))))))))</f>
        <v>4500</v>
      </c>
      <c r="Y11" s="147">
        <f>IF(D5="XC",5400,IF(D5="XPML ",5400,IF(D5="XPHL",5400,IF(D5="XPMLP",5400,IF(D5="XPMLP-01",5400,IF(D5="Xpander P",5400,IF(D5="ML",6000,IF(D5="HL",6000,IF(D5="PR",6000,IF(D5="MLP",6000,IF(D5="HLP",6000,IF(D5="PRP",6000,IF(D5="H57",5200,IF(D5="57",5200,IF(D5="H64",5200,IF(D5="H59",5200,IF(D5="P59",5200,IF(D5="H61",5200,IF(D5="P61",5200,IF(D5="G03",6000,IF(D5="P03",6000,IF(D5="G10",6000,IF(D5="P10",6000,IF(D5="G12",6000,IF(D5="P12",6000,IF(D5="G05",6000,IF(D5="P05",6000,IF(D5="G06",6000,IF(D5="P06",6000,IF(D5="OTP06-01",6000,IF(D5="G08",6000,IF(D5="P08",6000,IF(D5="G09",6000,IF(D5="P09",6000,IF(D5="H38",5700,IF(D5="H37",5700,IF(D5="EH40",5700,IF(D5="EH43",5700,IF(D5="H48",5900,IF(D5="H43",5900,IF(D5="H40",5900,IF(D5="H42",5900,IF(D5="H44",5900,IF(D5="H45",5900,IF(D5="ASX HL",5900,IF(D5="ASX P",5900,IF(D5="ASX HL 4WD",5900,IF(D5="H16",4500,IF(D5="H17",4500,IF(D5="P16",4500,IF(D5="Attrage S",4500,IF(D5="MIG09",4500,IF(D5="MIG10",4500,IF(D5="Xpander HL",5400))))))))))))))))))))))))))))))))))))))))))))))))))))))</f>
        <v>5400</v>
      </c>
    </row>
    <row r="12" spans="1:27" ht="24.6" x14ac:dyDescent="0.4">
      <c r="A12" s="8"/>
      <c r="B12" s="37" t="s">
        <v>20</v>
      </c>
      <c r="C12" s="20" t="s">
        <v>17</v>
      </c>
      <c r="D12" s="36">
        <f>IF(C12="YES",2000,IF(C12="NO",0))</f>
        <v>0</v>
      </c>
      <c r="E12" s="43"/>
      <c r="F12" s="43" t="s">
        <v>21</v>
      </c>
      <c r="G12" s="40"/>
      <c r="H12" s="33">
        <v>600</v>
      </c>
      <c r="I12" s="33"/>
      <c r="J12" s="202" t="s">
        <v>140</v>
      </c>
      <c r="K12" s="45">
        <v>0</v>
      </c>
      <c r="L12" s="45">
        <v>5.2499999999999998E-2</v>
      </c>
      <c r="M12" s="45">
        <v>0.126</v>
      </c>
      <c r="N12" s="201">
        <v>0.26250000000000001</v>
      </c>
      <c r="O12" s="147">
        <f>IF(K20="Esaad",B8*3/100,IF(K20="Emirates Platinum",B8*3/100,IF(K20="Fazaa",B8*3/100,IF(K20="Humat Alwatan",B8*3/100,IF(K20="Permissible",2000,IF(K20="ASX",8400,IF(K20="XPMLP",15100,IF(K20="XP",7200,IF(K20="G43",11000,IF(K20="EC",17000,IF(K20="G37",17000,IF(K20="G38",15000,IF(K20="G40",11000,IF(K20="OUT",3000,IF(K20="F08",14400,IF(K20="P08",11100,IF(K20="F06",13100,IF(K20="P06",13400,IF(K20="F03",3500,IF(K20="F03-1",13500,IF(K20="P03",13100,IF(K20="MON",10000,IF(K20="MON G57",9000,0)))))))))))))))))))))))</f>
        <v>2000</v>
      </c>
      <c r="Z12" s="86" t="s">
        <v>83</v>
      </c>
      <c r="AA12" s="86" t="s">
        <v>84</v>
      </c>
    </row>
    <row r="13" spans="1:27" ht="24.6" x14ac:dyDescent="0.4">
      <c r="A13" s="8">
        <f>B8*1.26582</f>
        <v>107468.118</v>
      </c>
      <c r="B13" s="37" t="s">
        <v>23</v>
      </c>
      <c r="C13" s="20" t="s">
        <v>19</v>
      </c>
      <c r="D13" s="36">
        <f>IF(C13="YES",2000,IF(C13="NO",0))</f>
        <v>2000</v>
      </c>
      <c r="E13" s="47"/>
      <c r="F13" s="47" t="s">
        <v>75</v>
      </c>
      <c r="G13" s="51"/>
      <c r="H13" s="39">
        <v>315</v>
      </c>
      <c r="I13" s="33"/>
      <c r="J13" s="44" t="s">
        <v>54</v>
      </c>
      <c r="K13" s="29" t="s">
        <v>79</v>
      </c>
      <c r="L13" s="29" t="s">
        <v>25</v>
      </c>
      <c r="M13" s="29" t="s">
        <v>0</v>
      </c>
      <c r="N13" s="57" t="s">
        <v>26</v>
      </c>
      <c r="O13" s="9">
        <f>IF(M21="3000-4999",6%,IF(M21="5000-9999",4.75%,IF(M21="10000-14999",3.15%,IF(M21="15000-24999",2.5%,IF(M21="25000-34999",2.25%,IF(M21="35000-99999",2.15%))))))</f>
        <v>4.7500000000000001E-2</v>
      </c>
      <c r="Q13" s="2">
        <f>H7/12</f>
        <v>1791.6423562500001</v>
      </c>
      <c r="U13" s="9">
        <f>IF(M21="3000-4999",6%,IF(M21="5000-9999",3.25%,IF(M21="10000-14999",3%,IF(M21="15000-24999",2.25%,IF(M21="25000-34999",2.15%,IF(M21="35000-99999",1.99%))))))</f>
        <v>3.2500000000000001E-2</v>
      </c>
      <c r="Z13" s="99">
        <f>IF(M21="5000-9999",2.49%,IF(M21="10000-19999",2.19%,IF(M21="20000-34999",2.09%,IF(M21="35000-49999",1.89%,IF(M21="50000-99999",1.79%)))))</f>
        <v>2.4900000000000002E-2</v>
      </c>
      <c r="AA13" s="99">
        <f>IF(M21="5000-9999",2.59%,IF(M21="10000-19999",2.29%,IF(M21="20000-34999",2.19%,IF(M21="35000-49999",1.99%,IF(M21="50000-99999",1.89%)))))</f>
        <v>2.5899999999999999E-2</v>
      </c>
    </row>
    <row r="14" spans="1:27" ht="24.6" x14ac:dyDescent="0.4">
      <c r="A14" s="10" t="s">
        <v>27</v>
      </c>
      <c r="B14" s="37" t="s">
        <v>24</v>
      </c>
      <c r="C14" s="20" t="s">
        <v>19</v>
      </c>
      <c r="D14" s="50">
        <f>IF(C14="YES",U19*3.15*1.05/100,IF(C14="NO",U19*0/100))</f>
        <v>3323.5413750000002</v>
      </c>
      <c r="E14" s="48"/>
      <c r="F14" s="48" t="s">
        <v>24</v>
      </c>
      <c r="G14" s="51" t="s">
        <v>17</v>
      </c>
      <c r="H14" s="39">
        <f>IF(G14="YES",U19*3.15*1.05/100,IF(G14="NO",U19*0/100))</f>
        <v>0</v>
      </c>
      <c r="I14" s="33"/>
      <c r="J14" s="44" t="s">
        <v>55</v>
      </c>
      <c r="K14" s="44">
        <f>(H8*K12+H8)/3</f>
        <v>7166.5694250000006</v>
      </c>
      <c r="L14" s="44">
        <f>(H8*L12+H8)/12</f>
        <v>1885.703579953125</v>
      </c>
      <c r="M14" s="44">
        <f>(H8*M12+H8)/24</f>
        <v>1008.69464656875</v>
      </c>
      <c r="N14" s="200">
        <f>(H7*N12+H7)/60</f>
        <v>452.38969495312506</v>
      </c>
      <c r="O14" s="9">
        <f>IF(M21="3000-4999",3.89%,IF(M21="5000-9999",3.89%,IF(M21="10000-14999",3.89%,IF(M21="15000-24999",2.69%,IF(M21="25000-34999",2.69%,IF(M21="35000-99999",2.39%,IF(M21="76000-99999",2.5%)))))))</f>
        <v>3.8900000000000004E-2</v>
      </c>
    </row>
    <row r="15" spans="1:27" ht="24.6" x14ac:dyDescent="0.4">
      <c r="A15" s="11">
        <f>(B7*3%)+10+120</f>
        <v>2677</v>
      </c>
      <c r="B15" s="37" t="s">
        <v>28</v>
      </c>
      <c r="C15" s="20" t="s">
        <v>19</v>
      </c>
      <c r="D15" s="29">
        <f>IF(C15="YES",O10,IF(C15="NO",0))</f>
        <v>3690</v>
      </c>
      <c r="E15" s="48"/>
      <c r="F15" s="48" t="s">
        <v>53</v>
      </c>
      <c r="G15" s="51" t="s">
        <v>17</v>
      </c>
      <c r="H15" s="39">
        <f>IF(G15="YES",O10,IF(G15="NO",0))</f>
        <v>0</v>
      </c>
      <c r="I15" s="33"/>
      <c r="J15" s="44"/>
      <c r="K15" s="44"/>
      <c r="L15" s="44"/>
      <c r="M15" s="44"/>
      <c r="N15" s="198"/>
      <c r="O15" s="9" t="b">
        <f>IF(M21="3000-4999",4.99%, IF(M21="5000-11999",2.75%,IF(M21="12000-19999",2.75%,IF(M21="20000-39999",2.25%,IF(M21="40000-69999",2.25%,IF(M21="70000-99999",2.25%))))))</f>
        <v>0</v>
      </c>
      <c r="P15" s="191"/>
    </row>
    <row r="16" spans="1:27" ht="24.6" x14ac:dyDescent="0.4">
      <c r="A16" s="11">
        <f>((B7-B8)*3%+10+120)</f>
        <v>130</v>
      </c>
      <c r="B16" s="37" t="s">
        <v>78</v>
      </c>
      <c r="C16" s="20" t="s">
        <v>19</v>
      </c>
      <c r="D16" s="29">
        <f>IF(C16="YES",O16,IF(C16="NO",0))</f>
        <v>6100</v>
      </c>
      <c r="E16" s="47"/>
      <c r="F16" s="47" t="s">
        <v>74</v>
      </c>
      <c r="G16" s="54"/>
      <c r="H16" s="33">
        <f>I7*1.05%</f>
        <v>902.98774755000011</v>
      </c>
      <c r="I16" s="33"/>
      <c r="J16" s="44" t="s">
        <v>16</v>
      </c>
      <c r="K16" s="44">
        <f>(K14*3)-H8</f>
        <v>0</v>
      </c>
      <c r="L16" s="44">
        <f>(L14*12)-H8</f>
        <v>1128.7346844374988</v>
      </c>
      <c r="M16" s="44">
        <f>(M14*24)-H8</f>
        <v>2708.9632426499993</v>
      </c>
      <c r="N16" s="198"/>
      <c r="O16" s="147">
        <f>IF(B16="RMC-10-70KMS",O11,IF(B16="RMC-10-100000KMS",V11,IF(B16="RMC-40-70KMS",U11, IF(B16="RMC-10-40KMS",X11, IF(B16="RMC-10-60KMS",Y11, IF(B16="RMC-40-100000KMS",W11,0))))))</f>
        <v>6100</v>
      </c>
    </row>
    <row r="17" spans="1:23" ht="24.6" x14ac:dyDescent="0.4">
      <c r="A17" s="11">
        <f>A15+A16</f>
        <v>2807</v>
      </c>
      <c r="B17" s="37"/>
      <c r="C17" s="20"/>
      <c r="D17" s="29">
        <f>SUM(D10:D16)</f>
        <v>17813.541375000001</v>
      </c>
      <c r="E17" s="48"/>
      <c r="F17" s="48"/>
      <c r="G17" s="54"/>
      <c r="H17" s="33">
        <f>+SUM(H12:H16)+(H7)</f>
        <v>23317.696022550001</v>
      </c>
      <c r="I17" s="33"/>
      <c r="J17" s="20"/>
      <c r="K17" s="199"/>
      <c r="L17" s="199"/>
      <c r="M17" s="199"/>
      <c r="N17" s="198"/>
      <c r="O17" s="147">
        <f>IF(B11="FO Ceramic+ Intr&amp;Extr CeramicGold WdwTnt",2700,IF(B11="FO Mirror Camera Sensor",2000))</f>
        <v>2700</v>
      </c>
      <c r="T17" s="1">
        <f>19615-791</f>
        <v>18824</v>
      </c>
    </row>
    <row r="18" spans="1:23" ht="24.6" x14ac:dyDescent="0.4">
      <c r="A18" s="12" t="s">
        <v>29</v>
      </c>
      <c r="B18" s="55" t="s">
        <v>30</v>
      </c>
      <c r="C18" s="197"/>
      <c r="D18" s="57">
        <v>0</v>
      </c>
      <c r="E18" s="38"/>
      <c r="F18" s="20"/>
      <c r="G18" s="20"/>
      <c r="H18" s="37"/>
      <c r="I18" s="37"/>
      <c r="J18" s="37"/>
      <c r="K18" s="37"/>
      <c r="L18" s="37"/>
      <c r="M18" s="37"/>
      <c r="N18" s="37"/>
      <c r="O18" s="9" t="b">
        <f>IF(M21="5000-99999",1.99%)</f>
        <v>0</v>
      </c>
      <c r="U18" s="196" t="s">
        <v>52</v>
      </c>
      <c r="V18" s="196" t="s">
        <v>52</v>
      </c>
    </row>
    <row r="19" spans="1:23" ht="24.6" x14ac:dyDescent="0.4">
      <c r="A19" s="11">
        <f>B8*3.15%</f>
        <v>2674.35</v>
      </c>
      <c r="B19" s="58" t="s">
        <v>31</v>
      </c>
      <c r="C19" s="59"/>
      <c r="D19" s="60">
        <f>IF(K21="DIB EXPAT",O13,IF(K21="DIB LOCAL GVH",U13,IF(K21="Emirates NBD",O14,IF(K21="ADCB",O15,IF(K21="ADCB PAY IN 2027",O19,IF(K21="Ajman Bank",O18,IF(K21="SIB STL",Z13,IF(K21="SIB NON STL",AA13,))))))))</f>
        <v>3.8900000000000004E-2</v>
      </c>
      <c r="E19" s="20"/>
      <c r="F19" s="195"/>
      <c r="G19" s="141" t="s">
        <v>73</v>
      </c>
      <c r="H19" s="142"/>
      <c r="I19" s="143"/>
      <c r="J19" s="109">
        <f>(U19*20/100)/365</f>
        <v>55.060273972602737</v>
      </c>
      <c r="K19" s="37"/>
      <c r="L19" s="37"/>
      <c r="M19" s="37"/>
      <c r="N19" s="34">
        <f>D7</f>
        <v>89145</v>
      </c>
      <c r="O19" s="194" t="b">
        <f>IF(M21="5000-11999",3.35%,IF(M21="12000-19999",3.35%,IF(M21="20000-39999",2.85%,IF(M21="40000-69999",2.85%,IF(M21="70000-99999",2.85%)))))</f>
        <v>0</v>
      </c>
      <c r="P19" s="2">
        <f>81400-2500</f>
        <v>78900</v>
      </c>
      <c r="U19" s="193">
        <f>V19</f>
        <v>100485</v>
      </c>
      <c r="V19" s="192">
        <f>(B7+D10+D11+D12+D13+D16)*1.05</f>
        <v>100485</v>
      </c>
    </row>
    <row r="20" spans="1:23" ht="24.6" x14ac:dyDescent="0.4">
      <c r="A20" s="11"/>
      <c r="B20" s="58" t="s">
        <v>32</v>
      </c>
      <c r="C20" s="59"/>
      <c r="D20" s="63">
        <v>0.2</v>
      </c>
      <c r="E20" s="37"/>
      <c r="F20" s="37"/>
      <c r="G20" s="38"/>
      <c r="H20" s="38"/>
      <c r="I20" s="38"/>
      <c r="J20" s="103"/>
      <c r="K20" s="104" t="s">
        <v>33</v>
      </c>
      <c r="L20" s="104" t="s">
        <v>17</v>
      </c>
      <c r="M20" s="104">
        <f>IF(L20="YES",O12,IF(L20="NO",0))</f>
        <v>0</v>
      </c>
      <c r="N20" s="34">
        <f>B8-M20</f>
        <v>84900</v>
      </c>
      <c r="O20" s="187"/>
      <c r="P20" s="191"/>
      <c r="T20" s="1">
        <f>1992+1084</f>
        <v>3076</v>
      </c>
      <c r="U20" s="186"/>
      <c r="V20" s="2"/>
    </row>
    <row r="21" spans="1:23" ht="24.6" x14ac:dyDescent="0.4">
      <c r="A21" s="13">
        <f>A19+A20</f>
        <v>2674.35</v>
      </c>
      <c r="B21" s="37"/>
      <c r="C21" s="20"/>
      <c r="D21" s="37"/>
      <c r="E21" s="37"/>
      <c r="F21" s="37"/>
      <c r="G21" s="37"/>
      <c r="H21" s="37"/>
      <c r="I21" s="37"/>
      <c r="J21" s="190" t="s">
        <v>34</v>
      </c>
      <c r="K21" s="16" t="s">
        <v>139</v>
      </c>
      <c r="L21" s="16" t="s">
        <v>35</v>
      </c>
      <c r="M21" s="189" t="s">
        <v>80</v>
      </c>
      <c r="N21" s="188"/>
      <c r="O21" s="187"/>
      <c r="T21" s="1">
        <f>25973-12973</f>
        <v>13000</v>
      </c>
      <c r="U21" s="186">
        <f>M14+N7</f>
        <v>2720.7880822012503</v>
      </c>
    </row>
    <row r="22" spans="1:23" s="179" customFormat="1" ht="24.6" x14ac:dyDescent="0.4">
      <c r="A22" s="185"/>
      <c r="B22" s="184" t="s">
        <v>51</v>
      </c>
      <c r="C22" s="183"/>
      <c r="D22" s="183"/>
      <c r="E22" s="183"/>
      <c r="F22" s="183"/>
      <c r="G22" s="183"/>
      <c r="H22" s="183"/>
      <c r="I22" s="183"/>
      <c r="J22" s="183"/>
      <c r="K22" s="183"/>
      <c r="L22" s="183"/>
      <c r="M22" s="183"/>
      <c r="N22" s="182"/>
      <c r="O22" s="181"/>
      <c r="P22" s="180"/>
    </row>
    <row r="23" spans="1:23" s="168" customFormat="1" ht="26.4" x14ac:dyDescent="0.5">
      <c r="A23" s="175" t="s">
        <v>36</v>
      </c>
      <c r="B23" s="172" t="s">
        <v>138</v>
      </c>
      <c r="C23" s="169"/>
      <c r="D23" s="169"/>
      <c r="E23" s="169"/>
      <c r="F23" s="169"/>
      <c r="G23" s="169"/>
      <c r="H23" s="176"/>
      <c r="I23" s="176"/>
      <c r="J23" s="169"/>
      <c r="K23" s="169"/>
      <c r="L23" s="169"/>
      <c r="M23" s="169"/>
      <c r="N23" s="178"/>
      <c r="O23" s="170"/>
      <c r="P23" s="169"/>
    </row>
    <row r="24" spans="1:23" s="168" customFormat="1" ht="26.4" x14ac:dyDescent="0.5">
      <c r="A24" s="175" t="s">
        <v>36</v>
      </c>
      <c r="B24" s="172" t="s">
        <v>137</v>
      </c>
      <c r="C24" s="169"/>
      <c r="D24" s="169"/>
      <c r="E24" s="169"/>
      <c r="F24" s="169"/>
      <c r="G24" s="169"/>
      <c r="H24" s="177">
        <f>H7/365</f>
        <v>58.903310342465758</v>
      </c>
      <c r="I24" s="177">
        <f>H7+H12+H16</f>
        <v>23002.696022550001</v>
      </c>
      <c r="J24" s="169"/>
      <c r="K24" s="169"/>
      <c r="L24" s="169"/>
      <c r="M24" s="169"/>
      <c r="N24" s="173"/>
      <c r="O24" s="170"/>
      <c r="P24" s="169">
        <f>1232+480</f>
        <v>1712</v>
      </c>
      <c r="T24" s="168">
        <f>88704/1.05</f>
        <v>84480</v>
      </c>
    </row>
    <row r="25" spans="1:23" s="168" customFormat="1" ht="26.4" x14ac:dyDescent="0.5">
      <c r="A25" s="175" t="s">
        <v>36</v>
      </c>
      <c r="B25" s="172" t="s">
        <v>136</v>
      </c>
      <c r="C25" s="169"/>
      <c r="D25" s="169"/>
      <c r="E25" s="169"/>
      <c r="F25" s="169"/>
      <c r="G25" s="169"/>
      <c r="H25" s="176"/>
      <c r="I25" s="176"/>
      <c r="J25" s="169"/>
      <c r="K25" s="169"/>
      <c r="L25" s="169"/>
      <c r="M25" s="169"/>
      <c r="N25" s="173"/>
      <c r="O25" s="170"/>
      <c r="P25" s="169"/>
      <c r="Q25" s="168">
        <f>79400-5233.33</f>
        <v>74166.67</v>
      </c>
      <c r="R25" s="168">
        <f>Q25*1.05</f>
        <v>77875.003500000006</v>
      </c>
      <c r="W25" s="168">
        <f>1999+1224</f>
        <v>3223</v>
      </c>
    </row>
    <row r="26" spans="1:23" s="168" customFormat="1" ht="26.4" x14ac:dyDescent="0.5">
      <c r="A26" s="175" t="s">
        <v>36</v>
      </c>
      <c r="B26" s="172" t="s">
        <v>135</v>
      </c>
      <c r="C26" s="169"/>
      <c r="D26" s="169"/>
      <c r="E26" s="169"/>
      <c r="F26" s="169"/>
      <c r="G26" s="169"/>
      <c r="H26" s="169"/>
      <c r="I26" s="169"/>
      <c r="J26" s="169"/>
      <c r="K26" s="169"/>
      <c r="L26" s="169"/>
      <c r="M26" s="169"/>
      <c r="N26" s="173"/>
      <c r="O26" s="170" t="s">
        <v>37</v>
      </c>
      <c r="P26" s="169"/>
      <c r="R26" s="168">
        <f>R25+2469</f>
        <v>80344.003500000006</v>
      </c>
    </row>
    <row r="27" spans="1:23" s="168" customFormat="1" ht="26.4" x14ac:dyDescent="0.5">
      <c r="A27" s="175" t="s">
        <v>36</v>
      </c>
      <c r="B27" s="172" t="s">
        <v>134</v>
      </c>
      <c r="C27" s="169"/>
      <c r="D27" s="169"/>
      <c r="E27" s="169"/>
      <c r="F27" s="169"/>
      <c r="G27" s="169"/>
      <c r="H27" s="169"/>
      <c r="I27" s="169"/>
      <c r="J27" s="169"/>
      <c r="K27" s="169"/>
      <c r="L27" s="169"/>
      <c r="M27" s="169"/>
      <c r="N27" s="173"/>
      <c r="O27" s="170">
        <f>129500-110900</f>
        <v>18600</v>
      </c>
      <c r="P27" s="169"/>
      <c r="W27" s="174">
        <f>N7+L14</f>
        <v>3597.7970155856251</v>
      </c>
    </row>
    <row r="28" spans="1:23" s="168" customFormat="1" ht="26.4" x14ac:dyDescent="0.5">
      <c r="B28" s="172" t="s">
        <v>133</v>
      </c>
      <c r="C28" s="169"/>
      <c r="D28" s="169"/>
      <c r="E28" s="169"/>
      <c r="F28" s="169"/>
      <c r="G28" s="169"/>
      <c r="H28" s="169"/>
      <c r="I28" s="169"/>
      <c r="J28" s="169"/>
      <c r="K28" s="169"/>
      <c r="L28" s="169"/>
      <c r="M28" s="169"/>
      <c r="N28" s="173"/>
      <c r="O28" s="170">
        <f>85000-69900</f>
        <v>15100</v>
      </c>
      <c r="P28" s="169"/>
    </row>
    <row r="29" spans="1:23" s="168" customFormat="1" ht="26.4" x14ac:dyDescent="0.5">
      <c r="B29" s="172" t="s">
        <v>132</v>
      </c>
      <c r="C29" s="169"/>
      <c r="D29" s="169"/>
      <c r="E29" s="169"/>
      <c r="F29" s="169"/>
      <c r="G29" s="169"/>
      <c r="H29" s="169"/>
      <c r="I29" s="169"/>
      <c r="J29" s="169"/>
      <c r="K29" s="169"/>
      <c r="L29" s="169"/>
      <c r="M29" s="169"/>
      <c r="N29" s="171"/>
      <c r="O29" s="170"/>
      <c r="P29" s="169"/>
    </row>
    <row r="30" spans="1:23" x14ac:dyDescent="0.3">
      <c r="B30" s="167" t="s">
        <v>38</v>
      </c>
      <c r="C30" s="166"/>
      <c r="D30" s="166"/>
      <c r="E30" s="166"/>
      <c r="F30" s="166"/>
      <c r="G30" s="166"/>
      <c r="H30" s="166"/>
      <c r="I30" s="166"/>
      <c r="J30" s="166"/>
      <c r="K30" s="166"/>
      <c r="L30" s="166"/>
      <c r="M30" s="166"/>
      <c r="N30" s="165"/>
      <c r="O30" s="147"/>
    </row>
    <row r="31" spans="1:23" x14ac:dyDescent="0.3">
      <c r="B31" s="146"/>
      <c r="C31" s="145"/>
      <c r="D31" s="145"/>
      <c r="E31" s="145"/>
      <c r="F31" s="145"/>
      <c r="G31" s="145"/>
      <c r="H31" s="145"/>
      <c r="I31" s="145"/>
      <c r="J31" s="145"/>
      <c r="K31" s="145"/>
      <c r="L31" s="145"/>
      <c r="M31" s="145"/>
      <c r="N31" s="144"/>
      <c r="O31" s="147"/>
    </row>
    <row r="32" spans="1:23" s="86" customFormat="1" ht="20.399999999999999" x14ac:dyDescent="0.35">
      <c r="B32" s="118" t="s">
        <v>39</v>
      </c>
      <c r="C32" s="119"/>
      <c r="D32" s="119"/>
      <c r="E32" s="119"/>
      <c r="F32" s="119"/>
      <c r="G32" s="119"/>
      <c r="H32" s="119"/>
      <c r="I32" s="119"/>
      <c r="J32" s="119"/>
      <c r="K32" s="119"/>
      <c r="L32" s="119"/>
      <c r="M32" s="119"/>
      <c r="N32" s="120"/>
      <c r="O32" s="92"/>
      <c r="P32" s="83"/>
    </row>
    <row r="33" spans="2:16" s="86" customFormat="1" ht="20.399999999999999" x14ac:dyDescent="0.35">
      <c r="B33" s="118" t="s">
        <v>40</v>
      </c>
      <c r="C33" s="119"/>
      <c r="D33" s="119"/>
      <c r="E33" s="119"/>
      <c r="F33" s="119"/>
      <c r="G33" s="119"/>
      <c r="H33" s="119"/>
      <c r="I33" s="119"/>
      <c r="J33" s="119"/>
      <c r="K33" s="119"/>
      <c r="L33" s="119"/>
      <c r="M33" s="119"/>
      <c r="N33" s="120"/>
      <c r="O33" s="92"/>
      <c r="P33" s="83"/>
    </row>
    <row r="34" spans="2:16" s="86" customFormat="1" ht="20.399999999999999" x14ac:dyDescent="0.35">
      <c r="B34" s="107" t="s">
        <v>131</v>
      </c>
      <c r="C34" s="108"/>
      <c r="D34" s="108"/>
      <c r="E34" s="108"/>
      <c r="F34" s="108"/>
      <c r="G34" s="164" t="s">
        <v>130</v>
      </c>
      <c r="H34" s="164"/>
      <c r="I34" s="163"/>
      <c r="J34" s="163"/>
      <c r="K34" s="163"/>
      <c r="L34" s="163"/>
      <c r="M34" s="162" t="s">
        <v>129</v>
      </c>
      <c r="N34" s="161"/>
      <c r="O34" s="83"/>
      <c r="P34" s="83"/>
    </row>
    <row r="35" spans="2:16" x14ac:dyDescent="0.3">
      <c r="B35" s="160"/>
      <c r="C35" s="159"/>
      <c r="D35" s="159"/>
      <c r="E35" s="159"/>
      <c r="F35" s="159"/>
      <c r="G35" s="159"/>
      <c r="H35" s="159"/>
      <c r="I35" s="159"/>
      <c r="J35" s="159"/>
      <c r="K35" s="159"/>
      <c r="L35" s="159"/>
      <c r="M35" s="159"/>
      <c r="N35" s="158"/>
    </row>
    <row r="36" spans="2:16" x14ac:dyDescent="0.3">
      <c r="B36" s="160"/>
      <c r="C36" s="159"/>
      <c r="D36" s="159"/>
      <c r="E36" s="159"/>
      <c r="F36" s="159"/>
      <c r="G36" s="159"/>
      <c r="H36" s="159"/>
      <c r="I36" s="159"/>
      <c r="J36" s="159"/>
      <c r="K36" s="159"/>
      <c r="L36" s="159"/>
      <c r="M36" s="159"/>
      <c r="N36" s="158"/>
    </row>
    <row r="37" spans="2:16" x14ac:dyDescent="0.3">
      <c r="B37" s="160"/>
      <c r="C37" s="159"/>
      <c r="D37" s="159"/>
      <c r="E37" s="159"/>
      <c r="F37" s="159"/>
      <c r="G37" s="159"/>
      <c r="H37" s="159"/>
      <c r="I37" s="159"/>
      <c r="J37" s="159"/>
      <c r="K37" s="159"/>
      <c r="L37" s="159"/>
      <c r="M37" s="159"/>
      <c r="N37" s="158"/>
    </row>
    <row r="38" spans="2:16" ht="16.8" x14ac:dyDescent="0.3">
      <c r="B38" s="149" t="s">
        <v>128</v>
      </c>
      <c r="C38" s="157"/>
      <c r="D38" s="154"/>
      <c r="E38" s="151"/>
      <c r="F38" s="151"/>
      <c r="G38" s="151"/>
      <c r="H38" s="151"/>
      <c r="I38" s="151"/>
      <c r="J38" s="152"/>
      <c r="K38" s="151"/>
      <c r="L38" s="151"/>
      <c r="M38" s="151"/>
      <c r="N38" s="156"/>
    </row>
    <row r="39" spans="2:16" ht="16.8" x14ac:dyDescent="0.3">
      <c r="B39" s="149" t="s">
        <v>127</v>
      </c>
      <c r="C39" s="155"/>
      <c r="D39" s="154"/>
      <c r="E39" s="151"/>
      <c r="F39" s="151"/>
      <c r="G39" s="151"/>
      <c r="H39" s="151"/>
      <c r="I39" s="151"/>
      <c r="J39" s="152"/>
      <c r="K39" s="151"/>
      <c r="L39" s="151"/>
      <c r="M39" s="151"/>
      <c r="N39" s="150"/>
    </row>
    <row r="40" spans="2:16" ht="16.8" x14ac:dyDescent="0.3">
      <c r="B40" s="149" t="s">
        <v>126</v>
      </c>
      <c r="C40" s="153"/>
      <c r="D40" s="151"/>
      <c r="E40" s="151"/>
      <c r="F40" s="151"/>
      <c r="G40" s="151"/>
      <c r="H40" s="151"/>
      <c r="I40" s="151"/>
      <c r="J40" s="152"/>
      <c r="K40" s="151"/>
      <c r="L40" s="151"/>
      <c r="M40" s="151"/>
      <c r="N40" s="150"/>
    </row>
    <row r="41" spans="2:16" ht="16.8" x14ac:dyDescent="0.3">
      <c r="B41" s="149" t="s">
        <v>125</v>
      </c>
      <c r="N41" s="148"/>
    </row>
    <row r="42" spans="2:16" ht="16.8" x14ac:dyDescent="0.3">
      <c r="B42" s="149" t="s">
        <v>124</v>
      </c>
      <c r="N42" s="148"/>
    </row>
    <row r="43" spans="2:16" ht="16.8" x14ac:dyDescent="0.3">
      <c r="B43" s="149" t="s">
        <v>123</v>
      </c>
      <c r="N43" s="148"/>
    </row>
    <row r="44" spans="2:16" ht="16.8" x14ac:dyDescent="0.3">
      <c r="B44" s="149" t="s">
        <v>122</v>
      </c>
      <c r="N44" s="148"/>
    </row>
    <row r="45" spans="2:16" ht="16.8" x14ac:dyDescent="0.3">
      <c r="B45" s="149" t="s">
        <v>121</v>
      </c>
      <c r="N45" s="148"/>
    </row>
    <row r="46" spans="2:16" ht="16.8" x14ac:dyDescent="0.3">
      <c r="B46" s="149" t="s">
        <v>120</v>
      </c>
      <c r="N46" s="148"/>
    </row>
    <row r="47" spans="2:16" x14ac:dyDescent="0.3">
      <c r="B47" s="146" t="s">
        <v>39</v>
      </c>
      <c r="C47" s="145"/>
      <c r="D47" s="145"/>
      <c r="E47" s="145"/>
      <c r="F47" s="145"/>
      <c r="G47" s="145"/>
      <c r="H47" s="145"/>
      <c r="I47" s="145"/>
      <c r="J47" s="145"/>
      <c r="K47" s="145"/>
      <c r="L47" s="145"/>
      <c r="M47" s="145"/>
      <c r="N47" s="144"/>
      <c r="O47" s="147"/>
    </row>
    <row r="48" spans="2:16" x14ac:dyDescent="0.3">
      <c r="B48" s="146" t="s">
        <v>40</v>
      </c>
      <c r="C48" s="145"/>
      <c r="D48" s="145"/>
      <c r="E48" s="145"/>
      <c r="F48" s="145"/>
      <c r="G48" s="145"/>
      <c r="H48" s="145"/>
      <c r="I48" s="145"/>
      <c r="J48" s="145"/>
      <c r="K48" s="145"/>
      <c r="L48" s="145"/>
      <c r="M48" s="145"/>
      <c r="N48" s="144"/>
      <c r="O48" s="147"/>
    </row>
    <row r="49" spans="2:14" x14ac:dyDescent="0.3">
      <c r="B49" s="146" t="s">
        <v>119</v>
      </c>
      <c r="C49" s="145"/>
      <c r="D49" s="145"/>
      <c r="E49" s="145"/>
      <c r="F49" s="145"/>
      <c r="G49" s="145"/>
      <c r="H49" s="145"/>
      <c r="I49" s="145"/>
      <c r="J49" s="145"/>
      <c r="K49" s="145"/>
      <c r="L49" s="145"/>
      <c r="M49" s="145"/>
      <c r="N49" s="144"/>
    </row>
    <row r="50" spans="2:14" ht="25.8" x14ac:dyDescent="0.3">
      <c r="C50" s="15" t="s">
        <v>41</v>
      </c>
    </row>
    <row r="51" spans="2:14" ht="25.8" x14ac:dyDescent="0.3">
      <c r="C51" s="15" t="s">
        <v>42</v>
      </c>
    </row>
    <row r="52" spans="2:14" ht="25.8" x14ac:dyDescent="0.3">
      <c r="C52" s="15" t="s">
        <v>43</v>
      </c>
    </row>
    <row r="53" spans="2:14" ht="25.8" x14ac:dyDescent="0.3">
      <c r="C53" s="15" t="s">
        <v>44</v>
      </c>
    </row>
    <row r="54" spans="2:14" ht="25.8" x14ac:dyDescent="0.3">
      <c r="C54" s="15" t="s">
        <v>45</v>
      </c>
    </row>
  </sheetData>
  <dataConsolidate/>
  <mergeCells count="11">
    <mergeCell ref="F8:G8"/>
    <mergeCell ref="F9:G9"/>
    <mergeCell ref="G19:I19"/>
    <mergeCell ref="B22:N22"/>
    <mergeCell ref="B30:N30"/>
    <mergeCell ref="B32:N32"/>
    <mergeCell ref="B33:N33"/>
    <mergeCell ref="B47:N47"/>
    <mergeCell ref="B48:N48"/>
    <mergeCell ref="B49:N49"/>
    <mergeCell ref="B31:N31"/>
  </mergeCells>
  <dataValidations count="11">
    <dataValidation type="list" allowBlank="1" showInputMessage="1" showErrorMessage="1" sqref="H34" xr:uid="{6FAE4F8E-0806-4698-85D5-ADF8FBC677BF}">
      <formula1>"ALAA HAMMAD,KHALED QASSEM,RAMY RAOUF,SIMON LOBO,MHAREN CLEMENTE GARADO"</formula1>
    </dataValidation>
    <dataValidation type="list" allowBlank="1" showInputMessage="1" showErrorMessage="1" sqref="M34" xr:uid="{3AD36224-DD51-4BD9-9A09-7622675D2BCE}">
      <formula1>"Alaa Hammad,Bachir Ibrahim Mourad,Khaled Qassem,Ramy Raoof,Simon Lobo,Mharen Clemente Garado,Ranjith"</formula1>
    </dataValidation>
    <dataValidation type="list" allowBlank="1" showInputMessage="1" showErrorMessage="1" sqref="B11" xr:uid="{F1E0E77C-EF18-4CDD-B67F-FA623273689A}">
      <formula1>"FO Ceramic+ Intr&amp;Extr CeramicGold WdwTnt,FO Mirror Camera Sensor"</formula1>
    </dataValidation>
    <dataValidation type="list" allowBlank="1" showInputMessage="1" showErrorMessage="1" sqref="B12" xr:uid="{1984B292-1EEF-42E4-B5E8-82AB14783446}">
      <formula1>"FO Exterior ceramic All Cars SCOTCHGUARD,FO Mirror Camera Sensor,FO PPF Gold Package "</formula1>
    </dataValidation>
    <dataValidation type="list" allowBlank="1" showInputMessage="1" showErrorMessage="1" sqref="K20" xr:uid="{57DABEAA-DE17-4E60-AC28-530A1B2DB375}">
      <formula1>"Esaad,Emirates Platinum,Fazaa,Humat Alwatan,Permissible,ASX,XPMLP,XP,MON,MON G57,OUT,F08,P08,F06,P06,F03,F03-1,P03,EC,G37,G38,G40,G43"</formula1>
    </dataValidation>
    <dataValidation type="list" allowBlank="1" showInputMessage="1" showErrorMessage="1" sqref="B16" xr:uid="{B2253D41-9216-47C1-BDBC-80E323286DF4}">
      <formula1>"RMC-10-40KMS,RMC-10-60KMS,RMC-10-70KMS,RMC-10-100000KMS,RMC-40-70KMS,RMC-40-100000KMS"</formula1>
    </dataValidation>
    <dataValidation type="list" allowBlank="1" showInputMessage="1" showErrorMessage="1" sqref="K24" xr:uid="{E6546AF3-F11D-4511-849A-AF4C363C1C1A}">
      <formula1>"RMC-10-70K,RMC-10-100000K,RMC-40-70K"</formula1>
    </dataValidation>
    <dataValidation type="list" allowBlank="1" showInputMessage="1" showErrorMessage="1" sqref="D5" xr:uid="{4B13367D-0D8E-4695-A97D-2A69FBABF5AB}">
      <formula1>"MIG09,MIG10,H16,P16,H17,H48,H43,H40,H42,H44,H45,H38,H37,EH40,EH43,ML,HL,PR, MLP,HLP,PRP,XPML,XPHL,XPMLP, XPMLP-01,XC, G10,P10, G03, P03, G06,P06,G12,P12,G05,P05,G08,P08,G09,P09,H57,P57,H64,H59,P59,H61,P61"</formula1>
    </dataValidation>
    <dataValidation type="list" allowBlank="1" showInputMessage="1" showErrorMessage="1" sqref="M21" xr:uid="{ED8D43E5-561B-45D7-BC94-80177C543FD6}">
      <formula1>"3000-4999,5000-9999,5000-99999,10000-14999,15000-24999,25000-34999,35000-99999,5000-11999,12000-19999,20000-39999,40000-69999,70000-99999"</formula1>
    </dataValidation>
    <dataValidation type="list" allowBlank="1" showInputMessage="1" showErrorMessage="1" sqref="C10:C16 L20 L24:L25 G14:G15 J10" xr:uid="{73A4E19D-D69A-4361-973A-734FBDB96397}">
      <formula1>"YES,NO"</formula1>
    </dataValidation>
    <dataValidation type="list" allowBlank="1" showInputMessage="1" showErrorMessage="1" sqref="K21" xr:uid="{67DA0608-B365-4273-8952-23F1AB3CC206}">
      <formula1>"ADCB,ADCB PAY IN 2027,Ajman Bank,ADIB,DIB EXPAT,DIB LOCAL GVH,Emirates NBD,EIB,FAB,RAK,SIB STL,SIB NON STL"</formula1>
    </dataValidation>
  </dataValidations>
  <pageMargins left="0.23622047244094491" right="0.23622047244094491" top="0.74803149606299213" bottom="0.74803149606299213" header="0.31496062992125984" footer="0.31496062992125984"/>
  <pageSetup paperSize="9" scale="40" orientation="landscape" horizontalDpi="4294967295" verticalDpi="4294967295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F6AEBF-C849-4E53-84FB-E7C001DDCB93}">
  <sheetPr>
    <pageSetUpPr fitToPage="1"/>
  </sheetPr>
  <dimension ref="A1:AA54"/>
  <sheetViews>
    <sheetView topLeftCell="B1" zoomScaleNormal="100" workbookViewId="0">
      <selection activeCell="D5" sqref="D5"/>
    </sheetView>
  </sheetViews>
  <sheetFormatPr defaultColWidth="9.109375" defaultRowHeight="15.6" x14ac:dyDescent="0.3"/>
  <cols>
    <col min="1" max="1" width="16" style="1" hidden="1" customWidth="1"/>
    <col min="2" max="2" width="75.109375" style="2" customWidth="1"/>
    <col min="3" max="3" width="26.88671875" style="3" customWidth="1"/>
    <col min="4" max="4" width="23.88671875" style="2" customWidth="1"/>
    <col min="5" max="5" width="23.33203125" style="2" customWidth="1"/>
    <col min="6" max="6" width="19.88671875" style="2" customWidth="1"/>
    <col min="7" max="7" width="23.33203125" style="2" customWidth="1"/>
    <col min="8" max="8" width="24.44140625" style="2" customWidth="1"/>
    <col min="9" max="9" width="27.109375" style="2" customWidth="1"/>
    <col min="10" max="10" width="26.6640625" style="2" customWidth="1"/>
    <col min="11" max="11" width="25.44140625" style="2" customWidth="1"/>
    <col min="12" max="12" width="20.5546875" style="2" customWidth="1"/>
    <col min="13" max="13" width="20.109375" style="2" customWidth="1"/>
    <col min="14" max="14" width="19.5546875" style="2" customWidth="1"/>
    <col min="15" max="15" width="15.109375" style="2" bestFit="1" customWidth="1"/>
    <col min="16" max="16" width="12.6640625" style="2" hidden="1" customWidth="1"/>
    <col min="17" max="17" width="12.6640625" style="1" hidden="1" customWidth="1"/>
    <col min="18" max="18" width="15.6640625" style="1" hidden="1" customWidth="1"/>
    <col min="19" max="19" width="13" style="1" hidden="1" customWidth="1"/>
    <col min="20" max="20" width="17.109375" style="1" hidden="1" customWidth="1"/>
    <col min="21" max="21" width="14.5546875" style="1" bestFit="1" customWidth="1"/>
    <col min="22" max="22" width="19" style="1" customWidth="1"/>
    <col min="23" max="23" width="22.5546875" style="1" bestFit="1" customWidth="1"/>
    <col min="24" max="25" width="9.109375" style="1"/>
    <col min="26" max="26" width="14" style="1" bestFit="1" customWidth="1"/>
    <col min="27" max="27" width="22.33203125" style="1" bestFit="1" customWidth="1"/>
    <col min="28" max="16384" width="9.109375" style="1"/>
  </cols>
  <sheetData>
    <row r="1" spans="1:27" ht="15.75" customHeight="1" x14ac:dyDescent="0.3">
      <c r="B1" s="222" t="s">
        <v>148</v>
      </c>
      <c r="C1" s="221"/>
      <c r="D1" s="221"/>
      <c r="E1" s="221"/>
      <c r="F1" s="221"/>
      <c r="G1" s="221"/>
      <c r="H1" s="221"/>
      <c r="I1" s="221"/>
      <c r="J1" s="221"/>
      <c r="K1" s="221"/>
      <c r="L1" s="221"/>
      <c r="M1" s="221"/>
      <c r="N1" s="220"/>
    </row>
    <row r="2" spans="1:27" ht="15.75" customHeight="1" x14ac:dyDescent="0.3">
      <c r="B2" s="219" t="s">
        <v>147</v>
      </c>
      <c r="C2" s="218"/>
      <c r="D2" s="218"/>
      <c r="E2" s="218"/>
      <c r="F2" s="218"/>
      <c r="G2" s="218"/>
      <c r="H2" s="218"/>
      <c r="I2" s="218"/>
      <c r="J2" s="218"/>
      <c r="K2" s="218"/>
      <c r="L2" s="218"/>
      <c r="M2" s="218"/>
      <c r="N2" s="217"/>
      <c r="Q2" s="2"/>
      <c r="S2" s="186"/>
    </row>
    <row r="3" spans="1:27" ht="15.75" customHeight="1" x14ac:dyDescent="0.3">
      <c r="B3" s="219" t="s">
        <v>146</v>
      </c>
      <c r="C3" s="218"/>
      <c r="D3" s="218"/>
      <c r="E3" s="218"/>
      <c r="F3" s="218"/>
      <c r="G3" s="218"/>
      <c r="H3" s="218"/>
      <c r="I3" s="218"/>
      <c r="J3" s="218"/>
      <c r="K3" s="218"/>
      <c r="L3" s="218"/>
      <c r="M3" s="218"/>
      <c r="N3" s="217"/>
      <c r="O3" s="3"/>
      <c r="P3" s="3"/>
      <c r="Q3" s="153"/>
      <c r="R3" s="153"/>
      <c r="S3" s="216" t="e">
        <f>N7+J14</f>
        <v>#VALUE!</v>
      </c>
      <c r="T3" s="216"/>
      <c r="U3" s="153"/>
      <c r="V3" s="153"/>
      <c r="W3" s="153"/>
      <c r="AA3" s="1">
        <f>273000/5</f>
        <v>54600</v>
      </c>
    </row>
    <row r="4" spans="1:27" ht="15.75" customHeight="1" x14ac:dyDescent="0.3">
      <c r="B4" s="215"/>
      <c r="C4" s="214"/>
      <c r="D4" s="214"/>
      <c r="E4" s="214"/>
      <c r="F4" s="214"/>
      <c r="G4" s="214"/>
      <c r="H4" s="214"/>
      <c r="I4" s="214"/>
      <c r="J4" s="214"/>
      <c r="K4" s="214"/>
      <c r="L4" s="214"/>
      <c r="M4" s="214"/>
      <c r="N4" s="213"/>
      <c r="O4" s="212" t="s">
        <v>0</v>
      </c>
      <c r="P4" s="212"/>
      <c r="Q4" s="210"/>
      <c r="R4" s="210"/>
      <c r="S4" s="211"/>
      <c r="T4" s="211"/>
      <c r="U4" s="210" t="s">
        <v>1</v>
      </c>
      <c r="V4" s="210" t="s">
        <v>2</v>
      </c>
      <c r="W4" s="210" t="s">
        <v>3</v>
      </c>
    </row>
    <row r="5" spans="1:27" ht="25.2" thickBot="1" x14ac:dyDescent="0.45">
      <c r="B5" s="17"/>
      <c r="C5" s="18" t="str">
        <f>IF(D5="MIG09","Mirage G09",IF(D5="MIG10","MirageG10",IF(D5="H16","Attrage H16",IF(D5="P16","Attrage P16",IF(D5="H17","Attrage H17",IF(D5="H48","ASX H48",IF(D5="H43","ASX H43",IF(D5="H40","ASX H40",IF(D5="H42","ASX H42",IF(D5="H44","ASX H44",IF(D5="H45","ASX H45",IF(D5="H38","Eclipse H38",IF(D5="H37","Eclipse H37",IF(D5="EH40","Eclipse H40",IF(D5="EH43","Eclipse H43",IF(D5="XPML","Xpander ML",IF(D5="ML","Destinator ML",IF(D5="HL","Destinator HL",IF(D5="PR","Destinator PR",IF(D5="MLP","Destinator MLP",IF(D5="HLP","Destinator HLP",IF(D5="PRP","Destinator PRP",IF(D5="XPHL","Xpander HL",IF(D5="XPMLP","Xpander ML P",IF(D5="XPMLP-01","Xpander ML P-01",IF(D5="XC","Xpander Cross",IF(D5="G03","Outlander G03",IF(D5="P03","Outlander P03",IF(D5="G06","Outlander G06",IF(D5="P06","Outlander P06",IF(D5="OTP06-01","Outlander P06-01",IF(D5="G08","Outlander G08",IF(D5="P08","Outlander P08",IF(D5="H57","Montero H57",IF(D5="P57","Montero P57",IF(D5="H64","Montero G64",IF(D5="H59","Montero G59",IF(D5="P59","Montero G59 P",IF(D5="H61","Montero G61",IF(D5="P61","Montero P61",IF(D5="G10","Outlander G10",IF(D5="P10","Outlander P10",IF(D5="G12","Outlander G12",IF(D5="P12","Outlander P12",IF(D5="G05","Outlander G05",IF(D5="P05","Outlander P05",IF(D5="G09","Outlander G09",IF(D5="P09","Outlander P09",))))))))))))))))))))))))))))))))))))))))))))))))</f>
        <v>Outlander P10</v>
      </c>
      <c r="D5" s="19" t="s">
        <v>173</v>
      </c>
      <c r="E5" s="20" t="s">
        <v>145</v>
      </c>
      <c r="F5" s="37"/>
      <c r="G5" s="37"/>
      <c r="H5" s="37"/>
      <c r="I5" s="20"/>
      <c r="J5" s="34"/>
      <c r="K5" s="209">
        <v>0</v>
      </c>
      <c r="L5" s="208">
        <v>3.39E-2</v>
      </c>
      <c r="M5" s="208">
        <v>6.7799999999999999E-2</v>
      </c>
      <c r="N5" s="208">
        <v>0.1017</v>
      </c>
      <c r="O5" s="147">
        <f>K7+K14</f>
        <v>12130.659829942499</v>
      </c>
      <c r="S5" s="186"/>
      <c r="U5" s="186">
        <f>L7+L14</f>
        <v>5008.3279042081249</v>
      </c>
      <c r="V5" s="186">
        <f>M7+M14</f>
        <v>3386.7944609362494</v>
      </c>
      <c r="W5" s="186">
        <f>N7+N14</f>
        <v>2380.767129208125</v>
      </c>
    </row>
    <row r="6" spans="1:27" s="5" customFormat="1" ht="99" thickBot="1" x14ac:dyDescent="0.35">
      <c r="A6" s="4" t="s">
        <v>4</v>
      </c>
      <c r="B6" s="26" t="s">
        <v>5</v>
      </c>
      <c r="C6" s="27" t="s">
        <v>6</v>
      </c>
      <c r="D6" s="27" t="s">
        <v>144</v>
      </c>
      <c r="E6" s="27" t="s">
        <v>7</v>
      </c>
      <c r="F6" s="27" t="s">
        <v>8</v>
      </c>
      <c r="G6" s="28" t="s">
        <v>9</v>
      </c>
      <c r="H6" s="28" t="s">
        <v>143</v>
      </c>
      <c r="I6" s="28" t="s">
        <v>10</v>
      </c>
      <c r="J6" s="28" t="s">
        <v>142</v>
      </c>
      <c r="K6" s="28" t="s">
        <v>11</v>
      </c>
      <c r="L6" s="28" t="s">
        <v>12</v>
      </c>
      <c r="M6" s="28" t="s">
        <v>13</v>
      </c>
      <c r="N6" s="28" t="s">
        <v>14</v>
      </c>
      <c r="O6" s="207"/>
      <c r="P6" s="206"/>
      <c r="T6" s="205"/>
      <c r="U6" s="205">
        <f>N7+L14</f>
        <v>3957.3035942081242</v>
      </c>
      <c r="V6" s="205">
        <f>N7+K14</f>
        <v>9765.8551324424989</v>
      </c>
      <c r="W6" s="205" t="e">
        <f>N7+J14</f>
        <v>#VALUE!</v>
      </c>
    </row>
    <row r="7" spans="1:27" ht="25.2" thickBot="1" x14ac:dyDescent="0.45">
      <c r="A7" s="6">
        <f>B8</f>
        <v>93900</v>
      </c>
      <c r="B7" s="29">
        <f>IF(L20="YES",C8*1,IF(L20="NO",B8*1))</f>
        <v>93900</v>
      </c>
      <c r="C7" s="29">
        <f>B7*5/100</f>
        <v>4695</v>
      </c>
      <c r="D7" s="203">
        <f>B7+C7</f>
        <v>98595</v>
      </c>
      <c r="E7" s="29">
        <f>D17</f>
        <v>19075.234875000002</v>
      </c>
      <c r="F7" s="29">
        <f>(C7)+(D10+D11+D12+D13+D16)*5/100</f>
        <v>5265</v>
      </c>
      <c r="G7" s="30">
        <f>B7+E7+F7</f>
        <v>118240.23487499999</v>
      </c>
      <c r="H7" s="29">
        <f>G7*D20</f>
        <v>23648.046975000001</v>
      </c>
      <c r="I7" s="30">
        <f>(G7-H7)</f>
        <v>94592.18789999999</v>
      </c>
      <c r="J7" s="30">
        <f>(((I7*D19)*1)+I7)/12</f>
        <v>8189.3186674424987</v>
      </c>
      <c r="K7" s="30">
        <f>(((I7*D19)*2)+I7)/24</f>
        <v>4247.9775049424998</v>
      </c>
      <c r="L7" s="30">
        <f>(((I7*D19)*3)+I7)/36</f>
        <v>2934.1971174424998</v>
      </c>
      <c r="M7" s="30">
        <f>(((I7*D19)*4)+I7)/48</f>
        <v>2277.3069236924998</v>
      </c>
      <c r="N7" s="30">
        <f>((((I7*D19)*5)+I7)/60)</f>
        <v>1883.1728074424998</v>
      </c>
      <c r="O7" s="147"/>
      <c r="P7" s="2">
        <f>H7+H16</f>
        <v>24641.26494795</v>
      </c>
      <c r="T7" s="186">
        <f>25973/2</f>
        <v>12986.5</v>
      </c>
    </row>
    <row r="8" spans="1:27" ht="24.6" x14ac:dyDescent="0.4">
      <c r="A8" s="7">
        <v>0.2</v>
      </c>
      <c r="B8" s="31">
        <f>IF(D5="MIG09",39900,IF(D5="MIG10",41900,IF(D5="H16",41900,IF(D5="P16",47400,IF(D5="H17",47900,IF(D5="H48",67900,IF(D5="H43",70900,IF(D5="H40",72900,IF(D5="H42",74900,IF(D5="H44",73900,IF(D5="H45",79900,IF(D5="H38",86900,IF(D5="H37",79900,IF(D5="EH40",99900,IF(D5="EH43",106900,IF(D5="ML",71900,IF(D5="HL",83900,IF(D5="PR",95900,IF(D5="MLP",80900,IF(D5="HLP",91900,IF(D5="PRP",102900,IF(D5="XPML",69900,IF(D5="XPHL",71000,IF(D5="XPMLP",75900,IF(D5="XPMLP-01",77800,IF(D5="XC",84900,IF(D5="G10",81900,IF(D5="P10",93900,IF(D5="G12",97900,IF(D5="P12",105900,IF(D5="G05",104900,IF(D5="P05",105900,IF(D5="G03",92900,IF(D5="P03",100900,IF(D5="G06",109900,IF(D5="P06",114900,IF(D5="OTP06-01",118900,IF(D5="G08",125900,IF(D5="P08",132900,IF(D5="OTP06-01",109900,IF(D5="G09",129900,IF(D5="P09",134900,IF(D5="H57",105900,IF(D5="P57",113900,IF(D5="H64",116900,IF(D5="H59",127900,IF(D5="P59",134900,IF(D5="H61",134900,IF(D5="P61",138900)))))))))))))))))))))))))))))))))))))))))))))))))</f>
        <v>93900</v>
      </c>
      <c r="C8" s="32">
        <f>IF(L20="YES",N20,IF(L20="NO",N20))</f>
        <v>93900</v>
      </c>
      <c r="D8" s="29">
        <v>0</v>
      </c>
      <c r="E8" s="33"/>
      <c r="F8" s="139"/>
      <c r="G8" s="140"/>
      <c r="H8" s="110">
        <f>G7*20/100</f>
        <v>23648.046974999997</v>
      </c>
      <c r="I8" s="34"/>
      <c r="J8" s="34" t="s">
        <v>15</v>
      </c>
      <c r="K8" s="34">
        <f>(I7*K5+I7)/24</f>
        <v>3941.3411624999994</v>
      </c>
      <c r="L8" s="34">
        <f>(I7*L5+I7)/36</f>
        <v>2716.6350852724995</v>
      </c>
      <c r="M8" s="34">
        <f>(I7*M5+I7)/48</f>
        <v>2104.2820466587496</v>
      </c>
      <c r="N8" s="34">
        <f>(I7*N5+I7)/60</f>
        <v>1736.8702234904997</v>
      </c>
      <c r="O8" s="147">
        <v>0</v>
      </c>
      <c r="P8" s="2">
        <f>P7/12</f>
        <v>2053.4387456625</v>
      </c>
      <c r="T8" s="1">
        <f>25973-12973</f>
        <v>13000</v>
      </c>
    </row>
    <row r="9" spans="1:27" ht="24.6" x14ac:dyDescent="0.4">
      <c r="A9" s="8">
        <f>B8/(100%-A8)</f>
        <v>117375</v>
      </c>
      <c r="B9" s="109">
        <f>B7-B8</f>
        <v>0</v>
      </c>
      <c r="C9" s="109"/>
      <c r="D9" s="36"/>
      <c r="E9" s="33"/>
      <c r="F9" s="139"/>
      <c r="G9" s="140"/>
      <c r="H9" s="33"/>
      <c r="I9" s="37" t="s">
        <v>16</v>
      </c>
      <c r="J9" s="38">
        <f>(J7*12)-I7</f>
        <v>3679.6361093099986</v>
      </c>
      <c r="K9" s="38">
        <f>(K7*24)-I7</f>
        <v>7359.2722186199971</v>
      </c>
      <c r="L9" s="38">
        <f>(L7*36)-I7</f>
        <v>11038.908327929996</v>
      </c>
      <c r="M9" s="38">
        <f>(M7*48)-I7</f>
        <v>14718.544437239994</v>
      </c>
      <c r="N9" s="38">
        <f>(N7*60)-I7</f>
        <v>18398.180546549993</v>
      </c>
      <c r="O9" s="147"/>
      <c r="T9" s="1">
        <f>T8/12</f>
        <v>1083.3333333333333</v>
      </c>
      <c r="Z9" s="1" t="s">
        <v>86</v>
      </c>
    </row>
    <row r="10" spans="1:27" ht="24.6" x14ac:dyDescent="0.4">
      <c r="A10" s="8"/>
      <c r="B10" s="37" t="s">
        <v>141</v>
      </c>
      <c r="C10" s="20" t="s">
        <v>17</v>
      </c>
      <c r="D10" s="36">
        <f>IF(C10="YES",700,IF(C10="NO",0))</f>
        <v>0</v>
      </c>
      <c r="E10" s="39"/>
      <c r="F10" s="40"/>
      <c r="G10" s="40"/>
      <c r="H10" s="33"/>
      <c r="I10" s="44" t="s">
        <v>85</v>
      </c>
      <c r="J10" s="117" t="s">
        <v>19</v>
      </c>
      <c r="K10" s="117">
        <f>IF(J10="YES",Z10,IF(J10="NO",0))</f>
        <v>1000</v>
      </c>
      <c r="L10" s="41">
        <f>(L8*36)-I7</f>
        <v>3206.6751698099979</v>
      </c>
      <c r="M10" s="41">
        <f>(M8*48)-I7</f>
        <v>6413.3503396199958</v>
      </c>
      <c r="N10" s="41">
        <f>(N8*60)-I7</f>
        <v>9620.0255094299937</v>
      </c>
      <c r="O10" s="147">
        <f>IF(D5="XC",3690,IF(D5="XPML",3690,IF(D5="XPHL",3690,IF(D5="XPMLP",3690,IF(D5="XPMLP-01",3690,IF(D5="Xpander P",3690,IF(D5="ML",3690,IF(D5="HL",3690,IF(D5="PR",(U19*3/100+510)*1.05,IF(D5="MLP",3690,IF(D5="HLP",(U19*3/100+510)*1.05,IF(D5="PRP",(U19*3/100+510)*1.05,IF(D5="H57",(U19*2.75/100+510)*1.05,IF(D5="P57",(U19*2.75/100+510)*1.05,IF(D5="H64",(U19*2.75/100+510)*1.05,IF(D5="H59",(U19*2.75/100+510)*1.05,IF(D5="P59",(U19*2.75/100+510)*1.05,IF(D5="H61",(U19*2.75/100+510)*1.05,IF(D5="P61",(U19*2.75/100+510)*1.05,IF(D5="G03",(U19*3/100+510)*1.05,IF(D5="G10",(U19*3/100+510)*1.05,IF(D5="P10",(U19*3/100+510)*1.05,IF(D5="G12",(U19*3/100+510)*1.05,IF(D5="P12",(U19*3/100+510)*1.05,IF(D5="G05",(U19*3/100+510)*1.05,IF(D5="P05",(U19*3/100+510)*1.05,IF(D5="P03",(U19*3/100+510)*1.05,IF(D5="G06",(U19*3/100+510)*1.05,IF(D5="P06",(U19*3/100+510)*1.05,IF(D5="OTP06-01",(U19*3/100+510)*1.05,IF(D5="G08",(U19*3/100+510)*1.05,IF(D5="P08",(U19*3/100+510)*1.05,IF(D5="G09",(U19*3/100+510)*1.05,IF(D5="P09",(U19*3/100+510)*1.05,IF(D5="H38",3625,IF(D5="H37",3625,IF(D5="EH40",(U19*3/100+450)*1.05,IF(D5="EH43",(U19*3/100+450)*1.05,IF(D5="H48",3625,IF(D5="H43",3625,IF(D5="H40",3625,IF(D5="H42",3625,IF(D5="H44",3625,IF(D5="H45",3625,IF(D5="ASX HL 4WD",3625,IF(D5="H16",3625,IF(D5="H17",3625,IF(D5="P16",3625,IF(D5="Attrage S",3625,IF(D5="MIG09",3625,IF(D5="MIG10",3625,IF(D5="Xpander HL",3690))))))))))))))))))))))))))))))))))))))))))))))))))))</f>
        <v>4018.2975000000001</v>
      </c>
      <c r="P10" s="204"/>
      <c r="Q10" s="204">
        <f>5.25*3</f>
        <v>15.75</v>
      </c>
      <c r="Z10" s="1">
        <f>IF(D5="MIG09",1000,IF(D5="MIG10",1000,IF(D5="H16",1000,IF(D5="P16",1000,IF(D5="H17",1000,IF(D5="H48",1000,IF(D5="H43",1000,IF(D5="H40",1000,IF(D5="H42",1000,IF(D5="H44",1000,IF(D5="H45",1000,IF(D5="H38",1000,IF(D5="H37",1000,IF(D5="EH40",1000,IF(D5="EH43",1000,IF(D5="ML",1000,IF(D5="HL",1000,IF(D5="PR",1000,IF(D5="MLP",1000,IF(D5="HLP",1000,IF(D5="PRP",1000,IF(D5="XPML",1000,IF(D5="XPHL",1000,IF(D5="XPMLP",1000,IF(D5="XPMLP-01",1000,IF(D5="XC",1000,IF(D5="G10",1000,IF(D5="P10",1000,IF(D5="G12",1000,IF(D5="P12",1000,IF(D5="G05",1000,IF(D5="P05",1000,IF(D5="G03",1000,IF(D5="P03",1000,IF(D5="G06",1000,IF(D5="P06",1000,IF(D5="OTP06-01",1000,IF(D5="G08",1000,IF(D5="P08",1000,IF(D5="OTP06-01",1000,IF(D5="G09",1000,IF(D5="P09",1000,IF(D5="H57",1000,IF(D5="P57",1000,IF(D5="H64",1000,IF(D5="H59",1000,IF(D5="P59",1000,IF(D5="H61",1000,IF(D5="P61",1000)))))))))))))))))))))))))))))))))))))))))))))))))</f>
        <v>1000</v>
      </c>
    </row>
    <row r="11" spans="1:27" ht="24.6" x14ac:dyDescent="0.4">
      <c r="A11" s="8"/>
      <c r="B11" s="37" t="s">
        <v>18</v>
      </c>
      <c r="C11" s="20" t="s">
        <v>19</v>
      </c>
      <c r="D11" s="203">
        <f>IF(C11="YES",O17,IF(C11="NO",0))</f>
        <v>2700</v>
      </c>
      <c r="E11" s="39"/>
      <c r="F11" s="40"/>
      <c r="G11" s="40"/>
      <c r="H11" s="33"/>
      <c r="I11" s="33"/>
      <c r="J11" s="44" t="s">
        <v>76</v>
      </c>
      <c r="K11" s="44">
        <f>H8-K10</f>
        <v>22648.046974999997</v>
      </c>
      <c r="L11" s="37"/>
      <c r="M11" s="37"/>
      <c r="N11" s="38"/>
      <c r="O11" s="147">
        <f>IF(D5="XC",6100,IF(D5="XPML",6100,IF(D5="XPHL",6100,IF(D5="XPMLP",6100,IF(D5="XPMLP-01",6100,IF(D5="Xpander P",6100,IF(D5="ML",6600,IF(D5="HL",6600,IF(D5="PR",6600,IF(D5="MLP",6600,IF(D5="HLP",6600,IF(D5="PRP",6600,IF(D5="H57",5900,IF(D5="P57",5900,IF(D5="H64",5900,IF(D5="H59",5900,IF(D5="P59",5900,IF(D5="H61",5900,IF(D5="P61",5900,IF(D5="G03",6700,IF(D5="G10",6700,IF(D5="P10",6700,IF(D5="G12",6700,IF(D5="P12",6700,IF(D5="G05",6700,IF(D5="P05",6700,IF(D5="P03",6700,IF(D5="G06",6700,IF(D5="P06",6700,IF(D5="OTP06-01",6700,IF(D5="G08",6700,IF(D5="G09",6700,IF(D5="G08",6700,IF(D5="P08",6700,IF(D5="P09",6700,IF(D5="H37",6400,IF(D5="H38",6400,IF(D5="EH40",6400,IF(D5="EH43",6400,IF(D5="H48",6600,IF(D5="H43",6600,IF(D5="H40",6600,IF(D5="H42",6600,IF(D5="H44",6600,IF(D5="H45",6600,IF(D5="ASX HL 4WD",6600,IF(D5="H16",5400,IF(D5="H17",5400,IF(D5="P16",5400,IF(D5="Attrage S",5400,IF(D5="MIG09",5400,IF(D5="MIG10",5400,IF(D5="Xpander HL",6000)))))))))))))))))))))))))))))))))))))))))))))))))))))</f>
        <v>6700</v>
      </c>
      <c r="P11" s="147"/>
      <c r="Q11" s="147"/>
      <c r="R11" s="147"/>
      <c r="S11" s="147"/>
      <c r="T11" s="147"/>
      <c r="U11" s="147">
        <f>IF(D5="XC",4900,IF(D5="XPML",4900,IF(D5="XPHL",4900,IF(D5="XPMLP",4900,IF(D5="XPMLP-01",4900,IF(D5="Xpander P",4900,IF(D5="ML",5400,IF(D5="HL",5400,IF(D5="PR",5400,IF(D5="MLP",5400,IF(D5="HLP",5400,IF(D5="PRP",5400,IF(D5="H57",4600,IF(D5="P57",4600,IF(D5="MOG64",4600,IF(D5="H59",4600,IF(D5="P59",4600,IF(D5="H61",4600,IF(D5="P61",4600,IF(D5="G03",5500,IF(D5="P03",5500,IF(D5="G10",5500,IF(D5="P10",5500,IF(D5="G12",5500,IF(D5="P12",5500,IF(D5="G05",5500,IF(D5="P05",5500,IF(D5="G06",5500,IF(D5="P06",5500,IF(D5="OTP06-01",5500,IF(D5="F08",5500,IF(D5="P08",5500,IF(D5="G09",5500,IF(D5="P09",5500,IF(D5="H38",5200,IF(D5="H37",5200,IF(D5="EH40",5200,IF(D5="EH43",5200,IF(D5="H48",5300,IF(D5="H43",5300,IF(D5="H40",5300,IF(D5="H42",5300,IF(D5="H44",5300,IF(D5="H45",5300,IF(D5="ASX HL",5300,IF(D5="ASX P",5300,IF(D5="ASX HL 4WD",5300,IF(D5="H16",4200,IF(D5="H17",4200,IF(D5="P16",4200,IF(D5="Attrage S",4200,IF(D5="MIG09",4200,IF(D5="MIG10",4200,IF(D5="Xpander HL",4900))))))))))))))))))))))))))))))))))))))))))))))))))))))</f>
        <v>5500</v>
      </c>
      <c r="V11" s="147">
        <f>IF(D5="XC",9700,IF(D5="XPML",9700,IF(D5="XPHL",9700,IF(D5="XPMLP",9700,IF(D5="XPMLP-01",9700,IF(D5="XPMLP-01",9700,IF(D5="Xpander P",9700,IF(D5="ML",10800,IF(D5="HL",10800,IF(D5="PR",10800,IF(D5="MLP",10800,IF(D5="HLP",10800,IF(D5="PRP",10800,IF(D5="H57",9300,IF(D5="P57",9300,IF(D5="MG64",9300,IF(D5="H59",9300,IF(D5="P59",9300,IF(D5="H61",9300,IF(D5="P61",9300,IF(D5="G03",11000,IF(D5="G10",11000,IF(D5="P10",11000,IF(D5="G12",11000,IF(D5="P12",11000,IF(D5="G05",11000,IF(D5="P05",11000,IF(D5="P03",11000,IF(D5="G06",11000,IF(D5="P06",11000,IF(D5="OTP06-01",11000,IF(D5="G08",11000,IF(D5="P08",11000,IF(D5="G09",11000,IF(D5="P09",11000,IF(D5="H38",10400,IF(D5="H37",10400,IF(D5="EH40",10400,IF(D5="EH43",10400,IF(D5="H48",10700,IF(D5="H43",10700,IF(D5="H40",10700,IF(D5="H42",10700,IF(D5="H44",10800,IF(D5="H45",10800,IF(D5="ASX HL",12200,IF(D5="ASX P",12200,IF(D5="ASX HL 4WD",12200,IF(D5="H16",8500,IF(D5="H17",8500,IF(D5="P16",8500,IF(D5="Attrage S",9600,IF(D5="MIG09",8500,IF(D5="MIG10",8500,IF(D5="Xpander HL",11300)))))))))))))))))))))))))))))))))))))))))))))))))))))))</f>
        <v>11000</v>
      </c>
      <c r="W11" s="147">
        <f>IF(D5="XC",9200,IF(D5="XPML",9200,IF(D5="XPHL",9200,IF(D5="XPMLP",9200,IF(D5="XPMLP-01",9200,IF(D5="Xpander P",9200,IF(D5="ML",10000,IF(D5="HL",10000,IF(D5="PR",10000,IF(D5="MLP",10000,IF(D5="HLP",10000,IF(D5="PRP",10000,IF(D5="H57",8700,IF(D5="P57",8700,IF(D5="H64",8700,IF(D5="H59",8700,IF(D5="P59",8700,IF(D5="H61",8700,IF(D5="P61",8700,IF(D5="G03",10400,IF(D5="P03",10400,IF(D5="G10",10400,IF(D5="P10",10400,IF(D5="G12",10400,IF(D5="P12",10400,IF(D5="G05",10400,IF(D5="P05",10400,IF(D5="G06",10400,IF(D5="P06",10400,IF(D5="OTP06-01",10400,IF(D5="G08",10400,IF(D5="P08",10400,IF(D5="G09",10400,IF(D5="P09",10400,IF(D5="H38",9800,IF(D5="H37",9800,IF(D5="EH40",9800,IF(D5="EH43",9800,IF(D5="H48",10100,IF(D5="H43",10100,IF(D5="H40",10100,IF(D5="H42",10100,IF(D5="H44",10100,IF(D5="H45",10100,IF(D5="ASX HL",10100,IF(D5="ASX P",10100,IF(D5="ASX HL 4WD",10100,IF(D5="H16",7900,IF(D5="H17",7900,IF(D5="P16",7900,IF(D5="Attrage S",7900,IF(D5="MIG09",7900,IF(D5="MIG10",7900,IF(D5="Xpander HL",9200))))))))))))))))))))))))))))))))))))))))))))))))))))))</f>
        <v>10400</v>
      </c>
      <c r="X11" s="147">
        <f>IF(D5="XC",4500,IF(D5="XPML",4500,IF(D5="XPHL",4500,IF(D5="XPMLP",4500,IF(D5="XPMLP-01",4500,IF(D5="Xpander P",4500,IF(D5="ML",5000,IF(D5="HL",5000,IF(D5="PR",5000,IF(D5="MLP",5000,IF(D5="HLP",5000,IF(D5="PRP",5000,IF(D5="H57",8700,IF(D5="P57",8700,IF(D5="MOG64",4300,IF(D5="H59",4300,IF(D5="P59",4300,IF(D5="H61",4300,IF(D5="P61",4300,IF(D5="G03",5000,IF(D5="P03",5000,IF(D5="G10",5000,IF(D5="P10",5000,IF(D5="G12",5000,IF(D5="P12",5000,IF(D5="G05",5000,IF(D5="P05",5000,IF(D5="G06",5000,IF(D5="P06",5000,IF(D5="OTP06-01",5000,IF(D5="G08",5000,IF(D5="P08",5000,IF(D5="G09",5000,IF(D5="P09",5000,IF(D5="H38",4900,IF(D5="H37",4900,IF(D5="EH40",4900,IF(D5="EH43",4900,IF(D5="H48",4900,IF(D5="H43",4900,IF(D5="H40",4900,IF(D5="H42",4900,IF(D5="H44",4900,IF(D5="H45",4900,IF(D5="ASX HL",4900,IF(D5="ASX P",4900,IF(D5="ASX HL 4WD",4900,IF(D5="H16",3700,IF(D5="H17",3700,IF(D5="P16",3700,IF(D5="Attrage S",3700,IF(D5="MIG09",3700,IF(D5="MIG10",3700,IF(D5="Xpander HL",4500))))))))))))))))))))))))))))))))))))))))))))))))))))))</f>
        <v>5000</v>
      </c>
      <c r="Y11" s="147">
        <f>IF(D5="XC",5400,IF(D5="XPML ",5400,IF(D5="XPHL",5400,IF(D5="XPMLP",5400,IF(D5="XPMLP-01",5400,IF(D5="Xpander P",5400,IF(D5="ML",6000,IF(D5="HL",6000,IF(D5="PR",6000,IF(D5="MLP",6000,IF(D5="HLP",6000,IF(D5="PRP",6000,IF(D5="H57",5200,IF(D5="57",5200,IF(D5="H64",5200,IF(D5="H59",5200,IF(D5="P59",5200,IF(D5="H61",5200,IF(D5="P61",5200,IF(D5="G03",6000,IF(D5="P03",6000,IF(D5="G10",6000,IF(D5="P10",6000,IF(D5="G12",6000,IF(D5="P12",6000,IF(D5="G05",6000,IF(D5="P05",6000,IF(D5="G06",6000,IF(D5="P06",6000,IF(D5="OTP06-01",6000,IF(D5="G08",6000,IF(D5="P08",6000,IF(D5="G09",6000,IF(D5="P09",6000,IF(D5="H38",5700,IF(D5="H37",5700,IF(D5="EH40",5700,IF(D5="EH43",5700,IF(D5="H48",5900,IF(D5="H43",5900,IF(D5="H40",5900,IF(D5="H42",5900,IF(D5="H44",5900,IF(D5="H45",5900,IF(D5="ASX HL",5900,IF(D5="ASX P",5900,IF(D5="ASX HL 4WD",5900,IF(D5="H16",4500,IF(D5="H17",4500,IF(D5="P16",4500,IF(D5="Attrage S",4500,IF(D5="MIG09",4500,IF(D5="MIG10",4500,IF(D5="Xpander HL",5400))))))))))))))))))))))))))))))))))))))))))))))))))))))</f>
        <v>6000</v>
      </c>
    </row>
    <row r="12" spans="1:27" ht="24.6" x14ac:dyDescent="0.4">
      <c r="A12" s="8"/>
      <c r="B12" s="37" t="s">
        <v>20</v>
      </c>
      <c r="C12" s="20" t="s">
        <v>17</v>
      </c>
      <c r="D12" s="36">
        <f>IF(C12="YES",2000,IF(C12="NO",0))</f>
        <v>0</v>
      </c>
      <c r="E12" s="43"/>
      <c r="F12" s="43" t="s">
        <v>21</v>
      </c>
      <c r="G12" s="40"/>
      <c r="H12" s="33">
        <v>600</v>
      </c>
      <c r="I12" s="33"/>
      <c r="J12" s="202" t="s">
        <v>140</v>
      </c>
      <c r="K12" s="45">
        <v>0</v>
      </c>
      <c r="L12" s="45">
        <v>5.2499999999999998E-2</v>
      </c>
      <c r="M12" s="45">
        <v>0.126</v>
      </c>
      <c r="N12" s="201">
        <v>0.26250000000000001</v>
      </c>
      <c r="O12" s="147">
        <f>IF(K20="Esaad",B8*3/100,IF(K20="Emirates Platinum",B8*3/100,IF(K20="Fazaa",B8*3/100,IF(K20="Humat Alwatan",B8*3/100,IF(K20="Permissible",2000,IF(K20="ASX",8400,IF(K20="XPMLP",15100,IF(K20="XP",7200,IF(K20="G43",11000,IF(K20="EC",17000,IF(K20="G37",17000,IF(K20="G38",15000,IF(K20="G40",11000,IF(K20="OUT",3000,IF(K20="F08",14400,IF(K20="P08",11100,IF(K20="F06",13100,IF(K20="P06",13400,IF(K20="F03",3500,IF(K20="F03-1",13500,IF(K20="P03",13100,IF(K20="MON",10000,IF(K20="MON G57",9000,0)))))))))))))))))))))))</f>
        <v>2000</v>
      </c>
      <c r="Z12" s="86" t="s">
        <v>83</v>
      </c>
      <c r="AA12" s="86" t="s">
        <v>84</v>
      </c>
    </row>
    <row r="13" spans="1:27" ht="24.6" x14ac:dyDescent="0.4">
      <c r="A13" s="8">
        <f>B8*1.26582</f>
        <v>118860.49799999999</v>
      </c>
      <c r="B13" s="37" t="s">
        <v>23</v>
      </c>
      <c r="C13" s="20" t="s">
        <v>19</v>
      </c>
      <c r="D13" s="36">
        <f>IF(C13="YES",2000,IF(C13="NO",0))</f>
        <v>2000</v>
      </c>
      <c r="E13" s="47"/>
      <c r="F13" s="47" t="s">
        <v>75</v>
      </c>
      <c r="G13" s="51"/>
      <c r="H13" s="39">
        <v>315</v>
      </c>
      <c r="I13" s="33"/>
      <c r="J13" s="44" t="s">
        <v>54</v>
      </c>
      <c r="K13" s="29" t="s">
        <v>79</v>
      </c>
      <c r="L13" s="29" t="s">
        <v>25</v>
      </c>
      <c r="M13" s="29" t="s">
        <v>0</v>
      </c>
      <c r="N13" s="57" t="s">
        <v>26</v>
      </c>
      <c r="O13" s="9">
        <f>IF(M21="3000-4999",6%,IF(M21="5000-9999",4.75%,IF(M21="10000-14999",3.15%,IF(M21="15000-24999",2.5%,IF(M21="25000-34999",2.25%,IF(M21="35000-99999",2.15%))))))</f>
        <v>4.7500000000000001E-2</v>
      </c>
      <c r="Q13" s="2">
        <f>H7/12</f>
        <v>1970.6705812500002</v>
      </c>
      <c r="U13" s="9">
        <f>IF(M21="3000-4999",6%,IF(M21="5000-9999",3.25%,IF(M21="10000-14999",3%,IF(M21="15000-24999",2.25%,IF(M21="25000-34999",2.15%,IF(M21="35000-99999",1.99%))))))</f>
        <v>3.2500000000000001E-2</v>
      </c>
      <c r="Z13" s="99">
        <f>IF(M21="5000-9999",2.49%,IF(M21="10000-19999",2.19%,IF(M21="20000-34999",2.09%,IF(M21="35000-49999",1.89%,IF(M21="50000-99999",1.79%)))))</f>
        <v>2.4900000000000002E-2</v>
      </c>
      <c r="AA13" s="99">
        <f>IF(M21="5000-9999",2.59%,IF(M21="10000-19999",2.29%,IF(M21="20000-34999",2.19%,IF(M21="35000-49999",1.99%,IF(M21="50000-99999",1.89%)))))</f>
        <v>2.5899999999999999E-2</v>
      </c>
    </row>
    <row r="14" spans="1:27" ht="24.6" x14ac:dyDescent="0.4">
      <c r="A14" s="10" t="s">
        <v>27</v>
      </c>
      <c r="B14" s="37" t="s">
        <v>24</v>
      </c>
      <c r="C14" s="20" t="s">
        <v>19</v>
      </c>
      <c r="D14" s="50">
        <f>IF(C14="YES",U19*3.15*1.05/100,IF(C14="NO",U19*0/100))</f>
        <v>3656.937375</v>
      </c>
      <c r="E14" s="48"/>
      <c r="F14" s="48" t="s">
        <v>24</v>
      </c>
      <c r="G14" s="51" t="s">
        <v>17</v>
      </c>
      <c r="H14" s="39">
        <f>IF(G14="YES",U19*3.15*1.05/100,IF(G14="NO",U19*0/100))</f>
        <v>0</v>
      </c>
      <c r="I14" s="33"/>
      <c r="J14" s="44" t="s">
        <v>55</v>
      </c>
      <c r="K14" s="44">
        <f>(H8*K12+H8)/3</f>
        <v>7882.6823249999989</v>
      </c>
      <c r="L14" s="44">
        <f>(H8*L12+H8)/12</f>
        <v>2074.1307867656246</v>
      </c>
      <c r="M14" s="44">
        <f>(H8*M12+H8)/24</f>
        <v>1109.4875372437498</v>
      </c>
      <c r="N14" s="200">
        <f>(H7*N12+H7)/60</f>
        <v>497.59432176562501</v>
      </c>
      <c r="O14" s="9">
        <f>IF(M21="3000-4999",3.89%,IF(M21="5000-9999",3.89%,IF(M21="10000-14999",3.89%,IF(M21="15000-24999",2.69%,IF(M21="25000-34999",2.69%,IF(M21="35000-99999",2.39%,IF(M21="76000-99999",2.5%)))))))</f>
        <v>3.8900000000000004E-2</v>
      </c>
    </row>
    <row r="15" spans="1:27" ht="24.6" x14ac:dyDescent="0.4">
      <c r="A15" s="11">
        <f>(B7*3%)+10+120</f>
        <v>2947</v>
      </c>
      <c r="B15" s="37" t="s">
        <v>28</v>
      </c>
      <c r="C15" s="20" t="s">
        <v>19</v>
      </c>
      <c r="D15" s="29">
        <f>IF(C15="YES",O10,IF(C15="NO",0))</f>
        <v>4018.2975000000001</v>
      </c>
      <c r="E15" s="48"/>
      <c r="F15" s="48" t="s">
        <v>53</v>
      </c>
      <c r="G15" s="51" t="s">
        <v>17</v>
      </c>
      <c r="H15" s="39">
        <f>IF(G15="YES",O10,IF(G15="NO",0))</f>
        <v>0</v>
      </c>
      <c r="I15" s="33"/>
      <c r="J15" s="44"/>
      <c r="K15" s="44"/>
      <c r="L15" s="44"/>
      <c r="M15" s="44"/>
      <c r="N15" s="198"/>
      <c r="O15" s="9" t="b">
        <f>IF(M21="3000-4999",4.99%, IF(M21="5000-11999",2.75%,IF(M21="12000-19999",2.75%,IF(M21="20000-39999",2.25%,IF(M21="40000-69999",2.25%,IF(M21="70000-99999",2.25%))))))</f>
        <v>0</v>
      </c>
      <c r="P15" s="191"/>
    </row>
    <row r="16" spans="1:27" ht="24.6" x14ac:dyDescent="0.4">
      <c r="A16" s="11">
        <f>((B7-B8)*3%+10+120)</f>
        <v>130</v>
      </c>
      <c r="B16" s="37" t="s">
        <v>78</v>
      </c>
      <c r="C16" s="20" t="s">
        <v>19</v>
      </c>
      <c r="D16" s="29">
        <f>IF(C16="YES",O16,IF(C16="NO",0))</f>
        <v>6700</v>
      </c>
      <c r="E16" s="47"/>
      <c r="F16" s="47" t="s">
        <v>74</v>
      </c>
      <c r="G16" s="54"/>
      <c r="H16" s="33">
        <f>I7*1.05%</f>
        <v>993.21797294999999</v>
      </c>
      <c r="I16" s="33"/>
      <c r="J16" s="44" t="s">
        <v>16</v>
      </c>
      <c r="K16" s="44">
        <f>(K14*3)-H8</f>
        <v>0</v>
      </c>
      <c r="L16" s="44">
        <f>(L14*12)-H8</f>
        <v>1241.5224661874963</v>
      </c>
      <c r="M16" s="44">
        <f>(M14*24)-H8</f>
        <v>2979.6539188499955</v>
      </c>
      <c r="N16" s="198"/>
      <c r="O16" s="147">
        <f>IF(B16="RMC-10-70KMS",O11,IF(B16="RMC-10-100000KMS",V11,IF(B16="RMC-40-70KMS",U11, IF(B16="RMC-10-40KMS",X11, IF(B16="RMC-10-60KMS",Y11, IF(B16="RMC-40-100000KMS",W11,0))))))</f>
        <v>6700</v>
      </c>
    </row>
    <row r="17" spans="1:23" ht="24.6" x14ac:dyDescent="0.4">
      <c r="A17" s="11">
        <f>A15+A16</f>
        <v>3077</v>
      </c>
      <c r="B17" s="37"/>
      <c r="C17" s="20"/>
      <c r="D17" s="29">
        <f>SUM(D10:D16)</f>
        <v>19075.234875000002</v>
      </c>
      <c r="E17" s="48"/>
      <c r="F17" s="48"/>
      <c r="G17" s="54"/>
      <c r="H17" s="33">
        <f>+SUM(H12:H16)+(H7)</f>
        <v>25556.26494795</v>
      </c>
      <c r="I17" s="33"/>
      <c r="J17" s="20"/>
      <c r="K17" s="199"/>
      <c r="L17" s="199"/>
      <c r="M17" s="199"/>
      <c r="N17" s="198"/>
      <c r="O17" s="147">
        <f>IF(B11="FO Ceramic+ Intr&amp;Extr CeramicGold WdwTnt",2700,IF(B11="FO Mirror Camera Sensor",2000))</f>
        <v>2700</v>
      </c>
      <c r="T17" s="1">
        <f>19615-791</f>
        <v>18824</v>
      </c>
    </row>
    <row r="18" spans="1:23" ht="24.6" x14ac:dyDescent="0.4">
      <c r="A18" s="12" t="s">
        <v>29</v>
      </c>
      <c r="B18" s="55" t="s">
        <v>30</v>
      </c>
      <c r="C18" s="197"/>
      <c r="D18" s="57">
        <v>0</v>
      </c>
      <c r="E18" s="38"/>
      <c r="F18" s="20"/>
      <c r="G18" s="20"/>
      <c r="H18" s="37"/>
      <c r="I18" s="37"/>
      <c r="J18" s="37"/>
      <c r="K18" s="37"/>
      <c r="L18" s="37"/>
      <c r="M18" s="37"/>
      <c r="N18" s="37"/>
      <c r="O18" s="9" t="b">
        <f>IF(M21="5000-99999",1.99%)</f>
        <v>0</v>
      </c>
      <c r="U18" s="196" t="s">
        <v>52</v>
      </c>
      <c r="V18" s="196" t="s">
        <v>52</v>
      </c>
    </row>
    <row r="19" spans="1:23" ht="24.6" x14ac:dyDescent="0.4">
      <c r="A19" s="11">
        <f>B8*3.15%</f>
        <v>2957.85</v>
      </c>
      <c r="B19" s="58" t="s">
        <v>31</v>
      </c>
      <c r="C19" s="59"/>
      <c r="D19" s="60">
        <f>IF(K21="DIB EXPAT",O13,IF(K21="DIB LOCAL GVH",U13,IF(K21="Emirates NBD",O14,IF(K21="ADCB",O15,IF(K21="ADCB PAY IN 2027",O19,IF(K21="Ajman Bank",O18,IF(K21="SIB STL",Z13,IF(K21="SIB NON STL",AA13,))))))))</f>
        <v>3.8900000000000004E-2</v>
      </c>
      <c r="E19" s="20"/>
      <c r="F19" s="195"/>
      <c r="G19" s="141" t="s">
        <v>73</v>
      </c>
      <c r="H19" s="142"/>
      <c r="I19" s="143"/>
      <c r="J19" s="109">
        <f>(U19*20/100)/365</f>
        <v>60.583561643835615</v>
      </c>
      <c r="K19" s="37"/>
      <c r="L19" s="37"/>
      <c r="M19" s="37"/>
      <c r="N19" s="34">
        <f>D7</f>
        <v>98595</v>
      </c>
      <c r="O19" s="194" t="b">
        <f>IF(M21="5000-11999",3.35%,IF(M21="12000-19999",3.35%,IF(M21="20000-39999",2.85%,IF(M21="40000-69999",2.85%,IF(M21="70000-99999",2.85%)))))</f>
        <v>0</v>
      </c>
      <c r="P19" s="2">
        <f>81400-2500</f>
        <v>78900</v>
      </c>
      <c r="U19" s="193">
        <f>V19</f>
        <v>110565</v>
      </c>
      <c r="V19" s="192">
        <f>(B7+D10+D11+D12+D13+D16)*1.05</f>
        <v>110565</v>
      </c>
    </row>
    <row r="20" spans="1:23" ht="24.6" x14ac:dyDescent="0.4">
      <c r="A20" s="11"/>
      <c r="B20" s="58" t="s">
        <v>32</v>
      </c>
      <c r="C20" s="59"/>
      <c r="D20" s="63">
        <v>0.2</v>
      </c>
      <c r="E20" s="37"/>
      <c r="F20" s="37"/>
      <c r="G20" s="38"/>
      <c r="H20" s="38"/>
      <c r="I20" s="38"/>
      <c r="J20" s="103"/>
      <c r="K20" s="104" t="s">
        <v>33</v>
      </c>
      <c r="L20" s="104" t="s">
        <v>17</v>
      </c>
      <c r="M20" s="104">
        <f>IF(L20="YES",O12,IF(L20="NO",0))</f>
        <v>0</v>
      </c>
      <c r="N20" s="34">
        <f>B8-M20</f>
        <v>93900</v>
      </c>
      <c r="O20" s="187"/>
      <c r="P20" s="191"/>
      <c r="T20" s="1">
        <f>1992+1084</f>
        <v>3076</v>
      </c>
      <c r="U20" s="186"/>
      <c r="V20" s="2"/>
    </row>
    <row r="21" spans="1:23" ht="24.6" x14ac:dyDescent="0.4">
      <c r="A21" s="13">
        <f>A19+A20</f>
        <v>2957.85</v>
      </c>
      <c r="B21" s="37"/>
      <c r="C21" s="20"/>
      <c r="D21" s="37"/>
      <c r="E21" s="37"/>
      <c r="F21" s="37"/>
      <c r="G21" s="37"/>
      <c r="H21" s="37"/>
      <c r="I21" s="37"/>
      <c r="J21" s="190" t="s">
        <v>34</v>
      </c>
      <c r="K21" s="16" t="s">
        <v>139</v>
      </c>
      <c r="L21" s="16" t="s">
        <v>35</v>
      </c>
      <c r="M21" s="189" t="s">
        <v>80</v>
      </c>
      <c r="N21" s="188"/>
      <c r="O21" s="187"/>
      <c r="T21" s="1">
        <f>25973-12973</f>
        <v>13000</v>
      </c>
      <c r="U21" s="186">
        <f>M14+N7</f>
        <v>2992.6603446862496</v>
      </c>
    </row>
    <row r="22" spans="1:23" s="179" customFormat="1" ht="24.6" x14ac:dyDescent="0.4">
      <c r="A22" s="185"/>
      <c r="B22" s="184" t="s">
        <v>51</v>
      </c>
      <c r="C22" s="183"/>
      <c r="D22" s="183"/>
      <c r="E22" s="183"/>
      <c r="F22" s="183"/>
      <c r="G22" s="183"/>
      <c r="H22" s="183"/>
      <c r="I22" s="183"/>
      <c r="J22" s="183"/>
      <c r="K22" s="183"/>
      <c r="L22" s="183"/>
      <c r="M22" s="183"/>
      <c r="N22" s="182"/>
      <c r="O22" s="181"/>
      <c r="P22" s="180"/>
    </row>
    <row r="23" spans="1:23" s="168" customFormat="1" ht="26.4" x14ac:dyDescent="0.5">
      <c r="A23" s="175" t="s">
        <v>36</v>
      </c>
      <c r="B23" s="172" t="s">
        <v>138</v>
      </c>
      <c r="C23" s="169"/>
      <c r="D23" s="169"/>
      <c r="E23" s="169"/>
      <c r="F23" s="169"/>
      <c r="G23" s="169"/>
      <c r="H23" s="176"/>
      <c r="I23" s="176"/>
      <c r="J23" s="169"/>
      <c r="K23" s="169"/>
      <c r="L23" s="169"/>
      <c r="M23" s="169"/>
      <c r="N23" s="178"/>
      <c r="O23" s="170"/>
      <c r="P23" s="169"/>
    </row>
    <row r="24" spans="1:23" s="168" customFormat="1" ht="26.4" x14ac:dyDescent="0.5">
      <c r="A24" s="175" t="s">
        <v>36</v>
      </c>
      <c r="B24" s="172" t="s">
        <v>137</v>
      </c>
      <c r="C24" s="169"/>
      <c r="D24" s="169"/>
      <c r="E24" s="169"/>
      <c r="F24" s="169"/>
      <c r="G24" s="169"/>
      <c r="H24" s="177">
        <f>H7/365</f>
        <v>64.789169794520546</v>
      </c>
      <c r="I24" s="177">
        <f>H7+H12+H16</f>
        <v>25241.26494795</v>
      </c>
      <c r="J24" s="169"/>
      <c r="K24" s="169"/>
      <c r="L24" s="169"/>
      <c r="M24" s="169"/>
      <c r="N24" s="173"/>
      <c r="O24" s="170"/>
      <c r="P24" s="169">
        <f>1232+480</f>
        <v>1712</v>
      </c>
      <c r="T24" s="168">
        <f>88704/1.05</f>
        <v>84480</v>
      </c>
    </row>
    <row r="25" spans="1:23" s="168" customFormat="1" ht="26.4" x14ac:dyDescent="0.5">
      <c r="A25" s="175" t="s">
        <v>36</v>
      </c>
      <c r="B25" s="172" t="s">
        <v>136</v>
      </c>
      <c r="C25" s="169"/>
      <c r="D25" s="169"/>
      <c r="E25" s="169"/>
      <c r="F25" s="169"/>
      <c r="G25" s="169"/>
      <c r="H25" s="176"/>
      <c r="I25" s="176"/>
      <c r="J25" s="169"/>
      <c r="K25" s="169"/>
      <c r="L25" s="169"/>
      <c r="M25" s="169"/>
      <c r="N25" s="173"/>
      <c r="O25" s="170"/>
      <c r="P25" s="169"/>
      <c r="Q25" s="168">
        <f>79400-5233.33</f>
        <v>74166.67</v>
      </c>
      <c r="R25" s="168">
        <f>Q25*1.05</f>
        <v>77875.003500000006</v>
      </c>
      <c r="W25" s="168">
        <f>1999+1224</f>
        <v>3223</v>
      </c>
    </row>
    <row r="26" spans="1:23" s="168" customFormat="1" ht="26.4" x14ac:dyDescent="0.5">
      <c r="A26" s="175" t="s">
        <v>36</v>
      </c>
      <c r="B26" s="172" t="s">
        <v>135</v>
      </c>
      <c r="C26" s="169"/>
      <c r="D26" s="169"/>
      <c r="E26" s="169"/>
      <c r="F26" s="169"/>
      <c r="G26" s="169"/>
      <c r="H26" s="169"/>
      <c r="I26" s="169"/>
      <c r="J26" s="169"/>
      <c r="K26" s="169"/>
      <c r="L26" s="169"/>
      <c r="M26" s="169"/>
      <c r="N26" s="173"/>
      <c r="O26" s="170" t="s">
        <v>37</v>
      </c>
      <c r="P26" s="169"/>
      <c r="R26" s="168">
        <f>R25+2469</f>
        <v>80344.003500000006</v>
      </c>
    </row>
    <row r="27" spans="1:23" s="168" customFormat="1" ht="26.4" x14ac:dyDescent="0.5">
      <c r="A27" s="175" t="s">
        <v>36</v>
      </c>
      <c r="B27" s="172" t="s">
        <v>134</v>
      </c>
      <c r="C27" s="169"/>
      <c r="D27" s="169"/>
      <c r="E27" s="169"/>
      <c r="F27" s="169"/>
      <c r="G27" s="169"/>
      <c r="H27" s="169"/>
      <c r="I27" s="169"/>
      <c r="J27" s="169"/>
      <c r="K27" s="169"/>
      <c r="L27" s="169"/>
      <c r="M27" s="169"/>
      <c r="N27" s="173"/>
      <c r="O27" s="170">
        <f>129500-110900</f>
        <v>18600</v>
      </c>
      <c r="P27" s="169"/>
      <c r="W27" s="174">
        <f>N7+L14</f>
        <v>3957.3035942081242</v>
      </c>
    </row>
    <row r="28" spans="1:23" s="168" customFormat="1" ht="26.4" x14ac:dyDescent="0.5">
      <c r="B28" s="172" t="s">
        <v>133</v>
      </c>
      <c r="C28" s="169"/>
      <c r="D28" s="169"/>
      <c r="E28" s="169"/>
      <c r="F28" s="169"/>
      <c r="G28" s="169"/>
      <c r="H28" s="169"/>
      <c r="I28" s="169"/>
      <c r="J28" s="169"/>
      <c r="K28" s="169"/>
      <c r="L28" s="169"/>
      <c r="M28" s="169"/>
      <c r="N28" s="173"/>
      <c r="O28" s="170">
        <f>85000-69900</f>
        <v>15100</v>
      </c>
      <c r="P28" s="169"/>
    </row>
    <row r="29" spans="1:23" s="168" customFormat="1" ht="26.4" x14ac:dyDescent="0.5">
      <c r="B29" s="172" t="s">
        <v>132</v>
      </c>
      <c r="C29" s="169"/>
      <c r="D29" s="169"/>
      <c r="E29" s="169"/>
      <c r="F29" s="169"/>
      <c r="G29" s="169"/>
      <c r="H29" s="169"/>
      <c r="I29" s="169"/>
      <c r="J29" s="169"/>
      <c r="K29" s="169"/>
      <c r="L29" s="169"/>
      <c r="M29" s="169"/>
      <c r="N29" s="171"/>
      <c r="O29" s="170"/>
      <c r="P29" s="169"/>
    </row>
    <row r="30" spans="1:23" x14ac:dyDescent="0.3">
      <c r="B30" s="167" t="s">
        <v>38</v>
      </c>
      <c r="C30" s="166"/>
      <c r="D30" s="166"/>
      <c r="E30" s="166"/>
      <c r="F30" s="166"/>
      <c r="G30" s="166"/>
      <c r="H30" s="166"/>
      <c r="I30" s="166"/>
      <c r="J30" s="166"/>
      <c r="K30" s="166"/>
      <c r="L30" s="166"/>
      <c r="M30" s="166"/>
      <c r="N30" s="165"/>
      <c r="O30" s="147"/>
    </row>
    <row r="31" spans="1:23" x14ac:dyDescent="0.3">
      <c r="B31" s="146"/>
      <c r="C31" s="145"/>
      <c r="D31" s="145"/>
      <c r="E31" s="145"/>
      <c r="F31" s="145"/>
      <c r="G31" s="145"/>
      <c r="H31" s="145"/>
      <c r="I31" s="145"/>
      <c r="J31" s="145"/>
      <c r="K31" s="145"/>
      <c r="L31" s="145"/>
      <c r="M31" s="145"/>
      <c r="N31" s="144"/>
      <c r="O31" s="147"/>
    </row>
    <row r="32" spans="1:23" s="86" customFormat="1" ht="20.399999999999999" x14ac:dyDescent="0.35">
      <c r="B32" s="118" t="s">
        <v>39</v>
      </c>
      <c r="C32" s="119"/>
      <c r="D32" s="119"/>
      <c r="E32" s="119"/>
      <c r="F32" s="119"/>
      <c r="G32" s="119"/>
      <c r="H32" s="119"/>
      <c r="I32" s="119"/>
      <c r="J32" s="119"/>
      <c r="K32" s="119"/>
      <c r="L32" s="119"/>
      <c r="M32" s="119"/>
      <c r="N32" s="120"/>
      <c r="O32" s="92"/>
      <c r="P32" s="83"/>
    </row>
    <row r="33" spans="2:16" s="86" customFormat="1" ht="20.399999999999999" x14ac:dyDescent="0.35">
      <c r="B33" s="118" t="s">
        <v>40</v>
      </c>
      <c r="C33" s="119"/>
      <c r="D33" s="119"/>
      <c r="E33" s="119"/>
      <c r="F33" s="119"/>
      <c r="G33" s="119"/>
      <c r="H33" s="119"/>
      <c r="I33" s="119"/>
      <c r="J33" s="119"/>
      <c r="K33" s="119"/>
      <c r="L33" s="119"/>
      <c r="M33" s="119"/>
      <c r="N33" s="120"/>
      <c r="O33" s="92"/>
      <c r="P33" s="83"/>
    </row>
    <row r="34" spans="2:16" s="86" customFormat="1" ht="20.399999999999999" x14ac:dyDescent="0.35">
      <c r="B34" s="107" t="s">
        <v>131</v>
      </c>
      <c r="C34" s="108"/>
      <c r="D34" s="108"/>
      <c r="E34" s="108"/>
      <c r="F34" s="108"/>
      <c r="G34" s="164" t="s">
        <v>130</v>
      </c>
      <c r="H34" s="164"/>
      <c r="I34" s="163"/>
      <c r="J34" s="163"/>
      <c r="K34" s="163"/>
      <c r="L34" s="163"/>
      <c r="M34" s="162" t="s">
        <v>129</v>
      </c>
      <c r="N34" s="161"/>
      <c r="O34" s="83"/>
      <c r="P34" s="83"/>
    </row>
    <row r="35" spans="2:16" x14ac:dyDescent="0.3">
      <c r="B35" s="160"/>
      <c r="C35" s="159"/>
      <c r="D35" s="159"/>
      <c r="E35" s="159"/>
      <c r="F35" s="159"/>
      <c r="G35" s="159"/>
      <c r="H35" s="159"/>
      <c r="I35" s="159"/>
      <c r="J35" s="159"/>
      <c r="K35" s="159"/>
      <c r="L35" s="159"/>
      <c r="M35" s="159"/>
      <c r="N35" s="158"/>
    </row>
    <row r="36" spans="2:16" x14ac:dyDescent="0.3">
      <c r="B36" s="160"/>
      <c r="C36" s="159"/>
      <c r="D36" s="159"/>
      <c r="E36" s="159"/>
      <c r="F36" s="159"/>
      <c r="G36" s="159"/>
      <c r="H36" s="159"/>
      <c r="I36" s="159"/>
      <c r="J36" s="159"/>
      <c r="K36" s="159"/>
      <c r="L36" s="159"/>
      <c r="M36" s="159"/>
      <c r="N36" s="158"/>
    </row>
    <row r="37" spans="2:16" x14ac:dyDescent="0.3">
      <c r="B37" s="160"/>
      <c r="C37" s="159"/>
      <c r="D37" s="159"/>
      <c r="E37" s="159"/>
      <c r="F37" s="159"/>
      <c r="G37" s="159"/>
      <c r="H37" s="159"/>
      <c r="I37" s="159"/>
      <c r="J37" s="159"/>
      <c r="K37" s="159"/>
      <c r="L37" s="159"/>
      <c r="M37" s="159"/>
      <c r="N37" s="158"/>
    </row>
    <row r="38" spans="2:16" ht="16.8" x14ac:dyDescent="0.3">
      <c r="B38" s="149" t="s">
        <v>128</v>
      </c>
      <c r="C38" s="157"/>
      <c r="D38" s="154"/>
      <c r="E38" s="151"/>
      <c r="F38" s="151"/>
      <c r="G38" s="151"/>
      <c r="H38" s="151"/>
      <c r="I38" s="151"/>
      <c r="J38" s="152"/>
      <c r="K38" s="151"/>
      <c r="L38" s="151"/>
      <c r="M38" s="151"/>
      <c r="N38" s="156"/>
    </row>
    <row r="39" spans="2:16" ht="16.8" x14ac:dyDescent="0.3">
      <c r="B39" s="149" t="s">
        <v>127</v>
      </c>
      <c r="C39" s="155"/>
      <c r="D39" s="154"/>
      <c r="E39" s="151"/>
      <c r="F39" s="151"/>
      <c r="G39" s="151"/>
      <c r="H39" s="151"/>
      <c r="I39" s="151"/>
      <c r="J39" s="152"/>
      <c r="K39" s="151"/>
      <c r="L39" s="151"/>
      <c r="M39" s="151"/>
      <c r="N39" s="150"/>
    </row>
    <row r="40" spans="2:16" ht="16.8" x14ac:dyDescent="0.3">
      <c r="B40" s="149" t="s">
        <v>126</v>
      </c>
      <c r="C40" s="153"/>
      <c r="D40" s="151"/>
      <c r="E40" s="151"/>
      <c r="F40" s="151"/>
      <c r="G40" s="151"/>
      <c r="H40" s="151"/>
      <c r="I40" s="151"/>
      <c r="J40" s="152"/>
      <c r="K40" s="151"/>
      <c r="L40" s="151"/>
      <c r="M40" s="151"/>
      <c r="N40" s="150"/>
    </row>
    <row r="41" spans="2:16" ht="16.8" x14ac:dyDescent="0.3">
      <c r="B41" s="149" t="s">
        <v>125</v>
      </c>
      <c r="N41" s="148"/>
    </row>
    <row r="42" spans="2:16" ht="16.8" x14ac:dyDescent="0.3">
      <c r="B42" s="149" t="s">
        <v>124</v>
      </c>
      <c r="N42" s="148"/>
    </row>
    <row r="43" spans="2:16" ht="16.8" x14ac:dyDescent="0.3">
      <c r="B43" s="149" t="s">
        <v>123</v>
      </c>
      <c r="N43" s="148"/>
    </row>
    <row r="44" spans="2:16" ht="16.8" x14ac:dyDescent="0.3">
      <c r="B44" s="149" t="s">
        <v>122</v>
      </c>
      <c r="N44" s="148"/>
    </row>
    <row r="45" spans="2:16" ht="16.8" x14ac:dyDescent="0.3">
      <c r="B45" s="149" t="s">
        <v>121</v>
      </c>
      <c r="N45" s="148"/>
    </row>
    <row r="46" spans="2:16" ht="16.8" x14ac:dyDescent="0.3">
      <c r="B46" s="149" t="s">
        <v>120</v>
      </c>
      <c r="N46" s="148"/>
    </row>
    <row r="47" spans="2:16" x14ac:dyDescent="0.3">
      <c r="B47" s="146" t="s">
        <v>39</v>
      </c>
      <c r="C47" s="145"/>
      <c r="D47" s="145"/>
      <c r="E47" s="145"/>
      <c r="F47" s="145"/>
      <c r="G47" s="145"/>
      <c r="H47" s="145"/>
      <c r="I47" s="145"/>
      <c r="J47" s="145"/>
      <c r="K47" s="145"/>
      <c r="L47" s="145"/>
      <c r="M47" s="145"/>
      <c r="N47" s="144"/>
      <c r="O47" s="147"/>
    </row>
    <row r="48" spans="2:16" x14ac:dyDescent="0.3">
      <c r="B48" s="146" t="s">
        <v>40</v>
      </c>
      <c r="C48" s="145"/>
      <c r="D48" s="145"/>
      <c r="E48" s="145"/>
      <c r="F48" s="145"/>
      <c r="G48" s="145"/>
      <c r="H48" s="145"/>
      <c r="I48" s="145"/>
      <c r="J48" s="145"/>
      <c r="K48" s="145"/>
      <c r="L48" s="145"/>
      <c r="M48" s="145"/>
      <c r="N48" s="144"/>
      <c r="O48" s="147"/>
    </row>
    <row r="49" spans="2:14" x14ac:dyDescent="0.3">
      <c r="B49" s="146" t="s">
        <v>119</v>
      </c>
      <c r="C49" s="145"/>
      <c r="D49" s="145"/>
      <c r="E49" s="145"/>
      <c r="F49" s="145"/>
      <c r="G49" s="145"/>
      <c r="H49" s="145"/>
      <c r="I49" s="145"/>
      <c r="J49" s="145"/>
      <c r="K49" s="145"/>
      <c r="L49" s="145"/>
      <c r="M49" s="145"/>
      <c r="N49" s="144"/>
    </row>
    <row r="50" spans="2:14" ht="25.8" x14ac:dyDescent="0.3">
      <c r="C50" s="15" t="s">
        <v>41</v>
      </c>
    </row>
    <row r="51" spans="2:14" ht="25.8" x14ac:dyDescent="0.3">
      <c r="C51" s="15" t="s">
        <v>42</v>
      </c>
    </row>
    <row r="52" spans="2:14" ht="25.8" x14ac:dyDescent="0.3">
      <c r="C52" s="15" t="s">
        <v>43</v>
      </c>
    </row>
    <row r="53" spans="2:14" ht="25.8" x14ac:dyDescent="0.3">
      <c r="C53" s="15" t="s">
        <v>44</v>
      </c>
    </row>
    <row r="54" spans="2:14" ht="25.8" x14ac:dyDescent="0.3">
      <c r="C54" s="15" t="s">
        <v>45</v>
      </c>
    </row>
  </sheetData>
  <dataConsolidate/>
  <mergeCells count="11">
    <mergeCell ref="F8:G8"/>
    <mergeCell ref="F9:G9"/>
    <mergeCell ref="G19:I19"/>
    <mergeCell ref="B22:N22"/>
    <mergeCell ref="B30:N30"/>
    <mergeCell ref="B32:N32"/>
    <mergeCell ref="B33:N33"/>
    <mergeCell ref="B47:N47"/>
    <mergeCell ref="B48:N48"/>
    <mergeCell ref="B49:N49"/>
    <mergeCell ref="B31:N31"/>
  </mergeCells>
  <dataValidations count="11">
    <dataValidation type="list" allowBlank="1" showInputMessage="1" showErrorMessage="1" sqref="H34" xr:uid="{B28EDD70-9BCD-4A01-B71C-7B31CBD2DBB2}">
      <formula1>"ALAA HAMMAD,KHALED QASSEM,RAMY RAOUF,SIMON LOBO,MHAREN CLEMENTE GARADO"</formula1>
    </dataValidation>
    <dataValidation type="list" allowBlank="1" showInputMessage="1" showErrorMessage="1" sqref="M34" xr:uid="{5A6541B8-AB59-4332-AE52-C3DB6EE097A1}">
      <formula1>"Alaa Hammad,Bachir Ibrahim Mourad,Khaled Qassem,Ramy Raoof,Simon Lobo,Mharen Clemente Garado,Ranjith"</formula1>
    </dataValidation>
    <dataValidation type="list" allowBlank="1" showInputMessage="1" showErrorMessage="1" sqref="B11" xr:uid="{84D77010-ABB9-47D4-9285-2F80FBF5B74D}">
      <formula1>"FO Ceramic+ Intr&amp;Extr CeramicGold WdwTnt,FO Mirror Camera Sensor"</formula1>
    </dataValidation>
    <dataValidation type="list" allowBlank="1" showInputMessage="1" showErrorMessage="1" sqref="B12" xr:uid="{40617387-4730-44D4-AF35-D751C372E408}">
      <formula1>"FO Exterior ceramic All Cars SCOTCHGUARD,FO Mirror Camera Sensor,FO PPF Gold Package "</formula1>
    </dataValidation>
    <dataValidation type="list" allowBlank="1" showInputMessage="1" showErrorMessage="1" sqref="K20" xr:uid="{5EAB25B4-2CE8-4F79-966A-EF7205C7B083}">
      <formula1>"Esaad,Emirates Platinum,Fazaa,Humat Alwatan,Permissible,ASX,XPMLP,XP,MON,MON G57,OUT,F08,P08,F06,P06,F03,F03-1,P03,EC,G37,G38,G40,G43"</formula1>
    </dataValidation>
    <dataValidation type="list" allowBlank="1" showInputMessage="1" showErrorMessage="1" sqref="B16" xr:uid="{539FECEE-ABDA-426F-80D8-BEEBBBE6DA30}">
      <formula1>"RMC-10-40KMS,RMC-10-60KMS,RMC-10-70KMS,RMC-10-100000KMS,RMC-40-70KMS,RMC-40-100000KMS"</formula1>
    </dataValidation>
    <dataValidation type="list" allowBlank="1" showInputMessage="1" showErrorMessage="1" sqref="K24" xr:uid="{21899F88-BA08-4FAC-93F4-E5F98EAE5C4B}">
      <formula1>"RMC-10-70K,RMC-10-100000K,RMC-40-70K"</formula1>
    </dataValidation>
    <dataValidation type="list" allowBlank="1" showInputMessage="1" showErrorMessage="1" sqref="D5" xr:uid="{9346AE89-61BA-4B24-B5CD-B36F8E80E93E}">
      <formula1>"MIG09,MIG10,H16,P16,H17,H48,H43,H40,H42,H44,H45,H38,H37,EH40,EH43,ML,HL,PR, MLP,HLP,PRP,XPML,XPHL,XPMLP, XPMLP-01,XC, G10,P10, G03, P03, G06,P06,G12,P12,G05,P05,G08,P08,G09,P09,H57,P57,H64,H59,P59,H61,P61"</formula1>
    </dataValidation>
    <dataValidation type="list" allowBlank="1" showInputMessage="1" showErrorMessage="1" sqref="M21" xr:uid="{F9C4F9E3-5B28-4527-9CE4-F61417F1EBDB}">
      <formula1>"3000-4999,5000-9999,5000-99999,10000-14999,15000-24999,25000-34999,35000-99999,5000-11999,12000-19999,20000-39999,40000-69999,70000-99999"</formula1>
    </dataValidation>
    <dataValidation type="list" allowBlank="1" showInputMessage="1" showErrorMessage="1" sqref="C10:C16 L20 L24:L25 G14:G15 J10" xr:uid="{6A58FECB-F758-4681-86B1-56D462E09D3E}">
      <formula1>"YES,NO"</formula1>
    </dataValidation>
    <dataValidation type="list" allowBlank="1" showInputMessage="1" showErrorMessage="1" sqref="K21" xr:uid="{6953C8E2-2276-48F2-BF9B-CE54B5DE58CC}">
      <formula1>"ADCB,ADCB PAY IN 2027,Ajman Bank,ADIB,DIB EXPAT,DIB LOCAL GVH,Emirates NBD,EIB,FAB,RAK,SIB STL,SIB NON STL"</formula1>
    </dataValidation>
  </dataValidations>
  <pageMargins left="0.23622047244094491" right="0.23622047244094491" top="0.74803149606299213" bottom="0.74803149606299213" header="0.31496062992125984" footer="0.31496062992125984"/>
  <pageSetup paperSize="9" scale="40" orientation="landscape" horizontalDpi="4294967295" verticalDpi="4294967295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E79EA1-A41F-44EA-A36C-FCE0CABDBC97}">
  <sheetPr>
    <pageSetUpPr fitToPage="1"/>
  </sheetPr>
  <dimension ref="A1:AA54"/>
  <sheetViews>
    <sheetView topLeftCell="B34" zoomScaleNormal="100" workbookViewId="0">
      <selection activeCell="D5" sqref="D5"/>
    </sheetView>
  </sheetViews>
  <sheetFormatPr defaultColWidth="9.109375" defaultRowHeight="15.6" x14ac:dyDescent="0.3"/>
  <cols>
    <col min="1" max="1" width="16" style="1" hidden="1" customWidth="1"/>
    <col min="2" max="2" width="75.109375" style="2" customWidth="1"/>
    <col min="3" max="3" width="26.88671875" style="3" customWidth="1"/>
    <col min="4" max="4" width="23.88671875" style="2" customWidth="1"/>
    <col min="5" max="5" width="23.33203125" style="2" customWidth="1"/>
    <col min="6" max="6" width="19.88671875" style="2" customWidth="1"/>
    <col min="7" max="7" width="23.33203125" style="2" customWidth="1"/>
    <col min="8" max="8" width="24.44140625" style="2" customWidth="1"/>
    <col min="9" max="9" width="27.109375" style="2" customWidth="1"/>
    <col min="10" max="10" width="26.6640625" style="2" customWidth="1"/>
    <col min="11" max="11" width="25.44140625" style="2" customWidth="1"/>
    <col min="12" max="12" width="20.5546875" style="2" customWidth="1"/>
    <col min="13" max="13" width="20.109375" style="2" customWidth="1"/>
    <col min="14" max="14" width="19.5546875" style="2" customWidth="1"/>
    <col min="15" max="15" width="15.109375" style="2" bestFit="1" customWidth="1"/>
    <col min="16" max="16" width="12.6640625" style="2" hidden="1" customWidth="1"/>
    <col min="17" max="17" width="12.6640625" style="1" hidden="1" customWidth="1"/>
    <col min="18" max="18" width="15.6640625" style="1" hidden="1" customWidth="1"/>
    <col min="19" max="19" width="13" style="1" hidden="1" customWidth="1"/>
    <col min="20" max="20" width="17.109375" style="1" hidden="1" customWidth="1"/>
    <col min="21" max="21" width="14.5546875" style="1" bestFit="1" customWidth="1"/>
    <col min="22" max="22" width="19" style="1" customWidth="1"/>
    <col min="23" max="23" width="22.5546875" style="1" bestFit="1" customWidth="1"/>
    <col min="24" max="25" width="9.109375" style="1"/>
    <col min="26" max="26" width="14" style="1" bestFit="1" customWidth="1"/>
    <col min="27" max="27" width="22.33203125" style="1" bestFit="1" customWidth="1"/>
    <col min="28" max="16384" width="9.109375" style="1"/>
  </cols>
  <sheetData>
    <row r="1" spans="1:27" ht="15.75" customHeight="1" x14ac:dyDescent="0.3">
      <c r="B1" s="222" t="s">
        <v>148</v>
      </c>
      <c r="C1" s="221"/>
      <c r="D1" s="221"/>
      <c r="E1" s="221"/>
      <c r="F1" s="221"/>
      <c r="G1" s="221"/>
      <c r="H1" s="221"/>
      <c r="I1" s="221"/>
      <c r="J1" s="221"/>
      <c r="K1" s="221"/>
      <c r="L1" s="221"/>
      <c r="M1" s="221"/>
      <c r="N1" s="220"/>
    </row>
    <row r="2" spans="1:27" ht="15.75" customHeight="1" x14ac:dyDescent="0.3">
      <c r="B2" s="219" t="s">
        <v>147</v>
      </c>
      <c r="C2" s="218"/>
      <c r="D2" s="218"/>
      <c r="E2" s="218"/>
      <c r="F2" s="218"/>
      <c r="G2" s="218"/>
      <c r="H2" s="218"/>
      <c r="I2" s="218"/>
      <c r="J2" s="218"/>
      <c r="K2" s="218"/>
      <c r="L2" s="218"/>
      <c r="M2" s="218"/>
      <c r="N2" s="217"/>
      <c r="Q2" s="2"/>
      <c r="S2" s="186"/>
    </row>
    <row r="3" spans="1:27" ht="15.75" customHeight="1" x14ac:dyDescent="0.3">
      <c r="B3" s="219" t="s">
        <v>146</v>
      </c>
      <c r="C3" s="218"/>
      <c r="D3" s="218"/>
      <c r="E3" s="218"/>
      <c r="F3" s="218"/>
      <c r="G3" s="218"/>
      <c r="H3" s="218"/>
      <c r="I3" s="218"/>
      <c r="J3" s="218"/>
      <c r="K3" s="218"/>
      <c r="L3" s="218"/>
      <c r="M3" s="218"/>
      <c r="N3" s="217"/>
      <c r="O3" s="3"/>
      <c r="P3" s="3"/>
      <c r="Q3" s="153"/>
      <c r="R3" s="153"/>
      <c r="S3" s="216" t="e">
        <f>N7+J14</f>
        <v>#VALUE!</v>
      </c>
      <c r="T3" s="216"/>
      <c r="U3" s="153"/>
      <c r="V3" s="153"/>
      <c r="W3" s="153"/>
      <c r="AA3" s="1">
        <f>273000/5</f>
        <v>54600</v>
      </c>
    </row>
    <row r="4" spans="1:27" ht="15.75" customHeight="1" x14ac:dyDescent="0.3">
      <c r="B4" s="215"/>
      <c r="C4" s="214"/>
      <c r="D4" s="214"/>
      <c r="E4" s="214"/>
      <c r="F4" s="214"/>
      <c r="G4" s="214"/>
      <c r="H4" s="214"/>
      <c r="I4" s="214"/>
      <c r="J4" s="214"/>
      <c r="K4" s="214"/>
      <c r="L4" s="214"/>
      <c r="M4" s="214"/>
      <c r="N4" s="213"/>
      <c r="O4" s="212" t="s">
        <v>0</v>
      </c>
      <c r="P4" s="212"/>
      <c r="Q4" s="210"/>
      <c r="R4" s="210"/>
      <c r="S4" s="211"/>
      <c r="T4" s="211"/>
      <c r="U4" s="210" t="s">
        <v>1</v>
      </c>
      <c r="V4" s="210" t="s">
        <v>2</v>
      </c>
      <c r="W4" s="210" t="s">
        <v>3</v>
      </c>
    </row>
    <row r="5" spans="1:27" ht="25.2" thickBot="1" x14ac:dyDescent="0.45">
      <c r="B5" s="17"/>
      <c r="C5" s="18" t="str">
        <f>IF(D5="MIG09","Mirage G09",IF(D5="MIG10","MirageG10",IF(D5="H16","Attrage H16",IF(D5="P16","Attrage P16",IF(D5="H17","Attrage H17",IF(D5="H48","ASX H48",IF(D5="H43","ASX H43",IF(D5="H40","ASX H40",IF(D5="H42","ASX H42",IF(D5="H44","ASX H44",IF(D5="H45","ASX H45",IF(D5="H38","Eclipse H38",IF(D5="H37","Eclipse H37",IF(D5="EH40","Eclipse H40",IF(D5="EH43","Eclipse H43",IF(D5="XPML","Xpander ML",IF(D5="ML","Destinator ML",IF(D5="HL","Destinator HL",IF(D5="PR","Destinator PR",IF(D5="MLP","Destinator MLP",IF(D5="HLP","Destinator HLP",IF(D5="PRP","Destinator PRP",IF(D5="XPHL","Xpander HL",IF(D5="XPMLP","Xpander ML P",IF(D5="XPMLP-01","Xpander ML P-01",IF(D5="XC","Xpander Cross",IF(D5="G03","Outlander G03",IF(D5="P03","Outlander P03",IF(D5="G06","Outlander G06",IF(D5="P06","Outlander P06",IF(D5="OTP06-01","Outlander P06-01",IF(D5="G08","Outlander G08",IF(D5="P08","Outlander P08",IF(D5="H57","Montero H57",IF(D5="P57","Montero P57",IF(D5="H64","Montero G64",IF(D5="H59","Montero G59",IF(D5="P59","Montero G59 P",IF(D5="H61","Montero G61",IF(D5="P61","Montero P61",IF(D5="G10","Outlander G10",IF(D5="P10","Outlander P10",IF(D5="G12","Outlander G12",IF(D5="P12","Outlander P12",IF(D5="G05","Outlander G05",IF(D5="P05","Outlander P05",IF(D5="G09","Outlander G09",IF(D5="P09","Outlander P09",))))))))))))))))))))))))))))))))))))))))))))))))</f>
        <v>Outlander G10</v>
      </c>
      <c r="D5" s="19" t="s">
        <v>172</v>
      </c>
      <c r="E5" s="20" t="s">
        <v>145</v>
      </c>
      <c r="F5" s="37"/>
      <c r="G5" s="37"/>
      <c r="H5" s="37"/>
      <c r="I5" s="20"/>
      <c r="J5" s="34"/>
      <c r="K5" s="209">
        <v>0</v>
      </c>
      <c r="L5" s="208">
        <v>3.39E-2</v>
      </c>
      <c r="M5" s="208">
        <v>6.7799999999999999E-2</v>
      </c>
      <c r="N5" s="208">
        <v>0.1017</v>
      </c>
      <c r="O5" s="147">
        <f>K7+K14</f>
        <v>10754.509277242501</v>
      </c>
      <c r="S5" s="186"/>
      <c r="U5" s="186">
        <f>L7+L14</f>
        <v>4440.1631621331253</v>
      </c>
      <c r="V5" s="186">
        <f>M7+M14</f>
        <v>3002.5829559862505</v>
      </c>
      <c r="W5" s="186">
        <f>N7+N14</f>
        <v>2110.6833871331251</v>
      </c>
    </row>
    <row r="6" spans="1:27" s="5" customFormat="1" ht="99" thickBot="1" x14ac:dyDescent="0.35">
      <c r="A6" s="4" t="s">
        <v>4</v>
      </c>
      <c r="B6" s="26" t="s">
        <v>5</v>
      </c>
      <c r="C6" s="27" t="s">
        <v>6</v>
      </c>
      <c r="D6" s="27" t="s">
        <v>144</v>
      </c>
      <c r="E6" s="27" t="s">
        <v>7</v>
      </c>
      <c r="F6" s="27" t="s">
        <v>8</v>
      </c>
      <c r="G6" s="28" t="s">
        <v>9</v>
      </c>
      <c r="H6" s="28" t="s">
        <v>143</v>
      </c>
      <c r="I6" s="28" t="s">
        <v>10</v>
      </c>
      <c r="J6" s="28" t="s">
        <v>142</v>
      </c>
      <c r="K6" s="28" t="s">
        <v>11</v>
      </c>
      <c r="L6" s="28" t="s">
        <v>12</v>
      </c>
      <c r="M6" s="28" t="s">
        <v>13</v>
      </c>
      <c r="N6" s="28" t="s">
        <v>14</v>
      </c>
      <c r="O6" s="207"/>
      <c r="P6" s="206"/>
      <c r="T6" s="205"/>
      <c r="U6" s="205">
        <f>N7+L14</f>
        <v>3508.3712521331254</v>
      </c>
      <c r="V6" s="205">
        <f>N7+K14</f>
        <v>8657.9774797424998</v>
      </c>
      <c r="W6" s="205" t="e">
        <f>N7+J14</f>
        <v>#VALUE!</v>
      </c>
    </row>
    <row r="7" spans="1:27" ht="25.2" thickBot="1" x14ac:dyDescent="0.45">
      <c r="A7" s="6">
        <f>B8</f>
        <v>81900</v>
      </c>
      <c r="B7" s="29">
        <f>IF(L20="YES",C8*1,IF(L20="NO",B8*1))</f>
        <v>81900</v>
      </c>
      <c r="C7" s="29">
        <f>B7*5/100</f>
        <v>4095</v>
      </c>
      <c r="D7" s="203">
        <f>B7+C7</f>
        <v>85995</v>
      </c>
      <c r="E7" s="29">
        <f>D17</f>
        <v>18261.589875000001</v>
      </c>
      <c r="F7" s="29">
        <f>(C7)+(D10+D11+D12+D13+D16)*5/100</f>
        <v>4665</v>
      </c>
      <c r="G7" s="30">
        <f>B7+E7+F7</f>
        <v>104826.58987500001</v>
      </c>
      <c r="H7" s="29">
        <f>G7*D20</f>
        <v>20965.317975000002</v>
      </c>
      <c r="I7" s="30">
        <f>(G7-H7)</f>
        <v>83861.271900000007</v>
      </c>
      <c r="J7" s="30">
        <f>(((I7*D19)*1)+I7)/12</f>
        <v>7260.2896147425008</v>
      </c>
      <c r="K7" s="30">
        <f>(((I7*D19)*2)+I7)/24</f>
        <v>3766.0699522425002</v>
      </c>
      <c r="L7" s="30">
        <f>(((I7*D19)*3)+I7)/36</f>
        <v>2601.3300647425003</v>
      </c>
      <c r="M7" s="30">
        <f>(((I7*D19)*4)+I7)/48</f>
        <v>2018.9601209925002</v>
      </c>
      <c r="N7" s="30">
        <f>((((I7*D19)*5)+I7)/60)</f>
        <v>1669.5381547425</v>
      </c>
      <c r="O7" s="147"/>
      <c r="P7" s="2">
        <f>H7+H16</f>
        <v>21845.861329950003</v>
      </c>
      <c r="T7" s="186">
        <f>25973/2</f>
        <v>12986.5</v>
      </c>
    </row>
    <row r="8" spans="1:27" ht="24.6" x14ac:dyDescent="0.4">
      <c r="A8" s="7">
        <v>0.2</v>
      </c>
      <c r="B8" s="31">
        <f>IF(D5="MIG09",39900,IF(D5="MIG10",41900,IF(D5="H16",41900,IF(D5="P16",47400,IF(D5="H17",47900,IF(D5="H48",67900,IF(D5="H43",70900,IF(D5="H40",72900,IF(D5="H42",74900,IF(D5="H44",73900,IF(D5="H45",79900,IF(D5="H38",86900,IF(D5="H37",79900,IF(D5="EH40",99900,IF(D5="EH43",106900,IF(D5="ML",71900,IF(D5="HL",83900,IF(D5="PR",95900,IF(D5="MLP",80900,IF(D5="HLP",91900,IF(D5="PRP",102900,IF(D5="XPML",69900,IF(D5="XPHL",71000,IF(D5="XPMLP",75900,IF(D5="XPMLP-01",77800,IF(D5="XC",84900,IF(D5="G10",81900,IF(D5="P10",93900,IF(D5="G12",97900,IF(D5="P12",105900,IF(D5="G05",104900,IF(D5="P05",105900,IF(D5="G03",92900,IF(D5="P03",100900,IF(D5="G06",109900,IF(D5="P06",114900,IF(D5="OTP06-01",118900,IF(D5="G08",125900,IF(D5="P08",132900,IF(D5="OTP06-01",109900,IF(D5="G09",129900,IF(D5="P09",134900,IF(D5="H57",105900,IF(D5="P57",113900,IF(D5="H64",116900,IF(D5="H59",127900,IF(D5="P59",134900,IF(D5="H61",134900,IF(D5="P61",138900)))))))))))))))))))))))))))))))))))))))))))))))))</f>
        <v>81900</v>
      </c>
      <c r="C8" s="32">
        <f>IF(L20="YES",N20,IF(L20="NO",N20))</f>
        <v>81900</v>
      </c>
      <c r="D8" s="29">
        <v>0</v>
      </c>
      <c r="E8" s="33"/>
      <c r="F8" s="139"/>
      <c r="G8" s="140"/>
      <c r="H8" s="110">
        <f>G7*20/100</f>
        <v>20965.317975000002</v>
      </c>
      <c r="I8" s="34"/>
      <c r="J8" s="34" t="s">
        <v>15</v>
      </c>
      <c r="K8" s="34">
        <f>(I7*K5+I7)/24</f>
        <v>3494.2196625000001</v>
      </c>
      <c r="L8" s="34">
        <f>(I7*L5+I7)/36</f>
        <v>2408.4491393725002</v>
      </c>
      <c r="M8" s="34">
        <f>(I7*M5+I7)/48</f>
        <v>1865.5638778087502</v>
      </c>
      <c r="N8" s="34">
        <f>(I7*N5+I7)/60</f>
        <v>1539.8327208705002</v>
      </c>
      <c r="O8" s="147">
        <v>0</v>
      </c>
      <c r="P8" s="2">
        <f>P7/12</f>
        <v>1820.4884441625002</v>
      </c>
      <c r="T8" s="1">
        <f>25973-12973</f>
        <v>13000</v>
      </c>
    </row>
    <row r="9" spans="1:27" ht="24.6" x14ac:dyDescent="0.4">
      <c r="A9" s="8">
        <f>B8/(100%-A8)</f>
        <v>102375</v>
      </c>
      <c r="B9" s="109">
        <f>B7-B8</f>
        <v>0</v>
      </c>
      <c r="C9" s="109"/>
      <c r="D9" s="36"/>
      <c r="E9" s="33"/>
      <c r="F9" s="139"/>
      <c r="G9" s="140"/>
      <c r="H9" s="33"/>
      <c r="I9" s="37" t="s">
        <v>16</v>
      </c>
      <c r="J9" s="38">
        <f>(J7*12)-I7</f>
        <v>3262.2034769099992</v>
      </c>
      <c r="K9" s="38">
        <f>(K7*24)-I7</f>
        <v>6524.4069538199983</v>
      </c>
      <c r="L9" s="38">
        <f>(L7*36)-I7</f>
        <v>9786.6104307299975</v>
      </c>
      <c r="M9" s="38">
        <f>(M7*48)-I7</f>
        <v>13048.813907639997</v>
      </c>
      <c r="N9" s="38">
        <f>(N7*60)-I7</f>
        <v>16311.017384549996</v>
      </c>
      <c r="O9" s="147"/>
      <c r="T9" s="1">
        <f>T8/12</f>
        <v>1083.3333333333333</v>
      </c>
      <c r="Z9" s="1" t="s">
        <v>86</v>
      </c>
    </row>
    <row r="10" spans="1:27" ht="24.6" x14ac:dyDescent="0.4">
      <c r="A10" s="8"/>
      <c r="B10" s="37" t="s">
        <v>141</v>
      </c>
      <c r="C10" s="20" t="s">
        <v>17</v>
      </c>
      <c r="D10" s="36">
        <f>IF(C10="YES",700,IF(C10="NO",0))</f>
        <v>0</v>
      </c>
      <c r="E10" s="39"/>
      <c r="F10" s="40"/>
      <c r="G10" s="40"/>
      <c r="H10" s="33"/>
      <c r="I10" s="44" t="s">
        <v>85</v>
      </c>
      <c r="J10" s="117" t="s">
        <v>19</v>
      </c>
      <c r="K10" s="117">
        <f>IF(J10="YES",Z10,IF(J10="NO",0))</f>
        <v>1000</v>
      </c>
      <c r="L10" s="41">
        <f>(L8*36)-I7</f>
        <v>2842.8971174100006</v>
      </c>
      <c r="M10" s="41">
        <f>(M8*48)-I7</f>
        <v>5685.7942348200013</v>
      </c>
      <c r="N10" s="41">
        <f>(N8*60)-I7</f>
        <v>8528.6913522300019</v>
      </c>
      <c r="O10" s="147">
        <f>IF(D5="XC",3690,IF(D5="XPML",3690,IF(D5="XPHL",3690,IF(D5="XPMLP",3690,IF(D5="XPMLP-01",3690,IF(D5="Xpander P",3690,IF(D5="ML",3690,IF(D5="HL",3690,IF(D5="PR",(U19*3/100+510)*1.05,IF(D5="MLP",3690,IF(D5="HLP",(U19*3/100+510)*1.05,IF(D5="PRP",(U19*3/100+510)*1.05,IF(D5="H57",(U19*2.75/100+510)*1.05,IF(D5="P57",(U19*2.75/100+510)*1.05,IF(D5="H64",(U19*2.75/100+510)*1.05,IF(D5="H59",(U19*2.75/100+510)*1.05,IF(D5="P59",(U19*2.75/100+510)*1.05,IF(D5="H61",(U19*2.75/100+510)*1.05,IF(D5="P61",(U19*2.75/100+510)*1.05,IF(D5="G03",(U19*3/100+510)*1.05,IF(D5="G10",(U19*3/100+510)*1.05,IF(D5="P10",(U19*3/100+510)*1.05,IF(D5="G12",(U19*3/100+510)*1.05,IF(D5="P12",(U19*3/100+510)*1.05,IF(D5="G05",(U19*3/100+510)*1.05,IF(D5="P05",(U19*3/100+510)*1.05,IF(D5="P03",(U19*3/100+510)*1.05,IF(D5="G06",(U19*3/100+510)*1.05,IF(D5="P06",(U19*3/100+510)*1.05,IF(D5="OTP06-01",(U19*3/100+510)*1.05,IF(D5="G08",(U19*3/100+510)*1.05,IF(D5="P08",(U19*3/100+510)*1.05,IF(D5="G09",(U19*3/100+510)*1.05,IF(D5="P09",(U19*3/100+510)*1.05,IF(D5="H38",3625,IF(D5="H37",3625,IF(D5="EH40",(U19*3/100+450)*1.05,IF(D5="EH43",(U19*3/100+450)*1.05,IF(D5="H48",3625,IF(D5="H43",3625,IF(D5="H40",3625,IF(D5="H42",3625,IF(D5="H44",3625,IF(D5="H45",3625,IF(D5="ASX HL 4WD",3625,IF(D5="H16",3625,IF(D5="H17",3625,IF(D5="P16",3625,IF(D5="Attrage S",3625,IF(D5="MIG09",3625,IF(D5="MIG10",3625,IF(D5="Xpander HL",3690))))))))))))))))))))))))))))))))))))))))))))))))))))</f>
        <v>3621.3975</v>
      </c>
      <c r="P10" s="204"/>
      <c r="Q10" s="204">
        <f>5.25*3</f>
        <v>15.75</v>
      </c>
      <c r="Z10" s="1">
        <f>IF(D5="MIG09",1000,IF(D5="MIG10",1000,IF(D5="H16",1000,IF(D5="P16",1000,IF(D5="H17",1000,IF(D5="H48",1000,IF(D5="H43",1000,IF(D5="H40",1000,IF(D5="H42",1000,IF(D5="H44",1000,IF(D5="H45",1000,IF(D5="H38",1000,IF(D5="H37",1000,IF(D5="EH40",1000,IF(D5="EH43",1000,IF(D5="ML",1000,IF(D5="HL",1000,IF(D5="PR",1000,IF(D5="MLP",1000,IF(D5="HLP",1000,IF(D5="PRP",1000,IF(D5="XPML",1000,IF(D5="XPHL",1000,IF(D5="XPMLP",1000,IF(D5="XPMLP-01",1000,IF(D5="XC",1000,IF(D5="G10",1000,IF(D5="P10",1000,IF(D5="G12",1000,IF(D5="P12",1000,IF(D5="G05",1000,IF(D5="P05",1000,IF(D5="G03",1000,IF(D5="P03",1000,IF(D5="G06",1000,IF(D5="P06",1000,IF(D5="OTP06-01",1000,IF(D5="G08",1000,IF(D5="P08",1000,IF(D5="OTP06-01",1000,IF(D5="G09",1000,IF(D5="P09",1000,IF(D5="H57",1000,IF(D5="P57",1000,IF(D5="H64",1000,IF(D5="H59",1000,IF(D5="P59",1000,IF(D5="H61",1000,IF(D5="P61",1000)))))))))))))))))))))))))))))))))))))))))))))))))</f>
        <v>1000</v>
      </c>
    </row>
    <row r="11" spans="1:27" ht="24.6" x14ac:dyDescent="0.4">
      <c r="A11" s="8"/>
      <c r="B11" s="37" t="s">
        <v>18</v>
      </c>
      <c r="C11" s="20" t="s">
        <v>19</v>
      </c>
      <c r="D11" s="203">
        <f>IF(C11="YES",O17,IF(C11="NO",0))</f>
        <v>2700</v>
      </c>
      <c r="E11" s="39"/>
      <c r="F11" s="40"/>
      <c r="G11" s="40"/>
      <c r="H11" s="33"/>
      <c r="I11" s="33"/>
      <c r="J11" s="44" t="s">
        <v>76</v>
      </c>
      <c r="K11" s="44">
        <f>H8-K10</f>
        <v>19965.317975000002</v>
      </c>
      <c r="L11" s="37"/>
      <c r="M11" s="37"/>
      <c r="N11" s="38"/>
      <c r="O11" s="147">
        <f>IF(D5="XC",6100,IF(D5="XPML",6100,IF(D5="XPHL",6100,IF(D5="XPMLP",6100,IF(D5="XPMLP-01",6100,IF(D5="Xpander P",6100,IF(D5="ML",6600,IF(D5="HL",6600,IF(D5="PR",6600,IF(D5="MLP",6600,IF(D5="HLP",6600,IF(D5="PRP",6600,IF(D5="H57",5900,IF(D5="P57",5900,IF(D5="H64",5900,IF(D5="H59",5900,IF(D5="P59",5900,IF(D5="H61",5900,IF(D5="P61",5900,IF(D5="G03",6700,IF(D5="G10",6700,IF(D5="P10",6700,IF(D5="G12",6700,IF(D5="P12",6700,IF(D5="G05",6700,IF(D5="P05",6700,IF(D5="P03",6700,IF(D5="G06",6700,IF(D5="P06",6700,IF(D5="OTP06-01",6700,IF(D5="G08",6700,IF(D5="G09",6700,IF(D5="G08",6700,IF(D5="P08",6700,IF(D5="P09",6700,IF(D5="H37",6400,IF(D5="H38",6400,IF(D5="EH40",6400,IF(D5="EH43",6400,IF(D5="H48",6600,IF(D5="H43",6600,IF(D5="H40",6600,IF(D5="H42",6600,IF(D5="H44",6600,IF(D5="H45",6600,IF(D5="ASX HL 4WD",6600,IF(D5="H16",5400,IF(D5="H17",5400,IF(D5="P16",5400,IF(D5="Attrage S",5400,IF(D5="MIG09",5400,IF(D5="MIG10",5400,IF(D5="Xpander HL",6000)))))))))))))))))))))))))))))))))))))))))))))))))))))</f>
        <v>6700</v>
      </c>
      <c r="P11" s="147"/>
      <c r="Q11" s="147"/>
      <c r="R11" s="147"/>
      <c r="S11" s="147"/>
      <c r="T11" s="147"/>
      <c r="U11" s="147">
        <f>IF(D5="XC",4900,IF(D5="XPML",4900,IF(D5="XPHL",4900,IF(D5="XPMLP",4900,IF(D5="XPMLP-01",4900,IF(D5="Xpander P",4900,IF(D5="ML",5400,IF(D5="HL",5400,IF(D5="PR",5400,IF(D5="MLP",5400,IF(D5="HLP",5400,IF(D5="PRP",5400,IF(D5="H57",4600,IF(D5="P57",4600,IF(D5="MOG64",4600,IF(D5="H59",4600,IF(D5="P59",4600,IF(D5="H61",4600,IF(D5="P61",4600,IF(D5="G03",5500,IF(D5="P03",5500,IF(D5="G10",5500,IF(D5="P10",5500,IF(D5="G12",5500,IF(D5="P12",5500,IF(D5="G05",5500,IF(D5="P05",5500,IF(D5="G06",5500,IF(D5="P06",5500,IF(D5="OTP06-01",5500,IF(D5="F08",5500,IF(D5="P08",5500,IF(D5="G09",5500,IF(D5="P09",5500,IF(D5="H38",5200,IF(D5="H37",5200,IF(D5="EH40",5200,IF(D5="EH43",5200,IF(D5="H48",5300,IF(D5="H43",5300,IF(D5="H40",5300,IF(D5="H42",5300,IF(D5="H44",5300,IF(D5="H45",5300,IF(D5="ASX HL",5300,IF(D5="ASX P",5300,IF(D5="ASX HL 4WD",5300,IF(D5="H16",4200,IF(D5="H17",4200,IF(D5="P16",4200,IF(D5="Attrage S",4200,IF(D5="MIG09",4200,IF(D5="MIG10",4200,IF(D5="Xpander HL",4900))))))))))))))))))))))))))))))))))))))))))))))))))))))</f>
        <v>5500</v>
      </c>
      <c r="V11" s="147">
        <f>IF(D5="XC",9700,IF(D5="XPML",9700,IF(D5="XPHL",9700,IF(D5="XPMLP",9700,IF(D5="XPMLP-01",9700,IF(D5="XPMLP-01",9700,IF(D5="Xpander P",9700,IF(D5="ML",10800,IF(D5="HL",10800,IF(D5="PR",10800,IF(D5="MLP",10800,IF(D5="HLP",10800,IF(D5="PRP",10800,IF(D5="H57",9300,IF(D5="P57",9300,IF(D5="MG64",9300,IF(D5="H59",9300,IF(D5="P59",9300,IF(D5="H61",9300,IF(D5="P61",9300,IF(D5="G03",11000,IF(D5="G10",11000,IF(D5="P10",11000,IF(D5="G12",11000,IF(D5="P12",11000,IF(D5="G05",11000,IF(D5="P05",11000,IF(D5="P03",11000,IF(D5="G06",11000,IF(D5="P06",11000,IF(D5="OTP06-01",11000,IF(D5="G08",11000,IF(D5="P08",11000,IF(D5="G09",11000,IF(D5="P09",11000,IF(D5="H38",10400,IF(D5="H37",10400,IF(D5="EH40",10400,IF(D5="EH43",10400,IF(D5="H48",10700,IF(D5="H43",10700,IF(D5="H40",10700,IF(D5="H42",10700,IF(D5="H44",10800,IF(D5="H45",10800,IF(D5="ASX HL",12200,IF(D5="ASX P",12200,IF(D5="ASX HL 4WD",12200,IF(D5="H16",8500,IF(D5="H17",8500,IF(D5="P16",8500,IF(D5="Attrage S",9600,IF(D5="MIG09",8500,IF(D5="MIG10",8500,IF(D5="Xpander HL",11300)))))))))))))))))))))))))))))))))))))))))))))))))))))))</f>
        <v>11000</v>
      </c>
      <c r="W11" s="147">
        <f>IF(D5="XC",9200,IF(D5="XPML",9200,IF(D5="XPHL",9200,IF(D5="XPMLP",9200,IF(D5="XPMLP-01",9200,IF(D5="Xpander P",9200,IF(D5="ML",10000,IF(D5="HL",10000,IF(D5="PR",10000,IF(D5="MLP",10000,IF(D5="HLP",10000,IF(D5="PRP",10000,IF(D5="H57",8700,IF(D5="P57",8700,IF(D5="H64",8700,IF(D5="H59",8700,IF(D5="P59",8700,IF(D5="H61",8700,IF(D5="P61",8700,IF(D5="G03",10400,IF(D5="P03",10400,IF(D5="G10",10400,IF(D5="P10",10400,IF(D5="G12",10400,IF(D5="P12",10400,IF(D5="G05",10400,IF(D5="P05",10400,IF(D5="G06",10400,IF(D5="P06",10400,IF(D5="OTP06-01",10400,IF(D5="G08",10400,IF(D5="P08",10400,IF(D5="G09",10400,IF(D5="P09",10400,IF(D5="H38",9800,IF(D5="H37",9800,IF(D5="EH40",9800,IF(D5="EH43",9800,IF(D5="H48",10100,IF(D5="H43",10100,IF(D5="H40",10100,IF(D5="H42",10100,IF(D5="H44",10100,IF(D5="H45",10100,IF(D5="ASX HL",10100,IF(D5="ASX P",10100,IF(D5="ASX HL 4WD",10100,IF(D5="H16",7900,IF(D5="H17",7900,IF(D5="P16",7900,IF(D5="Attrage S",7900,IF(D5="MIG09",7900,IF(D5="MIG10",7900,IF(D5="Xpander HL",9200))))))))))))))))))))))))))))))))))))))))))))))))))))))</f>
        <v>10400</v>
      </c>
      <c r="X11" s="147">
        <f>IF(D5="XC",4500,IF(D5="XPML",4500,IF(D5="XPHL",4500,IF(D5="XPMLP",4500,IF(D5="XPMLP-01",4500,IF(D5="Xpander P",4500,IF(D5="ML",5000,IF(D5="HL",5000,IF(D5="PR",5000,IF(D5="MLP",5000,IF(D5="HLP",5000,IF(D5="PRP",5000,IF(D5="H57",8700,IF(D5="P57",8700,IF(D5="MOG64",4300,IF(D5="H59",4300,IF(D5="P59",4300,IF(D5="H61",4300,IF(D5="P61",4300,IF(D5="G03",5000,IF(D5="P03",5000,IF(D5="G10",5000,IF(D5="P10",5000,IF(D5="G12",5000,IF(D5="P12",5000,IF(D5="G05",5000,IF(D5="P05",5000,IF(D5="G06",5000,IF(D5="P06",5000,IF(D5="OTP06-01",5000,IF(D5="G08",5000,IF(D5="P08",5000,IF(D5="G09",5000,IF(D5="P09",5000,IF(D5="H38",4900,IF(D5="H37",4900,IF(D5="EH40",4900,IF(D5="EH43",4900,IF(D5="H48",4900,IF(D5="H43",4900,IF(D5="H40",4900,IF(D5="H42",4900,IF(D5="H44",4900,IF(D5="H45",4900,IF(D5="ASX HL",4900,IF(D5="ASX P",4900,IF(D5="ASX HL 4WD",4900,IF(D5="H16",3700,IF(D5="H17",3700,IF(D5="P16",3700,IF(D5="Attrage S",3700,IF(D5="MIG09",3700,IF(D5="MIG10",3700,IF(D5="Xpander HL",4500))))))))))))))))))))))))))))))))))))))))))))))))))))))</f>
        <v>5000</v>
      </c>
      <c r="Y11" s="147">
        <f>IF(D5="XC",5400,IF(D5="XPML ",5400,IF(D5="XPHL",5400,IF(D5="XPMLP",5400,IF(D5="XPMLP-01",5400,IF(D5="Xpander P",5400,IF(D5="ML",6000,IF(D5="HL",6000,IF(D5="PR",6000,IF(D5="MLP",6000,IF(D5="HLP",6000,IF(D5="PRP",6000,IF(D5="H57",5200,IF(D5="57",5200,IF(D5="H64",5200,IF(D5="H59",5200,IF(D5="P59",5200,IF(D5="H61",5200,IF(D5="P61",5200,IF(D5="G03",6000,IF(D5="P03",6000,IF(D5="G10",6000,IF(D5="P10",6000,IF(D5="G12",6000,IF(D5="P12",6000,IF(D5="G05",6000,IF(D5="P05",6000,IF(D5="G06",6000,IF(D5="P06",6000,IF(D5="OTP06-01",6000,IF(D5="G08",6000,IF(D5="P08",6000,IF(D5="G09",6000,IF(D5="P09",6000,IF(D5="H38",5700,IF(D5="H37",5700,IF(D5="EH40",5700,IF(D5="EH43",5700,IF(D5="H48",5900,IF(D5="H43",5900,IF(D5="H40",5900,IF(D5="H42",5900,IF(D5="H44",5900,IF(D5="H45",5900,IF(D5="ASX HL",5900,IF(D5="ASX P",5900,IF(D5="ASX HL 4WD",5900,IF(D5="H16",4500,IF(D5="H17",4500,IF(D5="P16",4500,IF(D5="Attrage S",4500,IF(D5="MIG09",4500,IF(D5="MIG10",4500,IF(D5="Xpander HL",5400))))))))))))))))))))))))))))))))))))))))))))))))))))))</f>
        <v>6000</v>
      </c>
    </row>
    <row r="12" spans="1:27" ht="24.6" x14ac:dyDescent="0.4">
      <c r="A12" s="8"/>
      <c r="B12" s="37" t="s">
        <v>20</v>
      </c>
      <c r="C12" s="20" t="s">
        <v>17</v>
      </c>
      <c r="D12" s="36">
        <f>IF(C12="YES",2000,IF(C12="NO",0))</f>
        <v>0</v>
      </c>
      <c r="E12" s="43"/>
      <c r="F12" s="43" t="s">
        <v>21</v>
      </c>
      <c r="G12" s="40"/>
      <c r="H12" s="33">
        <v>600</v>
      </c>
      <c r="I12" s="33"/>
      <c r="J12" s="202" t="s">
        <v>140</v>
      </c>
      <c r="K12" s="45">
        <v>0</v>
      </c>
      <c r="L12" s="45">
        <v>5.2499999999999998E-2</v>
      </c>
      <c r="M12" s="45">
        <v>0.126</v>
      </c>
      <c r="N12" s="201">
        <v>0.26250000000000001</v>
      </c>
      <c r="O12" s="147">
        <f>IF(K20="Esaad",B8*3/100,IF(K20="Emirates Platinum",B8*3/100,IF(K20="Fazaa",B8*3/100,IF(K20="Humat Alwatan",B8*3/100,IF(K20="Permissible",2000,IF(K20="ASX",8400,IF(K20="XPMLP",15100,IF(K20="XP",7200,IF(K20="G43",11000,IF(K20="EC",17000,IF(K20="G37",17000,IF(K20="G38",15000,IF(K20="G40",11000,IF(K20="OUT",3000,IF(K20="F08",14400,IF(K20="P08",11100,IF(K20="F06",13100,IF(K20="P06",13400,IF(K20="F03",3500,IF(K20="F03-1",13500,IF(K20="P03",13100,IF(K20="MON",10000,IF(K20="MON G57",9000,0)))))))))))))))))))))))</f>
        <v>2000</v>
      </c>
      <c r="Z12" s="86" t="s">
        <v>83</v>
      </c>
      <c r="AA12" s="86" t="s">
        <v>84</v>
      </c>
    </row>
    <row r="13" spans="1:27" ht="24.6" x14ac:dyDescent="0.4">
      <c r="A13" s="8">
        <f>B8*1.26582</f>
        <v>103670.658</v>
      </c>
      <c r="B13" s="37" t="s">
        <v>23</v>
      </c>
      <c r="C13" s="20" t="s">
        <v>19</v>
      </c>
      <c r="D13" s="36">
        <f>IF(C13="YES",2000,IF(C13="NO",0))</f>
        <v>2000</v>
      </c>
      <c r="E13" s="47"/>
      <c r="F13" s="47" t="s">
        <v>75</v>
      </c>
      <c r="G13" s="51"/>
      <c r="H13" s="39">
        <v>315</v>
      </c>
      <c r="I13" s="33"/>
      <c r="J13" s="44" t="s">
        <v>54</v>
      </c>
      <c r="K13" s="29" t="s">
        <v>79</v>
      </c>
      <c r="L13" s="29" t="s">
        <v>25</v>
      </c>
      <c r="M13" s="29" t="s">
        <v>0</v>
      </c>
      <c r="N13" s="57" t="s">
        <v>26</v>
      </c>
      <c r="O13" s="9">
        <f>IF(M21="3000-4999",6%,IF(M21="5000-9999",4.75%,IF(M21="10000-14999",3.15%,IF(M21="15000-24999",2.5%,IF(M21="25000-34999",2.25%,IF(M21="35000-99999",2.15%))))))</f>
        <v>4.7500000000000001E-2</v>
      </c>
      <c r="Q13" s="2">
        <f>H7/12</f>
        <v>1747.1098312500001</v>
      </c>
      <c r="U13" s="9">
        <f>IF(M21="3000-4999",6%,IF(M21="5000-9999",3.25%,IF(M21="10000-14999",3%,IF(M21="15000-24999",2.25%,IF(M21="25000-34999",2.15%,IF(M21="35000-99999",1.99%))))))</f>
        <v>3.2500000000000001E-2</v>
      </c>
      <c r="Z13" s="99">
        <f>IF(M21="5000-9999",2.49%,IF(M21="10000-19999",2.19%,IF(M21="20000-34999",2.09%,IF(M21="35000-49999",1.89%,IF(M21="50000-99999",1.79%)))))</f>
        <v>2.4900000000000002E-2</v>
      </c>
      <c r="AA13" s="99">
        <f>IF(M21="5000-9999",2.59%,IF(M21="10000-19999",2.29%,IF(M21="20000-34999",2.19%,IF(M21="35000-49999",1.99%,IF(M21="50000-99999",1.89%)))))</f>
        <v>2.5899999999999999E-2</v>
      </c>
    </row>
    <row r="14" spans="1:27" ht="24.6" x14ac:dyDescent="0.4">
      <c r="A14" s="10" t="s">
        <v>27</v>
      </c>
      <c r="B14" s="37" t="s">
        <v>24</v>
      </c>
      <c r="C14" s="20" t="s">
        <v>19</v>
      </c>
      <c r="D14" s="50">
        <f>IF(C14="YES",U19*3.15*1.05/100,IF(C14="NO",U19*0/100))</f>
        <v>3240.1923750000001</v>
      </c>
      <c r="E14" s="48"/>
      <c r="F14" s="48" t="s">
        <v>24</v>
      </c>
      <c r="G14" s="51" t="s">
        <v>17</v>
      </c>
      <c r="H14" s="39">
        <f>IF(G14="YES",U19*3.15*1.05/100,IF(G14="NO",U19*0/100))</f>
        <v>0</v>
      </c>
      <c r="I14" s="33"/>
      <c r="J14" s="44" t="s">
        <v>55</v>
      </c>
      <c r="K14" s="44">
        <f>(H8*K12+H8)/3</f>
        <v>6988.4393250000003</v>
      </c>
      <c r="L14" s="44">
        <f>(H8*L12+H8)/12</f>
        <v>1838.8330973906252</v>
      </c>
      <c r="M14" s="44">
        <f>(H8*M12+H8)/24</f>
        <v>983.62283499375008</v>
      </c>
      <c r="N14" s="200">
        <f>(H7*N12+H7)/60</f>
        <v>441.14523239062504</v>
      </c>
      <c r="O14" s="9">
        <f>IF(M21="3000-4999",3.89%,IF(M21="5000-9999",3.89%,IF(M21="10000-14999",3.89%,IF(M21="15000-24999",2.69%,IF(M21="25000-34999",2.69%,IF(M21="35000-99999",2.39%,IF(M21="76000-99999",2.5%)))))))</f>
        <v>3.8900000000000004E-2</v>
      </c>
    </row>
    <row r="15" spans="1:27" ht="24.6" x14ac:dyDescent="0.4">
      <c r="A15" s="11">
        <f>(B7*3%)+10+120</f>
        <v>2587</v>
      </c>
      <c r="B15" s="37" t="s">
        <v>28</v>
      </c>
      <c r="C15" s="20" t="s">
        <v>19</v>
      </c>
      <c r="D15" s="29">
        <f>IF(C15="YES",O10,IF(C15="NO",0))</f>
        <v>3621.3975</v>
      </c>
      <c r="E15" s="48"/>
      <c r="F15" s="48" t="s">
        <v>53</v>
      </c>
      <c r="G15" s="51" t="s">
        <v>17</v>
      </c>
      <c r="H15" s="39">
        <f>IF(G15="YES",O10,IF(G15="NO",0))</f>
        <v>0</v>
      </c>
      <c r="I15" s="33"/>
      <c r="J15" s="44"/>
      <c r="K15" s="44"/>
      <c r="L15" s="44"/>
      <c r="M15" s="44"/>
      <c r="N15" s="198"/>
      <c r="O15" s="9" t="b">
        <f>IF(M21="3000-4999",4.99%, IF(M21="5000-11999",2.75%,IF(M21="12000-19999",2.75%,IF(M21="20000-39999",2.25%,IF(M21="40000-69999",2.25%,IF(M21="70000-99999",2.25%))))))</f>
        <v>0</v>
      </c>
      <c r="P15" s="191"/>
    </row>
    <row r="16" spans="1:27" ht="24.6" x14ac:dyDescent="0.4">
      <c r="A16" s="11">
        <f>((B7-B8)*3%+10+120)</f>
        <v>130</v>
      </c>
      <c r="B16" s="37" t="s">
        <v>78</v>
      </c>
      <c r="C16" s="20" t="s">
        <v>19</v>
      </c>
      <c r="D16" s="29">
        <f>IF(C16="YES",O16,IF(C16="NO",0))</f>
        <v>6700</v>
      </c>
      <c r="E16" s="47"/>
      <c r="F16" s="47" t="s">
        <v>74</v>
      </c>
      <c r="G16" s="54"/>
      <c r="H16" s="33">
        <f>I7*1.05%</f>
        <v>880.54335495000009</v>
      </c>
      <c r="I16" s="33"/>
      <c r="J16" s="44" t="s">
        <v>16</v>
      </c>
      <c r="K16" s="44">
        <f>(K14*3)-H8</f>
        <v>0</v>
      </c>
      <c r="L16" s="44">
        <f>(L14*12)-H8</f>
        <v>1100.6791936875015</v>
      </c>
      <c r="M16" s="44">
        <f>(M14*24)-H8</f>
        <v>2641.6300648500001</v>
      </c>
      <c r="N16" s="198"/>
      <c r="O16" s="147">
        <f>IF(B16="RMC-10-70KMS",O11,IF(B16="RMC-10-100000KMS",V11,IF(B16="RMC-40-70KMS",U11, IF(B16="RMC-10-40KMS",X11, IF(B16="RMC-10-60KMS",Y11, IF(B16="RMC-40-100000KMS",W11,0))))))</f>
        <v>6700</v>
      </c>
    </row>
    <row r="17" spans="1:23" ht="24.6" x14ac:dyDescent="0.4">
      <c r="A17" s="11">
        <f>A15+A16</f>
        <v>2717</v>
      </c>
      <c r="B17" s="37"/>
      <c r="C17" s="20"/>
      <c r="D17" s="29">
        <f>SUM(D10:D16)</f>
        <v>18261.589875000001</v>
      </c>
      <c r="E17" s="48"/>
      <c r="F17" s="48"/>
      <c r="G17" s="54"/>
      <c r="H17" s="33">
        <f>+SUM(H12:H16)+(H7)</f>
        <v>22760.861329950003</v>
      </c>
      <c r="I17" s="33"/>
      <c r="J17" s="20"/>
      <c r="K17" s="199"/>
      <c r="L17" s="199"/>
      <c r="M17" s="199"/>
      <c r="N17" s="198"/>
      <c r="O17" s="147">
        <f>IF(B11="FO Ceramic+ Intr&amp;Extr CeramicGold WdwTnt",2700,IF(B11="FO Mirror Camera Sensor",2000))</f>
        <v>2700</v>
      </c>
      <c r="T17" s="1">
        <f>19615-791</f>
        <v>18824</v>
      </c>
    </row>
    <row r="18" spans="1:23" ht="24.6" x14ac:dyDescent="0.4">
      <c r="A18" s="12" t="s">
        <v>29</v>
      </c>
      <c r="B18" s="55" t="s">
        <v>30</v>
      </c>
      <c r="C18" s="197"/>
      <c r="D18" s="57">
        <v>0</v>
      </c>
      <c r="E18" s="38"/>
      <c r="F18" s="20"/>
      <c r="G18" s="20"/>
      <c r="H18" s="37"/>
      <c r="I18" s="37"/>
      <c r="J18" s="37"/>
      <c r="K18" s="37"/>
      <c r="L18" s="37"/>
      <c r="M18" s="37"/>
      <c r="N18" s="37"/>
      <c r="O18" s="9" t="b">
        <f>IF(M21="5000-99999",1.99%)</f>
        <v>0</v>
      </c>
      <c r="U18" s="196" t="s">
        <v>52</v>
      </c>
      <c r="V18" s="196" t="s">
        <v>52</v>
      </c>
    </row>
    <row r="19" spans="1:23" ht="24.6" x14ac:dyDescent="0.4">
      <c r="A19" s="11">
        <f>B8*3.15%</f>
        <v>2579.85</v>
      </c>
      <c r="B19" s="58" t="s">
        <v>31</v>
      </c>
      <c r="C19" s="59"/>
      <c r="D19" s="60">
        <f>IF(K21="DIB EXPAT",O13,IF(K21="DIB LOCAL GVH",U13,IF(K21="Emirates NBD",O14,IF(K21="ADCB",O15,IF(K21="ADCB PAY IN 2027",O19,IF(K21="Ajman Bank",O18,IF(K21="SIB STL",Z13,IF(K21="SIB NON STL",AA13,))))))))</f>
        <v>3.8900000000000004E-2</v>
      </c>
      <c r="E19" s="20"/>
      <c r="F19" s="195"/>
      <c r="G19" s="141" t="s">
        <v>73</v>
      </c>
      <c r="H19" s="142"/>
      <c r="I19" s="143"/>
      <c r="J19" s="109">
        <f>(U19*20/100)/365</f>
        <v>53.679452054794524</v>
      </c>
      <c r="K19" s="37"/>
      <c r="L19" s="37"/>
      <c r="M19" s="37"/>
      <c r="N19" s="34">
        <f>D7</f>
        <v>85995</v>
      </c>
      <c r="O19" s="194" t="b">
        <f>IF(M21="5000-11999",3.35%,IF(M21="12000-19999",3.35%,IF(M21="20000-39999",2.85%,IF(M21="40000-69999",2.85%,IF(M21="70000-99999",2.85%)))))</f>
        <v>0</v>
      </c>
      <c r="P19" s="2">
        <f>81400-2500</f>
        <v>78900</v>
      </c>
      <c r="U19" s="193">
        <f>V19</f>
        <v>97965</v>
      </c>
      <c r="V19" s="192">
        <f>(B7+D10+D11+D12+D13+D16)*1.05</f>
        <v>97965</v>
      </c>
    </row>
    <row r="20" spans="1:23" ht="24.6" x14ac:dyDescent="0.4">
      <c r="A20" s="11"/>
      <c r="B20" s="58" t="s">
        <v>32</v>
      </c>
      <c r="C20" s="59"/>
      <c r="D20" s="63">
        <v>0.2</v>
      </c>
      <c r="E20" s="37"/>
      <c r="F20" s="37"/>
      <c r="G20" s="38"/>
      <c r="H20" s="38"/>
      <c r="I20" s="38"/>
      <c r="J20" s="103"/>
      <c r="K20" s="104" t="s">
        <v>33</v>
      </c>
      <c r="L20" s="104" t="s">
        <v>17</v>
      </c>
      <c r="M20" s="104">
        <f>IF(L20="YES",O12,IF(L20="NO",0))</f>
        <v>0</v>
      </c>
      <c r="N20" s="34">
        <f>B8-M20</f>
        <v>81900</v>
      </c>
      <c r="O20" s="187"/>
      <c r="P20" s="191"/>
      <c r="T20" s="1">
        <f>1992+1084</f>
        <v>3076</v>
      </c>
      <c r="U20" s="186"/>
      <c r="V20" s="2"/>
    </row>
    <row r="21" spans="1:23" ht="24.6" x14ac:dyDescent="0.4">
      <c r="A21" s="13">
        <f>A19+A20</f>
        <v>2579.85</v>
      </c>
      <c r="B21" s="37"/>
      <c r="C21" s="20"/>
      <c r="D21" s="37"/>
      <c r="E21" s="37"/>
      <c r="F21" s="37"/>
      <c r="G21" s="37"/>
      <c r="H21" s="37"/>
      <c r="I21" s="37"/>
      <c r="J21" s="190" t="s">
        <v>34</v>
      </c>
      <c r="K21" s="16" t="s">
        <v>139</v>
      </c>
      <c r="L21" s="16" t="s">
        <v>35</v>
      </c>
      <c r="M21" s="189" t="s">
        <v>80</v>
      </c>
      <c r="N21" s="188"/>
      <c r="O21" s="187"/>
      <c r="T21" s="1">
        <f>25973-12973</f>
        <v>13000</v>
      </c>
      <c r="U21" s="186">
        <f>M14+N7</f>
        <v>2653.16098973625</v>
      </c>
    </row>
    <row r="22" spans="1:23" s="179" customFormat="1" ht="24.6" x14ac:dyDescent="0.4">
      <c r="A22" s="185"/>
      <c r="B22" s="184" t="s">
        <v>51</v>
      </c>
      <c r="C22" s="183"/>
      <c r="D22" s="183"/>
      <c r="E22" s="183"/>
      <c r="F22" s="183"/>
      <c r="G22" s="183"/>
      <c r="H22" s="183"/>
      <c r="I22" s="183"/>
      <c r="J22" s="183"/>
      <c r="K22" s="183"/>
      <c r="L22" s="183"/>
      <c r="M22" s="183"/>
      <c r="N22" s="182"/>
      <c r="O22" s="181"/>
      <c r="P22" s="180"/>
    </row>
    <row r="23" spans="1:23" s="168" customFormat="1" ht="26.4" x14ac:dyDescent="0.5">
      <c r="A23" s="175" t="s">
        <v>36</v>
      </c>
      <c r="B23" s="172" t="s">
        <v>138</v>
      </c>
      <c r="C23" s="169"/>
      <c r="D23" s="169"/>
      <c r="E23" s="169"/>
      <c r="F23" s="169"/>
      <c r="G23" s="169"/>
      <c r="H23" s="176"/>
      <c r="I23" s="176"/>
      <c r="J23" s="169"/>
      <c r="K23" s="169"/>
      <c r="L23" s="169"/>
      <c r="M23" s="169"/>
      <c r="N23" s="178"/>
      <c r="O23" s="170"/>
      <c r="P23" s="169"/>
    </row>
    <row r="24" spans="1:23" s="168" customFormat="1" ht="26.4" x14ac:dyDescent="0.5">
      <c r="A24" s="175" t="s">
        <v>36</v>
      </c>
      <c r="B24" s="172" t="s">
        <v>137</v>
      </c>
      <c r="C24" s="169"/>
      <c r="D24" s="169"/>
      <c r="E24" s="169"/>
      <c r="F24" s="169"/>
      <c r="G24" s="169"/>
      <c r="H24" s="177">
        <f>H7/365</f>
        <v>57.439227328767132</v>
      </c>
      <c r="I24" s="177">
        <f>H7+H12+H16</f>
        <v>22445.861329950003</v>
      </c>
      <c r="J24" s="169"/>
      <c r="K24" s="169"/>
      <c r="L24" s="169"/>
      <c r="M24" s="169"/>
      <c r="N24" s="173"/>
      <c r="O24" s="170"/>
      <c r="P24" s="169">
        <f>1232+480</f>
        <v>1712</v>
      </c>
      <c r="T24" s="168">
        <f>88704/1.05</f>
        <v>84480</v>
      </c>
    </row>
    <row r="25" spans="1:23" s="168" customFormat="1" ht="26.4" x14ac:dyDescent="0.5">
      <c r="A25" s="175" t="s">
        <v>36</v>
      </c>
      <c r="B25" s="172" t="s">
        <v>136</v>
      </c>
      <c r="C25" s="169"/>
      <c r="D25" s="169"/>
      <c r="E25" s="169"/>
      <c r="F25" s="169"/>
      <c r="G25" s="169"/>
      <c r="H25" s="176"/>
      <c r="I25" s="176"/>
      <c r="J25" s="169"/>
      <c r="K25" s="169"/>
      <c r="L25" s="169"/>
      <c r="M25" s="169"/>
      <c r="N25" s="173"/>
      <c r="O25" s="170"/>
      <c r="P25" s="169"/>
      <c r="Q25" s="168">
        <f>79400-5233.33</f>
        <v>74166.67</v>
      </c>
      <c r="R25" s="168">
        <f>Q25*1.05</f>
        <v>77875.003500000006</v>
      </c>
      <c r="W25" s="168">
        <f>1999+1224</f>
        <v>3223</v>
      </c>
    </row>
    <row r="26" spans="1:23" s="168" customFormat="1" ht="26.4" x14ac:dyDescent="0.5">
      <c r="A26" s="175" t="s">
        <v>36</v>
      </c>
      <c r="B26" s="172" t="s">
        <v>135</v>
      </c>
      <c r="C26" s="169"/>
      <c r="D26" s="169"/>
      <c r="E26" s="169"/>
      <c r="F26" s="169"/>
      <c r="G26" s="169"/>
      <c r="H26" s="169"/>
      <c r="I26" s="169"/>
      <c r="J26" s="169"/>
      <c r="K26" s="169"/>
      <c r="L26" s="169"/>
      <c r="M26" s="169"/>
      <c r="N26" s="173"/>
      <c r="O26" s="170" t="s">
        <v>37</v>
      </c>
      <c r="P26" s="169"/>
      <c r="R26" s="168">
        <f>R25+2469</f>
        <v>80344.003500000006</v>
      </c>
    </row>
    <row r="27" spans="1:23" s="168" customFormat="1" ht="26.4" x14ac:dyDescent="0.5">
      <c r="A27" s="175" t="s">
        <v>36</v>
      </c>
      <c r="B27" s="172" t="s">
        <v>134</v>
      </c>
      <c r="C27" s="169"/>
      <c r="D27" s="169"/>
      <c r="E27" s="169"/>
      <c r="F27" s="169"/>
      <c r="G27" s="169"/>
      <c r="H27" s="169"/>
      <c r="I27" s="169"/>
      <c r="J27" s="169"/>
      <c r="K27" s="169"/>
      <c r="L27" s="169"/>
      <c r="M27" s="169"/>
      <c r="N27" s="173"/>
      <c r="O27" s="170">
        <f>129500-110900</f>
        <v>18600</v>
      </c>
      <c r="P27" s="169"/>
      <c r="W27" s="174">
        <f>N7+L14</f>
        <v>3508.3712521331254</v>
      </c>
    </row>
    <row r="28" spans="1:23" s="168" customFormat="1" ht="26.4" x14ac:dyDescent="0.5">
      <c r="B28" s="172" t="s">
        <v>133</v>
      </c>
      <c r="C28" s="169"/>
      <c r="D28" s="169"/>
      <c r="E28" s="169"/>
      <c r="F28" s="169"/>
      <c r="G28" s="169"/>
      <c r="H28" s="169"/>
      <c r="I28" s="169"/>
      <c r="J28" s="169"/>
      <c r="K28" s="169"/>
      <c r="L28" s="169"/>
      <c r="M28" s="169"/>
      <c r="N28" s="173"/>
      <c r="O28" s="170">
        <f>85000-69900</f>
        <v>15100</v>
      </c>
      <c r="P28" s="169"/>
    </row>
    <row r="29" spans="1:23" s="168" customFormat="1" ht="26.4" x14ac:dyDescent="0.5">
      <c r="B29" s="172" t="s">
        <v>132</v>
      </c>
      <c r="C29" s="169"/>
      <c r="D29" s="169"/>
      <c r="E29" s="169"/>
      <c r="F29" s="169"/>
      <c r="G29" s="169"/>
      <c r="H29" s="169"/>
      <c r="I29" s="169"/>
      <c r="J29" s="169"/>
      <c r="K29" s="169"/>
      <c r="L29" s="169"/>
      <c r="M29" s="169"/>
      <c r="N29" s="171"/>
      <c r="O29" s="170"/>
      <c r="P29" s="169"/>
    </row>
    <row r="30" spans="1:23" x14ac:dyDescent="0.3">
      <c r="B30" s="167" t="s">
        <v>38</v>
      </c>
      <c r="C30" s="166"/>
      <c r="D30" s="166"/>
      <c r="E30" s="166"/>
      <c r="F30" s="166"/>
      <c r="G30" s="166"/>
      <c r="H30" s="166"/>
      <c r="I30" s="166"/>
      <c r="J30" s="166"/>
      <c r="K30" s="166"/>
      <c r="L30" s="166"/>
      <c r="M30" s="166"/>
      <c r="N30" s="165"/>
      <c r="O30" s="147"/>
    </row>
    <row r="31" spans="1:23" x14ac:dyDescent="0.3">
      <c r="B31" s="146"/>
      <c r="C31" s="145"/>
      <c r="D31" s="145"/>
      <c r="E31" s="145"/>
      <c r="F31" s="145"/>
      <c r="G31" s="145"/>
      <c r="H31" s="145"/>
      <c r="I31" s="145"/>
      <c r="J31" s="145"/>
      <c r="K31" s="145"/>
      <c r="L31" s="145"/>
      <c r="M31" s="145"/>
      <c r="N31" s="144"/>
      <c r="O31" s="147"/>
    </row>
    <row r="32" spans="1:23" s="86" customFormat="1" ht="20.399999999999999" x14ac:dyDescent="0.35">
      <c r="B32" s="118" t="s">
        <v>39</v>
      </c>
      <c r="C32" s="119"/>
      <c r="D32" s="119"/>
      <c r="E32" s="119"/>
      <c r="F32" s="119"/>
      <c r="G32" s="119"/>
      <c r="H32" s="119"/>
      <c r="I32" s="119"/>
      <c r="J32" s="119"/>
      <c r="K32" s="119"/>
      <c r="L32" s="119"/>
      <c r="M32" s="119"/>
      <c r="N32" s="120"/>
      <c r="O32" s="92"/>
      <c r="P32" s="83"/>
    </row>
    <row r="33" spans="2:16" s="86" customFormat="1" ht="20.399999999999999" x14ac:dyDescent="0.35">
      <c r="B33" s="118" t="s">
        <v>40</v>
      </c>
      <c r="C33" s="119"/>
      <c r="D33" s="119"/>
      <c r="E33" s="119"/>
      <c r="F33" s="119"/>
      <c r="G33" s="119"/>
      <c r="H33" s="119"/>
      <c r="I33" s="119"/>
      <c r="J33" s="119"/>
      <c r="K33" s="119"/>
      <c r="L33" s="119"/>
      <c r="M33" s="119"/>
      <c r="N33" s="120"/>
      <c r="O33" s="92"/>
      <c r="P33" s="83"/>
    </row>
    <row r="34" spans="2:16" s="86" customFormat="1" ht="20.399999999999999" x14ac:dyDescent="0.35">
      <c r="B34" s="107" t="s">
        <v>131</v>
      </c>
      <c r="C34" s="108"/>
      <c r="D34" s="108"/>
      <c r="E34" s="108"/>
      <c r="F34" s="108"/>
      <c r="G34" s="164" t="s">
        <v>130</v>
      </c>
      <c r="H34" s="164"/>
      <c r="I34" s="163"/>
      <c r="J34" s="163"/>
      <c r="K34" s="163"/>
      <c r="L34" s="163"/>
      <c r="M34" s="162" t="s">
        <v>129</v>
      </c>
      <c r="N34" s="161"/>
      <c r="O34" s="83"/>
      <c r="P34" s="83"/>
    </row>
    <row r="35" spans="2:16" x14ac:dyDescent="0.3">
      <c r="B35" s="160"/>
      <c r="C35" s="159"/>
      <c r="D35" s="159"/>
      <c r="E35" s="159"/>
      <c r="F35" s="159"/>
      <c r="G35" s="159"/>
      <c r="H35" s="159"/>
      <c r="I35" s="159"/>
      <c r="J35" s="159"/>
      <c r="K35" s="159"/>
      <c r="L35" s="159"/>
      <c r="M35" s="159"/>
      <c r="N35" s="158"/>
    </row>
    <row r="36" spans="2:16" x14ac:dyDescent="0.3">
      <c r="B36" s="160"/>
      <c r="C36" s="159"/>
      <c r="D36" s="159"/>
      <c r="E36" s="159"/>
      <c r="F36" s="159"/>
      <c r="G36" s="159"/>
      <c r="H36" s="159"/>
      <c r="I36" s="159"/>
      <c r="J36" s="159"/>
      <c r="K36" s="159"/>
      <c r="L36" s="159"/>
      <c r="M36" s="159"/>
      <c r="N36" s="158"/>
    </row>
    <row r="37" spans="2:16" x14ac:dyDescent="0.3">
      <c r="B37" s="160"/>
      <c r="C37" s="159"/>
      <c r="D37" s="159"/>
      <c r="E37" s="159"/>
      <c r="F37" s="159"/>
      <c r="G37" s="159"/>
      <c r="H37" s="159"/>
      <c r="I37" s="159"/>
      <c r="J37" s="159"/>
      <c r="K37" s="159"/>
      <c r="L37" s="159"/>
      <c r="M37" s="159"/>
      <c r="N37" s="158"/>
    </row>
    <row r="38" spans="2:16" ht="16.8" x14ac:dyDescent="0.3">
      <c r="B38" s="149" t="s">
        <v>128</v>
      </c>
      <c r="C38" s="157"/>
      <c r="D38" s="154"/>
      <c r="E38" s="151"/>
      <c r="F38" s="151"/>
      <c r="G38" s="151"/>
      <c r="H38" s="151"/>
      <c r="I38" s="151"/>
      <c r="J38" s="152"/>
      <c r="K38" s="151"/>
      <c r="L38" s="151"/>
      <c r="M38" s="151"/>
      <c r="N38" s="156"/>
    </row>
    <row r="39" spans="2:16" ht="16.8" x14ac:dyDescent="0.3">
      <c r="B39" s="149" t="s">
        <v>127</v>
      </c>
      <c r="C39" s="155"/>
      <c r="D39" s="154"/>
      <c r="E39" s="151"/>
      <c r="F39" s="151"/>
      <c r="G39" s="151"/>
      <c r="H39" s="151"/>
      <c r="I39" s="151"/>
      <c r="J39" s="152"/>
      <c r="K39" s="151"/>
      <c r="L39" s="151"/>
      <c r="M39" s="151"/>
      <c r="N39" s="150"/>
    </row>
    <row r="40" spans="2:16" ht="16.8" x14ac:dyDescent="0.3">
      <c r="B40" s="149" t="s">
        <v>126</v>
      </c>
      <c r="C40" s="153"/>
      <c r="D40" s="151"/>
      <c r="E40" s="151"/>
      <c r="F40" s="151"/>
      <c r="G40" s="151"/>
      <c r="H40" s="151"/>
      <c r="I40" s="151"/>
      <c r="J40" s="152"/>
      <c r="K40" s="151"/>
      <c r="L40" s="151"/>
      <c r="M40" s="151"/>
      <c r="N40" s="150"/>
    </row>
    <row r="41" spans="2:16" ht="16.8" x14ac:dyDescent="0.3">
      <c r="B41" s="149" t="s">
        <v>125</v>
      </c>
      <c r="N41" s="148"/>
    </row>
    <row r="42" spans="2:16" ht="16.8" x14ac:dyDescent="0.3">
      <c r="B42" s="149" t="s">
        <v>124</v>
      </c>
      <c r="N42" s="148"/>
    </row>
    <row r="43" spans="2:16" ht="16.8" x14ac:dyDescent="0.3">
      <c r="B43" s="149" t="s">
        <v>123</v>
      </c>
      <c r="N43" s="148"/>
    </row>
    <row r="44" spans="2:16" ht="16.8" x14ac:dyDescent="0.3">
      <c r="B44" s="149" t="s">
        <v>122</v>
      </c>
      <c r="N44" s="148"/>
    </row>
    <row r="45" spans="2:16" ht="16.8" x14ac:dyDescent="0.3">
      <c r="B45" s="149" t="s">
        <v>121</v>
      </c>
      <c r="N45" s="148"/>
    </row>
    <row r="46" spans="2:16" ht="16.8" x14ac:dyDescent="0.3">
      <c r="B46" s="149" t="s">
        <v>120</v>
      </c>
      <c r="N46" s="148"/>
    </row>
    <row r="47" spans="2:16" x14ac:dyDescent="0.3">
      <c r="B47" s="146" t="s">
        <v>39</v>
      </c>
      <c r="C47" s="145"/>
      <c r="D47" s="145"/>
      <c r="E47" s="145"/>
      <c r="F47" s="145"/>
      <c r="G47" s="145"/>
      <c r="H47" s="145"/>
      <c r="I47" s="145"/>
      <c r="J47" s="145"/>
      <c r="K47" s="145"/>
      <c r="L47" s="145"/>
      <c r="M47" s="145"/>
      <c r="N47" s="144"/>
      <c r="O47" s="147"/>
    </row>
    <row r="48" spans="2:16" x14ac:dyDescent="0.3">
      <c r="B48" s="146" t="s">
        <v>40</v>
      </c>
      <c r="C48" s="145"/>
      <c r="D48" s="145"/>
      <c r="E48" s="145"/>
      <c r="F48" s="145"/>
      <c r="G48" s="145"/>
      <c r="H48" s="145"/>
      <c r="I48" s="145"/>
      <c r="J48" s="145"/>
      <c r="K48" s="145"/>
      <c r="L48" s="145"/>
      <c r="M48" s="145"/>
      <c r="N48" s="144"/>
      <c r="O48" s="147"/>
    </row>
    <row r="49" spans="2:14" x14ac:dyDescent="0.3">
      <c r="B49" s="146" t="s">
        <v>119</v>
      </c>
      <c r="C49" s="145"/>
      <c r="D49" s="145"/>
      <c r="E49" s="145"/>
      <c r="F49" s="145"/>
      <c r="G49" s="145"/>
      <c r="H49" s="145"/>
      <c r="I49" s="145"/>
      <c r="J49" s="145"/>
      <c r="K49" s="145"/>
      <c r="L49" s="145"/>
      <c r="M49" s="145"/>
      <c r="N49" s="144"/>
    </row>
    <row r="50" spans="2:14" ht="25.8" x14ac:dyDescent="0.3">
      <c r="C50" s="15" t="s">
        <v>41</v>
      </c>
    </row>
    <row r="51" spans="2:14" ht="25.8" x14ac:dyDescent="0.3">
      <c r="C51" s="15" t="s">
        <v>42</v>
      </c>
    </row>
    <row r="52" spans="2:14" ht="25.8" x14ac:dyDescent="0.3">
      <c r="C52" s="15" t="s">
        <v>43</v>
      </c>
    </row>
    <row r="53" spans="2:14" ht="25.8" x14ac:dyDescent="0.3">
      <c r="C53" s="15" t="s">
        <v>44</v>
      </c>
    </row>
    <row r="54" spans="2:14" ht="25.8" x14ac:dyDescent="0.3">
      <c r="C54" s="15" t="s">
        <v>45</v>
      </c>
    </row>
  </sheetData>
  <dataConsolidate/>
  <mergeCells count="11">
    <mergeCell ref="F8:G8"/>
    <mergeCell ref="F9:G9"/>
    <mergeCell ref="G19:I19"/>
    <mergeCell ref="B22:N22"/>
    <mergeCell ref="B30:N30"/>
    <mergeCell ref="B32:N32"/>
    <mergeCell ref="B33:N33"/>
    <mergeCell ref="B47:N47"/>
    <mergeCell ref="B48:N48"/>
    <mergeCell ref="B49:N49"/>
    <mergeCell ref="B31:N31"/>
  </mergeCells>
  <dataValidations count="11">
    <dataValidation type="list" allowBlank="1" showInputMessage="1" showErrorMessage="1" sqref="H34" xr:uid="{317984A7-B6ED-42AB-B6E1-7486DE1FEAD6}">
      <formula1>"ALAA HAMMAD,KHALED QASSEM,RAMY RAOUF,SIMON LOBO,MHAREN CLEMENTE GARADO"</formula1>
    </dataValidation>
    <dataValidation type="list" allowBlank="1" showInputMessage="1" showErrorMessage="1" sqref="M34" xr:uid="{A6354046-EB90-4E1A-B03B-DAC5D03FE808}">
      <formula1>"Alaa Hammad,Bachir Ibrahim Mourad,Khaled Qassem,Ramy Raoof,Simon Lobo,Mharen Clemente Garado,Ranjith"</formula1>
    </dataValidation>
    <dataValidation type="list" allowBlank="1" showInputMessage="1" showErrorMessage="1" sqref="B11" xr:uid="{F3EA185A-8B14-4506-BCDA-5061695EFD80}">
      <formula1>"FO Ceramic+ Intr&amp;Extr CeramicGold WdwTnt,FO Mirror Camera Sensor"</formula1>
    </dataValidation>
    <dataValidation type="list" allowBlank="1" showInputMessage="1" showErrorMessage="1" sqref="B12" xr:uid="{22E9B04B-ABE2-4D99-B653-B298DBAA576F}">
      <formula1>"FO Exterior ceramic All Cars SCOTCHGUARD,FO Mirror Camera Sensor,FO PPF Gold Package "</formula1>
    </dataValidation>
    <dataValidation type="list" allowBlank="1" showInputMessage="1" showErrorMessage="1" sqref="K20" xr:uid="{7610405E-C0EB-4360-AEF3-3B185A48AB19}">
      <formula1>"Esaad,Emirates Platinum,Fazaa,Humat Alwatan,Permissible,ASX,XPMLP,XP,MON,MON G57,OUT,F08,P08,F06,P06,F03,F03-1,P03,EC,G37,G38,G40,G43"</formula1>
    </dataValidation>
    <dataValidation type="list" allowBlank="1" showInputMessage="1" showErrorMessage="1" sqref="B16" xr:uid="{56A6E480-4289-48FF-AA5F-678325819814}">
      <formula1>"RMC-10-40KMS,RMC-10-60KMS,RMC-10-70KMS,RMC-10-100000KMS,RMC-40-70KMS,RMC-40-100000KMS"</formula1>
    </dataValidation>
    <dataValidation type="list" allowBlank="1" showInputMessage="1" showErrorMessage="1" sqref="K24" xr:uid="{FFE33DA7-7FF0-4AED-944A-324BD0D1773A}">
      <formula1>"RMC-10-70K,RMC-10-100000K,RMC-40-70K"</formula1>
    </dataValidation>
    <dataValidation type="list" allowBlank="1" showInputMessage="1" showErrorMessage="1" sqref="D5" xr:uid="{46D6503C-37FD-4179-8218-B6762D0275AF}">
      <formula1>"MIG09,MIG10,H16,P16,H17,H48,H43,H40,H42,H44,H45,H38,H37,EH40,EH43,ML,HL,PR, MLP,HLP,PRP,XPML,XPHL,XPMLP, XPMLP-01,XC, G10,P10, G03, P03, G06,P06,G12,P12,G05,P05,G08,P08,G09,P09,H57,P57,H64,H59,P59,H61,P61"</formula1>
    </dataValidation>
    <dataValidation type="list" allowBlank="1" showInputMessage="1" showErrorMessage="1" sqref="M21" xr:uid="{45EDE142-EB2B-4CD1-9F6D-2920754A3877}">
      <formula1>"3000-4999,5000-9999,5000-99999,10000-14999,15000-24999,25000-34999,35000-99999,5000-11999,12000-19999,20000-39999,40000-69999,70000-99999"</formula1>
    </dataValidation>
    <dataValidation type="list" allowBlank="1" showInputMessage="1" showErrorMessage="1" sqref="C10:C16 L20 L24:L25 G14:G15 J10" xr:uid="{29E34E35-93A8-493C-AB82-D214C83C2ACB}">
      <formula1>"YES,NO"</formula1>
    </dataValidation>
    <dataValidation type="list" allowBlank="1" showInputMessage="1" showErrorMessage="1" sqref="K21" xr:uid="{D644CF21-3F96-481F-B194-F1AD6B76A199}">
      <formula1>"ADCB,ADCB PAY IN 2027,Ajman Bank,ADIB,DIB EXPAT,DIB LOCAL GVH,Emirates NBD,EIB,FAB,RAK,SIB STL,SIB NON STL"</formula1>
    </dataValidation>
  </dataValidations>
  <pageMargins left="0.23622047244094491" right="0.23622047244094491" top="0.74803149606299213" bottom="0.74803149606299213" header="0.31496062992125984" footer="0.31496062992125984"/>
  <pageSetup paperSize="9" scale="40" orientation="landscape" horizontalDpi="4294967295" verticalDpi="4294967295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DA2012-CA48-405F-B843-CEEA61965DF2}">
  <sheetPr>
    <pageSetUpPr fitToPage="1"/>
  </sheetPr>
  <dimension ref="A1:AA54"/>
  <sheetViews>
    <sheetView topLeftCell="B1" zoomScaleNormal="100" workbookViewId="0">
      <selection activeCell="D5" sqref="D5"/>
    </sheetView>
  </sheetViews>
  <sheetFormatPr defaultColWidth="9.109375" defaultRowHeight="15.6" x14ac:dyDescent="0.3"/>
  <cols>
    <col min="1" max="1" width="16" style="1" hidden="1" customWidth="1"/>
    <col min="2" max="2" width="75.109375" style="2" customWidth="1"/>
    <col min="3" max="3" width="26.88671875" style="3" customWidth="1"/>
    <col min="4" max="4" width="23.88671875" style="2" customWidth="1"/>
    <col min="5" max="5" width="23.33203125" style="2" customWidth="1"/>
    <col min="6" max="6" width="19.88671875" style="2" customWidth="1"/>
    <col min="7" max="7" width="23.33203125" style="2" customWidth="1"/>
    <col min="8" max="8" width="24.44140625" style="2" customWidth="1"/>
    <col min="9" max="9" width="27.109375" style="2" customWidth="1"/>
    <col min="10" max="10" width="26.6640625" style="2" customWidth="1"/>
    <col min="11" max="11" width="25.44140625" style="2" customWidth="1"/>
    <col min="12" max="12" width="20.5546875" style="2" customWidth="1"/>
    <col min="13" max="13" width="20.109375" style="2" customWidth="1"/>
    <col min="14" max="14" width="19.5546875" style="2" customWidth="1"/>
    <col min="15" max="15" width="15.109375" style="2" bestFit="1" customWidth="1"/>
    <col min="16" max="16" width="12.6640625" style="2" hidden="1" customWidth="1"/>
    <col min="17" max="17" width="12.6640625" style="1" hidden="1" customWidth="1"/>
    <col min="18" max="18" width="15.6640625" style="1" hidden="1" customWidth="1"/>
    <col min="19" max="19" width="13" style="1" hidden="1" customWidth="1"/>
    <col min="20" max="20" width="17.109375" style="1" hidden="1" customWidth="1"/>
    <col min="21" max="21" width="14.5546875" style="1" bestFit="1" customWidth="1"/>
    <col min="22" max="22" width="19" style="1" customWidth="1"/>
    <col min="23" max="23" width="22.5546875" style="1" bestFit="1" customWidth="1"/>
    <col min="24" max="25" width="9.109375" style="1"/>
    <col min="26" max="26" width="14" style="1" bestFit="1" customWidth="1"/>
    <col min="27" max="27" width="22.33203125" style="1" bestFit="1" customWidth="1"/>
    <col min="28" max="16384" width="9.109375" style="1"/>
  </cols>
  <sheetData>
    <row r="1" spans="1:27" ht="15.75" customHeight="1" x14ac:dyDescent="0.3">
      <c r="B1" s="222" t="s">
        <v>148</v>
      </c>
      <c r="C1" s="221"/>
      <c r="D1" s="221"/>
      <c r="E1" s="221"/>
      <c r="F1" s="221"/>
      <c r="G1" s="221"/>
      <c r="H1" s="221"/>
      <c r="I1" s="221"/>
      <c r="J1" s="221"/>
      <c r="K1" s="221"/>
      <c r="L1" s="221"/>
      <c r="M1" s="221"/>
      <c r="N1" s="220"/>
    </row>
    <row r="2" spans="1:27" ht="15.75" customHeight="1" x14ac:dyDescent="0.3">
      <c r="B2" s="219" t="s">
        <v>147</v>
      </c>
      <c r="C2" s="218"/>
      <c r="D2" s="218"/>
      <c r="E2" s="218"/>
      <c r="F2" s="218"/>
      <c r="G2" s="218"/>
      <c r="H2" s="218"/>
      <c r="I2" s="218"/>
      <c r="J2" s="218"/>
      <c r="K2" s="218"/>
      <c r="L2" s="218"/>
      <c r="M2" s="218"/>
      <c r="N2" s="217"/>
      <c r="Q2" s="2"/>
      <c r="S2" s="186"/>
    </row>
    <row r="3" spans="1:27" ht="15.75" customHeight="1" x14ac:dyDescent="0.3">
      <c r="B3" s="219" t="s">
        <v>146</v>
      </c>
      <c r="C3" s="218"/>
      <c r="D3" s="218"/>
      <c r="E3" s="218"/>
      <c r="F3" s="218"/>
      <c r="G3" s="218"/>
      <c r="H3" s="218"/>
      <c r="I3" s="218"/>
      <c r="J3" s="218"/>
      <c r="K3" s="218"/>
      <c r="L3" s="218"/>
      <c r="M3" s="218"/>
      <c r="N3" s="217"/>
      <c r="O3" s="3"/>
      <c r="P3" s="3"/>
      <c r="Q3" s="153"/>
      <c r="R3" s="153"/>
      <c r="S3" s="216" t="e">
        <f>N7+J14</f>
        <v>#VALUE!</v>
      </c>
      <c r="T3" s="216"/>
      <c r="U3" s="153"/>
      <c r="V3" s="153"/>
      <c r="W3" s="153"/>
      <c r="AA3" s="1">
        <f>273000/5</f>
        <v>54600</v>
      </c>
    </row>
    <row r="4" spans="1:27" ht="15.75" customHeight="1" x14ac:dyDescent="0.3">
      <c r="B4" s="215"/>
      <c r="C4" s="214"/>
      <c r="D4" s="214"/>
      <c r="E4" s="214"/>
      <c r="F4" s="214"/>
      <c r="G4" s="214"/>
      <c r="H4" s="214"/>
      <c r="I4" s="214"/>
      <c r="J4" s="214"/>
      <c r="K4" s="214"/>
      <c r="L4" s="214"/>
      <c r="M4" s="214"/>
      <c r="N4" s="213"/>
      <c r="O4" s="212" t="s">
        <v>0</v>
      </c>
      <c r="P4" s="212"/>
      <c r="Q4" s="210"/>
      <c r="R4" s="210"/>
      <c r="S4" s="211"/>
      <c r="T4" s="211"/>
      <c r="U4" s="210" t="s">
        <v>1</v>
      </c>
      <c r="V4" s="210" t="s">
        <v>2</v>
      </c>
      <c r="W4" s="210" t="s">
        <v>3</v>
      </c>
    </row>
    <row r="5" spans="1:27" ht="25.2" thickBot="1" x14ac:dyDescent="0.45">
      <c r="B5" s="17"/>
      <c r="C5" s="18" t="str">
        <f>IF(D5="MIG09","Mirage G09",IF(D5="MIG10","MirageG10",IF(D5="H16","Attrage H16",IF(D5="P16","Attrage P16",IF(D5="H17","Attrage H17",IF(D5="H48","ASX H48",IF(D5="H43","ASX H43",IF(D5="H40","ASX H40",IF(D5="H42","ASX H42",IF(D5="H44","ASX H44",IF(D5="H45","ASX H45",IF(D5="H38","Eclipse H38",IF(D5="H37","Eclipse H37",IF(D5="EH40","Eclipse H40",IF(D5="EH43","Eclipse H43",IF(D5="XPML","Xpander ML",IF(D5="ML","Destinator ML",IF(D5="HL","Destinator HL",IF(D5="PR","Destinator PR",IF(D5="MLP","Destinator MLP",IF(D5="HLP","Destinator HLP",IF(D5="PRP","Destinator PRP",IF(D5="XPHL","Xpander HL",IF(D5="XPMLP","Xpander ML P",IF(D5="XPMLP-01","Xpander ML P-01",IF(D5="XC","Xpander Cross",IF(D5="G03","Outlander G03",IF(D5="P03","Outlander P03",IF(D5="G06","Outlander G06",IF(D5="P06","Outlander P06",IF(D5="OTP06-01","Outlander P06-01",IF(D5="G08","Outlander G08",IF(D5="P08","Outlander P08",IF(D5="H57","Montero H57",IF(D5="P57","Montero P57",IF(D5="H64","Montero G64",IF(D5="H59","Montero G59",IF(D5="P59","Montero G59 P",IF(D5="H61","Montero G61",IF(D5="P61","Montero P61",IF(D5="G10","Outlander G10",IF(D5="P10","Outlander P10",IF(D5="G12","Outlander G12",IF(D5="P12","Outlander P12",IF(D5="G05","Outlander G05",IF(D5="P05","Outlander P05",IF(D5="G09","Outlander G09",IF(D5="P09","Outlander P09",))))))))))))))))))))))))))))))))))))))))))))))))</f>
        <v>Outlander G03</v>
      </c>
      <c r="D5" s="19" t="s">
        <v>171</v>
      </c>
      <c r="E5" s="20" t="s">
        <v>145</v>
      </c>
      <c r="F5" s="37"/>
      <c r="G5" s="37"/>
      <c r="H5" s="37"/>
      <c r="I5" s="20"/>
      <c r="J5" s="34"/>
      <c r="K5" s="209">
        <v>0</v>
      </c>
      <c r="L5" s="208">
        <v>3.39E-2</v>
      </c>
      <c r="M5" s="208">
        <v>6.7799999999999999E-2</v>
      </c>
      <c r="N5" s="208">
        <v>0.1017</v>
      </c>
      <c r="O5" s="147">
        <f>K7+K14</f>
        <v>12015.980617217501</v>
      </c>
      <c r="S5" s="186"/>
      <c r="U5" s="186">
        <f>L7+L14</f>
        <v>4960.9808423685417</v>
      </c>
      <c r="V5" s="186">
        <f>M7+M14</f>
        <v>3354.7768355237504</v>
      </c>
      <c r="W5" s="186">
        <f>N7+N14</f>
        <v>2358.2601507018753</v>
      </c>
    </row>
    <row r="6" spans="1:27" s="5" customFormat="1" ht="99" thickBot="1" x14ac:dyDescent="0.35">
      <c r="A6" s="4" t="s">
        <v>4</v>
      </c>
      <c r="B6" s="26" t="s">
        <v>5</v>
      </c>
      <c r="C6" s="27" t="s">
        <v>6</v>
      </c>
      <c r="D6" s="27" t="s">
        <v>144</v>
      </c>
      <c r="E6" s="27" t="s">
        <v>7</v>
      </c>
      <c r="F6" s="27" t="s">
        <v>8</v>
      </c>
      <c r="G6" s="28" t="s">
        <v>9</v>
      </c>
      <c r="H6" s="28" t="s">
        <v>143</v>
      </c>
      <c r="I6" s="28" t="s">
        <v>10</v>
      </c>
      <c r="J6" s="28" t="s">
        <v>142</v>
      </c>
      <c r="K6" s="28" t="s">
        <v>11</v>
      </c>
      <c r="L6" s="28" t="s">
        <v>12</v>
      </c>
      <c r="M6" s="28" t="s">
        <v>13</v>
      </c>
      <c r="N6" s="28" t="s">
        <v>14</v>
      </c>
      <c r="O6" s="207"/>
      <c r="P6" s="206"/>
      <c r="T6" s="205"/>
      <c r="U6" s="205">
        <f>N7+L14</f>
        <v>3919.8925657018749</v>
      </c>
      <c r="V6" s="205">
        <f>N7+K14</f>
        <v>9673.5319947175012</v>
      </c>
      <c r="W6" s="205" t="e">
        <f>N7+J14</f>
        <v>#VALUE!</v>
      </c>
    </row>
    <row r="7" spans="1:27" ht="25.2" thickBot="1" x14ac:dyDescent="0.45">
      <c r="A7" s="6">
        <f>B8</f>
        <v>92900</v>
      </c>
      <c r="B7" s="29">
        <f>IF(L20="YES",C8*1,IF(L20="NO",B8*1))</f>
        <v>92900</v>
      </c>
      <c r="C7" s="29">
        <f>B7*5/100</f>
        <v>4645</v>
      </c>
      <c r="D7" s="203">
        <f>B7+C7</f>
        <v>97545</v>
      </c>
      <c r="E7" s="29">
        <f>D17</f>
        <v>19007.431124999999</v>
      </c>
      <c r="F7" s="29">
        <f>(C7)+(D10+D11+D12+D13+D16)*5/100</f>
        <v>5215</v>
      </c>
      <c r="G7" s="30">
        <f>B7+E7+F7</f>
        <v>117122.431125</v>
      </c>
      <c r="H7" s="29">
        <f>G7*D20</f>
        <v>23424.486225000001</v>
      </c>
      <c r="I7" s="30">
        <f>(G7-H7)</f>
        <v>93697.944900000002</v>
      </c>
      <c r="J7" s="30">
        <f>(((I7*D19)*1)+I7)/12</f>
        <v>8111.8995797175003</v>
      </c>
      <c r="K7" s="30">
        <f>(((I7*D19)*2)+I7)/24</f>
        <v>4207.8185422175002</v>
      </c>
      <c r="L7" s="30">
        <f>(((I7*D19)*3)+I7)/36</f>
        <v>2906.458196384167</v>
      </c>
      <c r="M7" s="30">
        <f>(((I7*D19)*4)+I7)/48</f>
        <v>2255.7780234675001</v>
      </c>
      <c r="N7" s="30">
        <f>((((I7*D19)*5)+I7)/60)</f>
        <v>1865.3699197175001</v>
      </c>
      <c r="O7" s="147"/>
      <c r="P7" s="2">
        <f>H7+H16</f>
        <v>24408.314646450002</v>
      </c>
      <c r="T7" s="186">
        <f>25973/2</f>
        <v>12986.5</v>
      </c>
    </row>
    <row r="8" spans="1:27" ht="24.6" x14ac:dyDescent="0.4">
      <c r="A8" s="7">
        <v>0.2</v>
      </c>
      <c r="B8" s="31">
        <f>IF(D5="MIG09",39900,IF(D5="MIG10",41900,IF(D5="H16",41900,IF(D5="P16",47400,IF(D5="H17",47900,IF(D5="H48",67900,IF(D5="H43",70900,IF(D5="H40",72900,IF(D5="H42",74900,IF(D5="H44",73900,IF(D5="H45",79900,IF(D5="H38",86900,IF(D5="H37",79900,IF(D5="EH40",99900,IF(D5="EH43",106900,IF(D5="ML",71900,IF(D5="HL",83900,IF(D5="PR",95900,IF(D5="MLP",80900,IF(D5="HLP",91900,IF(D5="PRP",102900,IF(D5="XPML",69900,IF(D5="XPHL",71000,IF(D5="XPMLP",75900,IF(D5="XPMLP-01",77800,IF(D5="XC",84900,IF(D5="G10",81900,IF(D5="P10",93900,IF(D5="G12",97900,IF(D5="P12",105900,IF(D5="G05",104900,IF(D5="P05",105900,IF(D5="G03",92900,IF(D5="P03",100900,IF(D5="G06",109900,IF(D5="P06",114900,IF(D5="OTP06-01",118900,IF(D5="G08",125900,IF(D5="P08",132900,IF(D5="OTP06-01",109900,IF(D5="G09",129900,IF(D5="P09",134900,IF(D5="H57",105900,IF(D5="P57",113900,IF(D5="H64",116900,IF(D5="H59",127900,IF(D5="P59",134900,IF(D5="H61",134900,IF(D5="P61",138900)))))))))))))))))))))))))))))))))))))))))))))))))</f>
        <v>92900</v>
      </c>
      <c r="C8" s="32">
        <f>IF(L20="YES",N20,IF(L20="NO",N20))</f>
        <v>92900</v>
      </c>
      <c r="D8" s="29">
        <v>0</v>
      </c>
      <c r="E8" s="33"/>
      <c r="F8" s="139"/>
      <c r="G8" s="140"/>
      <c r="H8" s="110">
        <f>G7*20/100</f>
        <v>23424.486225000001</v>
      </c>
      <c r="I8" s="34"/>
      <c r="J8" s="34" t="s">
        <v>15</v>
      </c>
      <c r="K8" s="34">
        <f>(I7*K5+I7)/24</f>
        <v>3904.0810375000001</v>
      </c>
      <c r="L8" s="34">
        <f>(I7*L5+I7)/36</f>
        <v>2690.9529231141664</v>
      </c>
      <c r="M8" s="34">
        <f>(I7*M5+I7)/48</f>
        <v>2084.3888659212503</v>
      </c>
      <c r="N8" s="34">
        <f>(I7*N5+I7)/60</f>
        <v>1720.4504316054999</v>
      </c>
      <c r="O8" s="147">
        <v>0</v>
      </c>
      <c r="P8" s="2">
        <f>P7/12</f>
        <v>2034.0262205375002</v>
      </c>
      <c r="T8" s="1">
        <f>25973-12973</f>
        <v>13000</v>
      </c>
    </row>
    <row r="9" spans="1:27" ht="24.6" x14ac:dyDescent="0.4">
      <c r="A9" s="8">
        <f>B8/(100%-A8)</f>
        <v>116125</v>
      </c>
      <c r="B9" s="109">
        <f>B7-B8</f>
        <v>0</v>
      </c>
      <c r="C9" s="109"/>
      <c r="D9" s="36"/>
      <c r="E9" s="33"/>
      <c r="F9" s="139"/>
      <c r="G9" s="140"/>
      <c r="H9" s="33"/>
      <c r="I9" s="37" t="s">
        <v>16</v>
      </c>
      <c r="J9" s="38">
        <f>(J7*12)-I7</f>
        <v>3644.8500566099974</v>
      </c>
      <c r="K9" s="38">
        <f>(K7*24)-I7</f>
        <v>7289.7001132199948</v>
      </c>
      <c r="L9" s="38">
        <f>(L7*36)-I7</f>
        <v>10934.550169830007</v>
      </c>
      <c r="M9" s="38">
        <f>(M7*48)-I7</f>
        <v>14579.400226440004</v>
      </c>
      <c r="N9" s="38">
        <f>(N7*60)-I7</f>
        <v>18224.250283050002</v>
      </c>
      <c r="O9" s="147"/>
      <c r="T9" s="1">
        <f>T8/12</f>
        <v>1083.3333333333333</v>
      </c>
      <c r="Z9" s="1" t="s">
        <v>86</v>
      </c>
    </row>
    <row r="10" spans="1:27" ht="24.6" x14ac:dyDescent="0.4">
      <c r="A10" s="8"/>
      <c r="B10" s="37" t="s">
        <v>141</v>
      </c>
      <c r="C10" s="20" t="s">
        <v>17</v>
      </c>
      <c r="D10" s="36">
        <f>IF(C10="YES",700,IF(C10="NO",0))</f>
        <v>0</v>
      </c>
      <c r="E10" s="39"/>
      <c r="F10" s="40"/>
      <c r="G10" s="40"/>
      <c r="H10" s="33"/>
      <c r="I10" s="44" t="s">
        <v>85</v>
      </c>
      <c r="J10" s="117" t="s">
        <v>19</v>
      </c>
      <c r="K10" s="117">
        <f>IF(J10="YES",Z10,IF(J10="NO",0))</f>
        <v>1000</v>
      </c>
      <c r="L10" s="41">
        <f>(L8*36)-I7</f>
        <v>3176.3603321099945</v>
      </c>
      <c r="M10" s="41">
        <f>(M8*48)-I7</f>
        <v>6352.7206642200181</v>
      </c>
      <c r="N10" s="41">
        <f>(N8*60)-I7</f>
        <v>9529.080996329998</v>
      </c>
      <c r="O10" s="147">
        <f>IF(D5="XC",3690,IF(D5="XPML",3690,IF(D5="XPHL",3690,IF(D5="XPMLP",3690,IF(D5="XPMLP-01",3690,IF(D5="Xpander P",3690,IF(D5="ML",3690,IF(D5="HL",3690,IF(D5="PR",(U19*3/100+510)*1.05,IF(D5="MLP",3690,IF(D5="HLP",(U19*3/100+510)*1.05,IF(D5="PRP",(U19*3/100+510)*1.05,IF(D5="H57",(U19*2.75/100+510)*1.05,IF(D5="P57",(U19*2.75/100+510)*1.05,IF(D5="H64",(U19*2.75/100+510)*1.05,IF(D5="H59",(U19*2.75/100+510)*1.05,IF(D5="P59",(U19*2.75/100+510)*1.05,IF(D5="H61",(U19*2.75/100+510)*1.05,IF(D5="P61",(U19*2.75/100+510)*1.05,IF(D5="G03",(U19*3/100+510)*1.05,IF(D5="G10",(U19*3/100+510)*1.05,IF(D5="P10",(U19*3/100+510)*1.05,IF(D5="G12",(U19*3/100+510)*1.05,IF(D5="P12",(U19*3/100+510)*1.05,IF(D5="G05",(U19*3/100+510)*1.05,IF(D5="P05",(U19*3/100+510)*1.05,IF(D5="P03",(U19*3/100+510)*1.05,IF(D5="G06",(U19*3/100+510)*1.05,IF(D5="P06",(U19*3/100+510)*1.05,IF(D5="OTP06-01",(U19*3/100+510)*1.05,IF(D5="G08",(U19*3/100+510)*1.05,IF(D5="P08",(U19*3/100+510)*1.05,IF(D5="G09",(U19*3/100+510)*1.05,IF(D5="P09",(U19*3/100+510)*1.05,IF(D5="H38",3625,IF(D5="H37",3625,IF(D5="EH40",(U19*3/100+450)*1.05,IF(D5="EH43",(U19*3/100+450)*1.05,IF(D5="H48",3625,IF(D5="H43",3625,IF(D5="H40",3625,IF(D5="H42",3625,IF(D5="H44",3625,IF(D5="H45",3625,IF(D5="ASX HL 4WD",3625,IF(D5="H16",3625,IF(D5="H17",3625,IF(D5="P16",3625,IF(D5="Attrage S",3625,IF(D5="MIG09",3625,IF(D5="MIG10",3625,IF(D5="Xpander HL",3690))))))))))))))))))))))))))))))))))))))))))))))))))))</f>
        <v>3985.2224999999999</v>
      </c>
      <c r="P10" s="204"/>
      <c r="Q10" s="204">
        <f>5.25*3</f>
        <v>15.75</v>
      </c>
      <c r="Z10" s="1">
        <f>IF(D5="MIG09",1000,IF(D5="MIG10",1000,IF(D5="H16",1000,IF(D5="P16",1000,IF(D5="H17",1000,IF(D5="H48",1000,IF(D5="H43",1000,IF(D5="H40",1000,IF(D5="H42",1000,IF(D5="H44",1000,IF(D5="H45",1000,IF(D5="H38",1000,IF(D5="H37",1000,IF(D5="EH40",1000,IF(D5="EH43",1000,IF(D5="ML",1000,IF(D5="HL",1000,IF(D5="PR",1000,IF(D5="MLP",1000,IF(D5="HLP",1000,IF(D5="PRP",1000,IF(D5="XPML",1000,IF(D5="XPHL",1000,IF(D5="XPMLP",1000,IF(D5="XPMLP-01",1000,IF(D5="XC",1000,IF(D5="G10",1000,IF(D5="P10",1000,IF(D5="G12",1000,IF(D5="P12",1000,IF(D5="G05",1000,IF(D5="P05",1000,IF(D5="G03",1000,IF(D5="P03",1000,IF(D5="G06",1000,IF(D5="P06",1000,IF(D5="OTP06-01",1000,IF(D5="G08",1000,IF(D5="P08",1000,IF(D5="OTP06-01",1000,IF(D5="G09",1000,IF(D5="P09",1000,IF(D5="H57",1000,IF(D5="P57",1000,IF(D5="H64",1000,IF(D5="H59",1000,IF(D5="P59",1000,IF(D5="H61",1000,IF(D5="P61",1000)))))))))))))))))))))))))))))))))))))))))))))))))</f>
        <v>1000</v>
      </c>
    </row>
    <row r="11" spans="1:27" ht="24.6" x14ac:dyDescent="0.4">
      <c r="A11" s="8"/>
      <c r="B11" s="37" t="s">
        <v>18</v>
      </c>
      <c r="C11" s="20" t="s">
        <v>19</v>
      </c>
      <c r="D11" s="203">
        <f>IF(C11="YES",O17,IF(C11="NO",0))</f>
        <v>2700</v>
      </c>
      <c r="E11" s="39"/>
      <c r="F11" s="40"/>
      <c r="G11" s="40"/>
      <c r="H11" s="33"/>
      <c r="I11" s="33"/>
      <c r="J11" s="44" t="s">
        <v>76</v>
      </c>
      <c r="K11" s="44">
        <f>H8-K10</f>
        <v>22424.486225000001</v>
      </c>
      <c r="L11" s="37"/>
      <c r="M11" s="37"/>
      <c r="N11" s="38"/>
      <c r="O11" s="147">
        <f>IF(D5="XC",6100,IF(D5="XPML",6100,IF(D5="XPHL",6100,IF(D5="XPMLP",6100,IF(D5="XPMLP-01",6100,IF(D5="Xpander P",6100,IF(D5="ML",6600,IF(D5="HL",6600,IF(D5="PR",6600,IF(D5="MLP",6600,IF(D5="HLP",6600,IF(D5="PRP",6600,IF(D5="H57",5900,IF(D5="P57",5900,IF(D5="H64",5900,IF(D5="H59",5900,IF(D5="P59",5900,IF(D5="H61",5900,IF(D5="P61",5900,IF(D5="G03",6700,IF(D5="G10",6700,IF(D5="P10",6700,IF(D5="G12",6700,IF(D5="P12",6700,IF(D5="G05",6700,IF(D5="P05",6700,IF(D5="P03",6700,IF(D5="G06",6700,IF(D5="P06",6700,IF(D5="OTP06-01",6700,IF(D5="G08",6700,IF(D5="G09",6700,IF(D5="G08",6700,IF(D5="P08",6700,IF(D5="P09",6700,IF(D5="H37",6400,IF(D5="H38",6400,IF(D5="EH40",6400,IF(D5="EH43",6400,IF(D5="H48",6600,IF(D5="H43",6600,IF(D5="H40",6600,IF(D5="H42",6600,IF(D5="H44",6600,IF(D5="H45",6600,IF(D5="ASX HL 4WD",6600,IF(D5="H16",5400,IF(D5="H17",5400,IF(D5="P16",5400,IF(D5="Attrage S",5400,IF(D5="MIG09",5400,IF(D5="MIG10",5400,IF(D5="Xpander HL",6000)))))))))))))))))))))))))))))))))))))))))))))))))))))</f>
        <v>6700</v>
      </c>
      <c r="P11" s="147"/>
      <c r="Q11" s="147"/>
      <c r="R11" s="147"/>
      <c r="S11" s="147"/>
      <c r="T11" s="147"/>
      <c r="U11" s="147">
        <f>IF(D5="XC",4900,IF(D5="XPML",4900,IF(D5="XPHL",4900,IF(D5="XPMLP",4900,IF(D5="XPMLP-01",4900,IF(D5="Xpander P",4900,IF(D5="ML",5400,IF(D5="HL",5400,IF(D5="PR",5400,IF(D5="MLP",5400,IF(D5="HLP",5400,IF(D5="PRP",5400,IF(D5="H57",4600,IF(D5="P57",4600,IF(D5="MOG64",4600,IF(D5="H59",4600,IF(D5="P59",4600,IF(D5="H61",4600,IF(D5="P61",4600,IF(D5="G03",5500,IF(D5="P03",5500,IF(D5="G10",5500,IF(D5="P10",5500,IF(D5="G12",5500,IF(D5="P12",5500,IF(D5="G05",5500,IF(D5="P05",5500,IF(D5="G06",5500,IF(D5="P06",5500,IF(D5="OTP06-01",5500,IF(D5="F08",5500,IF(D5="P08",5500,IF(D5="G09",5500,IF(D5="P09",5500,IF(D5="H38",5200,IF(D5="H37",5200,IF(D5="EH40",5200,IF(D5="EH43",5200,IF(D5="H48",5300,IF(D5="H43",5300,IF(D5="H40",5300,IF(D5="H42",5300,IF(D5="H44",5300,IF(D5="H45",5300,IF(D5="ASX HL",5300,IF(D5="ASX P",5300,IF(D5="ASX HL 4WD",5300,IF(D5="H16",4200,IF(D5="H17",4200,IF(D5="P16",4200,IF(D5="Attrage S",4200,IF(D5="MIG09",4200,IF(D5="MIG10",4200,IF(D5="Xpander HL",4900))))))))))))))))))))))))))))))))))))))))))))))))))))))</f>
        <v>5500</v>
      </c>
      <c r="V11" s="147">
        <f>IF(D5="XC",9700,IF(D5="XPML",9700,IF(D5="XPHL",9700,IF(D5="XPMLP",9700,IF(D5="XPMLP-01",9700,IF(D5="XPMLP-01",9700,IF(D5="Xpander P",9700,IF(D5="ML",10800,IF(D5="HL",10800,IF(D5="PR",10800,IF(D5="MLP",10800,IF(D5="HLP",10800,IF(D5="PRP",10800,IF(D5="H57",9300,IF(D5="P57",9300,IF(D5="MG64",9300,IF(D5="H59",9300,IF(D5="P59",9300,IF(D5="H61",9300,IF(D5="P61",9300,IF(D5="G03",11000,IF(D5="G10",11000,IF(D5="P10",11000,IF(D5="G12",11000,IF(D5="P12",11000,IF(D5="G05",11000,IF(D5="P05",11000,IF(D5="P03",11000,IF(D5="G06",11000,IF(D5="P06",11000,IF(D5="OTP06-01",11000,IF(D5="G08",11000,IF(D5="P08",11000,IF(D5="G09",11000,IF(D5="P09",11000,IF(D5="H38",10400,IF(D5="H37",10400,IF(D5="EH40",10400,IF(D5="EH43",10400,IF(D5="H48",10700,IF(D5="H43",10700,IF(D5="H40",10700,IF(D5="H42",10700,IF(D5="H44",10800,IF(D5="H45",10800,IF(D5="ASX HL",12200,IF(D5="ASX P",12200,IF(D5="ASX HL 4WD",12200,IF(D5="H16",8500,IF(D5="H17",8500,IF(D5="P16",8500,IF(D5="Attrage S",9600,IF(D5="MIG09",8500,IF(D5="MIG10",8500,IF(D5="Xpander HL",11300)))))))))))))))))))))))))))))))))))))))))))))))))))))))</f>
        <v>11000</v>
      </c>
      <c r="W11" s="147">
        <f>IF(D5="XC",9200,IF(D5="XPML",9200,IF(D5="XPHL",9200,IF(D5="XPMLP",9200,IF(D5="XPMLP-01",9200,IF(D5="Xpander P",9200,IF(D5="ML",10000,IF(D5="HL",10000,IF(D5="PR",10000,IF(D5="MLP",10000,IF(D5="HLP",10000,IF(D5="PRP",10000,IF(D5="H57",8700,IF(D5="P57",8700,IF(D5="H64",8700,IF(D5="H59",8700,IF(D5="P59",8700,IF(D5="H61",8700,IF(D5="P61",8700,IF(D5="G03",10400,IF(D5="P03",10400,IF(D5="G10",10400,IF(D5="P10",10400,IF(D5="G12",10400,IF(D5="P12",10400,IF(D5="G05",10400,IF(D5="P05",10400,IF(D5="G06",10400,IF(D5="P06",10400,IF(D5="OTP06-01",10400,IF(D5="G08",10400,IF(D5="P08",10400,IF(D5="G09",10400,IF(D5="P09",10400,IF(D5="H38",9800,IF(D5="H37",9800,IF(D5="EH40",9800,IF(D5="EH43",9800,IF(D5="H48",10100,IF(D5="H43",10100,IF(D5="H40",10100,IF(D5="H42",10100,IF(D5="H44",10100,IF(D5="H45",10100,IF(D5="ASX HL",10100,IF(D5="ASX P",10100,IF(D5="ASX HL 4WD",10100,IF(D5="H16",7900,IF(D5="H17",7900,IF(D5="P16",7900,IF(D5="Attrage S",7900,IF(D5="MIG09",7900,IF(D5="MIG10",7900,IF(D5="Xpander HL",9200))))))))))))))))))))))))))))))))))))))))))))))))))))))</f>
        <v>10400</v>
      </c>
      <c r="X11" s="147">
        <f>IF(D5="XC",4500,IF(D5="XPML",4500,IF(D5="XPHL",4500,IF(D5="XPMLP",4500,IF(D5="XPMLP-01",4500,IF(D5="Xpander P",4500,IF(D5="ML",5000,IF(D5="HL",5000,IF(D5="PR",5000,IF(D5="MLP",5000,IF(D5="HLP",5000,IF(D5="PRP",5000,IF(D5="H57",8700,IF(D5="P57",8700,IF(D5="MOG64",4300,IF(D5="H59",4300,IF(D5="P59",4300,IF(D5="H61",4300,IF(D5="P61",4300,IF(D5="G03",5000,IF(D5="P03",5000,IF(D5="G10",5000,IF(D5="P10",5000,IF(D5="G12",5000,IF(D5="P12",5000,IF(D5="G05",5000,IF(D5="P05",5000,IF(D5="G06",5000,IF(D5="P06",5000,IF(D5="OTP06-01",5000,IF(D5="G08",5000,IF(D5="P08",5000,IF(D5="G09",5000,IF(D5="P09",5000,IF(D5="H38",4900,IF(D5="H37",4900,IF(D5="EH40",4900,IF(D5="EH43",4900,IF(D5="H48",4900,IF(D5="H43",4900,IF(D5="H40",4900,IF(D5="H42",4900,IF(D5="H44",4900,IF(D5="H45",4900,IF(D5="ASX HL",4900,IF(D5="ASX P",4900,IF(D5="ASX HL 4WD",4900,IF(D5="H16",3700,IF(D5="H17",3700,IF(D5="P16",3700,IF(D5="Attrage S",3700,IF(D5="MIG09",3700,IF(D5="MIG10",3700,IF(D5="Xpander HL",4500))))))))))))))))))))))))))))))))))))))))))))))))))))))</f>
        <v>5000</v>
      </c>
      <c r="Y11" s="147">
        <f>IF(D5="XC",5400,IF(D5="XPML ",5400,IF(D5="XPHL",5400,IF(D5="XPMLP",5400,IF(D5="XPMLP-01",5400,IF(D5="Xpander P",5400,IF(D5="ML",6000,IF(D5="HL",6000,IF(D5="PR",6000,IF(D5="MLP",6000,IF(D5="HLP",6000,IF(D5="PRP",6000,IF(D5="H57",5200,IF(D5="57",5200,IF(D5="H64",5200,IF(D5="H59",5200,IF(D5="P59",5200,IF(D5="H61",5200,IF(D5="P61",5200,IF(D5="G03",6000,IF(D5="P03",6000,IF(D5="G10",6000,IF(D5="P10",6000,IF(D5="G12",6000,IF(D5="P12",6000,IF(D5="G05",6000,IF(D5="P05",6000,IF(D5="G06",6000,IF(D5="P06",6000,IF(D5="OTP06-01",6000,IF(D5="G08",6000,IF(D5="P08",6000,IF(D5="G09",6000,IF(D5="P09",6000,IF(D5="H38",5700,IF(D5="H37",5700,IF(D5="EH40",5700,IF(D5="EH43",5700,IF(D5="H48",5900,IF(D5="H43",5900,IF(D5="H40",5900,IF(D5="H42",5900,IF(D5="H44",5900,IF(D5="H45",5900,IF(D5="ASX HL",5900,IF(D5="ASX P",5900,IF(D5="ASX HL 4WD",5900,IF(D5="H16",4500,IF(D5="H17",4500,IF(D5="P16",4500,IF(D5="Attrage S",4500,IF(D5="MIG09",4500,IF(D5="MIG10",4500,IF(D5="Xpander HL",5400))))))))))))))))))))))))))))))))))))))))))))))))))))))</f>
        <v>6000</v>
      </c>
    </row>
    <row r="12" spans="1:27" ht="24.6" x14ac:dyDescent="0.4">
      <c r="A12" s="8"/>
      <c r="B12" s="37" t="s">
        <v>20</v>
      </c>
      <c r="C12" s="20" t="s">
        <v>17</v>
      </c>
      <c r="D12" s="36">
        <f>IF(C12="YES",2000,IF(C12="NO",0))</f>
        <v>0</v>
      </c>
      <c r="E12" s="43"/>
      <c r="F12" s="43" t="s">
        <v>21</v>
      </c>
      <c r="G12" s="40"/>
      <c r="H12" s="33">
        <v>600</v>
      </c>
      <c r="I12" s="33"/>
      <c r="J12" s="202" t="s">
        <v>140</v>
      </c>
      <c r="K12" s="45">
        <v>0</v>
      </c>
      <c r="L12" s="45">
        <v>5.2499999999999998E-2</v>
      </c>
      <c r="M12" s="45">
        <v>0.126</v>
      </c>
      <c r="N12" s="201">
        <v>0.26250000000000001</v>
      </c>
      <c r="O12" s="147">
        <f>IF(K20="Esaad",B8*3/100,IF(K20="Emirates Platinum",B8*3/100,IF(K20="Fazaa",B8*3/100,IF(K20="Humat Alwatan",B8*3/100,IF(K20="Permissible",2000,IF(K20="ASX",8400,IF(K20="XPMLP",15100,IF(K20="XP",7200,IF(K20="G43",11000,IF(K20="EC",17000,IF(K20="G37",17000,IF(K20="G38",15000,IF(K20="G40",11000,IF(K20="OUT",3000,IF(K20="F08",14400,IF(K20="P08",11100,IF(K20="F06",13100,IF(K20="P06",13400,IF(K20="F03",3500,IF(K20="F03-1",13500,IF(K20="P03",13100,IF(K20="MON",10000,IF(K20="MON G57",9000,0)))))))))))))))))))))))</f>
        <v>2000</v>
      </c>
      <c r="Z12" s="86" t="s">
        <v>83</v>
      </c>
      <c r="AA12" s="86" t="s">
        <v>84</v>
      </c>
    </row>
    <row r="13" spans="1:27" ht="24.6" x14ac:dyDescent="0.4">
      <c r="A13" s="8">
        <f>B8*1.26582</f>
        <v>117594.678</v>
      </c>
      <c r="B13" s="37" t="s">
        <v>23</v>
      </c>
      <c r="C13" s="20" t="s">
        <v>19</v>
      </c>
      <c r="D13" s="36">
        <f>IF(C13="YES",2000,IF(C13="NO",0))</f>
        <v>2000</v>
      </c>
      <c r="E13" s="47"/>
      <c r="F13" s="47" t="s">
        <v>75</v>
      </c>
      <c r="G13" s="51"/>
      <c r="H13" s="39">
        <v>315</v>
      </c>
      <c r="I13" s="33"/>
      <c r="J13" s="44" t="s">
        <v>54</v>
      </c>
      <c r="K13" s="29" t="s">
        <v>79</v>
      </c>
      <c r="L13" s="29" t="s">
        <v>25</v>
      </c>
      <c r="M13" s="29" t="s">
        <v>0</v>
      </c>
      <c r="N13" s="57" t="s">
        <v>26</v>
      </c>
      <c r="O13" s="9">
        <f>IF(M21="3000-4999",6%,IF(M21="5000-9999",4.75%,IF(M21="10000-14999",3.15%,IF(M21="15000-24999",2.5%,IF(M21="25000-34999",2.25%,IF(M21="35000-99999",2.15%))))))</f>
        <v>4.7500000000000001E-2</v>
      </c>
      <c r="Q13" s="2">
        <f>H7/12</f>
        <v>1952.04051875</v>
      </c>
      <c r="U13" s="9">
        <f>IF(M21="3000-4999",6%,IF(M21="5000-9999",3.25%,IF(M21="10000-14999",3%,IF(M21="15000-24999",2.25%,IF(M21="25000-34999",2.15%,IF(M21="35000-99999",1.99%))))))</f>
        <v>3.2500000000000001E-2</v>
      </c>
      <c r="Z13" s="99">
        <f>IF(M21="5000-9999",2.49%,IF(M21="10000-19999",2.19%,IF(M21="20000-34999",2.09%,IF(M21="35000-49999",1.89%,IF(M21="50000-99999",1.79%)))))</f>
        <v>2.4900000000000002E-2</v>
      </c>
      <c r="AA13" s="99">
        <f>IF(M21="5000-9999",2.59%,IF(M21="10000-19999",2.29%,IF(M21="20000-34999",2.19%,IF(M21="35000-49999",1.99%,IF(M21="50000-99999",1.89%)))))</f>
        <v>2.5899999999999999E-2</v>
      </c>
    </row>
    <row r="14" spans="1:27" ht="24.6" x14ac:dyDescent="0.4">
      <c r="A14" s="10" t="s">
        <v>27</v>
      </c>
      <c r="B14" s="37" t="s">
        <v>24</v>
      </c>
      <c r="C14" s="20" t="s">
        <v>19</v>
      </c>
      <c r="D14" s="50">
        <f>IF(C14="YES",U19*3.15*1.05/100,IF(C14="NO",U19*0/100))</f>
        <v>3622.2086249999998</v>
      </c>
      <c r="E14" s="48"/>
      <c r="F14" s="48" t="s">
        <v>24</v>
      </c>
      <c r="G14" s="51" t="s">
        <v>17</v>
      </c>
      <c r="H14" s="39">
        <f>IF(G14="YES",U19*3.15*1.05/100,IF(G14="NO",U19*0/100))</f>
        <v>0</v>
      </c>
      <c r="I14" s="33"/>
      <c r="J14" s="44" t="s">
        <v>55</v>
      </c>
      <c r="K14" s="44">
        <f>(H8*K12+H8)/3</f>
        <v>7808.1620750000002</v>
      </c>
      <c r="L14" s="44">
        <f>(H8*L12+H8)/12</f>
        <v>2054.5226459843748</v>
      </c>
      <c r="M14" s="44">
        <f>(H8*M12+H8)/24</f>
        <v>1098.99881205625</v>
      </c>
      <c r="N14" s="200">
        <f>(H7*N12+H7)/60</f>
        <v>492.89023098437502</v>
      </c>
      <c r="O14" s="9">
        <f>IF(M21="3000-4999",3.89%,IF(M21="5000-9999",3.89%,IF(M21="10000-14999",3.89%,IF(M21="15000-24999",2.69%,IF(M21="25000-34999",2.69%,IF(M21="35000-99999",2.39%,IF(M21="76000-99999",2.5%)))))))</f>
        <v>3.8900000000000004E-2</v>
      </c>
    </row>
    <row r="15" spans="1:27" ht="24.6" x14ac:dyDescent="0.4">
      <c r="A15" s="11">
        <f>(B7*3%)+10+120</f>
        <v>2917</v>
      </c>
      <c r="B15" s="37" t="s">
        <v>28</v>
      </c>
      <c r="C15" s="20" t="s">
        <v>19</v>
      </c>
      <c r="D15" s="29">
        <f>IF(C15="YES",O10,IF(C15="NO",0))</f>
        <v>3985.2224999999999</v>
      </c>
      <c r="E15" s="48"/>
      <c r="F15" s="48" t="s">
        <v>53</v>
      </c>
      <c r="G15" s="51" t="s">
        <v>17</v>
      </c>
      <c r="H15" s="39">
        <f>IF(G15="YES",O10,IF(G15="NO",0))</f>
        <v>0</v>
      </c>
      <c r="I15" s="33"/>
      <c r="J15" s="44"/>
      <c r="K15" s="44"/>
      <c r="L15" s="44"/>
      <c r="M15" s="44"/>
      <c r="N15" s="198"/>
      <c r="O15" s="9" t="b">
        <f>IF(M21="3000-4999",4.99%, IF(M21="5000-11999",2.75%,IF(M21="12000-19999",2.75%,IF(M21="20000-39999",2.25%,IF(M21="40000-69999",2.25%,IF(M21="70000-99999",2.25%))))))</f>
        <v>0</v>
      </c>
      <c r="P15" s="191"/>
    </row>
    <row r="16" spans="1:27" ht="24.6" x14ac:dyDescent="0.4">
      <c r="A16" s="11">
        <f>((B7-B8)*3%+10+120)</f>
        <v>130</v>
      </c>
      <c r="B16" s="37" t="s">
        <v>78</v>
      </c>
      <c r="C16" s="20" t="s">
        <v>19</v>
      </c>
      <c r="D16" s="29">
        <f>IF(C16="YES",O16,IF(C16="NO",0))</f>
        <v>6700</v>
      </c>
      <c r="E16" s="47"/>
      <c r="F16" s="47" t="s">
        <v>74</v>
      </c>
      <c r="G16" s="54"/>
      <c r="H16" s="33">
        <f>I7*1.05%</f>
        <v>983.82842145000006</v>
      </c>
      <c r="I16" s="33"/>
      <c r="J16" s="44" t="s">
        <v>16</v>
      </c>
      <c r="K16" s="44">
        <f>(K14*3)-H8</f>
        <v>0</v>
      </c>
      <c r="L16" s="44">
        <f>(L14*12)-H8</f>
        <v>1229.7855268124986</v>
      </c>
      <c r="M16" s="44">
        <f>(M14*24)-H8</f>
        <v>2951.485264349998</v>
      </c>
      <c r="N16" s="198"/>
      <c r="O16" s="147">
        <f>IF(B16="RMC-10-70KMS",O11,IF(B16="RMC-10-100000KMS",V11,IF(B16="RMC-40-70KMS",U11, IF(B16="RMC-10-40KMS",X11, IF(B16="RMC-10-60KMS",Y11, IF(B16="RMC-40-100000KMS",W11,0))))))</f>
        <v>6700</v>
      </c>
    </row>
    <row r="17" spans="1:23" ht="24.6" x14ac:dyDescent="0.4">
      <c r="A17" s="11">
        <f>A15+A16</f>
        <v>3047</v>
      </c>
      <c r="B17" s="37"/>
      <c r="C17" s="20"/>
      <c r="D17" s="29">
        <f>SUM(D10:D16)</f>
        <v>19007.431124999999</v>
      </c>
      <c r="E17" s="48"/>
      <c r="F17" s="48"/>
      <c r="G17" s="54"/>
      <c r="H17" s="33">
        <f>+SUM(H12:H16)+(H7)</f>
        <v>25323.314646450002</v>
      </c>
      <c r="I17" s="33"/>
      <c r="J17" s="20"/>
      <c r="K17" s="199"/>
      <c r="L17" s="199"/>
      <c r="M17" s="199"/>
      <c r="N17" s="198"/>
      <c r="O17" s="147">
        <f>IF(B11="FO Ceramic+ Intr&amp;Extr CeramicGold WdwTnt",2700,IF(B11="FO Mirror Camera Sensor",2000))</f>
        <v>2700</v>
      </c>
      <c r="T17" s="1">
        <f>19615-791</f>
        <v>18824</v>
      </c>
    </row>
    <row r="18" spans="1:23" ht="24.6" x14ac:dyDescent="0.4">
      <c r="A18" s="12" t="s">
        <v>29</v>
      </c>
      <c r="B18" s="55" t="s">
        <v>30</v>
      </c>
      <c r="C18" s="197"/>
      <c r="D18" s="57">
        <v>0</v>
      </c>
      <c r="E18" s="38"/>
      <c r="F18" s="20"/>
      <c r="G18" s="20"/>
      <c r="H18" s="37"/>
      <c r="I18" s="37"/>
      <c r="J18" s="37"/>
      <c r="K18" s="37"/>
      <c r="L18" s="37"/>
      <c r="M18" s="37"/>
      <c r="N18" s="37"/>
      <c r="O18" s="9" t="b">
        <f>IF(M21="5000-99999",1.99%)</f>
        <v>0</v>
      </c>
      <c r="U18" s="196" t="s">
        <v>52</v>
      </c>
      <c r="V18" s="196" t="s">
        <v>52</v>
      </c>
    </row>
    <row r="19" spans="1:23" ht="24.6" x14ac:dyDescent="0.4">
      <c r="A19" s="11">
        <f>B8*3.15%</f>
        <v>2926.35</v>
      </c>
      <c r="B19" s="58" t="s">
        <v>31</v>
      </c>
      <c r="C19" s="59"/>
      <c r="D19" s="60">
        <f>IF(K21="DIB EXPAT",O13,IF(K21="DIB LOCAL GVH",U13,IF(K21="Emirates NBD",O14,IF(K21="ADCB",O15,IF(K21="ADCB PAY IN 2027",O19,IF(K21="Ajman Bank",O18,IF(K21="SIB STL",Z13,IF(K21="SIB NON STL",AA13,))))))))</f>
        <v>3.8900000000000004E-2</v>
      </c>
      <c r="E19" s="20"/>
      <c r="F19" s="195"/>
      <c r="G19" s="141" t="s">
        <v>73</v>
      </c>
      <c r="H19" s="142"/>
      <c r="I19" s="143"/>
      <c r="J19" s="109">
        <f>(U19*20/100)/365</f>
        <v>60.008219178082193</v>
      </c>
      <c r="K19" s="37"/>
      <c r="L19" s="37"/>
      <c r="M19" s="37"/>
      <c r="N19" s="34">
        <f>D7</f>
        <v>97545</v>
      </c>
      <c r="O19" s="194" t="b">
        <f>IF(M21="5000-11999",3.35%,IF(M21="12000-19999",3.35%,IF(M21="20000-39999",2.85%,IF(M21="40000-69999",2.85%,IF(M21="70000-99999",2.85%)))))</f>
        <v>0</v>
      </c>
      <c r="P19" s="2">
        <f>81400-2500</f>
        <v>78900</v>
      </c>
      <c r="U19" s="193">
        <f>V19</f>
        <v>109515</v>
      </c>
      <c r="V19" s="192">
        <f>(B7+D10+D11+D12+D13+D16)*1.05</f>
        <v>109515</v>
      </c>
    </row>
    <row r="20" spans="1:23" ht="24.6" x14ac:dyDescent="0.4">
      <c r="A20" s="11"/>
      <c r="B20" s="58" t="s">
        <v>32</v>
      </c>
      <c r="C20" s="59"/>
      <c r="D20" s="63">
        <v>0.2</v>
      </c>
      <c r="E20" s="37"/>
      <c r="F20" s="37"/>
      <c r="G20" s="38"/>
      <c r="H20" s="38"/>
      <c r="I20" s="38"/>
      <c r="J20" s="103"/>
      <c r="K20" s="104" t="s">
        <v>33</v>
      </c>
      <c r="L20" s="104" t="s">
        <v>17</v>
      </c>
      <c r="M20" s="104">
        <f>IF(L20="YES",O12,IF(L20="NO",0))</f>
        <v>0</v>
      </c>
      <c r="N20" s="34">
        <f>B8-M20</f>
        <v>92900</v>
      </c>
      <c r="O20" s="187"/>
      <c r="P20" s="191"/>
      <c r="T20" s="1">
        <f>1992+1084</f>
        <v>3076</v>
      </c>
      <c r="U20" s="186"/>
      <c r="V20" s="2"/>
    </row>
    <row r="21" spans="1:23" ht="24.6" x14ac:dyDescent="0.4">
      <c r="A21" s="13">
        <f>A19+A20</f>
        <v>2926.35</v>
      </c>
      <c r="B21" s="37"/>
      <c r="C21" s="20"/>
      <c r="D21" s="37"/>
      <c r="E21" s="37"/>
      <c r="F21" s="37"/>
      <c r="G21" s="37"/>
      <c r="H21" s="37"/>
      <c r="I21" s="37"/>
      <c r="J21" s="190" t="s">
        <v>34</v>
      </c>
      <c r="K21" s="16" t="s">
        <v>139</v>
      </c>
      <c r="L21" s="16" t="s">
        <v>35</v>
      </c>
      <c r="M21" s="189" t="s">
        <v>80</v>
      </c>
      <c r="N21" s="188"/>
      <c r="O21" s="187"/>
      <c r="T21" s="1">
        <f>25973-12973</f>
        <v>13000</v>
      </c>
      <c r="U21" s="186">
        <f>M14+N7</f>
        <v>2964.3687317737504</v>
      </c>
    </row>
    <row r="22" spans="1:23" s="179" customFormat="1" ht="24.6" x14ac:dyDescent="0.4">
      <c r="A22" s="185"/>
      <c r="B22" s="184" t="s">
        <v>51</v>
      </c>
      <c r="C22" s="183"/>
      <c r="D22" s="183"/>
      <c r="E22" s="183"/>
      <c r="F22" s="183"/>
      <c r="G22" s="183"/>
      <c r="H22" s="183"/>
      <c r="I22" s="183"/>
      <c r="J22" s="183"/>
      <c r="K22" s="183"/>
      <c r="L22" s="183"/>
      <c r="M22" s="183"/>
      <c r="N22" s="182"/>
      <c r="O22" s="181"/>
      <c r="P22" s="180"/>
    </row>
    <row r="23" spans="1:23" s="168" customFormat="1" ht="26.4" x14ac:dyDescent="0.5">
      <c r="A23" s="175" t="s">
        <v>36</v>
      </c>
      <c r="B23" s="172" t="s">
        <v>138</v>
      </c>
      <c r="C23" s="169"/>
      <c r="D23" s="169"/>
      <c r="E23" s="169"/>
      <c r="F23" s="169"/>
      <c r="G23" s="169"/>
      <c r="H23" s="176"/>
      <c r="I23" s="176"/>
      <c r="J23" s="169"/>
      <c r="K23" s="169"/>
      <c r="L23" s="169"/>
      <c r="M23" s="169"/>
      <c r="N23" s="178"/>
      <c r="O23" s="170"/>
      <c r="P23" s="169"/>
    </row>
    <row r="24" spans="1:23" s="168" customFormat="1" ht="26.4" x14ac:dyDescent="0.5">
      <c r="A24" s="175" t="s">
        <v>36</v>
      </c>
      <c r="B24" s="172" t="s">
        <v>137</v>
      </c>
      <c r="C24" s="169"/>
      <c r="D24" s="169"/>
      <c r="E24" s="169"/>
      <c r="F24" s="169"/>
      <c r="G24" s="169"/>
      <c r="H24" s="177">
        <f>H7/365</f>
        <v>64.176674589041099</v>
      </c>
      <c r="I24" s="177">
        <f>H7+H12+H16</f>
        <v>25008.314646450002</v>
      </c>
      <c r="J24" s="169"/>
      <c r="K24" s="169"/>
      <c r="L24" s="169"/>
      <c r="M24" s="169"/>
      <c r="N24" s="173"/>
      <c r="O24" s="170"/>
      <c r="P24" s="169">
        <f>1232+480</f>
        <v>1712</v>
      </c>
      <c r="T24" s="168">
        <f>88704/1.05</f>
        <v>84480</v>
      </c>
    </row>
    <row r="25" spans="1:23" s="168" customFormat="1" ht="26.4" x14ac:dyDescent="0.5">
      <c r="A25" s="175" t="s">
        <v>36</v>
      </c>
      <c r="B25" s="172" t="s">
        <v>136</v>
      </c>
      <c r="C25" s="169"/>
      <c r="D25" s="169"/>
      <c r="E25" s="169"/>
      <c r="F25" s="169"/>
      <c r="G25" s="169"/>
      <c r="H25" s="176"/>
      <c r="I25" s="176"/>
      <c r="J25" s="169"/>
      <c r="K25" s="169"/>
      <c r="L25" s="169"/>
      <c r="M25" s="169"/>
      <c r="N25" s="173"/>
      <c r="O25" s="170"/>
      <c r="P25" s="169"/>
      <c r="Q25" s="168">
        <f>79400-5233.33</f>
        <v>74166.67</v>
      </c>
      <c r="R25" s="168">
        <f>Q25*1.05</f>
        <v>77875.003500000006</v>
      </c>
      <c r="W25" s="168">
        <f>1999+1224</f>
        <v>3223</v>
      </c>
    </row>
    <row r="26" spans="1:23" s="168" customFormat="1" ht="26.4" x14ac:dyDescent="0.5">
      <c r="A26" s="175" t="s">
        <v>36</v>
      </c>
      <c r="B26" s="172" t="s">
        <v>135</v>
      </c>
      <c r="C26" s="169"/>
      <c r="D26" s="169"/>
      <c r="E26" s="169"/>
      <c r="F26" s="169"/>
      <c r="G26" s="169"/>
      <c r="H26" s="169"/>
      <c r="I26" s="169"/>
      <c r="J26" s="169"/>
      <c r="K26" s="169"/>
      <c r="L26" s="169"/>
      <c r="M26" s="169"/>
      <c r="N26" s="173"/>
      <c r="O26" s="170" t="s">
        <v>37</v>
      </c>
      <c r="P26" s="169"/>
      <c r="R26" s="168">
        <f>R25+2469</f>
        <v>80344.003500000006</v>
      </c>
    </row>
    <row r="27" spans="1:23" s="168" customFormat="1" ht="26.4" x14ac:dyDescent="0.5">
      <c r="A27" s="175" t="s">
        <v>36</v>
      </c>
      <c r="B27" s="172" t="s">
        <v>134</v>
      </c>
      <c r="C27" s="169"/>
      <c r="D27" s="169"/>
      <c r="E27" s="169"/>
      <c r="F27" s="169"/>
      <c r="G27" s="169"/>
      <c r="H27" s="169"/>
      <c r="I27" s="169"/>
      <c r="J27" s="169"/>
      <c r="K27" s="169"/>
      <c r="L27" s="169"/>
      <c r="M27" s="169"/>
      <c r="N27" s="173"/>
      <c r="O27" s="170">
        <f>129500-110900</f>
        <v>18600</v>
      </c>
      <c r="P27" s="169"/>
      <c r="W27" s="174">
        <f>N7+L14</f>
        <v>3919.8925657018749</v>
      </c>
    </row>
    <row r="28" spans="1:23" s="168" customFormat="1" ht="26.4" x14ac:dyDescent="0.5">
      <c r="B28" s="172" t="s">
        <v>133</v>
      </c>
      <c r="C28" s="169"/>
      <c r="D28" s="169"/>
      <c r="E28" s="169"/>
      <c r="F28" s="169"/>
      <c r="G28" s="169"/>
      <c r="H28" s="169"/>
      <c r="I28" s="169"/>
      <c r="J28" s="169"/>
      <c r="K28" s="169"/>
      <c r="L28" s="169"/>
      <c r="M28" s="169"/>
      <c r="N28" s="173"/>
      <c r="O28" s="170">
        <f>85000-69900</f>
        <v>15100</v>
      </c>
      <c r="P28" s="169"/>
    </row>
    <row r="29" spans="1:23" s="168" customFormat="1" ht="26.4" x14ac:dyDescent="0.5">
      <c r="B29" s="172" t="s">
        <v>132</v>
      </c>
      <c r="C29" s="169"/>
      <c r="D29" s="169"/>
      <c r="E29" s="169"/>
      <c r="F29" s="169"/>
      <c r="G29" s="169"/>
      <c r="H29" s="169"/>
      <c r="I29" s="169"/>
      <c r="J29" s="169"/>
      <c r="K29" s="169"/>
      <c r="L29" s="169"/>
      <c r="M29" s="169"/>
      <c r="N29" s="171"/>
      <c r="O29" s="170"/>
      <c r="P29" s="169"/>
    </row>
    <row r="30" spans="1:23" x14ac:dyDescent="0.3">
      <c r="B30" s="167" t="s">
        <v>38</v>
      </c>
      <c r="C30" s="166"/>
      <c r="D30" s="166"/>
      <c r="E30" s="166"/>
      <c r="F30" s="166"/>
      <c r="G30" s="166"/>
      <c r="H30" s="166"/>
      <c r="I30" s="166"/>
      <c r="J30" s="166"/>
      <c r="K30" s="166"/>
      <c r="L30" s="166"/>
      <c r="M30" s="166"/>
      <c r="N30" s="165"/>
      <c r="O30" s="147"/>
    </row>
    <row r="31" spans="1:23" x14ac:dyDescent="0.3">
      <c r="B31" s="146"/>
      <c r="C31" s="145"/>
      <c r="D31" s="145"/>
      <c r="E31" s="145"/>
      <c r="F31" s="145"/>
      <c r="G31" s="145"/>
      <c r="H31" s="145"/>
      <c r="I31" s="145"/>
      <c r="J31" s="145"/>
      <c r="K31" s="145"/>
      <c r="L31" s="145"/>
      <c r="M31" s="145"/>
      <c r="N31" s="144"/>
      <c r="O31" s="147"/>
    </row>
    <row r="32" spans="1:23" s="86" customFormat="1" ht="20.399999999999999" x14ac:dyDescent="0.35">
      <c r="B32" s="118" t="s">
        <v>39</v>
      </c>
      <c r="C32" s="119"/>
      <c r="D32" s="119"/>
      <c r="E32" s="119"/>
      <c r="F32" s="119"/>
      <c r="G32" s="119"/>
      <c r="H32" s="119"/>
      <c r="I32" s="119"/>
      <c r="J32" s="119"/>
      <c r="K32" s="119"/>
      <c r="L32" s="119"/>
      <c r="M32" s="119"/>
      <c r="N32" s="120"/>
      <c r="O32" s="92"/>
      <c r="P32" s="83"/>
    </row>
    <row r="33" spans="2:16" s="86" customFormat="1" ht="20.399999999999999" x14ac:dyDescent="0.35">
      <c r="B33" s="118" t="s">
        <v>40</v>
      </c>
      <c r="C33" s="119"/>
      <c r="D33" s="119"/>
      <c r="E33" s="119"/>
      <c r="F33" s="119"/>
      <c r="G33" s="119"/>
      <c r="H33" s="119"/>
      <c r="I33" s="119"/>
      <c r="J33" s="119"/>
      <c r="K33" s="119"/>
      <c r="L33" s="119"/>
      <c r="M33" s="119"/>
      <c r="N33" s="120"/>
      <c r="O33" s="92"/>
      <c r="P33" s="83"/>
    </row>
    <row r="34" spans="2:16" s="86" customFormat="1" ht="20.399999999999999" x14ac:dyDescent="0.35">
      <c r="B34" s="107" t="s">
        <v>131</v>
      </c>
      <c r="C34" s="108"/>
      <c r="D34" s="108"/>
      <c r="E34" s="108"/>
      <c r="F34" s="108"/>
      <c r="G34" s="164" t="s">
        <v>130</v>
      </c>
      <c r="H34" s="164"/>
      <c r="I34" s="163"/>
      <c r="J34" s="163"/>
      <c r="K34" s="163"/>
      <c r="L34" s="163"/>
      <c r="M34" s="162" t="s">
        <v>129</v>
      </c>
      <c r="N34" s="161"/>
      <c r="O34" s="83"/>
      <c r="P34" s="83"/>
    </row>
    <row r="35" spans="2:16" x14ac:dyDescent="0.3">
      <c r="B35" s="160"/>
      <c r="C35" s="159"/>
      <c r="D35" s="159"/>
      <c r="E35" s="159"/>
      <c r="F35" s="159"/>
      <c r="G35" s="159"/>
      <c r="H35" s="159"/>
      <c r="I35" s="159"/>
      <c r="J35" s="159"/>
      <c r="K35" s="159"/>
      <c r="L35" s="159"/>
      <c r="M35" s="159"/>
      <c r="N35" s="158"/>
    </row>
    <row r="36" spans="2:16" x14ac:dyDescent="0.3">
      <c r="B36" s="160"/>
      <c r="C36" s="159"/>
      <c r="D36" s="159"/>
      <c r="E36" s="159"/>
      <c r="F36" s="159"/>
      <c r="G36" s="159"/>
      <c r="H36" s="159"/>
      <c r="I36" s="159"/>
      <c r="J36" s="159"/>
      <c r="K36" s="159"/>
      <c r="L36" s="159"/>
      <c r="M36" s="159"/>
      <c r="N36" s="158"/>
    </row>
    <row r="37" spans="2:16" x14ac:dyDescent="0.3">
      <c r="B37" s="160"/>
      <c r="C37" s="159"/>
      <c r="D37" s="159"/>
      <c r="E37" s="159"/>
      <c r="F37" s="159"/>
      <c r="G37" s="159"/>
      <c r="H37" s="159"/>
      <c r="I37" s="159"/>
      <c r="J37" s="159"/>
      <c r="K37" s="159"/>
      <c r="L37" s="159"/>
      <c r="M37" s="159"/>
      <c r="N37" s="158"/>
    </row>
    <row r="38" spans="2:16" ht="16.8" x14ac:dyDescent="0.3">
      <c r="B38" s="149" t="s">
        <v>128</v>
      </c>
      <c r="C38" s="157"/>
      <c r="D38" s="154"/>
      <c r="E38" s="151"/>
      <c r="F38" s="151"/>
      <c r="G38" s="151"/>
      <c r="H38" s="151"/>
      <c r="I38" s="151"/>
      <c r="J38" s="152"/>
      <c r="K38" s="151"/>
      <c r="L38" s="151"/>
      <c r="M38" s="151"/>
      <c r="N38" s="156"/>
    </row>
    <row r="39" spans="2:16" ht="16.8" x14ac:dyDescent="0.3">
      <c r="B39" s="149" t="s">
        <v>127</v>
      </c>
      <c r="C39" s="155"/>
      <c r="D39" s="154"/>
      <c r="E39" s="151"/>
      <c r="F39" s="151"/>
      <c r="G39" s="151"/>
      <c r="H39" s="151"/>
      <c r="I39" s="151"/>
      <c r="J39" s="152"/>
      <c r="K39" s="151"/>
      <c r="L39" s="151"/>
      <c r="M39" s="151"/>
      <c r="N39" s="150"/>
    </row>
    <row r="40" spans="2:16" ht="16.8" x14ac:dyDescent="0.3">
      <c r="B40" s="149" t="s">
        <v>126</v>
      </c>
      <c r="C40" s="153"/>
      <c r="D40" s="151"/>
      <c r="E40" s="151"/>
      <c r="F40" s="151"/>
      <c r="G40" s="151"/>
      <c r="H40" s="151"/>
      <c r="I40" s="151"/>
      <c r="J40" s="152"/>
      <c r="K40" s="151"/>
      <c r="L40" s="151"/>
      <c r="M40" s="151"/>
      <c r="N40" s="150"/>
    </row>
    <row r="41" spans="2:16" ht="16.8" x14ac:dyDescent="0.3">
      <c r="B41" s="149" t="s">
        <v>125</v>
      </c>
      <c r="N41" s="148"/>
    </row>
    <row r="42" spans="2:16" ht="16.8" x14ac:dyDescent="0.3">
      <c r="B42" s="149" t="s">
        <v>124</v>
      </c>
      <c r="N42" s="148"/>
    </row>
    <row r="43" spans="2:16" ht="16.8" x14ac:dyDescent="0.3">
      <c r="B43" s="149" t="s">
        <v>123</v>
      </c>
      <c r="N43" s="148"/>
    </row>
    <row r="44" spans="2:16" ht="16.8" x14ac:dyDescent="0.3">
      <c r="B44" s="149" t="s">
        <v>122</v>
      </c>
      <c r="N44" s="148"/>
    </row>
    <row r="45" spans="2:16" ht="16.8" x14ac:dyDescent="0.3">
      <c r="B45" s="149" t="s">
        <v>121</v>
      </c>
      <c r="N45" s="148"/>
    </row>
    <row r="46" spans="2:16" ht="16.8" x14ac:dyDescent="0.3">
      <c r="B46" s="149" t="s">
        <v>120</v>
      </c>
      <c r="N46" s="148"/>
    </row>
    <row r="47" spans="2:16" x14ac:dyDescent="0.3">
      <c r="B47" s="146" t="s">
        <v>39</v>
      </c>
      <c r="C47" s="145"/>
      <c r="D47" s="145"/>
      <c r="E47" s="145"/>
      <c r="F47" s="145"/>
      <c r="G47" s="145"/>
      <c r="H47" s="145"/>
      <c r="I47" s="145"/>
      <c r="J47" s="145"/>
      <c r="K47" s="145"/>
      <c r="L47" s="145"/>
      <c r="M47" s="145"/>
      <c r="N47" s="144"/>
      <c r="O47" s="147"/>
    </row>
    <row r="48" spans="2:16" x14ac:dyDescent="0.3">
      <c r="B48" s="146" t="s">
        <v>40</v>
      </c>
      <c r="C48" s="145"/>
      <c r="D48" s="145"/>
      <c r="E48" s="145"/>
      <c r="F48" s="145"/>
      <c r="G48" s="145"/>
      <c r="H48" s="145"/>
      <c r="I48" s="145"/>
      <c r="J48" s="145"/>
      <c r="K48" s="145"/>
      <c r="L48" s="145"/>
      <c r="M48" s="145"/>
      <c r="N48" s="144"/>
      <c r="O48" s="147"/>
    </row>
    <row r="49" spans="2:14" x14ac:dyDescent="0.3">
      <c r="B49" s="146" t="s">
        <v>119</v>
      </c>
      <c r="C49" s="145"/>
      <c r="D49" s="145"/>
      <c r="E49" s="145"/>
      <c r="F49" s="145"/>
      <c r="G49" s="145"/>
      <c r="H49" s="145"/>
      <c r="I49" s="145"/>
      <c r="J49" s="145"/>
      <c r="K49" s="145"/>
      <c r="L49" s="145"/>
      <c r="M49" s="145"/>
      <c r="N49" s="144"/>
    </row>
    <row r="50" spans="2:14" ht="25.8" x14ac:dyDescent="0.3">
      <c r="C50" s="15" t="s">
        <v>41</v>
      </c>
    </row>
    <row r="51" spans="2:14" ht="25.8" x14ac:dyDescent="0.3">
      <c r="C51" s="15" t="s">
        <v>42</v>
      </c>
    </row>
    <row r="52" spans="2:14" ht="25.8" x14ac:dyDescent="0.3">
      <c r="C52" s="15" t="s">
        <v>43</v>
      </c>
    </row>
    <row r="53" spans="2:14" ht="25.8" x14ac:dyDescent="0.3">
      <c r="C53" s="15" t="s">
        <v>44</v>
      </c>
    </row>
    <row r="54" spans="2:14" ht="25.8" x14ac:dyDescent="0.3">
      <c r="C54" s="15" t="s">
        <v>45</v>
      </c>
    </row>
  </sheetData>
  <dataConsolidate/>
  <mergeCells count="11">
    <mergeCell ref="F8:G8"/>
    <mergeCell ref="F9:G9"/>
    <mergeCell ref="G19:I19"/>
    <mergeCell ref="B22:N22"/>
    <mergeCell ref="B30:N30"/>
    <mergeCell ref="B32:N32"/>
    <mergeCell ref="B33:N33"/>
    <mergeCell ref="B47:N47"/>
    <mergeCell ref="B48:N48"/>
    <mergeCell ref="B49:N49"/>
    <mergeCell ref="B31:N31"/>
  </mergeCells>
  <dataValidations count="11">
    <dataValidation type="list" allowBlank="1" showInputMessage="1" showErrorMessage="1" sqref="H34" xr:uid="{B43FD31A-6771-469B-8452-2268A8AE6D98}">
      <formula1>"ALAA HAMMAD,KHALED QASSEM,RAMY RAOUF,SIMON LOBO,MHAREN CLEMENTE GARADO"</formula1>
    </dataValidation>
    <dataValidation type="list" allowBlank="1" showInputMessage="1" showErrorMessage="1" sqref="M34" xr:uid="{5C3F3858-B52D-40FB-AB90-0F2C3A0110EB}">
      <formula1>"Alaa Hammad,Bachir Ibrahim Mourad,Khaled Qassem,Ramy Raoof,Simon Lobo,Mharen Clemente Garado,Ranjith"</formula1>
    </dataValidation>
    <dataValidation type="list" allowBlank="1" showInputMessage="1" showErrorMessage="1" sqref="B11" xr:uid="{3BDF9AA9-D2EB-4127-B3B3-CFB4379E05DB}">
      <formula1>"FO Ceramic+ Intr&amp;Extr CeramicGold WdwTnt,FO Mirror Camera Sensor"</formula1>
    </dataValidation>
    <dataValidation type="list" allowBlank="1" showInputMessage="1" showErrorMessage="1" sqref="B12" xr:uid="{DB293F92-3F7C-463C-96EC-76B21FEF0D89}">
      <formula1>"FO Exterior ceramic All Cars SCOTCHGUARD,FO Mirror Camera Sensor,FO PPF Gold Package "</formula1>
    </dataValidation>
    <dataValidation type="list" allowBlank="1" showInputMessage="1" showErrorMessage="1" sqref="K20" xr:uid="{5F7EF3D3-3CAE-4B75-BCC9-605B84543C09}">
      <formula1>"Esaad,Emirates Platinum,Fazaa,Humat Alwatan,Permissible,ASX,XPMLP,XP,MON,MON G57,OUT,F08,P08,F06,P06,F03,F03-1,P03,EC,G37,G38,G40,G43"</formula1>
    </dataValidation>
    <dataValidation type="list" allowBlank="1" showInputMessage="1" showErrorMessage="1" sqref="B16" xr:uid="{3507FE19-8F86-43B2-B58F-3A0C4D364CB6}">
      <formula1>"RMC-10-40KMS,RMC-10-60KMS,RMC-10-70KMS,RMC-10-100000KMS,RMC-40-70KMS,RMC-40-100000KMS"</formula1>
    </dataValidation>
    <dataValidation type="list" allowBlank="1" showInputMessage="1" showErrorMessage="1" sqref="K24" xr:uid="{53186629-38F4-4B16-B152-19172010E8E8}">
      <formula1>"RMC-10-70K,RMC-10-100000K,RMC-40-70K"</formula1>
    </dataValidation>
    <dataValidation type="list" allowBlank="1" showInputMessage="1" showErrorMessage="1" sqref="D5" xr:uid="{BE4093AA-410B-41A2-9E16-43F7E3CA4749}">
      <formula1>"MIG09,MIG10,H16,P16,H17,H48,H43,H40,H42,H44,H45,H38,H37,EH40,EH43,ML,HL,PR, MLP,HLP,PRP,XPML,XPHL,XPMLP, XPMLP-01,XC, G10,P10, G03, P03, G06,P06,G12,P12,G05,P05,G08,P08,G09,P09,H57,P57,H64,H59,P59,H61,P61"</formula1>
    </dataValidation>
    <dataValidation type="list" allowBlank="1" showInputMessage="1" showErrorMessage="1" sqref="M21" xr:uid="{5B3F83BC-9135-41A6-A8DE-35D0B6272063}">
      <formula1>"3000-4999,5000-9999,5000-99999,10000-14999,15000-24999,25000-34999,35000-99999,5000-11999,12000-19999,20000-39999,40000-69999,70000-99999"</formula1>
    </dataValidation>
    <dataValidation type="list" allowBlank="1" showInputMessage="1" showErrorMessage="1" sqref="C10:C16 L20 L24:L25 G14:G15 J10" xr:uid="{93246DF9-7D62-4EAF-A8EA-C53ABA0F319C}">
      <formula1>"YES,NO"</formula1>
    </dataValidation>
    <dataValidation type="list" allowBlank="1" showInputMessage="1" showErrorMessage="1" sqref="K21" xr:uid="{58A75C51-05D6-457B-AB3E-FC7AD043D792}">
      <formula1>"ADCB,ADCB PAY IN 2027,Ajman Bank,ADIB,DIB EXPAT,DIB LOCAL GVH,Emirates NBD,EIB,FAB,RAK,SIB STL,SIB NON STL"</formula1>
    </dataValidation>
  </dataValidations>
  <pageMargins left="0.23622047244094491" right="0.23622047244094491" top="0.74803149606299213" bottom="0.74803149606299213" header="0.31496062992125984" footer="0.31496062992125984"/>
  <pageSetup paperSize="9" scale="40" orientation="landscape" horizontalDpi="4294967295" verticalDpi="4294967295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70653-FCB0-45E2-8B82-1948903D54FB}">
  <sheetPr>
    <pageSetUpPr fitToPage="1"/>
  </sheetPr>
  <dimension ref="A1:AA54"/>
  <sheetViews>
    <sheetView topLeftCell="B1" zoomScaleNormal="100" workbookViewId="0">
      <selection activeCell="D5" sqref="D5"/>
    </sheetView>
  </sheetViews>
  <sheetFormatPr defaultColWidth="9.109375" defaultRowHeight="15.6" x14ac:dyDescent="0.3"/>
  <cols>
    <col min="1" max="1" width="16" style="1" hidden="1" customWidth="1"/>
    <col min="2" max="2" width="75.109375" style="2" customWidth="1"/>
    <col min="3" max="3" width="26.88671875" style="3" customWidth="1"/>
    <col min="4" max="4" width="23.88671875" style="2" customWidth="1"/>
    <col min="5" max="5" width="23.33203125" style="2" customWidth="1"/>
    <col min="6" max="6" width="19.88671875" style="2" customWidth="1"/>
    <col min="7" max="7" width="23.33203125" style="2" customWidth="1"/>
    <col min="8" max="8" width="24.44140625" style="2" customWidth="1"/>
    <col min="9" max="9" width="27.109375" style="2" customWidth="1"/>
    <col min="10" max="10" width="26.6640625" style="2" customWidth="1"/>
    <col min="11" max="11" width="25.44140625" style="2" customWidth="1"/>
    <col min="12" max="12" width="20.5546875" style="2" customWidth="1"/>
    <col min="13" max="13" width="20.109375" style="2" customWidth="1"/>
    <col min="14" max="14" width="19.5546875" style="2" customWidth="1"/>
    <col min="15" max="15" width="15.109375" style="2" bestFit="1" customWidth="1"/>
    <col min="16" max="16" width="12.6640625" style="2" hidden="1" customWidth="1"/>
    <col min="17" max="17" width="12.6640625" style="1" hidden="1" customWidth="1"/>
    <col min="18" max="18" width="15.6640625" style="1" hidden="1" customWidth="1"/>
    <col min="19" max="19" width="13" style="1" hidden="1" customWidth="1"/>
    <col min="20" max="20" width="17.109375" style="1" hidden="1" customWidth="1"/>
    <col min="21" max="21" width="14.5546875" style="1" bestFit="1" customWidth="1"/>
    <col min="22" max="22" width="19" style="1" customWidth="1"/>
    <col min="23" max="23" width="22.5546875" style="1" bestFit="1" customWidth="1"/>
    <col min="24" max="25" width="9.109375" style="1"/>
    <col min="26" max="26" width="14" style="1" bestFit="1" customWidth="1"/>
    <col min="27" max="27" width="22.33203125" style="1" bestFit="1" customWidth="1"/>
    <col min="28" max="16384" width="9.109375" style="1"/>
  </cols>
  <sheetData>
    <row r="1" spans="1:27" ht="15.75" customHeight="1" x14ac:dyDescent="0.3">
      <c r="B1" s="222" t="s">
        <v>148</v>
      </c>
      <c r="C1" s="221"/>
      <c r="D1" s="221"/>
      <c r="E1" s="221"/>
      <c r="F1" s="221"/>
      <c r="G1" s="221"/>
      <c r="H1" s="221"/>
      <c r="I1" s="221"/>
      <c r="J1" s="221"/>
      <c r="K1" s="221"/>
      <c r="L1" s="221"/>
      <c r="M1" s="221"/>
      <c r="N1" s="220"/>
    </row>
    <row r="2" spans="1:27" ht="15.75" customHeight="1" x14ac:dyDescent="0.3">
      <c r="B2" s="219" t="s">
        <v>147</v>
      </c>
      <c r="C2" s="218"/>
      <c r="D2" s="218"/>
      <c r="E2" s="218"/>
      <c r="F2" s="218"/>
      <c r="G2" s="218"/>
      <c r="H2" s="218"/>
      <c r="I2" s="218"/>
      <c r="J2" s="218"/>
      <c r="K2" s="218"/>
      <c r="L2" s="218"/>
      <c r="M2" s="218"/>
      <c r="N2" s="217"/>
      <c r="Q2" s="2"/>
      <c r="S2" s="186"/>
    </row>
    <row r="3" spans="1:27" ht="15.75" customHeight="1" x14ac:dyDescent="0.3">
      <c r="B3" s="219" t="s">
        <v>146</v>
      </c>
      <c r="C3" s="218"/>
      <c r="D3" s="218"/>
      <c r="E3" s="218"/>
      <c r="F3" s="218"/>
      <c r="G3" s="218"/>
      <c r="H3" s="218"/>
      <c r="I3" s="218"/>
      <c r="J3" s="218"/>
      <c r="K3" s="218"/>
      <c r="L3" s="218"/>
      <c r="M3" s="218"/>
      <c r="N3" s="217"/>
      <c r="O3" s="3"/>
      <c r="P3" s="3"/>
      <c r="Q3" s="153"/>
      <c r="R3" s="153"/>
      <c r="S3" s="216" t="e">
        <f>N7+J14</f>
        <v>#VALUE!</v>
      </c>
      <c r="T3" s="216"/>
      <c r="U3" s="153"/>
      <c r="V3" s="153"/>
      <c r="W3" s="153"/>
      <c r="AA3" s="1">
        <f>273000/5</f>
        <v>54600</v>
      </c>
    </row>
    <row r="4" spans="1:27" ht="15.75" customHeight="1" x14ac:dyDescent="0.3">
      <c r="B4" s="215"/>
      <c r="C4" s="214"/>
      <c r="D4" s="214"/>
      <c r="E4" s="214"/>
      <c r="F4" s="214"/>
      <c r="G4" s="214"/>
      <c r="H4" s="214"/>
      <c r="I4" s="214"/>
      <c r="J4" s="214"/>
      <c r="K4" s="214"/>
      <c r="L4" s="214"/>
      <c r="M4" s="214"/>
      <c r="N4" s="213"/>
      <c r="O4" s="212" t="s">
        <v>0</v>
      </c>
      <c r="P4" s="212"/>
      <c r="Q4" s="210"/>
      <c r="R4" s="210"/>
      <c r="S4" s="211"/>
      <c r="T4" s="211"/>
      <c r="U4" s="210" t="s">
        <v>1</v>
      </c>
      <c r="V4" s="210" t="s">
        <v>2</v>
      </c>
      <c r="W4" s="210" t="s">
        <v>3</v>
      </c>
    </row>
    <row r="5" spans="1:27" ht="25.2" thickBot="1" x14ac:dyDescent="0.45">
      <c r="B5" s="17"/>
      <c r="C5" s="18" t="str">
        <f>IF(D5="MIG09","Mirage G09",IF(D5="MIG10","MirageG10",IF(D5="H16","Attrage H16",IF(D5="P16","Attrage P16",IF(D5="H17","Attrage H17",IF(D5="H48","ASX H48",IF(D5="H43","ASX H43",IF(D5="H40","ASX H40",IF(D5="H42","ASX H42",IF(D5="H44","ASX H44",IF(D5="H45","ASX H45",IF(D5="H38","Eclipse H38",IF(D5="H37","Eclipse H37",IF(D5="EH40","Eclipse H40",IF(D5="EH43","Eclipse H43",IF(D5="XPML","Xpander ML",IF(D5="ML","Destinator ML",IF(D5="HL","Destinator HL",IF(D5="PR","Destinator PR",IF(D5="MLP","Destinator MLP",IF(D5="HLP","Destinator HLP",IF(D5="PRP","Destinator PRP",IF(D5="XPHL","Xpander HL",IF(D5="XPMLP","Xpander ML P",IF(D5="XPMLP-01","Xpander ML P-01",IF(D5="XC","Xpander Cross",IF(D5="G03","Outlander G03",IF(D5="P03","Outlander P03",IF(D5="G06","Outlander G06",IF(D5="P06","Outlander P06",IF(D5="OTP06-01","Outlander P06-01",IF(D5="G08","Outlander G08",IF(D5="P08","Outlander P08",IF(D5="H57","Montero H57",IF(D5="P57","Montero P57",IF(D5="H64","Montero G64",IF(D5="H59","Montero G59",IF(D5="P59","Montero G59 P",IF(D5="H61","Montero G61",IF(D5="P61","Montero P61",IF(D5="G10","Outlander G10",IF(D5="P10","Outlander P10",IF(D5="G12","Outlander G12",IF(D5="P12","Outlander P12",IF(D5="G05","Outlander G05",IF(D5="P05","Outlander P05",IF(D5="G09","Outlander G09",IF(D5="P09","Outlander P09",))))))))))))))))))))))))))))))))))))))))))))))))</f>
        <v>Outlander G06</v>
      </c>
      <c r="D5" s="19" t="s">
        <v>170</v>
      </c>
      <c r="E5" s="20" t="s">
        <v>145</v>
      </c>
      <c r="F5" s="37"/>
      <c r="G5" s="37"/>
      <c r="H5" s="37"/>
      <c r="I5" s="20"/>
      <c r="J5" s="34"/>
      <c r="K5" s="209">
        <v>0</v>
      </c>
      <c r="L5" s="208">
        <v>3.39E-2</v>
      </c>
      <c r="M5" s="208">
        <v>6.7799999999999999E-2</v>
      </c>
      <c r="N5" s="208">
        <v>0.1017</v>
      </c>
      <c r="O5" s="147">
        <f>K7+K14</f>
        <v>13965.5272335425</v>
      </c>
      <c r="S5" s="186"/>
      <c r="U5" s="186">
        <f>L7+L14</f>
        <v>5765.8808936414589</v>
      </c>
      <c r="V5" s="186">
        <f>M7+M14</f>
        <v>3899.0764675362502</v>
      </c>
      <c r="W5" s="186">
        <f>N7+N14</f>
        <v>2740.8787853081258</v>
      </c>
    </row>
    <row r="6" spans="1:27" s="5" customFormat="1" ht="99" thickBot="1" x14ac:dyDescent="0.35">
      <c r="A6" s="4" t="s">
        <v>4</v>
      </c>
      <c r="B6" s="26" t="s">
        <v>5</v>
      </c>
      <c r="C6" s="27" t="s">
        <v>6</v>
      </c>
      <c r="D6" s="27" t="s">
        <v>144</v>
      </c>
      <c r="E6" s="27" t="s">
        <v>7</v>
      </c>
      <c r="F6" s="27" t="s">
        <v>8</v>
      </c>
      <c r="G6" s="28" t="s">
        <v>9</v>
      </c>
      <c r="H6" s="28" t="s">
        <v>143</v>
      </c>
      <c r="I6" s="28" t="s">
        <v>10</v>
      </c>
      <c r="J6" s="28" t="s">
        <v>142</v>
      </c>
      <c r="K6" s="28" t="s">
        <v>11</v>
      </c>
      <c r="L6" s="28" t="s">
        <v>12</v>
      </c>
      <c r="M6" s="28" t="s">
        <v>13</v>
      </c>
      <c r="N6" s="28" t="s">
        <v>14</v>
      </c>
      <c r="O6" s="207"/>
      <c r="P6" s="206"/>
      <c r="T6" s="205"/>
      <c r="U6" s="205">
        <f>N7+L14</f>
        <v>4555.8800503081256</v>
      </c>
      <c r="V6" s="205">
        <f>N7+K14</f>
        <v>11243.025336042501</v>
      </c>
      <c r="W6" s="205" t="e">
        <f>N7+J14</f>
        <v>#VALUE!</v>
      </c>
    </row>
    <row r="7" spans="1:27" ht="25.2" thickBot="1" x14ac:dyDescent="0.45">
      <c r="A7" s="6">
        <f>B8</f>
        <v>109900</v>
      </c>
      <c r="B7" s="29">
        <f>IF(L20="YES",C8*1,IF(L20="NO",B8*1))</f>
        <v>109900</v>
      </c>
      <c r="C7" s="29">
        <f>B7*5/100</f>
        <v>5495</v>
      </c>
      <c r="D7" s="203">
        <f>B7+C7</f>
        <v>115395</v>
      </c>
      <c r="E7" s="29">
        <f>D17</f>
        <v>20160.094875000003</v>
      </c>
      <c r="F7" s="29">
        <f>(C7)+(D10+D11+D12+D13+D16)*5/100</f>
        <v>6065</v>
      </c>
      <c r="G7" s="30">
        <f>B7+E7+F7</f>
        <v>136125.09487500001</v>
      </c>
      <c r="H7" s="29">
        <f>G7*D20</f>
        <v>27225.018975000003</v>
      </c>
      <c r="I7" s="30">
        <f>(G7-H7)</f>
        <v>108900.07590000001</v>
      </c>
      <c r="J7" s="30">
        <f>(((I7*D19)*1)+I7)/12</f>
        <v>9428.0240710425005</v>
      </c>
      <c r="K7" s="30">
        <f>(((I7*D19)*2)+I7)/24</f>
        <v>4890.5209085425004</v>
      </c>
      <c r="L7" s="30">
        <f>(((I7*D19)*3)+I7)/36</f>
        <v>3378.0198543758338</v>
      </c>
      <c r="M7" s="30">
        <f>(((I7*D19)*4)+I7)/48</f>
        <v>2621.7693272925003</v>
      </c>
      <c r="N7" s="30">
        <f>((((I7*D19)*5)+I7)/60)</f>
        <v>2168.0190110425006</v>
      </c>
      <c r="O7" s="147"/>
      <c r="P7" s="2">
        <f>H7+H16</f>
        <v>28368.469771950004</v>
      </c>
      <c r="T7" s="186">
        <f>25973/2</f>
        <v>12986.5</v>
      </c>
    </row>
    <row r="8" spans="1:27" ht="24.6" x14ac:dyDescent="0.4">
      <c r="A8" s="7">
        <v>0.2</v>
      </c>
      <c r="B8" s="31">
        <f>IF(D5="MIG09",39900,IF(D5="MIG10",41900,IF(D5="H16",41900,IF(D5="P16",47400,IF(D5="H17",47900,IF(D5="H48",67900,IF(D5="H43",70900,IF(D5="H40",72900,IF(D5="H42",74900,IF(D5="H44",73900,IF(D5="H45",79900,IF(D5="H38",86900,IF(D5="H37",79900,IF(D5="EH40",99900,IF(D5="EH43",106900,IF(D5="ML",71900,IF(D5="HL",83900,IF(D5="PR",95900,IF(D5="MLP",80900,IF(D5="HLP",91900,IF(D5="PRP",102900,IF(D5="XPML",69900,IF(D5="XPHL",71000,IF(D5="XPMLP",75900,IF(D5="XPMLP-01",77800,IF(D5="XC",84900,IF(D5="G10",81900,IF(D5="P10",93900,IF(D5="G12",97900,IF(D5="P12",105900,IF(D5="G05",104900,IF(D5="P05",105900,IF(D5="G03",92900,IF(D5="P03",100900,IF(D5="G06",109900,IF(D5="P06",114900,IF(D5="OTP06-01",118900,IF(D5="G08",125900,IF(D5="P08",132900,IF(D5="OTP06-01",109900,IF(D5="G09",129900,IF(D5="P09",134900,IF(D5="H57",105900,IF(D5="P57",113900,IF(D5="H64",116900,IF(D5="H59",127900,IF(D5="P59",134900,IF(D5="H61",134900,IF(D5="P61",138900)))))))))))))))))))))))))))))))))))))))))))))))))</f>
        <v>109900</v>
      </c>
      <c r="C8" s="32">
        <f>IF(L20="YES",N20,IF(L20="NO",N20))</f>
        <v>109900</v>
      </c>
      <c r="D8" s="29">
        <v>0</v>
      </c>
      <c r="E8" s="33"/>
      <c r="F8" s="139"/>
      <c r="G8" s="140"/>
      <c r="H8" s="110">
        <f>G7*20/100</f>
        <v>27225.018974999999</v>
      </c>
      <c r="I8" s="34"/>
      <c r="J8" s="34" t="s">
        <v>15</v>
      </c>
      <c r="K8" s="34">
        <f>(I7*K5+I7)/24</f>
        <v>4537.5031625000001</v>
      </c>
      <c r="L8" s="34">
        <f>(I7*L5+I7)/36</f>
        <v>3127.5496798058334</v>
      </c>
      <c r="M8" s="34">
        <f>(I7*M5+I7)/48</f>
        <v>2422.5729384587503</v>
      </c>
      <c r="N8" s="34">
        <f>(I7*N5+I7)/60</f>
        <v>1999.5868936505001</v>
      </c>
      <c r="O8" s="147">
        <v>0</v>
      </c>
      <c r="P8" s="2">
        <f>P7/12</f>
        <v>2364.0391476625005</v>
      </c>
      <c r="T8" s="1">
        <f>25973-12973</f>
        <v>13000</v>
      </c>
    </row>
    <row r="9" spans="1:27" ht="24.6" x14ac:dyDescent="0.4">
      <c r="A9" s="8">
        <f>B8/(100%-A8)</f>
        <v>137375</v>
      </c>
      <c r="B9" s="109">
        <f>B7-B8</f>
        <v>0</v>
      </c>
      <c r="C9" s="109"/>
      <c r="D9" s="36"/>
      <c r="E9" s="33"/>
      <c r="F9" s="139"/>
      <c r="G9" s="140"/>
      <c r="H9" s="33"/>
      <c r="I9" s="37" t="s">
        <v>16</v>
      </c>
      <c r="J9" s="38">
        <f>(J7*12)-I7</f>
        <v>4236.2129525100027</v>
      </c>
      <c r="K9" s="38">
        <f>(K7*24)-I7</f>
        <v>8472.4259050199908</v>
      </c>
      <c r="L9" s="38">
        <f>(L7*36)-I7</f>
        <v>12708.638857530008</v>
      </c>
      <c r="M9" s="38">
        <f>(M7*48)-I7</f>
        <v>16944.851810039996</v>
      </c>
      <c r="N9" s="38">
        <f>(N7*60)-I7</f>
        <v>21181.064762550028</v>
      </c>
      <c r="O9" s="147"/>
      <c r="T9" s="1">
        <f>T8/12</f>
        <v>1083.3333333333333</v>
      </c>
      <c r="Z9" s="1" t="s">
        <v>86</v>
      </c>
    </row>
    <row r="10" spans="1:27" ht="24.6" x14ac:dyDescent="0.4">
      <c r="A10" s="8"/>
      <c r="B10" s="37" t="s">
        <v>141</v>
      </c>
      <c r="C10" s="20" t="s">
        <v>17</v>
      </c>
      <c r="D10" s="36">
        <f>IF(C10="YES",700,IF(C10="NO",0))</f>
        <v>0</v>
      </c>
      <c r="E10" s="39"/>
      <c r="F10" s="40"/>
      <c r="G10" s="40"/>
      <c r="H10" s="33"/>
      <c r="I10" s="44" t="s">
        <v>85</v>
      </c>
      <c r="J10" s="117" t="s">
        <v>19</v>
      </c>
      <c r="K10" s="117">
        <f>IF(J10="YES",Z10,IF(J10="NO",0))</f>
        <v>1000</v>
      </c>
      <c r="L10" s="41">
        <f>(L8*36)-I7</f>
        <v>3691.7125730099942</v>
      </c>
      <c r="M10" s="41">
        <f>(M8*48)-I7</f>
        <v>7383.425146020003</v>
      </c>
      <c r="N10" s="41">
        <f>(N8*60)-I7</f>
        <v>11075.137719029997</v>
      </c>
      <c r="O10" s="147">
        <f>IF(D5="XC",3690,IF(D5="XPML",3690,IF(D5="XPHL",3690,IF(D5="XPMLP",3690,IF(D5="XPMLP-01",3690,IF(D5="Xpander P",3690,IF(D5="ML",3690,IF(D5="HL",3690,IF(D5="PR",(U19*3/100+510)*1.05,IF(D5="MLP",3690,IF(D5="HLP",(U19*3/100+510)*1.05,IF(D5="PRP",(U19*3/100+510)*1.05,IF(D5="H57",(U19*2.75/100+510)*1.05,IF(D5="P57",(U19*2.75/100+510)*1.05,IF(D5="H64",(U19*2.75/100+510)*1.05,IF(D5="H59",(U19*2.75/100+510)*1.05,IF(D5="P59",(U19*2.75/100+510)*1.05,IF(D5="H61",(U19*2.75/100+510)*1.05,IF(D5="P61",(U19*2.75/100+510)*1.05,IF(D5="G03",(U19*3/100+510)*1.05,IF(D5="G10",(U19*3/100+510)*1.05,IF(D5="P10",(U19*3/100+510)*1.05,IF(D5="G12",(U19*3/100+510)*1.05,IF(D5="P12",(U19*3/100+510)*1.05,IF(D5="G05",(U19*3/100+510)*1.05,IF(D5="P05",(U19*3/100+510)*1.05,IF(D5="P03",(U19*3/100+510)*1.05,IF(D5="G06",(U19*3/100+510)*1.05,IF(D5="P06",(U19*3/100+510)*1.05,IF(D5="OTP06-01",(U19*3/100+510)*1.05,IF(D5="G08",(U19*3/100+510)*1.05,IF(D5="P08",(U19*3/100+510)*1.05,IF(D5="G09",(U19*3/100+510)*1.05,IF(D5="P09",(U19*3/100+510)*1.05,IF(D5="H38",3625,IF(D5="H37",3625,IF(D5="EH40",(U19*3/100+450)*1.05,IF(D5="EH43",(U19*3/100+450)*1.05,IF(D5="H48",3625,IF(D5="H43",3625,IF(D5="H40",3625,IF(D5="H42",3625,IF(D5="H44",3625,IF(D5="H45",3625,IF(D5="ASX HL 4WD",3625,IF(D5="H16",3625,IF(D5="H17",3625,IF(D5="P16",3625,IF(D5="Attrage S",3625,IF(D5="MIG09",3625,IF(D5="MIG10",3625,IF(D5="Xpander HL",3690))))))))))))))))))))))))))))))))))))))))))))))))))))</f>
        <v>4547.4975000000004</v>
      </c>
      <c r="P10" s="204"/>
      <c r="Q10" s="204">
        <f>5.25*3</f>
        <v>15.75</v>
      </c>
      <c r="Z10" s="1">
        <f>IF(D5="MIG09",1000,IF(D5="MIG10",1000,IF(D5="H16",1000,IF(D5="P16",1000,IF(D5="H17",1000,IF(D5="H48",1000,IF(D5="H43",1000,IF(D5="H40",1000,IF(D5="H42",1000,IF(D5="H44",1000,IF(D5="H45",1000,IF(D5="H38",1000,IF(D5="H37",1000,IF(D5="EH40",1000,IF(D5="EH43",1000,IF(D5="ML",1000,IF(D5="HL",1000,IF(D5="PR",1000,IF(D5="MLP",1000,IF(D5="HLP",1000,IF(D5="PRP",1000,IF(D5="XPML",1000,IF(D5="XPHL",1000,IF(D5="XPMLP",1000,IF(D5="XPMLP-01",1000,IF(D5="XC",1000,IF(D5="G10",1000,IF(D5="P10",1000,IF(D5="G12",1000,IF(D5="P12",1000,IF(D5="G05",1000,IF(D5="P05",1000,IF(D5="G03",1000,IF(D5="P03",1000,IF(D5="G06",1000,IF(D5="P06",1000,IF(D5="OTP06-01",1000,IF(D5="G08",1000,IF(D5="P08",1000,IF(D5="OTP06-01",1000,IF(D5="G09",1000,IF(D5="P09",1000,IF(D5="H57",1000,IF(D5="P57",1000,IF(D5="H64",1000,IF(D5="H59",1000,IF(D5="P59",1000,IF(D5="H61",1000,IF(D5="P61",1000)))))))))))))))))))))))))))))))))))))))))))))))))</f>
        <v>1000</v>
      </c>
    </row>
    <row r="11" spans="1:27" ht="24.6" x14ac:dyDescent="0.4">
      <c r="A11" s="8"/>
      <c r="B11" s="37" t="s">
        <v>18</v>
      </c>
      <c r="C11" s="20" t="s">
        <v>19</v>
      </c>
      <c r="D11" s="203">
        <f>IF(C11="YES",O17,IF(C11="NO",0))</f>
        <v>2700</v>
      </c>
      <c r="E11" s="39"/>
      <c r="F11" s="40"/>
      <c r="G11" s="40"/>
      <c r="H11" s="33"/>
      <c r="I11" s="33"/>
      <c r="J11" s="44" t="s">
        <v>76</v>
      </c>
      <c r="K11" s="44">
        <f>H8-K10</f>
        <v>26225.018974999999</v>
      </c>
      <c r="L11" s="37"/>
      <c r="M11" s="37"/>
      <c r="N11" s="38"/>
      <c r="O11" s="147">
        <f>IF(D5="XC",6100,IF(D5="XPML",6100,IF(D5="XPHL",6100,IF(D5="XPMLP",6100,IF(D5="XPMLP-01",6100,IF(D5="Xpander P",6100,IF(D5="ML",6600,IF(D5="HL",6600,IF(D5="PR",6600,IF(D5="MLP",6600,IF(D5="HLP",6600,IF(D5="PRP",6600,IF(D5="H57",5900,IF(D5="P57",5900,IF(D5="H64",5900,IF(D5="H59",5900,IF(D5="P59",5900,IF(D5="H61",5900,IF(D5="P61",5900,IF(D5="G03",6700,IF(D5="G10",6700,IF(D5="P10",6700,IF(D5="G12",6700,IF(D5="P12",6700,IF(D5="G05",6700,IF(D5="P05",6700,IF(D5="P03",6700,IF(D5="G06",6700,IF(D5="P06",6700,IF(D5="OTP06-01",6700,IF(D5="G08",6700,IF(D5="G09",6700,IF(D5="G08",6700,IF(D5="P08",6700,IF(D5="P09",6700,IF(D5="H37",6400,IF(D5="H38",6400,IF(D5="EH40",6400,IF(D5="EH43",6400,IF(D5="H48",6600,IF(D5="H43",6600,IF(D5="H40",6600,IF(D5="H42",6600,IF(D5="H44",6600,IF(D5="H45",6600,IF(D5="ASX HL 4WD",6600,IF(D5="H16",5400,IF(D5="H17",5400,IF(D5="P16",5400,IF(D5="Attrage S",5400,IF(D5="MIG09",5400,IF(D5="MIG10",5400,IF(D5="Xpander HL",6000)))))))))))))))))))))))))))))))))))))))))))))))))))))</f>
        <v>6700</v>
      </c>
      <c r="P11" s="147"/>
      <c r="Q11" s="147"/>
      <c r="R11" s="147"/>
      <c r="S11" s="147"/>
      <c r="T11" s="147"/>
      <c r="U11" s="147">
        <f>IF(D5="XC",4900,IF(D5="XPML",4900,IF(D5="XPHL",4900,IF(D5="XPMLP",4900,IF(D5="XPMLP-01",4900,IF(D5="Xpander P",4900,IF(D5="ML",5400,IF(D5="HL",5400,IF(D5="PR",5400,IF(D5="MLP",5400,IF(D5="HLP",5400,IF(D5="PRP",5400,IF(D5="H57",4600,IF(D5="P57",4600,IF(D5="MOG64",4600,IF(D5="H59",4600,IF(D5="P59",4600,IF(D5="H61",4600,IF(D5="P61",4600,IF(D5="G03",5500,IF(D5="P03",5500,IF(D5="G10",5500,IF(D5="P10",5500,IF(D5="G12",5500,IF(D5="P12",5500,IF(D5="G05",5500,IF(D5="P05",5500,IF(D5="G06",5500,IF(D5="P06",5500,IF(D5="OTP06-01",5500,IF(D5="F08",5500,IF(D5="P08",5500,IF(D5="G09",5500,IF(D5="P09",5500,IF(D5="H38",5200,IF(D5="H37",5200,IF(D5="EH40",5200,IF(D5="EH43",5200,IF(D5="H48",5300,IF(D5="H43",5300,IF(D5="H40",5300,IF(D5="H42",5300,IF(D5="H44",5300,IF(D5="H45",5300,IF(D5="ASX HL",5300,IF(D5="ASX P",5300,IF(D5="ASX HL 4WD",5300,IF(D5="H16",4200,IF(D5="H17",4200,IF(D5="P16",4200,IF(D5="Attrage S",4200,IF(D5="MIG09",4200,IF(D5="MIG10",4200,IF(D5="Xpander HL",4900))))))))))))))))))))))))))))))))))))))))))))))))))))))</f>
        <v>5500</v>
      </c>
      <c r="V11" s="147">
        <f>IF(D5="XC",9700,IF(D5="XPML",9700,IF(D5="XPHL",9700,IF(D5="XPMLP",9700,IF(D5="XPMLP-01",9700,IF(D5="XPMLP-01",9700,IF(D5="Xpander P",9700,IF(D5="ML",10800,IF(D5="HL",10800,IF(D5="PR",10800,IF(D5="MLP",10800,IF(D5="HLP",10800,IF(D5="PRP",10800,IF(D5="H57",9300,IF(D5="P57",9300,IF(D5="MG64",9300,IF(D5="H59",9300,IF(D5="P59",9300,IF(D5="H61",9300,IF(D5="P61",9300,IF(D5="G03",11000,IF(D5="G10",11000,IF(D5="P10",11000,IF(D5="G12",11000,IF(D5="P12",11000,IF(D5="G05",11000,IF(D5="P05",11000,IF(D5="P03",11000,IF(D5="G06",11000,IF(D5="P06",11000,IF(D5="OTP06-01",11000,IF(D5="G08",11000,IF(D5="P08",11000,IF(D5="G09",11000,IF(D5="P09",11000,IF(D5="H38",10400,IF(D5="H37",10400,IF(D5="EH40",10400,IF(D5="EH43",10400,IF(D5="H48",10700,IF(D5="H43",10700,IF(D5="H40",10700,IF(D5="H42",10700,IF(D5="H44",10800,IF(D5="H45",10800,IF(D5="ASX HL",12200,IF(D5="ASX P",12200,IF(D5="ASX HL 4WD",12200,IF(D5="H16",8500,IF(D5="H17",8500,IF(D5="P16",8500,IF(D5="Attrage S",9600,IF(D5="MIG09",8500,IF(D5="MIG10",8500,IF(D5="Xpander HL",11300)))))))))))))))))))))))))))))))))))))))))))))))))))))))</f>
        <v>11000</v>
      </c>
      <c r="W11" s="147">
        <f>IF(D5="XC",9200,IF(D5="XPML",9200,IF(D5="XPHL",9200,IF(D5="XPMLP",9200,IF(D5="XPMLP-01",9200,IF(D5="Xpander P",9200,IF(D5="ML",10000,IF(D5="HL",10000,IF(D5="PR",10000,IF(D5="MLP",10000,IF(D5="HLP",10000,IF(D5="PRP",10000,IF(D5="H57",8700,IF(D5="P57",8700,IF(D5="H64",8700,IF(D5="H59",8700,IF(D5="P59",8700,IF(D5="H61",8700,IF(D5="P61",8700,IF(D5="G03",10400,IF(D5="P03",10400,IF(D5="G10",10400,IF(D5="P10",10400,IF(D5="G12",10400,IF(D5="P12",10400,IF(D5="G05",10400,IF(D5="P05",10400,IF(D5="G06",10400,IF(D5="P06",10400,IF(D5="OTP06-01",10400,IF(D5="G08",10400,IF(D5="P08",10400,IF(D5="G09",10400,IF(D5="P09",10400,IF(D5="H38",9800,IF(D5="H37",9800,IF(D5="EH40",9800,IF(D5="EH43",9800,IF(D5="H48",10100,IF(D5="H43",10100,IF(D5="H40",10100,IF(D5="H42",10100,IF(D5="H44",10100,IF(D5="H45",10100,IF(D5="ASX HL",10100,IF(D5="ASX P",10100,IF(D5="ASX HL 4WD",10100,IF(D5="H16",7900,IF(D5="H17",7900,IF(D5="P16",7900,IF(D5="Attrage S",7900,IF(D5="MIG09",7900,IF(D5="MIG10",7900,IF(D5="Xpander HL",9200))))))))))))))))))))))))))))))))))))))))))))))))))))))</f>
        <v>10400</v>
      </c>
      <c r="X11" s="147">
        <f>IF(D5="XC",4500,IF(D5="XPML",4500,IF(D5="XPHL",4500,IF(D5="XPMLP",4500,IF(D5="XPMLP-01",4500,IF(D5="Xpander P",4500,IF(D5="ML",5000,IF(D5="HL",5000,IF(D5="PR",5000,IF(D5="MLP",5000,IF(D5="HLP",5000,IF(D5="PRP",5000,IF(D5="H57",8700,IF(D5="P57",8700,IF(D5="MOG64",4300,IF(D5="H59",4300,IF(D5="P59",4300,IF(D5="H61",4300,IF(D5="P61",4300,IF(D5="G03",5000,IF(D5="P03",5000,IF(D5="G10",5000,IF(D5="P10",5000,IF(D5="G12",5000,IF(D5="P12",5000,IF(D5="G05",5000,IF(D5="P05",5000,IF(D5="G06",5000,IF(D5="P06",5000,IF(D5="OTP06-01",5000,IF(D5="G08",5000,IF(D5="P08",5000,IF(D5="G09",5000,IF(D5="P09",5000,IF(D5="H38",4900,IF(D5="H37",4900,IF(D5="EH40",4900,IF(D5="EH43",4900,IF(D5="H48",4900,IF(D5="H43",4900,IF(D5="H40",4900,IF(D5="H42",4900,IF(D5="H44",4900,IF(D5="H45",4900,IF(D5="ASX HL",4900,IF(D5="ASX P",4900,IF(D5="ASX HL 4WD",4900,IF(D5="H16",3700,IF(D5="H17",3700,IF(D5="P16",3700,IF(D5="Attrage S",3700,IF(D5="MIG09",3700,IF(D5="MIG10",3700,IF(D5="Xpander HL",4500))))))))))))))))))))))))))))))))))))))))))))))))))))))</f>
        <v>5000</v>
      </c>
      <c r="Y11" s="147">
        <f>IF(D5="XC",5400,IF(D5="XPML ",5400,IF(D5="XPHL",5400,IF(D5="XPMLP",5400,IF(D5="XPMLP-01",5400,IF(D5="Xpander P",5400,IF(D5="ML",6000,IF(D5="HL",6000,IF(D5="PR",6000,IF(D5="MLP",6000,IF(D5="HLP",6000,IF(D5="PRP",6000,IF(D5="H57",5200,IF(D5="57",5200,IF(D5="H64",5200,IF(D5="H59",5200,IF(D5="P59",5200,IF(D5="H61",5200,IF(D5="P61",5200,IF(D5="G03",6000,IF(D5="P03",6000,IF(D5="G10",6000,IF(D5="P10",6000,IF(D5="G12",6000,IF(D5="P12",6000,IF(D5="G05",6000,IF(D5="P05",6000,IF(D5="G06",6000,IF(D5="P06",6000,IF(D5="OTP06-01",6000,IF(D5="G08",6000,IF(D5="P08",6000,IF(D5="G09",6000,IF(D5="P09",6000,IF(D5="H38",5700,IF(D5="H37",5700,IF(D5="EH40",5700,IF(D5="EH43",5700,IF(D5="H48",5900,IF(D5="H43",5900,IF(D5="H40",5900,IF(D5="H42",5900,IF(D5="H44",5900,IF(D5="H45",5900,IF(D5="ASX HL",5900,IF(D5="ASX P",5900,IF(D5="ASX HL 4WD",5900,IF(D5="H16",4500,IF(D5="H17",4500,IF(D5="P16",4500,IF(D5="Attrage S",4500,IF(D5="MIG09",4500,IF(D5="MIG10",4500,IF(D5="Xpander HL",5400))))))))))))))))))))))))))))))))))))))))))))))))))))))</f>
        <v>6000</v>
      </c>
    </row>
    <row r="12" spans="1:27" ht="24.6" x14ac:dyDescent="0.4">
      <c r="A12" s="8"/>
      <c r="B12" s="37" t="s">
        <v>20</v>
      </c>
      <c r="C12" s="20" t="s">
        <v>17</v>
      </c>
      <c r="D12" s="36">
        <f>IF(C12="YES",2000,IF(C12="NO",0))</f>
        <v>0</v>
      </c>
      <c r="E12" s="43"/>
      <c r="F12" s="43" t="s">
        <v>21</v>
      </c>
      <c r="G12" s="40"/>
      <c r="H12" s="33">
        <v>600</v>
      </c>
      <c r="I12" s="33"/>
      <c r="J12" s="202" t="s">
        <v>140</v>
      </c>
      <c r="K12" s="45">
        <v>0</v>
      </c>
      <c r="L12" s="45">
        <v>5.2499999999999998E-2</v>
      </c>
      <c r="M12" s="45">
        <v>0.126</v>
      </c>
      <c r="N12" s="201">
        <v>0.26250000000000001</v>
      </c>
      <c r="O12" s="147">
        <f>IF(K20="Esaad",B8*3/100,IF(K20="Emirates Platinum",B8*3/100,IF(K20="Fazaa",B8*3/100,IF(K20="Humat Alwatan",B8*3/100,IF(K20="Permissible",2000,IF(K20="ASX",8400,IF(K20="XPMLP",15100,IF(K20="XP",7200,IF(K20="G43",11000,IF(K20="EC",17000,IF(K20="G37",17000,IF(K20="G38",15000,IF(K20="G40",11000,IF(K20="OUT",3000,IF(K20="F08",14400,IF(K20="P08",11100,IF(K20="F06",13100,IF(K20="P06",13400,IF(K20="F03",3500,IF(K20="F03-1",13500,IF(K20="P03",13100,IF(K20="MON",10000,IF(K20="MON G57",9000,0)))))))))))))))))))))))</f>
        <v>2000</v>
      </c>
      <c r="Z12" s="86" t="s">
        <v>83</v>
      </c>
      <c r="AA12" s="86" t="s">
        <v>84</v>
      </c>
    </row>
    <row r="13" spans="1:27" ht="24.6" x14ac:dyDescent="0.4">
      <c r="A13" s="8">
        <f>B8*1.26582</f>
        <v>139113.61799999999</v>
      </c>
      <c r="B13" s="37" t="s">
        <v>23</v>
      </c>
      <c r="C13" s="20" t="s">
        <v>19</v>
      </c>
      <c r="D13" s="36">
        <f>IF(C13="YES",2000,IF(C13="NO",0))</f>
        <v>2000</v>
      </c>
      <c r="E13" s="47"/>
      <c r="F13" s="47" t="s">
        <v>75</v>
      </c>
      <c r="G13" s="51"/>
      <c r="H13" s="39">
        <v>315</v>
      </c>
      <c r="I13" s="33"/>
      <c r="J13" s="44" t="s">
        <v>54</v>
      </c>
      <c r="K13" s="29" t="s">
        <v>79</v>
      </c>
      <c r="L13" s="29" t="s">
        <v>25</v>
      </c>
      <c r="M13" s="29" t="s">
        <v>0</v>
      </c>
      <c r="N13" s="57" t="s">
        <v>26</v>
      </c>
      <c r="O13" s="9">
        <f>IF(M21="3000-4999",6%,IF(M21="5000-9999",4.75%,IF(M21="10000-14999",3.15%,IF(M21="15000-24999",2.5%,IF(M21="25000-34999",2.25%,IF(M21="35000-99999",2.15%))))))</f>
        <v>4.7500000000000001E-2</v>
      </c>
      <c r="Q13" s="2">
        <f>H7/12</f>
        <v>2268.7515812500001</v>
      </c>
      <c r="U13" s="9">
        <f>IF(M21="3000-4999",6%,IF(M21="5000-9999",3.25%,IF(M21="10000-14999",3%,IF(M21="15000-24999",2.25%,IF(M21="25000-34999",2.15%,IF(M21="35000-99999",1.99%))))))</f>
        <v>3.2500000000000001E-2</v>
      </c>
      <c r="Z13" s="99">
        <f>IF(M21="5000-9999",2.49%,IF(M21="10000-19999",2.19%,IF(M21="20000-34999",2.09%,IF(M21="35000-49999",1.89%,IF(M21="50000-99999",1.79%)))))</f>
        <v>2.4900000000000002E-2</v>
      </c>
      <c r="AA13" s="99">
        <f>IF(M21="5000-9999",2.59%,IF(M21="10000-19999",2.29%,IF(M21="20000-34999",2.19%,IF(M21="35000-49999",1.99%,IF(M21="50000-99999",1.89%)))))</f>
        <v>2.5899999999999999E-2</v>
      </c>
    </row>
    <row r="14" spans="1:27" ht="24.6" x14ac:dyDescent="0.4">
      <c r="A14" s="10" t="s">
        <v>27</v>
      </c>
      <c r="B14" s="37" t="s">
        <v>24</v>
      </c>
      <c r="C14" s="20" t="s">
        <v>19</v>
      </c>
      <c r="D14" s="50">
        <f>IF(C14="YES",U19*3.15*1.05/100,IF(C14="NO",U19*0/100))</f>
        <v>4212.5973750000003</v>
      </c>
      <c r="E14" s="48"/>
      <c r="F14" s="48" t="s">
        <v>24</v>
      </c>
      <c r="G14" s="51" t="s">
        <v>17</v>
      </c>
      <c r="H14" s="39">
        <f>IF(G14="YES",U19*3.15*1.05/100,IF(G14="NO",U19*0/100))</f>
        <v>0</v>
      </c>
      <c r="I14" s="33"/>
      <c r="J14" s="44" t="s">
        <v>55</v>
      </c>
      <c r="K14" s="44">
        <f>(H8*K12+H8)/3</f>
        <v>9075.0063250000003</v>
      </c>
      <c r="L14" s="44">
        <f>(H8*L12+H8)/12</f>
        <v>2387.8610392656251</v>
      </c>
      <c r="M14" s="44">
        <f>(H8*M12+H8)/24</f>
        <v>1277.3071402437499</v>
      </c>
      <c r="N14" s="200">
        <f>(H7*N12+H7)/60</f>
        <v>572.85977426562511</v>
      </c>
      <c r="O14" s="9">
        <f>IF(M21="3000-4999",3.89%,IF(M21="5000-9999",3.89%,IF(M21="10000-14999",3.89%,IF(M21="15000-24999",2.69%,IF(M21="25000-34999",2.69%,IF(M21="35000-99999",2.39%,IF(M21="76000-99999",2.5%)))))))</f>
        <v>3.8900000000000004E-2</v>
      </c>
    </row>
    <row r="15" spans="1:27" ht="24.6" x14ac:dyDescent="0.4">
      <c r="A15" s="11">
        <f>(B7*3%)+10+120</f>
        <v>3427</v>
      </c>
      <c r="B15" s="37" t="s">
        <v>28</v>
      </c>
      <c r="C15" s="20" t="s">
        <v>19</v>
      </c>
      <c r="D15" s="29">
        <f>IF(C15="YES",O10,IF(C15="NO",0))</f>
        <v>4547.4975000000004</v>
      </c>
      <c r="E15" s="48"/>
      <c r="F15" s="48" t="s">
        <v>53</v>
      </c>
      <c r="G15" s="51" t="s">
        <v>17</v>
      </c>
      <c r="H15" s="39">
        <f>IF(G15="YES",O10,IF(G15="NO",0))</f>
        <v>0</v>
      </c>
      <c r="I15" s="33"/>
      <c r="J15" s="44"/>
      <c r="K15" s="44"/>
      <c r="L15" s="44"/>
      <c r="M15" s="44"/>
      <c r="N15" s="198"/>
      <c r="O15" s="9" t="b">
        <f>IF(M21="3000-4999",4.99%, IF(M21="5000-11999",2.75%,IF(M21="12000-19999",2.75%,IF(M21="20000-39999",2.25%,IF(M21="40000-69999",2.25%,IF(M21="70000-99999",2.25%))))))</f>
        <v>0</v>
      </c>
      <c r="P15" s="191"/>
    </row>
    <row r="16" spans="1:27" ht="24.6" x14ac:dyDescent="0.4">
      <c r="A16" s="11">
        <f>((B7-B8)*3%+10+120)</f>
        <v>130</v>
      </c>
      <c r="B16" s="37" t="s">
        <v>78</v>
      </c>
      <c r="C16" s="20" t="s">
        <v>19</v>
      </c>
      <c r="D16" s="29">
        <f>IF(C16="YES",O16,IF(C16="NO",0))</f>
        <v>6700</v>
      </c>
      <c r="E16" s="47"/>
      <c r="F16" s="47" t="s">
        <v>74</v>
      </c>
      <c r="G16" s="54"/>
      <c r="H16" s="33">
        <f>I7*1.05%</f>
        <v>1143.4507969500003</v>
      </c>
      <c r="I16" s="33"/>
      <c r="J16" s="44" t="s">
        <v>16</v>
      </c>
      <c r="K16" s="44">
        <f>(K14*3)-H8</f>
        <v>0</v>
      </c>
      <c r="L16" s="44">
        <f>(L14*12)-H8</f>
        <v>1429.3134961875039</v>
      </c>
      <c r="M16" s="44">
        <f>(M14*24)-H8</f>
        <v>3430.3523908499992</v>
      </c>
      <c r="N16" s="198"/>
      <c r="O16" s="147">
        <f>IF(B16="RMC-10-70KMS",O11,IF(B16="RMC-10-100000KMS",V11,IF(B16="RMC-40-70KMS",U11, IF(B16="RMC-10-40KMS",X11, IF(B16="RMC-10-60KMS",Y11, IF(B16="RMC-40-100000KMS",W11,0))))))</f>
        <v>6700</v>
      </c>
    </row>
    <row r="17" spans="1:23" ht="24.6" x14ac:dyDescent="0.4">
      <c r="A17" s="11">
        <f>A15+A16</f>
        <v>3557</v>
      </c>
      <c r="B17" s="37"/>
      <c r="C17" s="20"/>
      <c r="D17" s="29">
        <f>SUM(D10:D16)</f>
        <v>20160.094875000003</v>
      </c>
      <c r="E17" s="48"/>
      <c r="F17" s="48"/>
      <c r="G17" s="54"/>
      <c r="H17" s="33">
        <f>+SUM(H12:H16)+(H7)</f>
        <v>29283.469771950004</v>
      </c>
      <c r="I17" s="33"/>
      <c r="J17" s="20"/>
      <c r="K17" s="199"/>
      <c r="L17" s="199"/>
      <c r="M17" s="199"/>
      <c r="N17" s="198"/>
      <c r="O17" s="147">
        <f>IF(B11="FO Ceramic+ Intr&amp;Extr CeramicGold WdwTnt",2700,IF(B11="FO Mirror Camera Sensor",2000))</f>
        <v>2700</v>
      </c>
      <c r="T17" s="1">
        <f>19615-791</f>
        <v>18824</v>
      </c>
    </row>
    <row r="18" spans="1:23" ht="24.6" x14ac:dyDescent="0.4">
      <c r="A18" s="12" t="s">
        <v>29</v>
      </c>
      <c r="B18" s="55" t="s">
        <v>30</v>
      </c>
      <c r="C18" s="197"/>
      <c r="D18" s="57">
        <v>0</v>
      </c>
      <c r="E18" s="38"/>
      <c r="F18" s="20"/>
      <c r="G18" s="20"/>
      <c r="H18" s="37"/>
      <c r="I18" s="37"/>
      <c r="J18" s="37"/>
      <c r="K18" s="37"/>
      <c r="L18" s="37"/>
      <c r="M18" s="37"/>
      <c r="N18" s="37"/>
      <c r="O18" s="9" t="b">
        <f>IF(M21="5000-99999",1.99%)</f>
        <v>0</v>
      </c>
      <c r="U18" s="196" t="s">
        <v>52</v>
      </c>
      <c r="V18" s="196" t="s">
        <v>52</v>
      </c>
    </row>
    <row r="19" spans="1:23" ht="24.6" x14ac:dyDescent="0.4">
      <c r="A19" s="11">
        <f>B8*3.15%</f>
        <v>3461.85</v>
      </c>
      <c r="B19" s="58" t="s">
        <v>31</v>
      </c>
      <c r="C19" s="59"/>
      <c r="D19" s="60">
        <f>IF(K21="DIB EXPAT",O13,IF(K21="DIB LOCAL GVH",U13,IF(K21="Emirates NBD",O14,IF(K21="ADCB",O15,IF(K21="ADCB PAY IN 2027",O19,IF(K21="Ajman Bank",O18,IF(K21="SIB STL",Z13,IF(K21="SIB NON STL",AA13,))))))))</f>
        <v>3.8900000000000004E-2</v>
      </c>
      <c r="E19" s="20"/>
      <c r="F19" s="195"/>
      <c r="G19" s="141" t="s">
        <v>73</v>
      </c>
      <c r="H19" s="142"/>
      <c r="I19" s="143"/>
      <c r="J19" s="109">
        <f>(U19*20/100)/365</f>
        <v>69.789041095890411</v>
      </c>
      <c r="K19" s="37"/>
      <c r="L19" s="37"/>
      <c r="M19" s="37"/>
      <c r="N19" s="34">
        <f>D7</f>
        <v>115395</v>
      </c>
      <c r="O19" s="194" t="b">
        <f>IF(M21="5000-11999",3.35%,IF(M21="12000-19999",3.35%,IF(M21="20000-39999",2.85%,IF(M21="40000-69999",2.85%,IF(M21="70000-99999",2.85%)))))</f>
        <v>0</v>
      </c>
      <c r="P19" s="2">
        <f>81400-2500</f>
        <v>78900</v>
      </c>
      <c r="U19" s="193">
        <f>V19</f>
        <v>127365</v>
      </c>
      <c r="V19" s="192">
        <f>(B7+D10+D11+D12+D13+D16)*1.05</f>
        <v>127365</v>
      </c>
    </row>
    <row r="20" spans="1:23" ht="24.6" x14ac:dyDescent="0.4">
      <c r="A20" s="11"/>
      <c r="B20" s="58" t="s">
        <v>32</v>
      </c>
      <c r="C20" s="59"/>
      <c r="D20" s="63">
        <v>0.2</v>
      </c>
      <c r="E20" s="37"/>
      <c r="F20" s="37"/>
      <c r="G20" s="38"/>
      <c r="H20" s="38"/>
      <c r="I20" s="38"/>
      <c r="J20" s="103"/>
      <c r="K20" s="104" t="s">
        <v>33</v>
      </c>
      <c r="L20" s="104" t="s">
        <v>17</v>
      </c>
      <c r="M20" s="104">
        <f>IF(L20="YES",O12,IF(L20="NO",0))</f>
        <v>0</v>
      </c>
      <c r="N20" s="34">
        <f>B8-M20</f>
        <v>109900</v>
      </c>
      <c r="O20" s="187"/>
      <c r="P20" s="191"/>
      <c r="T20" s="1">
        <f>1992+1084</f>
        <v>3076</v>
      </c>
      <c r="U20" s="186"/>
      <c r="V20" s="2"/>
    </row>
    <row r="21" spans="1:23" ht="24.6" x14ac:dyDescent="0.4">
      <c r="A21" s="13">
        <f>A19+A20</f>
        <v>3461.85</v>
      </c>
      <c r="B21" s="37"/>
      <c r="C21" s="20"/>
      <c r="D21" s="37"/>
      <c r="E21" s="37"/>
      <c r="F21" s="37"/>
      <c r="G21" s="37"/>
      <c r="H21" s="37"/>
      <c r="I21" s="37"/>
      <c r="J21" s="190" t="s">
        <v>34</v>
      </c>
      <c r="K21" s="16" t="s">
        <v>139</v>
      </c>
      <c r="L21" s="16" t="s">
        <v>35</v>
      </c>
      <c r="M21" s="189" t="s">
        <v>80</v>
      </c>
      <c r="N21" s="188"/>
      <c r="O21" s="187"/>
      <c r="T21" s="1">
        <f>25973-12973</f>
        <v>13000</v>
      </c>
      <c r="U21" s="186">
        <f>M14+N7</f>
        <v>3445.3261512862505</v>
      </c>
    </row>
    <row r="22" spans="1:23" s="179" customFormat="1" ht="24.6" x14ac:dyDescent="0.4">
      <c r="A22" s="185"/>
      <c r="B22" s="184" t="s">
        <v>51</v>
      </c>
      <c r="C22" s="183"/>
      <c r="D22" s="183"/>
      <c r="E22" s="183"/>
      <c r="F22" s="183"/>
      <c r="G22" s="183"/>
      <c r="H22" s="183"/>
      <c r="I22" s="183"/>
      <c r="J22" s="183"/>
      <c r="K22" s="183"/>
      <c r="L22" s="183"/>
      <c r="M22" s="183"/>
      <c r="N22" s="182"/>
      <c r="O22" s="181"/>
      <c r="P22" s="180"/>
    </row>
    <row r="23" spans="1:23" s="168" customFormat="1" ht="26.4" x14ac:dyDescent="0.5">
      <c r="A23" s="175" t="s">
        <v>36</v>
      </c>
      <c r="B23" s="172" t="s">
        <v>138</v>
      </c>
      <c r="C23" s="169"/>
      <c r="D23" s="169"/>
      <c r="E23" s="169"/>
      <c r="F23" s="169"/>
      <c r="G23" s="169"/>
      <c r="H23" s="176"/>
      <c r="I23" s="176"/>
      <c r="J23" s="169"/>
      <c r="K23" s="169"/>
      <c r="L23" s="169"/>
      <c r="M23" s="169"/>
      <c r="N23" s="178"/>
      <c r="O23" s="170"/>
      <c r="P23" s="169"/>
    </row>
    <row r="24" spans="1:23" s="168" customFormat="1" ht="26.4" x14ac:dyDescent="0.5">
      <c r="A24" s="175" t="s">
        <v>36</v>
      </c>
      <c r="B24" s="172" t="s">
        <v>137</v>
      </c>
      <c r="C24" s="169"/>
      <c r="D24" s="169"/>
      <c r="E24" s="169"/>
      <c r="F24" s="169"/>
      <c r="G24" s="169"/>
      <c r="H24" s="177">
        <f>H7/365</f>
        <v>74.589093082191795</v>
      </c>
      <c r="I24" s="177">
        <f>H7+H12+H16</f>
        <v>28968.469771950004</v>
      </c>
      <c r="J24" s="169"/>
      <c r="K24" s="169"/>
      <c r="L24" s="169"/>
      <c r="M24" s="169"/>
      <c r="N24" s="173"/>
      <c r="O24" s="170"/>
      <c r="P24" s="169">
        <f>1232+480</f>
        <v>1712</v>
      </c>
      <c r="T24" s="168">
        <f>88704/1.05</f>
        <v>84480</v>
      </c>
    </row>
    <row r="25" spans="1:23" s="168" customFormat="1" ht="26.4" x14ac:dyDescent="0.5">
      <c r="A25" s="175" t="s">
        <v>36</v>
      </c>
      <c r="B25" s="172" t="s">
        <v>136</v>
      </c>
      <c r="C25" s="169"/>
      <c r="D25" s="169"/>
      <c r="E25" s="169"/>
      <c r="F25" s="169"/>
      <c r="G25" s="169"/>
      <c r="H25" s="176"/>
      <c r="I25" s="176"/>
      <c r="J25" s="169"/>
      <c r="K25" s="169"/>
      <c r="L25" s="169"/>
      <c r="M25" s="169"/>
      <c r="N25" s="173"/>
      <c r="O25" s="170"/>
      <c r="P25" s="169"/>
      <c r="Q25" s="168">
        <f>79400-5233.33</f>
        <v>74166.67</v>
      </c>
      <c r="R25" s="168">
        <f>Q25*1.05</f>
        <v>77875.003500000006</v>
      </c>
      <c r="W25" s="168">
        <f>1999+1224</f>
        <v>3223</v>
      </c>
    </row>
    <row r="26" spans="1:23" s="168" customFormat="1" ht="26.4" x14ac:dyDescent="0.5">
      <c r="A26" s="175" t="s">
        <v>36</v>
      </c>
      <c r="B26" s="172" t="s">
        <v>135</v>
      </c>
      <c r="C26" s="169"/>
      <c r="D26" s="169"/>
      <c r="E26" s="169"/>
      <c r="F26" s="169"/>
      <c r="G26" s="169"/>
      <c r="H26" s="169"/>
      <c r="I26" s="169"/>
      <c r="J26" s="169"/>
      <c r="K26" s="169"/>
      <c r="L26" s="169"/>
      <c r="M26" s="169"/>
      <c r="N26" s="173"/>
      <c r="O26" s="170" t="s">
        <v>37</v>
      </c>
      <c r="P26" s="169"/>
      <c r="R26" s="168">
        <f>R25+2469</f>
        <v>80344.003500000006</v>
      </c>
    </row>
    <row r="27" spans="1:23" s="168" customFormat="1" ht="26.4" x14ac:dyDescent="0.5">
      <c r="A27" s="175" t="s">
        <v>36</v>
      </c>
      <c r="B27" s="172" t="s">
        <v>134</v>
      </c>
      <c r="C27" s="169"/>
      <c r="D27" s="169"/>
      <c r="E27" s="169"/>
      <c r="F27" s="169"/>
      <c r="G27" s="169"/>
      <c r="H27" s="169"/>
      <c r="I27" s="169"/>
      <c r="J27" s="169"/>
      <c r="K27" s="169"/>
      <c r="L27" s="169"/>
      <c r="M27" s="169"/>
      <c r="N27" s="173"/>
      <c r="O27" s="170">
        <f>129500-110900</f>
        <v>18600</v>
      </c>
      <c r="P27" s="169"/>
      <c r="W27" s="174">
        <f>N7+L14</f>
        <v>4555.8800503081256</v>
      </c>
    </row>
    <row r="28" spans="1:23" s="168" customFormat="1" ht="26.4" x14ac:dyDescent="0.5">
      <c r="B28" s="172" t="s">
        <v>133</v>
      </c>
      <c r="C28" s="169"/>
      <c r="D28" s="169"/>
      <c r="E28" s="169"/>
      <c r="F28" s="169"/>
      <c r="G28" s="169"/>
      <c r="H28" s="169"/>
      <c r="I28" s="169"/>
      <c r="J28" s="169"/>
      <c r="K28" s="169"/>
      <c r="L28" s="169"/>
      <c r="M28" s="169"/>
      <c r="N28" s="173"/>
      <c r="O28" s="170">
        <f>85000-69900</f>
        <v>15100</v>
      </c>
      <c r="P28" s="169"/>
    </row>
    <row r="29" spans="1:23" s="168" customFormat="1" ht="26.4" x14ac:dyDescent="0.5">
      <c r="B29" s="172" t="s">
        <v>132</v>
      </c>
      <c r="C29" s="169"/>
      <c r="D29" s="169"/>
      <c r="E29" s="169"/>
      <c r="F29" s="169"/>
      <c r="G29" s="169"/>
      <c r="H29" s="169"/>
      <c r="I29" s="169"/>
      <c r="J29" s="169"/>
      <c r="K29" s="169"/>
      <c r="L29" s="169"/>
      <c r="M29" s="169"/>
      <c r="N29" s="171"/>
      <c r="O29" s="170"/>
      <c r="P29" s="169"/>
    </row>
    <row r="30" spans="1:23" x14ac:dyDescent="0.3">
      <c r="B30" s="167" t="s">
        <v>38</v>
      </c>
      <c r="C30" s="166"/>
      <c r="D30" s="166"/>
      <c r="E30" s="166"/>
      <c r="F30" s="166"/>
      <c r="G30" s="166"/>
      <c r="H30" s="166"/>
      <c r="I30" s="166"/>
      <c r="J30" s="166"/>
      <c r="K30" s="166"/>
      <c r="L30" s="166"/>
      <c r="M30" s="166"/>
      <c r="N30" s="165"/>
      <c r="O30" s="147"/>
    </row>
    <row r="31" spans="1:23" x14ac:dyDescent="0.3">
      <c r="B31" s="146"/>
      <c r="C31" s="145"/>
      <c r="D31" s="145"/>
      <c r="E31" s="145"/>
      <c r="F31" s="145"/>
      <c r="G31" s="145"/>
      <c r="H31" s="145"/>
      <c r="I31" s="145"/>
      <c r="J31" s="145"/>
      <c r="K31" s="145"/>
      <c r="L31" s="145"/>
      <c r="M31" s="145"/>
      <c r="N31" s="144"/>
      <c r="O31" s="147"/>
    </row>
    <row r="32" spans="1:23" s="86" customFormat="1" ht="20.399999999999999" x14ac:dyDescent="0.35">
      <c r="B32" s="118" t="s">
        <v>39</v>
      </c>
      <c r="C32" s="119"/>
      <c r="D32" s="119"/>
      <c r="E32" s="119"/>
      <c r="F32" s="119"/>
      <c r="G32" s="119"/>
      <c r="H32" s="119"/>
      <c r="I32" s="119"/>
      <c r="J32" s="119"/>
      <c r="K32" s="119"/>
      <c r="L32" s="119"/>
      <c r="M32" s="119"/>
      <c r="N32" s="120"/>
      <c r="O32" s="92"/>
      <c r="P32" s="83"/>
    </row>
    <row r="33" spans="2:16" s="86" customFormat="1" ht="20.399999999999999" x14ac:dyDescent="0.35">
      <c r="B33" s="118" t="s">
        <v>40</v>
      </c>
      <c r="C33" s="119"/>
      <c r="D33" s="119"/>
      <c r="E33" s="119"/>
      <c r="F33" s="119"/>
      <c r="G33" s="119"/>
      <c r="H33" s="119"/>
      <c r="I33" s="119"/>
      <c r="J33" s="119"/>
      <c r="K33" s="119"/>
      <c r="L33" s="119"/>
      <c r="M33" s="119"/>
      <c r="N33" s="120"/>
      <c r="O33" s="92"/>
      <c r="P33" s="83"/>
    </row>
    <row r="34" spans="2:16" s="86" customFormat="1" ht="20.399999999999999" x14ac:dyDescent="0.35">
      <c r="B34" s="107" t="s">
        <v>131</v>
      </c>
      <c r="C34" s="108"/>
      <c r="D34" s="108"/>
      <c r="E34" s="108"/>
      <c r="F34" s="108"/>
      <c r="G34" s="164" t="s">
        <v>130</v>
      </c>
      <c r="H34" s="164"/>
      <c r="I34" s="163"/>
      <c r="J34" s="163"/>
      <c r="K34" s="163"/>
      <c r="L34" s="163"/>
      <c r="M34" s="162" t="s">
        <v>129</v>
      </c>
      <c r="N34" s="161"/>
      <c r="O34" s="83"/>
      <c r="P34" s="83"/>
    </row>
    <row r="35" spans="2:16" x14ac:dyDescent="0.3">
      <c r="B35" s="160"/>
      <c r="C35" s="159"/>
      <c r="D35" s="159"/>
      <c r="E35" s="159"/>
      <c r="F35" s="159"/>
      <c r="G35" s="159"/>
      <c r="H35" s="159"/>
      <c r="I35" s="159"/>
      <c r="J35" s="159"/>
      <c r="K35" s="159"/>
      <c r="L35" s="159"/>
      <c r="M35" s="159"/>
      <c r="N35" s="158"/>
    </row>
    <row r="36" spans="2:16" x14ac:dyDescent="0.3">
      <c r="B36" s="160"/>
      <c r="C36" s="159"/>
      <c r="D36" s="159"/>
      <c r="E36" s="159"/>
      <c r="F36" s="159"/>
      <c r="G36" s="159"/>
      <c r="H36" s="159"/>
      <c r="I36" s="159"/>
      <c r="J36" s="159"/>
      <c r="K36" s="159"/>
      <c r="L36" s="159"/>
      <c r="M36" s="159"/>
      <c r="N36" s="158"/>
    </row>
    <row r="37" spans="2:16" x14ac:dyDescent="0.3">
      <c r="B37" s="160"/>
      <c r="C37" s="159"/>
      <c r="D37" s="159"/>
      <c r="E37" s="159"/>
      <c r="F37" s="159"/>
      <c r="G37" s="159"/>
      <c r="H37" s="159"/>
      <c r="I37" s="159"/>
      <c r="J37" s="159"/>
      <c r="K37" s="159"/>
      <c r="L37" s="159"/>
      <c r="M37" s="159"/>
      <c r="N37" s="158"/>
    </row>
    <row r="38" spans="2:16" ht="16.8" x14ac:dyDescent="0.3">
      <c r="B38" s="149" t="s">
        <v>128</v>
      </c>
      <c r="C38" s="157"/>
      <c r="D38" s="154"/>
      <c r="E38" s="151"/>
      <c r="F38" s="151"/>
      <c r="G38" s="151"/>
      <c r="H38" s="151"/>
      <c r="I38" s="151"/>
      <c r="J38" s="152"/>
      <c r="K38" s="151"/>
      <c r="L38" s="151"/>
      <c r="M38" s="151"/>
      <c r="N38" s="156"/>
    </row>
    <row r="39" spans="2:16" ht="16.8" x14ac:dyDescent="0.3">
      <c r="B39" s="149" t="s">
        <v>127</v>
      </c>
      <c r="C39" s="155"/>
      <c r="D39" s="154"/>
      <c r="E39" s="151"/>
      <c r="F39" s="151"/>
      <c r="G39" s="151"/>
      <c r="H39" s="151"/>
      <c r="I39" s="151"/>
      <c r="J39" s="152"/>
      <c r="K39" s="151"/>
      <c r="L39" s="151"/>
      <c r="M39" s="151"/>
      <c r="N39" s="150"/>
    </row>
    <row r="40" spans="2:16" ht="16.8" x14ac:dyDescent="0.3">
      <c r="B40" s="149" t="s">
        <v>126</v>
      </c>
      <c r="C40" s="153"/>
      <c r="D40" s="151"/>
      <c r="E40" s="151"/>
      <c r="F40" s="151"/>
      <c r="G40" s="151"/>
      <c r="H40" s="151"/>
      <c r="I40" s="151"/>
      <c r="J40" s="152"/>
      <c r="K40" s="151"/>
      <c r="L40" s="151"/>
      <c r="M40" s="151"/>
      <c r="N40" s="150"/>
    </row>
    <row r="41" spans="2:16" ht="16.8" x14ac:dyDescent="0.3">
      <c r="B41" s="149" t="s">
        <v>125</v>
      </c>
      <c r="N41" s="148"/>
    </row>
    <row r="42" spans="2:16" ht="16.8" x14ac:dyDescent="0.3">
      <c r="B42" s="149" t="s">
        <v>124</v>
      </c>
      <c r="N42" s="148"/>
    </row>
    <row r="43" spans="2:16" ht="16.8" x14ac:dyDescent="0.3">
      <c r="B43" s="149" t="s">
        <v>123</v>
      </c>
      <c r="N43" s="148"/>
    </row>
    <row r="44" spans="2:16" ht="16.8" x14ac:dyDescent="0.3">
      <c r="B44" s="149" t="s">
        <v>122</v>
      </c>
      <c r="N44" s="148"/>
    </row>
    <row r="45" spans="2:16" ht="16.8" x14ac:dyDescent="0.3">
      <c r="B45" s="149" t="s">
        <v>121</v>
      </c>
      <c r="N45" s="148"/>
    </row>
    <row r="46" spans="2:16" ht="16.8" x14ac:dyDescent="0.3">
      <c r="B46" s="149" t="s">
        <v>120</v>
      </c>
      <c r="N46" s="148"/>
    </row>
    <row r="47" spans="2:16" x14ac:dyDescent="0.3">
      <c r="B47" s="146" t="s">
        <v>39</v>
      </c>
      <c r="C47" s="145"/>
      <c r="D47" s="145"/>
      <c r="E47" s="145"/>
      <c r="F47" s="145"/>
      <c r="G47" s="145"/>
      <c r="H47" s="145"/>
      <c r="I47" s="145"/>
      <c r="J47" s="145"/>
      <c r="K47" s="145"/>
      <c r="L47" s="145"/>
      <c r="M47" s="145"/>
      <c r="N47" s="144"/>
      <c r="O47" s="147"/>
    </row>
    <row r="48" spans="2:16" x14ac:dyDescent="0.3">
      <c r="B48" s="146" t="s">
        <v>40</v>
      </c>
      <c r="C48" s="145"/>
      <c r="D48" s="145"/>
      <c r="E48" s="145"/>
      <c r="F48" s="145"/>
      <c r="G48" s="145"/>
      <c r="H48" s="145"/>
      <c r="I48" s="145"/>
      <c r="J48" s="145"/>
      <c r="K48" s="145"/>
      <c r="L48" s="145"/>
      <c r="M48" s="145"/>
      <c r="N48" s="144"/>
      <c r="O48" s="147"/>
    </row>
    <row r="49" spans="2:14" x14ac:dyDescent="0.3">
      <c r="B49" s="146" t="s">
        <v>119</v>
      </c>
      <c r="C49" s="145"/>
      <c r="D49" s="145"/>
      <c r="E49" s="145"/>
      <c r="F49" s="145"/>
      <c r="G49" s="145"/>
      <c r="H49" s="145"/>
      <c r="I49" s="145"/>
      <c r="J49" s="145"/>
      <c r="K49" s="145"/>
      <c r="L49" s="145"/>
      <c r="M49" s="145"/>
      <c r="N49" s="144"/>
    </row>
    <row r="50" spans="2:14" ht="25.8" x14ac:dyDescent="0.3">
      <c r="C50" s="15" t="s">
        <v>41</v>
      </c>
    </row>
    <row r="51" spans="2:14" ht="25.8" x14ac:dyDescent="0.3">
      <c r="C51" s="15" t="s">
        <v>42</v>
      </c>
    </row>
    <row r="52" spans="2:14" ht="25.8" x14ac:dyDescent="0.3">
      <c r="C52" s="15" t="s">
        <v>43</v>
      </c>
    </row>
    <row r="53" spans="2:14" ht="25.8" x14ac:dyDescent="0.3">
      <c r="C53" s="15" t="s">
        <v>44</v>
      </c>
    </row>
    <row r="54" spans="2:14" ht="25.8" x14ac:dyDescent="0.3">
      <c r="C54" s="15" t="s">
        <v>45</v>
      </c>
    </row>
  </sheetData>
  <dataConsolidate/>
  <mergeCells count="11">
    <mergeCell ref="F8:G8"/>
    <mergeCell ref="F9:G9"/>
    <mergeCell ref="G19:I19"/>
    <mergeCell ref="B22:N22"/>
    <mergeCell ref="B30:N30"/>
    <mergeCell ref="B32:N32"/>
    <mergeCell ref="B33:N33"/>
    <mergeCell ref="B47:N47"/>
    <mergeCell ref="B48:N48"/>
    <mergeCell ref="B49:N49"/>
    <mergeCell ref="B31:N31"/>
  </mergeCells>
  <dataValidations count="11">
    <dataValidation type="list" allowBlank="1" showInputMessage="1" showErrorMessage="1" sqref="H34" xr:uid="{0BB41B5F-F11D-4818-9531-EA05B6B2B886}">
      <formula1>"ALAA HAMMAD,KHALED QASSEM,RAMY RAOUF,SIMON LOBO,MHAREN CLEMENTE GARADO"</formula1>
    </dataValidation>
    <dataValidation type="list" allowBlank="1" showInputMessage="1" showErrorMessage="1" sqref="M34" xr:uid="{FB3FF36E-2971-45DC-A3B8-7E5249D0E54C}">
      <formula1>"Alaa Hammad,Bachir Ibrahim Mourad,Khaled Qassem,Ramy Raoof,Simon Lobo,Mharen Clemente Garado,Ranjith"</formula1>
    </dataValidation>
    <dataValidation type="list" allowBlank="1" showInputMessage="1" showErrorMessage="1" sqref="B11" xr:uid="{461C83CA-8F23-4E51-A3E2-3EB8DDD72737}">
      <formula1>"FO Ceramic+ Intr&amp;Extr CeramicGold WdwTnt,FO Mirror Camera Sensor"</formula1>
    </dataValidation>
    <dataValidation type="list" allowBlank="1" showInputMessage="1" showErrorMessage="1" sqref="B12" xr:uid="{D5392EF7-EA7F-4FDC-80AD-92ECB5A8B953}">
      <formula1>"FO Exterior ceramic All Cars SCOTCHGUARD,FO Mirror Camera Sensor,FO PPF Gold Package "</formula1>
    </dataValidation>
    <dataValidation type="list" allowBlank="1" showInputMessage="1" showErrorMessage="1" sqref="K20" xr:uid="{F27CDDFB-7493-48B7-B874-832B884097F6}">
      <formula1>"Esaad,Emirates Platinum,Fazaa,Humat Alwatan,Permissible,ASX,XPMLP,XP,MON,MON G57,OUT,F08,P08,F06,P06,F03,F03-1,P03,EC,G37,G38,G40,G43"</formula1>
    </dataValidation>
    <dataValidation type="list" allowBlank="1" showInputMessage="1" showErrorMessage="1" sqref="B16" xr:uid="{363CBD04-BF3D-4C8C-B155-DD39615AB1AA}">
      <formula1>"RMC-10-40KMS,RMC-10-60KMS,RMC-10-70KMS,RMC-10-100000KMS,RMC-40-70KMS,RMC-40-100000KMS"</formula1>
    </dataValidation>
    <dataValidation type="list" allowBlank="1" showInputMessage="1" showErrorMessage="1" sqref="K24" xr:uid="{DF073B64-98F8-4642-80F0-96F49C762E1E}">
      <formula1>"RMC-10-70K,RMC-10-100000K,RMC-40-70K"</formula1>
    </dataValidation>
    <dataValidation type="list" allowBlank="1" showInputMessage="1" showErrorMessage="1" sqref="D5" xr:uid="{C0C7F704-CCBF-436E-9569-9DF556630D0F}">
      <formula1>"MIG09,MIG10,H16,P16,H17,H48,H43,H40,H42,H44,H45,H38,H37,EH40,EH43,ML,HL,PR, MLP,HLP,PRP,XPML,XPHL,XPMLP, XPMLP-01,XC, G10,P10, G03, P03, G06,P06,G12,P12,G05,P05,G08,P08,G09,P09,H57,P57,H64,H59,P59,H61,P61"</formula1>
    </dataValidation>
    <dataValidation type="list" allowBlank="1" showInputMessage="1" showErrorMessage="1" sqref="M21" xr:uid="{4AEDCA6A-2F72-4C0B-9324-07B5F87EBFE9}">
      <formula1>"3000-4999,5000-9999,5000-99999,10000-14999,15000-24999,25000-34999,35000-99999,5000-11999,12000-19999,20000-39999,40000-69999,70000-99999"</formula1>
    </dataValidation>
    <dataValidation type="list" allowBlank="1" showInputMessage="1" showErrorMessage="1" sqref="C10:C16 L20 L24:L25 G14:G15 J10" xr:uid="{C857B404-87A1-4E12-8D0F-A830AD1A2D13}">
      <formula1>"YES,NO"</formula1>
    </dataValidation>
    <dataValidation type="list" allowBlank="1" showInputMessage="1" showErrorMessage="1" sqref="K21" xr:uid="{438D3661-0DE9-4747-8C65-559B5AF5338C}">
      <formula1>"ADCB,ADCB PAY IN 2027,Ajman Bank,ADIB,DIB EXPAT,DIB LOCAL GVH,Emirates NBD,EIB,FAB,RAK,SIB STL,SIB NON STL"</formula1>
    </dataValidation>
  </dataValidations>
  <pageMargins left="0.23622047244094491" right="0.23622047244094491" top="0.74803149606299213" bottom="0.74803149606299213" header="0.31496062992125984" footer="0.31496062992125984"/>
  <pageSetup paperSize="9" scale="40" orientation="landscape" horizontalDpi="4294967295" verticalDpi="4294967295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B105C6-E31B-49C5-830A-B5E9D9F46640}">
  <sheetPr>
    <pageSetUpPr fitToPage="1"/>
  </sheetPr>
  <dimension ref="A1:AA54"/>
  <sheetViews>
    <sheetView topLeftCell="B1" zoomScaleNormal="100" workbookViewId="0">
      <selection activeCell="D5" sqref="D5"/>
    </sheetView>
  </sheetViews>
  <sheetFormatPr defaultColWidth="9.109375" defaultRowHeight="15.6" x14ac:dyDescent="0.3"/>
  <cols>
    <col min="1" max="1" width="16" style="1" hidden="1" customWidth="1"/>
    <col min="2" max="2" width="75.109375" style="2" customWidth="1"/>
    <col min="3" max="3" width="26.88671875" style="3" customWidth="1"/>
    <col min="4" max="4" width="23.88671875" style="2" customWidth="1"/>
    <col min="5" max="5" width="23.33203125" style="2" customWidth="1"/>
    <col min="6" max="6" width="19.88671875" style="2" customWidth="1"/>
    <col min="7" max="7" width="23.33203125" style="2" customWidth="1"/>
    <col min="8" max="8" width="24.44140625" style="2" customWidth="1"/>
    <col min="9" max="9" width="27.109375" style="2" customWidth="1"/>
    <col min="10" max="10" width="26.6640625" style="2" customWidth="1"/>
    <col min="11" max="11" width="25.44140625" style="2" customWidth="1"/>
    <col min="12" max="12" width="20.5546875" style="2" customWidth="1"/>
    <col min="13" max="13" width="20.109375" style="2" customWidth="1"/>
    <col min="14" max="14" width="19.5546875" style="2" customWidth="1"/>
    <col min="15" max="15" width="15.109375" style="2" bestFit="1" customWidth="1"/>
    <col min="16" max="16" width="12.6640625" style="2" hidden="1" customWidth="1"/>
    <col min="17" max="17" width="12.6640625" style="1" hidden="1" customWidth="1"/>
    <col min="18" max="18" width="15.6640625" style="1" hidden="1" customWidth="1"/>
    <col min="19" max="19" width="13" style="1" hidden="1" customWidth="1"/>
    <col min="20" max="20" width="17.109375" style="1" hidden="1" customWidth="1"/>
    <col min="21" max="21" width="14.5546875" style="1" bestFit="1" customWidth="1"/>
    <col min="22" max="22" width="19" style="1" customWidth="1"/>
    <col min="23" max="23" width="22.5546875" style="1" bestFit="1" customWidth="1"/>
    <col min="24" max="25" width="9.109375" style="1"/>
    <col min="26" max="26" width="14" style="1" bestFit="1" customWidth="1"/>
    <col min="27" max="27" width="22.33203125" style="1" bestFit="1" customWidth="1"/>
    <col min="28" max="16384" width="9.109375" style="1"/>
  </cols>
  <sheetData>
    <row r="1" spans="1:27" ht="15.75" customHeight="1" x14ac:dyDescent="0.3">
      <c r="B1" s="222" t="s">
        <v>148</v>
      </c>
      <c r="C1" s="221"/>
      <c r="D1" s="221"/>
      <c r="E1" s="221"/>
      <c r="F1" s="221"/>
      <c r="G1" s="221"/>
      <c r="H1" s="221"/>
      <c r="I1" s="221"/>
      <c r="J1" s="221"/>
      <c r="K1" s="221"/>
      <c r="L1" s="221"/>
      <c r="M1" s="221"/>
      <c r="N1" s="220"/>
    </row>
    <row r="2" spans="1:27" ht="15.75" customHeight="1" x14ac:dyDescent="0.3">
      <c r="B2" s="219" t="s">
        <v>147</v>
      </c>
      <c r="C2" s="218"/>
      <c r="D2" s="218"/>
      <c r="E2" s="218"/>
      <c r="F2" s="218"/>
      <c r="G2" s="218"/>
      <c r="H2" s="218"/>
      <c r="I2" s="218"/>
      <c r="J2" s="218"/>
      <c r="K2" s="218"/>
      <c r="L2" s="218"/>
      <c r="M2" s="218"/>
      <c r="N2" s="217"/>
      <c r="Q2" s="2"/>
      <c r="S2" s="186"/>
    </row>
    <row r="3" spans="1:27" ht="15.75" customHeight="1" x14ac:dyDescent="0.3">
      <c r="B3" s="219" t="s">
        <v>146</v>
      </c>
      <c r="C3" s="218"/>
      <c r="D3" s="218"/>
      <c r="E3" s="218"/>
      <c r="F3" s="218"/>
      <c r="G3" s="218"/>
      <c r="H3" s="218"/>
      <c r="I3" s="218"/>
      <c r="J3" s="218"/>
      <c r="K3" s="218"/>
      <c r="L3" s="218"/>
      <c r="M3" s="218"/>
      <c r="N3" s="217"/>
      <c r="O3" s="3"/>
      <c r="P3" s="3"/>
      <c r="Q3" s="153"/>
      <c r="R3" s="153"/>
      <c r="S3" s="216" t="e">
        <f>N7+J14</f>
        <v>#VALUE!</v>
      </c>
      <c r="T3" s="216"/>
      <c r="U3" s="153"/>
      <c r="V3" s="153"/>
      <c r="W3" s="153"/>
      <c r="AA3" s="1">
        <f>273000/5</f>
        <v>54600</v>
      </c>
    </row>
    <row r="4" spans="1:27" ht="15.75" customHeight="1" x14ac:dyDescent="0.3">
      <c r="B4" s="215"/>
      <c r="C4" s="214"/>
      <c r="D4" s="214"/>
      <c r="E4" s="214"/>
      <c r="F4" s="214"/>
      <c r="G4" s="214"/>
      <c r="H4" s="214"/>
      <c r="I4" s="214"/>
      <c r="J4" s="214"/>
      <c r="K4" s="214"/>
      <c r="L4" s="214"/>
      <c r="M4" s="214"/>
      <c r="N4" s="213"/>
      <c r="O4" s="212" t="s">
        <v>0</v>
      </c>
      <c r="P4" s="212"/>
      <c r="Q4" s="210"/>
      <c r="R4" s="210"/>
      <c r="S4" s="211"/>
      <c r="T4" s="211"/>
      <c r="U4" s="210" t="s">
        <v>1</v>
      </c>
      <c r="V4" s="210" t="s">
        <v>2</v>
      </c>
      <c r="W4" s="210" t="s">
        <v>3</v>
      </c>
    </row>
    <row r="5" spans="1:27" ht="25.2" thickBot="1" x14ac:dyDescent="0.45">
      <c r="B5" s="17"/>
      <c r="C5" s="18" t="str">
        <f>IF(D5="MIG09","Mirage G09",IF(D5="MIG10","MirageG10",IF(D5="H16","Attrage H16",IF(D5="P16","Attrage P16",IF(D5="H17","Attrage H17",IF(D5="H48","ASX H48",IF(D5="H43","ASX H43",IF(D5="H40","ASX H40",IF(D5="H42","ASX H42",IF(D5="H44","ASX H44",IF(D5="H45","ASX H45",IF(D5="H38","Eclipse H38",IF(D5="H37","Eclipse H37",IF(D5="EH40","Eclipse H40",IF(D5="EH43","Eclipse H43",IF(D5="XPML","Xpander ML",IF(D5="ML","Destinator ML",IF(D5="HL","Destinator HL",IF(D5="PR","Destinator PR",IF(D5="MLP","Destinator MLP",IF(D5="HLP","Destinator HLP",IF(D5="PRP","Destinator PRP",IF(D5="XPHL","Xpander HL",IF(D5="XPMLP","Xpander ML P",IF(D5="XPMLP-01","Xpander ML P-01",IF(D5="XC","Xpander Cross",IF(D5="G03","Outlander G03",IF(D5="P03","Outlander P03",IF(D5="G06","Outlander G06",IF(D5="P06","Outlander P06",IF(D5="OTP06-01","Outlander P06-01",IF(D5="G08","Outlander G08",IF(D5="P08","Outlander P08",IF(D5="H57","Montero H57",IF(D5="P57","Montero P57",IF(D5="H64","Montero G64",IF(D5="H59","Montero G59",IF(D5="P59","Montero G59 P",IF(D5="H61","Montero G61",IF(D5="P61","Montero P61",IF(D5="G10","Outlander G10",IF(D5="P10","Outlander P10",IF(D5="G12","Outlander G12",IF(D5="P12","Outlander P12",IF(D5="G05","Outlander G05",IF(D5="P05","Outlander P05",IF(D5="G09","Outlander G09",IF(D5="P09","Outlander P09",))))))))))))))))))))))))))))))))))))))))))))))))</f>
        <v>Outlander P03</v>
      </c>
      <c r="D5" s="19" t="s">
        <v>169</v>
      </c>
      <c r="E5" s="20" t="s">
        <v>145</v>
      </c>
      <c r="F5" s="37"/>
      <c r="G5" s="37"/>
      <c r="H5" s="37"/>
      <c r="I5" s="20"/>
      <c r="J5" s="34"/>
      <c r="K5" s="209">
        <v>0</v>
      </c>
      <c r="L5" s="208">
        <v>3.39E-2</v>
      </c>
      <c r="M5" s="208">
        <v>6.7799999999999999E-2</v>
      </c>
      <c r="N5" s="208">
        <v>0.1017</v>
      </c>
      <c r="O5" s="147">
        <f>K7+K14</f>
        <v>12933.4143190175</v>
      </c>
      <c r="S5" s="186"/>
      <c r="U5" s="186">
        <f>L7+L14</f>
        <v>5339.7573370852078</v>
      </c>
      <c r="V5" s="186">
        <f>M7+M14</f>
        <v>3610.9178388237497</v>
      </c>
      <c r="W5" s="186">
        <f>N7+N14</f>
        <v>2538.3159787518748</v>
      </c>
    </row>
    <row r="6" spans="1:27" s="5" customFormat="1" ht="99" thickBot="1" x14ac:dyDescent="0.35">
      <c r="A6" s="4" t="s">
        <v>4</v>
      </c>
      <c r="B6" s="26" t="s">
        <v>5</v>
      </c>
      <c r="C6" s="27" t="s">
        <v>6</v>
      </c>
      <c r="D6" s="27" t="s">
        <v>144</v>
      </c>
      <c r="E6" s="27" t="s">
        <v>7</v>
      </c>
      <c r="F6" s="27" t="s">
        <v>8</v>
      </c>
      <c r="G6" s="28" t="s">
        <v>9</v>
      </c>
      <c r="H6" s="28" t="s">
        <v>143</v>
      </c>
      <c r="I6" s="28" t="s">
        <v>10</v>
      </c>
      <c r="J6" s="28" t="s">
        <v>142</v>
      </c>
      <c r="K6" s="28" t="s">
        <v>11</v>
      </c>
      <c r="L6" s="28" t="s">
        <v>12</v>
      </c>
      <c r="M6" s="28" t="s">
        <v>13</v>
      </c>
      <c r="N6" s="28" t="s">
        <v>14</v>
      </c>
      <c r="O6" s="207"/>
      <c r="P6" s="206"/>
      <c r="T6" s="205"/>
      <c r="U6" s="205">
        <f>N7+L14</f>
        <v>4219.1807937518752</v>
      </c>
      <c r="V6" s="205">
        <f>N7+K14</f>
        <v>10412.117096517501</v>
      </c>
      <c r="W6" s="205" t="e">
        <f>N7+J14</f>
        <v>#VALUE!</v>
      </c>
    </row>
    <row r="7" spans="1:27" ht="25.2" thickBot="1" x14ac:dyDescent="0.45">
      <c r="A7" s="6">
        <f>B8</f>
        <v>100900</v>
      </c>
      <c r="B7" s="29">
        <f>IF(L20="YES",C8*1,IF(L20="NO",B8*1))</f>
        <v>100900</v>
      </c>
      <c r="C7" s="29">
        <f>B7*5/100</f>
        <v>5045</v>
      </c>
      <c r="D7" s="203">
        <f>B7+C7</f>
        <v>105945</v>
      </c>
      <c r="E7" s="29">
        <f>D17</f>
        <v>19549.861124999999</v>
      </c>
      <c r="F7" s="29">
        <f>(C7)+(D10+D11+D12+D13+D16)*5/100</f>
        <v>5615</v>
      </c>
      <c r="G7" s="30">
        <f>B7+E7+F7</f>
        <v>126064.861125</v>
      </c>
      <c r="H7" s="29">
        <f>G7*D20</f>
        <v>25212.972225000001</v>
      </c>
      <c r="I7" s="30">
        <f>(G7-H7)</f>
        <v>100851.88889999999</v>
      </c>
      <c r="J7" s="30">
        <f>(((I7*D19)*1)+I7)/12</f>
        <v>8731.2522815174998</v>
      </c>
      <c r="K7" s="30">
        <f>(((I7*D19)*2)+I7)/24</f>
        <v>4529.0902440174996</v>
      </c>
      <c r="L7" s="30">
        <f>(((I7*D19)*3)+I7)/36</f>
        <v>3128.3695648508333</v>
      </c>
      <c r="M7" s="30">
        <f>(((I7*D19)*4)+I7)/48</f>
        <v>2428.0092252674999</v>
      </c>
      <c r="N7" s="30">
        <f>((((I7*D19)*5)+I7)/60)</f>
        <v>2007.7930215174999</v>
      </c>
      <c r="O7" s="147"/>
      <c r="P7" s="2">
        <f>H7+H16</f>
        <v>26271.917058450003</v>
      </c>
      <c r="T7" s="186">
        <f>25973/2</f>
        <v>12986.5</v>
      </c>
    </row>
    <row r="8" spans="1:27" ht="24.6" x14ac:dyDescent="0.4">
      <c r="A8" s="7">
        <v>0.2</v>
      </c>
      <c r="B8" s="31">
        <f>IF(D5="MIG09",39900,IF(D5="MIG10",41900,IF(D5="H16",41900,IF(D5="P16",47400,IF(D5="H17",47900,IF(D5="H48",67900,IF(D5="H43",70900,IF(D5="H40",72900,IF(D5="H42",74900,IF(D5="H44",73900,IF(D5="H45",79900,IF(D5="H38",86900,IF(D5="H37",79900,IF(D5="EH40",99900,IF(D5="EH43",106900,IF(D5="ML",71900,IF(D5="HL",83900,IF(D5="PR",95900,IF(D5="MLP",80900,IF(D5="HLP",91900,IF(D5="PRP",102900,IF(D5="XPML",69900,IF(D5="XPHL",71000,IF(D5="XPMLP",75900,IF(D5="XPMLP-01",77800,IF(D5="XC",84900,IF(D5="G10",81900,IF(D5="P10",93900,IF(D5="G12",97900,IF(D5="P12",105900,IF(D5="G05",104900,IF(D5="P05",105900,IF(D5="G03",92900,IF(D5="P03",100900,IF(D5="G06",109900,IF(D5="P06",114900,IF(D5="OTP06-01",118900,IF(D5="G08",125900,IF(D5="P08",132900,IF(D5="OTP06-01",109900,IF(D5="G09",129900,IF(D5="P09",134900,IF(D5="H57",105900,IF(D5="P57",113900,IF(D5="H64",116900,IF(D5="H59",127900,IF(D5="P59",134900,IF(D5="H61",134900,IF(D5="P61",138900)))))))))))))))))))))))))))))))))))))))))))))))))</f>
        <v>100900</v>
      </c>
      <c r="C8" s="32">
        <f>IF(L20="YES",N20,IF(L20="NO",N20))</f>
        <v>100900</v>
      </c>
      <c r="D8" s="29">
        <v>0</v>
      </c>
      <c r="E8" s="33"/>
      <c r="F8" s="139"/>
      <c r="G8" s="140"/>
      <c r="H8" s="110">
        <f>G7*20/100</f>
        <v>25212.972225000001</v>
      </c>
      <c r="I8" s="34"/>
      <c r="J8" s="34" t="s">
        <v>15</v>
      </c>
      <c r="K8" s="34">
        <f>(I7*K5+I7)/24</f>
        <v>4202.1620374999993</v>
      </c>
      <c r="L8" s="34">
        <f>(I7*L5+I7)/36</f>
        <v>2896.4102203808329</v>
      </c>
      <c r="M8" s="34">
        <f>(I7*M5+I7)/48</f>
        <v>2243.53431182125</v>
      </c>
      <c r="N8" s="34">
        <f>(I7*N5+I7)/60</f>
        <v>1851.8087666854999</v>
      </c>
      <c r="O8" s="147">
        <v>0</v>
      </c>
      <c r="P8" s="2">
        <f>P7/12</f>
        <v>2189.3264215375002</v>
      </c>
      <c r="T8" s="1">
        <f>25973-12973</f>
        <v>13000</v>
      </c>
    </row>
    <row r="9" spans="1:27" ht="24.6" x14ac:dyDescent="0.4">
      <c r="A9" s="8">
        <f>B8/(100%-A8)</f>
        <v>126125</v>
      </c>
      <c r="B9" s="109">
        <f>B7-B8</f>
        <v>0</v>
      </c>
      <c r="C9" s="109"/>
      <c r="D9" s="36"/>
      <c r="E9" s="33"/>
      <c r="F9" s="139"/>
      <c r="G9" s="140"/>
      <c r="H9" s="33"/>
      <c r="I9" s="37" t="s">
        <v>16</v>
      </c>
      <c r="J9" s="38">
        <f>(J7*12)-I7</f>
        <v>3923.1384782100067</v>
      </c>
      <c r="K9" s="38">
        <f>(K7*24)-I7</f>
        <v>7846.2769564199989</v>
      </c>
      <c r="L9" s="38">
        <f>(L7*36)-I7</f>
        <v>11769.415434630006</v>
      </c>
      <c r="M9" s="38">
        <f>(M7*48)-I7</f>
        <v>15692.553912839998</v>
      </c>
      <c r="N9" s="38">
        <f>(N7*60)-I7</f>
        <v>19615.692391050005</v>
      </c>
      <c r="O9" s="147"/>
      <c r="T9" s="1">
        <f>T8/12</f>
        <v>1083.3333333333333</v>
      </c>
      <c r="Z9" s="1" t="s">
        <v>86</v>
      </c>
    </row>
    <row r="10" spans="1:27" ht="24.6" x14ac:dyDescent="0.4">
      <c r="A10" s="8"/>
      <c r="B10" s="37" t="s">
        <v>141</v>
      </c>
      <c r="C10" s="20" t="s">
        <v>17</v>
      </c>
      <c r="D10" s="36">
        <f>IF(C10="YES",700,IF(C10="NO",0))</f>
        <v>0</v>
      </c>
      <c r="E10" s="39"/>
      <c r="F10" s="40"/>
      <c r="G10" s="40"/>
      <c r="H10" s="33"/>
      <c r="I10" s="44" t="s">
        <v>85</v>
      </c>
      <c r="J10" s="117" t="s">
        <v>19</v>
      </c>
      <c r="K10" s="117">
        <f>IF(J10="YES",Z10,IF(J10="NO",0))</f>
        <v>1000</v>
      </c>
      <c r="L10" s="41">
        <f>(L8*36)-I7</f>
        <v>3418.8790337099927</v>
      </c>
      <c r="M10" s="41">
        <f>(M8*48)-I7</f>
        <v>6837.7580674200144</v>
      </c>
      <c r="N10" s="41">
        <f>(N8*60)-I7</f>
        <v>10256.637101130007</v>
      </c>
      <c r="O10" s="147">
        <f>IF(D5="XC",3690,IF(D5="XPML",3690,IF(D5="XPHL",3690,IF(D5="XPMLP",3690,IF(D5="XPMLP-01",3690,IF(D5="Xpander P",3690,IF(D5="ML",3690,IF(D5="HL",3690,IF(D5="PR",(U19*3/100+510)*1.05,IF(D5="MLP",3690,IF(D5="HLP",(U19*3/100+510)*1.05,IF(D5="PRP",(U19*3/100+510)*1.05,IF(D5="H57",(U19*2.75/100+510)*1.05,IF(D5="P57",(U19*2.75/100+510)*1.05,IF(D5="H64",(U19*2.75/100+510)*1.05,IF(D5="H59",(U19*2.75/100+510)*1.05,IF(D5="P59",(U19*2.75/100+510)*1.05,IF(D5="H61",(U19*2.75/100+510)*1.05,IF(D5="P61",(U19*2.75/100+510)*1.05,IF(D5="G03",(U19*3/100+510)*1.05,IF(D5="G10",(U19*3/100+510)*1.05,IF(D5="P10",(U19*3/100+510)*1.05,IF(D5="G12",(U19*3/100+510)*1.05,IF(D5="P12",(U19*3/100+510)*1.05,IF(D5="G05",(U19*3/100+510)*1.05,IF(D5="P05",(U19*3/100+510)*1.05,IF(D5="P03",(U19*3/100+510)*1.05,IF(D5="G06",(U19*3/100+510)*1.05,IF(D5="P06",(U19*3/100+510)*1.05,IF(D5="OTP06-01",(U19*3/100+510)*1.05,IF(D5="G08",(U19*3/100+510)*1.05,IF(D5="P08",(U19*3/100+510)*1.05,IF(D5="G09",(U19*3/100+510)*1.05,IF(D5="P09",(U19*3/100+510)*1.05,IF(D5="H38",3625,IF(D5="H37",3625,IF(D5="EH40",(U19*3/100+450)*1.05,IF(D5="EH43",(U19*3/100+450)*1.05,IF(D5="H48",3625,IF(D5="H43",3625,IF(D5="H40",3625,IF(D5="H42",3625,IF(D5="H44",3625,IF(D5="H45",3625,IF(D5="ASX HL 4WD",3625,IF(D5="H16",3625,IF(D5="H17",3625,IF(D5="P16",3625,IF(D5="Attrage S",3625,IF(D5="MIG09",3625,IF(D5="MIG10",3625,IF(D5="Xpander HL",3690))))))))))))))))))))))))))))))))))))))))))))))))))))</f>
        <v>4249.8225000000002</v>
      </c>
      <c r="P10" s="204"/>
      <c r="Q10" s="204">
        <f>5.25*3</f>
        <v>15.75</v>
      </c>
      <c r="Z10" s="1">
        <f>IF(D5="MIG09",1000,IF(D5="MIG10",1000,IF(D5="H16",1000,IF(D5="P16",1000,IF(D5="H17",1000,IF(D5="H48",1000,IF(D5="H43",1000,IF(D5="H40",1000,IF(D5="H42",1000,IF(D5="H44",1000,IF(D5="H45",1000,IF(D5="H38",1000,IF(D5="H37",1000,IF(D5="EH40",1000,IF(D5="EH43",1000,IF(D5="ML",1000,IF(D5="HL",1000,IF(D5="PR",1000,IF(D5="MLP",1000,IF(D5="HLP",1000,IF(D5="PRP",1000,IF(D5="XPML",1000,IF(D5="XPHL",1000,IF(D5="XPMLP",1000,IF(D5="XPMLP-01",1000,IF(D5="XC",1000,IF(D5="G10",1000,IF(D5="P10",1000,IF(D5="G12",1000,IF(D5="P12",1000,IF(D5="G05",1000,IF(D5="P05",1000,IF(D5="G03",1000,IF(D5="P03",1000,IF(D5="G06",1000,IF(D5="P06",1000,IF(D5="OTP06-01",1000,IF(D5="G08",1000,IF(D5="P08",1000,IF(D5="OTP06-01",1000,IF(D5="G09",1000,IF(D5="P09",1000,IF(D5="H57",1000,IF(D5="P57",1000,IF(D5="H64",1000,IF(D5="H59",1000,IF(D5="P59",1000,IF(D5="H61",1000,IF(D5="P61",1000)))))))))))))))))))))))))))))))))))))))))))))))))</f>
        <v>1000</v>
      </c>
    </row>
    <row r="11" spans="1:27" ht="24.6" x14ac:dyDescent="0.4">
      <c r="A11" s="8"/>
      <c r="B11" s="37" t="s">
        <v>18</v>
      </c>
      <c r="C11" s="20" t="s">
        <v>19</v>
      </c>
      <c r="D11" s="203">
        <f>IF(C11="YES",O17,IF(C11="NO",0))</f>
        <v>2700</v>
      </c>
      <c r="E11" s="39"/>
      <c r="F11" s="40"/>
      <c r="G11" s="40"/>
      <c r="H11" s="33"/>
      <c r="I11" s="33"/>
      <c r="J11" s="44" t="s">
        <v>76</v>
      </c>
      <c r="K11" s="44">
        <f>H8-K10</f>
        <v>24212.972225000001</v>
      </c>
      <c r="L11" s="37"/>
      <c r="M11" s="37"/>
      <c r="N11" s="38"/>
      <c r="O11" s="147">
        <f>IF(D5="XC",6100,IF(D5="XPML",6100,IF(D5="XPHL",6100,IF(D5="XPMLP",6100,IF(D5="XPMLP-01",6100,IF(D5="Xpander P",6100,IF(D5="ML",6600,IF(D5="HL",6600,IF(D5="PR",6600,IF(D5="MLP",6600,IF(D5="HLP",6600,IF(D5="PRP",6600,IF(D5="H57",5900,IF(D5="P57",5900,IF(D5="H64",5900,IF(D5="H59",5900,IF(D5="P59",5900,IF(D5="H61",5900,IF(D5="P61",5900,IF(D5="G03",6700,IF(D5="G10",6700,IF(D5="P10",6700,IF(D5="G12",6700,IF(D5="P12",6700,IF(D5="G05",6700,IF(D5="P05",6700,IF(D5="P03",6700,IF(D5="G06",6700,IF(D5="P06",6700,IF(D5="OTP06-01",6700,IF(D5="G08",6700,IF(D5="G09",6700,IF(D5="G08",6700,IF(D5="P08",6700,IF(D5="P09",6700,IF(D5="H37",6400,IF(D5="H38",6400,IF(D5="EH40",6400,IF(D5="EH43",6400,IF(D5="H48",6600,IF(D5="H43",6600,IF(D5="H40",6600,IF(D5="H42",6600,IF(D5="H44",6600,IF(D5="H45",6600,IF(D5="ASX HL 4WD",6600,IF(D5="H16",5400,IF(D5="H17",5400,IF(D5="P16",5400,IF(D5="Attrage S",5400,IF(D5="MIG09",5400,IF(D5="MIG10",5400,IF(D5="Xpander HL",6000)))))))))))))))))))))))))))))))))))))))))))))))))))))</f>
        <v>6700</v>
      </c>
      <c r="P11" s="147"/>
      <c r="Q11" s="147"/>
      <c r="R11" s="147"/>
      <c r="S11" s="147"/>
      <c r="T11" s="147"/>
      <c r="U11" s="147">
        <f>IF(D5="XC",4900,IF(D5="XPML",4900,IF(D5="XPHL",4900,IF(D5="XPMLP",4900,IF(D5="XPMLP-01",4900,IF(D5="Xpander P",4900,IF(D5="ML",5400,IF(D5="HL",5400,IF(D5="PR",5400,IF(D5="MLP",5400,IF(D5="HLP",5400,IF(D5="PRP",5400,IF(D5="H57",4600,IF(D5="P57",4600,IF(D5="MOG64",4600,IF(D5="H59",4600,IF(D5="P59",4600,IF(D5="H61",4600,IF(D5="P61",4600,IF(D5="G03",5500,IF(D5="P03",5500,IF(D5="G10",5500,IF(D5="P10",5500,IF(D5="G12",5500,IF(D5="P12",5500,IF(D5="G05",5500,IF(D5="P05",5500,IF(D5="G06",5500,IF(D5="P06",5500,IF(D5="OTP06-01",5500,IF(D5="F08",5500,IF(D5="P08",5500,IF(D5="G09",5500,IF(D5="P09",5500,IF(D5="H38",5200,IF(D5="H37",5200,IF(D5="EH40",5200,IF(D5="EH43",5200,IF(D5="H48",5300,IF(D5="H43",5300,IF(D5="H40",5300,IF(D5="H42",5300,IF(D5="H44",5300,IF(D5="H45",5300,IF(D5="ASX HL",5300,IF(D5="ASX P",5300,IF(D5="ASX HL 4WD",5300,IF(D5="H16",4200,IF(D5="H17",4200,IF(D5="P16",4200,IF(D5="Attrage S",4200,IF(D5="MIG09",4200,IF(D5="MIG10",4200,IF(D5="Xpander HL",4900))))))))))))))))))))))))))))))))))))))))))))))))))))))</f>
        <v>5500</v>
      </c>
      <c r="V11" s="147">
        <f>IF(D5="XC",9700,IF(D5="XPML",9700,IF(D5="XPHL",9700,IF(D5="XPMLP",9700,IF(D5="XPMLP-01",9700,IF(D5="XPMLP-01",9700,IF(D5="Xpander P",9700,IF(D5="ML",10800,IF(D5="HL",10800,IF(D5="PR",10800,IF(D5="MLP",10800,IF(D5="HLP",10800,IF(D5="PRP",10800,IF(D5="H57",9300,IF(D5="P57",9300,IF(D5="MG64",9300,IF(D5="H59",9300,IF(D5="P59",9300,IF(D5="H61",9300,IF(D5="P61",9300,IF(D5="G03",11000,IF(D5="G10",11000,IF(D5="P10",11000,IF(D5="G12",11000,IF(D5="P12",11000,IF(D5="G05",11000,IF(D5="P05",11000,IF(D5="P03",11000,IF(D5="G06",11000,IF(D5="P06",11000,IF(D5="OTP06-01",11000,IF(D5="G08",11000,IF(D5="P08",11000,IF(D5="G09",11000,IF(D5="P09",11000,IF(D5="H38",10400,IF(D5="H37",10400,IF(D5="EH40",10400,IF(D5="EH43",10400,IF(D5="H48",10700,IF(D5="H43",10700,IF(D5="H40",10700,IF(D5="H42",10700,IF(D5="H44",10800,IF(D5="H45",10800,IF(D5="ASX HL",12200,IF(D5="ASX P",12200,IF(D5="ASX HL 4WD",12200,IF(D5="H16",8500,IF(D5="H17",8500,IF(D5="P16",8500,IF(D5="Attrage S",9600,IF(D5="MIG09",8500,IF(D5="MIG10",8500,IF(D5="Xpander HL",11300)))))))))))))))))))))))))))))))))))))))))))))))))))))))</f>
        <v>11000</v>
      </c>
      <c r="W11" s="147">
        <f>IF(D5="XC",9200,IF(D5="XPML",9200,IF(D5="XPHL",9200,IF(D5="XPMLP",9200,IF(D5="XPMLP-01",9200,IF(D5="Xpander P",9200,IF(D5="ML",10000,IF(D5="HL",10000,IF(D5="PR",10000,IF(D5="MLP",10000,IF(D5="HLP",10000,IF(D5="PRP",10000,IF(D5="H57",8700,IF(D5="P57",8700,IF(D5="H64",8700,IF(D5="H59",8700,IF(D5="P59",8700,IF(D5="H61",8700,IF(D5="P61",8700,IF(D5="G03",10400,IF(D5="P03",10400,IF(D5="G10",10400,IF(D5="P10",10400,IF(D5="G12",10400,IF(D5="P12",10400,IF(D5="G05",10400,IF(D5="P05",10400,IF(D5="G06",10400,IF(D5="P06",10400,IF(D5="OTP06-01",10400,IF(D5="G08",10400,IF(D5="P08",10400,IF(D5="G09",10400,IF(D5="P09",10400,IF(D5="H38",9800,IF(D5="H37",9800,IF(D5="EH40",9800,IF(D5="EH43",9800,IF(D5="H48",10100,IF(D5="H43",10100,IF(D5="H40",10100,IF(D5="H42",10100,IF(D5="H44",10100,IF(D5="H45",10100,IF(D5="ASX HL",10100,IF(D5="ASX P",10100,IF(D5="ASX HL 4WD",10100,IF(D5="H16",7900,IF(D5="H17",7900,IF(D5="P16",7900,IF(D5="Attrage S",7900,IF(D5="MIG09",7900,IF(D5="MIG10",7900,IF(D5="Xpander HL",9200))))))))))))))))))))))))))))))))))))))))))))))))))))))</f>
        <v>10400</v>
      </c>
      <c r="X11" s="147">
        <f>IF(D5="XC",4500,IF(D5="XPML",4500,IF(D5="XPHL",4500,IF(D5="XPMLP",4500,IF(D5="XPMLP-01",4500,IF(D5="Xpander P",4500,IF(D5="ML",5000,IF(D5="HL",5000,IF(D5="PR",5000,IF(D5="MLP",5000,IF(D5="HLP",5000,IF(D5="PRP",5000,IF(D5="H57",8700,IF(D5="P57",8700,IF(D5="MOG64",4300,IF(D5="H59",4300,IF(D5="P59",4300,IF(D5="H61",4300,IF(D5="P61",4300,IF(D5="G03",5000,IF(D5="P03",5000,IF(D5="G10",5000,IF(D5="P10",5000,IF(D5="G12",5000,IF(D5="P12",5000,IF(D5="G05",5000,IF(D5="P05",5000,IF(D5="G06",5000,IF(D5="P06",5000,IF(D5="OTP06-01",5000,IF(D5="G08",5000,IF(D5="P08",5000,IF(D5="G09",5000,IF(D5="P09",5000,IF(D5="H38",4900,IF(D5="H37",4900,IF(D5="EH40",4900,IF(D5="EH43",4900,IF(D5="H48",4900,IF(D5="H43",4900,IF(D5="H40",4900,IF(D5="H42",4900,IF(D5="H44",4900,IF(D5="H45",4900,IF(D5="ASX HL",4900,IF(D5="ASX P",4900,IF(D5="ASX HL 4WD",4900,IF(D5="H16",3700,IF(D5="H17",3700,IF(D5="P16",3700,IF(D5="Attrage S",3700,IF(D5="MIG09",3700,IF(D5="MIG10",3700,IF(D5="Xpander HL",4500))))))))))))))))))))))))))))))))))))))))))))))))))))))</f>
        <v>5000</v>
      </c>
      <c r="Y11" s="147">
        <f>IF(D5="XC",5400,IF(D5="XPML ",5400,IF(D5="XPHL",5400,IF(D5="XPMLP",5400,IF(D5="XPMLP-01",5400,IF(D5="Xpander P",5400,IF(D5="ML",6000,IF(D5="HL",6000,IF(D5="PR",6000,IF(D5="MLP",6000,IF(D5="HLP",6000,IF(D5="PRP",6000,IF(D5="H57",5200,IF(D5="57",5200,IF(D5="H64",5200,IF(D5="H59",5200,IF(D5="P59",5200,IF(D5="H61",5200,IF(D5="P61",5200,IF(D5="G03",6000,IF(D5="P03",6000,IF(D5="G10",6000,IF(D5="P10",6000,IF(D5="G12",6000,IF(D5="P12",6000,IF(D5="G05",6000,IF(D5="P05",6000,IF(D5="G06",6000,IF(D5="P06",6000,IF(D5="OTP06-01",6000,IF(D5="G08",6000,IF(D5="P08",6000,IF(D5="G09",6000,IF(D5="P09",6000,IF(D5="H38",5700,IF(D5="H37",5700,IF(D5="EH40",5700,IF(D5="EH43",5700,IF(D5="H48",5900,IF(D5="H43",5900,IF(D5="H40",5900,IF(D5="H42",5900,IF(D5="H44",5900,IF(D5="H45",5900,IF(D5="ASX HL",5900,IF(D5="ASX P",5900,IF(D5="ASX HL 4WD",5900,IF(D5="H16",4500,IF(D5="H17",4500,IF(D5="P16",4500,IF(D5="Attrage S",4500,IF(D5="MIG09",4500,IF(D5="MIG10",4500,IF(D5="Xpander HL",5400))))))))))))))))))))))))))))))))))))))))))))))))))))))</f>
        <v>6000</v>
      </c>
    </row>
    <row r="12" spans="1:27" ht="24.6" x14ac:dyDescent="0.4">
      <c r="A12" s="8"/>
      <c r="B12" s="37" t="s">
        <v>20</v>
      </c>
      <c r="C12" s="20" t="s">
        <v>17</v>
      </c>
      <c r="D12" s="36">
        <f>IF(C12="YES",2000,IF(C12="NO",0))</f>
        <v>0</v>
      </c>
      <c r="E12" s="43"/>
      <c r="F12" s="43" t="s">
        <v>21</v>
      </c>
      <c r="G12" s="40"/>
      <c r="H12" s="33">
        <v>600</v>
      </c>
      <c r="I12" s="33"/>
      <c r="J12" s="202" t="s">
        <v>140</v>
      </c>
      <c r="K12" s="45">
        <v>0</v>
      </c>
      <c r="L12" s="45">
        <v>5.2499999999999998E-2</v>
      </c>
      <c r="M12" s="45">
        <v>0.126</v>
      </c>
      <c r="N12" s="201">
        <v>0.26250000000000001</v>
      </c>
      <c r="O12" s="147">
        <f>IF(K20="Esaad",B8*3/100,IF(K20="Emirates Platinum",B8*3/100,IF(K20="Fazaa",B8*3/100,IF(K20="Humat Alwatan",B8*3/100,IF(K20="Permissible",2000,IF(K20="ASX",8400,IF(K20="XPMLP",15100,IF(K20="XP",7200,IF(K20="G43",11000,IF(K20="EC",17000,IF(K20="G37",17000,IF(K20="G38",15000,IF(K20="G40",11000,IF(K20="OUT",3000,IF(K20="F08",14400,IF(K20="P08",11100,IF(K20="F06",13100,IF(K20="P06",13400,IF(K20="F03",3500,IF(K20="F03-1",13500,IF(K20="P03",13100,IF(K20="MON",10000,IF(K20="MON G57",9000,0)))))))))))))))))))))))</f>
        <v>2000</v>
      </c>
      <c r="Z12" s="86" t="s">
        <v>83</v>
      </c>
      <c r="AA12" s="86" t="s">
        <v>84</v>
      </c>
    </row>
    <row r="13" spans="1:27" ht="24.6" x14ac:dyDescent="0.4">
      <c r="A13" s="8">
        <f>B8*1.26582</f>
        <v>127721.238</v>
      </c>
      <c r="B13" s="37" t="s">
        <v>23</v>
      </c>
      <c r="C13" s="20" t="s">
        <v>19</v>
      </c>
      <c r="D13" s="36">
        <f>IF(C13="YES",2000,IF(C13="NO",0))</f>
        <v>2000</v>
      </c>
      <c r="E13" s="47"/>
      <c r="F13" s="47" t="s">
        <v>75</v>
      </c>
      <c r="G13" s="51"/>
      <c r="H13" s="39">
        <v>315</v>
      </c>
      <c r="I13" s="33"/>
      <c r="J13" s="44" t="s">
        <v>54</v>
      </c>
      <c r="K13" s="29" t="s">
        <v>79</v>
      </c>
      <c r="L13" s="29" t="s">
        <v>25</v>
      </c>
      <c r="M13" s="29" t="s">
        <v>0</v>
      </c>
      <c r="N13" s="57" t="s">
        <v>26</v>
      </c>
      <c r="O13" s="9">
        <f>IF(M21="3000-4999",6%,IF(M21="5000-9999",4.75%,IF(M21="10000-14999",3.15%,IF(M21="15000-24999",2.5%,IF(M21="25000-34999",2.25%,IF(M21="35000-99999",2.15%))))))</f>
        <v>4.7500000000000001E-2</v>
      </c>
      <c r="Q13" s="2">
        <f>H7/12</f>
        <v>2101.0810187500001</v>
      </c>
      <c r="U13" s="9">
        <f>IF(M21="3000-4999",6%,IF(M21="5000-9999",3.25%,IF(M21="10000-14999",3%,IF(M21="15000-24999",2.25%,IF(M21="25000-34999",2.15%,IF(M21="35000-99999",1.99%))))))</f>
        <v>3.2500000000000001E-2</v>
      </c>
      <c r="Z13" s="99">
        <f>IF(M21="5000-9999",2.49%,IF(M21="10000-19999",2.19%,IF(M21="20000-34999",2.09%,IF(M21="35000-49999",1.89%,IF(M21="50000-99999",1.79%)))))</f>
        <v>2.4900000000000002E-2</v>
      </c>
      <c r="AA13" s="99">
        <f>IF(M21="5000-9999",2.59%,IF(M21="10000-19999",2.29%,IF(M21="20000-34999",2.19%,IF(M21="35000-49999",1.99%,IF(M21="50000-99999",1.89%)))))</f>
        <v>2.5899999999999999E-2</v>
      </c>
    </row>
    <row r="14" spans="1:27" ht="24.6" x14ac:dyDescent="0.4">
      <c r="A14" s="10" t="s">
        <v>27</v>
      </c>
      <c r="B14" s="37" t="s">
        <v>24</v>
      </c>
      <c r="C14" s="20" t="s">
        <v>19</v>
      </c>
      <c r="D14" s="50">
        <f>IF(C14="YES",U19*3.15*1.05/100,IF(C14="NO",U19*0/100))</f>
        <v>3900.0386249999997</v>
      </c>
      <c r="E14" s="48"/>
      <c r="F14" s="48" t="s">
        <v>24</v>
      </c>
      <c r="G14" s="51" t="s">
        <v>17</v>
      </c>
      <c r="H14" s="39">
        <f>IF(G14="YES",U19*3.15*1.05/100,IF(G14="NO",U19*0/100))</f>
        <v>0</v>
      </c>
      <c r="I14" s="33"/>
      <c r="J14" s="44" t="s">
        <v>55</v>
      </c>
      <c r="K14" s="44">
        <f>(H8*K12+H8)/3</f>
        <v>8404.3240750000004</v>
      </c>
      <c r="L14" s="44">
        <f>(H8*L12+H8)/12</f>
        <v>2211.387772234375</v>
      </c>
      <c r="M14" s="44">
        <f>(H8*M12+H8)/24</f>
        <v>1182.90861355625</v>
      </c>
      <c r="N14" s="200">
        <f>(H7*N12+H7)/60</f>
        <v>530.52295723437499</v>
      </c>
      <c r="O14" s="9">
        <f>IF(M21="3000-4999",3.89%,IF(M21="5000-9999",3.89%,IF(M21="10000-14999",3.89%,IF(M21="15000-24999",2.69%,IF(M21="25000-34999",2.69%,IF(M21="35000-99999",2.39%,IF(M21="76000-99999",2.5%)))))))</f>
        <v>3.8900000000000004E-2</v>
      </c>
    </row>
    <row r="15" spans="1:27" ht="24.6" x14ac:dyDescent="0.4">
      <c r="A15" s="11">
        <f>(B7*3%)+10+120</f>
        <v>3157</v>
      </c>
      <c r="B15" s="37" t="s">
        <v>28</v>
      </c>
      <c r="C15" s="20" t="s">
        <v>19</v>
      </c>
      <c r="D15" s="29">
        <f>IF(C15="YES",O10,IF(C15="NO",0))</f>
        <v>4249.8225000000002</v>
      </c>
      <c r="E15" s="48"/>
      <c r="F15" s="48" t="s">
        <v>53</v>
      </c>
      <c r="G15" s="51" t="s">
        <v>17</v>
      </c>
      <c r="H15" s="39">
        <f>IF(G15="YES",O10,IF(G15="NO",0))</f>
        <v>0</v>
      </c>
      <c r="I15" s="33"/>
      <c r="J15" s="44"/>
      <c r="K15" s="44"/>
      <c r="L15" s="44"/>
      <c r="M15" s="44"/>
      <c r="N15" s="198"/>
      <c r="O15" s="9" t="b">
        <f>IF(M21="3000-4999",4.99%, IF(M21="5000-11999",2.75%,IF(M21="12000-19999",2.75%,IF(M21="20000-39999",2.25%,IF(M21="40000-69999",2.25%,IF(M21="70000-99999",2.25%))))))</f>
        <v>0</v>
      </c>
      <c r="P15" s="191"/>
    </row>
    <row r="16" spans="1:27" ht="24.6" x14ac:dyDescent="0.4">
      <c r="A16" s="11">
        <f>((B7-B8)*3%+10+120)</f>
        <v>130</v>
      </c>
      <c r="B16" s="37" t="s">
        <v>78</v>
      </c>
      <c r="C16" s="20" t="s">
        <v>19</v>
      </c>
      <c r="D16" s="29">
        <f>IF(C16="YES",O16,IF(C16="NO",0))</f>
        <v>6700</v>
      </c>
      <c r="E16" s="47"/>
      <c r="F16" s="47" t="s">
        <v>74</v>
      </c>
      <c r="G16" s="54"/>
      <c r="H16" s="33">
        <f>I7*1.05%</f>
        <v>1058.94483345</v>
      </c>
      <c r="I16" s="33"/>
      <c r="J16" s="44" t="s">
        <v>16</v>
      </c>
      <c r="K16" s="44">
        <f>(K14*3)-H8</f>
        <v>0</v>
      </c>
      <c r="L16" s="44">
        <f>(L14*12)-H8</f>
        <v>1323.6810418124987</v>
      </c>
      <c r="M16" s="44">
        <f>(M14*24)-H8</f>
        <v>3176.8345003499962</v>
      </c>
      <c r="N16" s="198"/>
      <c r="O16" s="147">
        <f>IF(B16="RMC-10-70KMS",O11,IF(B16="RMC-10-100000KMS",V11,IF(B16="RMC-40-70KMS",U11, IF(B16="RMC-10-40KMS",X11, IF(B16="RMC-10-60KMS",Y11, IF(B16="RMC-40-100000KMS",W11,0))))))</f>
        <v>6700</v>
      </c>
    </row>
    <row r="17" spans="1:23" ht="24.6" x14ac:dyDescent="0.4">
      <c r="A17" s="11">
        <f>A15+A16</f>
        <v>3287</v>
      </c>
      <c r="B17" s="37"/>
      <c r="C17" s="20"/>
      <c r="D17" s="29">
        <f>SUM(D10:D16)</f>
        <v>19549.861124999999</v>
      </c>
      <c r="E17" s="48"/>
      <c r="F17" s="48"/>
      <c r="G17" s="54"/>
      <c r="H17" s="33">
        <f>+SUM(H12:H16)+(H7)</f>
        <v>27186.917058450003</v>
      </c>
      <c r="I17" s="33"/>
      <c r="J17" s="20"/>
      <c r="K17" s="199"/>
      <c r="L17" s="199"/>
      <c r="M17" s="199"/>
      <c r="N17" s="198"/>
      <c r="O17" s="147">
        <f>IF(B11="FO Ceramic+ Intr&amp;Extr CeramicGold WdwTnt",2700,IF(B11="FO Mirror Camera Sensor",2000))</f>
        <v>2700</v>
      </c>
      <c r="T17" s="1">
        <f>19615-791</f>
        <v>18824</v>
      </c>
    </row>
    <row r="18" spans="1:23" ht="24.6" x14ac:dyDescent="0.4">
      <c r="A18" s="12" t="s">
        <v>29</v>
      </c>
      <c r="B18" s="55" t="s">
        <v>30</v>
      </c>
      <c r="C18" s="197"/>
      <c r="D18" s="57">
        <v>0</v>
      </c>
      <c r="E18" s="38"/>
      <c r="F18" s="20"/>
      <c r="G18" s="20"/>
      <c r="H18" s="37"/>
      <c r="I18" s="37"/>
      <c r="J18" s="37"/>
      <c r="K18" s="37"/>
      <c r="L18" s="37"/>
      <c r="M18" s="37"/>
      <c r="N18" s="37"/>
      <c r="O18" s="9" t="b">
        <f>IF(M21="5000-99999",1.99%)</f>
        <v>0</v>
      </c>
      <c r="U18" s="196" t="s">
        <v>52</v>
      </c>
      <c r="V18" s="196" t="s">
        <v>52</v>
      </c>
    </row>
    <row r="19" spans="1:23" ht="24.6" x14ac:dyDescent="0.4">
      <c r="A19" s="11">
        <f>B8*3.15%</f>
        <v>3178.35</v>
      </c>
      <c r="B19" s="58" t="s">
        <v>31</v>
      </c>
      <c r="C19" s="59"/>
      <c r="D19" s="60">
        <f>IF(K21="DIB EXPAT",O13,IF(K21="DIB LOCAL GVH",U13,IF(K21="Emirates NBD",O14,IF(K21="ADCB",O15,IF(K21="ADCB PAY IN 2027",O19,IF(K21="Ajman Bank",O18,IF(K21="SIB STL",Z13,IF(K21="SIB NON STL",AA13,))))))))</f>
        <v>3.8900000000000004E-2</v>
      </c>
      <c r="E19" s="20"/>
      <c r="F19" s="195"/>
      <c r="G19" s="141" t="s">
        <v>73</v>
      </c>
      <c r="H19" s="142"/>
      <c r="I19" s="143"/>
      <c r="J19" s="109">
        <f>(U19*20/100)/365</f>
        <v>64.610958904109594</v>
      </c>
      <c r="K19" s="37"/>
      <c r="L19" s="37"/>
      <c r="M19" s="37"/>
      <c r="N19" s="34">
        <f>D7</f>
        <v>105945</v>
      </c>
      <c r="O19" s="194" t="b">
        <f>IF(M21="5000-11999",3.35%,IF(M21="12000-19999",3.35%,IF(M21="20000-39999",2.85%,IF(M21="40000-69999",2.85%,IF(M21="70000-99999",2.85%)))))</f>
        <v>0</v>
      </c>
      <c r="P19" s="2">
        <f>81400-2500</f>
        <v>78900</v>
      </c>
      <c r="U19" s="193">
        <f>V19</f>
        <v>117915</v>
      </c>
      <c r="V19" s="192">
        <f>(B7+D10+D11+D12+D13+D16)*1.05</f>
        <v>117915</v>
      </c>
    </row>
    <row r="20" spans="1:23" ht="24.6" x14ac:dyDescent="0.4">
      <c r="A20" s="11"/>
      <c r="B20" s="58" t="s">
        <v>32</v>
      </c>
      <c r="C20" s="59"/>
      <c r="D20" s="63">
        <v>0.2</v>
      </c>
      <c r="E20" s="37"/>
      <c r="F20" s="37"/>
      <c r="G20" s="38"/>
      <c r="H20" s="38"/>
      <c r="I20" s="38"/>
      <c r="J20" s="103"/>
      <c r="K20" s="104" t="s">
        <v>33</v>
      </c>
      <c r="L20" s="104" t="s">
        <v>17</v>
      </c>
      <c r="M20" s="104">
        <f>IF(L20="YES",O12,IF(L20="NO",0))</f>
        <v>0</v>
      </c>
      <c r="N20" s="34">
        <f>B8-M20</f>
        <v>100900</v>
      </c>
      <c r="O20" s="187"/>
      <c r="P20" s="191"/>
      <c r="T20" s="1">
        <f>1992+1084</f>
        <v>3076</v>
      </c>
      <c r="U20" s="186"/>
      <c r="V20" s="2"/>
    </row>
    <row r="21" spans="1:23" ht="24.6" x14ac:dyDescent="0.4">
      <c r="A21" s="13">
        <f>A19+A20</f>
        <v>3178.35</v>
      </c>
      <c r="B21" s="37"/>
      <c r="C21" s="20"/>
      <c r="D21" s="37"/>
      <c r="E21" s="37"/>
      <c r="F21" s="37"/>
      <c r="G21" s="37"/>
      <c r="H21" s="37"/>
      <c r="I21" s="37"/>
      <c r="J21" s="190" t="s">
        <v>34</v>
      </c>
      <c r="K21" s="16" t="s">
        <v>139</v>
      </c>
      <c r="L21" s="16" t="s">
        <v>35</v>
      </c>
      <c r="M21" s="189" t="s">
        <v>80</v>
      </c>
      <c r="N21" s="188"/>
      <c r="O21" s="187"/>
      <c r="T21" s="1">
        <f>25973-12973</f>
        <v>13000</v>
      </c>
      <c r="U21" s="186">
        <f>M14+N7</f>
        <v>3190.7016350737499</v>
      </c>
    </row>
    <row r="22" spans="1:23" s="179" customFormat="1" ht="24.6" x14ac:dyDescent="0.4">
      <c r="A22" s="185"/>
      <c r="B22" s="184" t="s">
        <v>51</v>
      </c>
      <c r="C22" s="183"/>
      <c r="D22" s="183"/>
      <c r="E22" s="183"/>
      <c r="F22" s="183"/>
      <c r="G22" s="183"/>
      <c r="H22" s="183"/>
      <c r="I22" s="183"/>
      <c r="J22" s="183"/>
      <c r="K22" s="183"/>
      <c r="L22" s="183"/>
      <c r="M22" s="183"/>
      <c r="N22" s="182"/>
      <c r="O22" s="181"/>
      <c r="P22" s="180"/>
    </row>
    <row r="23" spans="1:23" s="168" customFormat="1" ht="26.4" x14ac:dyDescent="0.5">
      <c r="A23" s="175" t="s">
        <v>36</v>
      </c>
      <c r="B23" s="172" t="s">
        <v>138</v>
      </c>
      <c r="C23" s="169"/>
      <c r="D23" s="169"/>
      <c r="E23" s="169"/>
      <c r="F23" s="169"/>
      <c r="G23" s="169"/>
      <c r="H23" s="176"/>
      <c r="I23" s="176"/>
      <c r="J23" s="169"/>
      <c r="K23" s="169"/>
      <c r="L23" s="169"/>
      <c r="M23" s="169"/>
      <c r="N23" s="178"/>
      <c r="O23" s="170"/>
      <c r="P23" s="169"/>
    </row>
    <row r="24" spans="1:23" s="168" customFormat="1" ht="26.4" x14ac:dyDescent="0.5">
      <c r="A24" s="175" t="s">
        <v>36</v>
      </c>
      <c r="B24" s="172" t="s">
        <v>137</v>
      </c>
      <c r="C24" s="169"/>
      <c r="D24" s="169"/>
      <c r="E24" s="169"/>
      <c r="F24" s="169"/>
      <c r="G24" s="169"/>
      <c r="H24" s="177">
        <f>H7/365</f>
        <v>69.076636232876723</v>
      </c>
      <c r="I24" s="177">
        <f>H7+H12+H16</f>
        <v>26871.917058450003</v>
      </c>
      <c r="J24" s="169"/>
      <c r="K24" s="169"/>
      <c r="L24" s="169"/>
      <c r="M24" s="169"/>
      <c r="N24" s="173"/>
      <c r="O24" s="170"/>
      <c r="P24" s="169">
        <f>1232+480</f>
        <v>1712</v>
      </c>
      <c r="T24" s="168">
        <f>88704/1.05</f>
        <v>84480</v>
      </c>
    </row>
    <row r="25" spans="1:23" s="168" customFormat="1" ht="26.4" x14ac:dyDescent="0.5">
      <c r="A25" s="175" t="s">
        <v>36</v>
      </c>
      <c r="B25" s="172" t="s">
        <v>136</v>
      </c>
      <c r="C25" s="169"/>
      <c r="D25" s="169"/>
      <c r="E25" s="169"/>
      <c r="F25" s="169"/>
      <c r="G25" s="169"/>
      <c r="H25" s="176"/>
      <c r="I25" s="176"/>
      <c r="J25" s="169"/>
      <c r="K25" s="169"/>
      <c r="L25" s="169"/>
      <c r="M25" s="169"/>
      <c r="N25" s="173"/>
      <c r="O25" s="170"/>
      <c r="P25" s="169"/>
      <c r="Q25" s="168">
        <f>79400-5233.33</f>
        <v>74166.67</v>
      </c>
      <c r="R25" s="168">
        <f>Q25*1.05</f>
        <v>77875.003500000006</v>
      </c>
      <c r="W25" s="168">
        <f>1999+1224</f>
        <v>3223</v>
      </c>
    </row>
    <row r="26" spans="1:23" s="168" customFormat="1" ht="26.4" x14ac:dyDescent="0.5">
      <c r="A26" s="175" t="s">
        <v>36</v>
      </c>
      <c r="B26" s="172" t="s">
        <v>135</v>
      </c>
      <c r="C26" s="169"/>
      <c r="D26" s="169"/>
      <c r="E26" s="169"/>
      <c r="F26" s="169"/>
      <c r="G26" s="169"/>
      <c r="H26" s="169"/>
      <c r="I26" s="169"/>
      <c r="J26" s="169"/>
      <c r="K26" s="169"/>
      <c r="L26" s="169"/>
      <c r="M26" s="169"/>
      <c r="N26" s="173"/>
      <c r="O26" s="170" t="s">
        <v>37</v>
      </c>
      <c r="P26" s="169"/>
      <c r="R26" s="168">
        <f>R25+2469</f>
        <v>80344.003500000006</v>
      </c>
    </row>
    <row r="27" spans="1:23" s="168" customFormat="1" ht="26.4" x14ac:dyDescent="0.5">
      <c r="A27" s="175" t="s">
        <v>36</v>
      </c>
      <c r="B27" s="172" t="s">
        <v>134</v>
      </c>
      <c r="C27" s="169"/>
      <c r="D27" s="169"/>
      <c r="E27" s="169"/>
      <c r="F27" s="169"/>
      <c r="G27" s="169"/>
      <c r="H27" s="169"/>
      <c r="I27" s="169"/>
      <c r="J27" s="169"/>
      <c r="K27" s="169"/>
      <c r="L27" s="169"/>
      <c r="M27" s="169"/>
      <c r="N27" s="173"/>
      <c r="O27" s="170">
        <f>129500-110900</f>
        <v>18600</v>
      </c>
      <c r="P27" s="169"/>
      <c r="W27" s="174">
        <f>N7+L14</f>
        <v>4219.1807937518752</v>
      </c>
    </row>
    <row r="28" spans="1:23" s="168" customFormat="1" ht="26.4" x14ac:dyDescent="0.5">
      <c r="B28" s="172" t="s">
        <v>133</v>
      </c>
      <c r="C28" s="169"/>
      <c r="D28" s="169"/>
      <c r="E28" s="169"/>
      <c r="F28" s="169"/>
      <c r="G28" s="169"/>
      <c r="H28" s="169"/>
      <c r="I28" s="169"/>
      <c r="J28" s="169"/>
      <c r="K28" s="169"/>
      <c r="L28" s="169"/>
      <c r="M28" s="169"/>
      <c r="N28" s="173"/>
      <c r="O28" s="170">
        <f>85000-69900</f>
        <v>15100</v>
      </c>
      <c r="P28" s="169"/>
    </row>
    <row r="29" spans="1:23" s="168" customFormat="1" ht="26.4" x14ac:dyDescent="0.5">
      <c r="B29" s="172" t="s">
        <v>132</v>
      </c>
      <c r="C29" s="169"/>
      <c r="D29" s="169"/>
      <c r="E29" s="169"/>
      <c r="F29" s="169"/>
      <c r="G29" s="169"/>
      <c r="H29" s="169"/>
      <c r="I29" s="169"/>
      <c r="J29" s="169"/>
      <c r="K29" s="169"/>
      <c r="L29" s="169"/>
      <c r="M29" s="169"/>
      <c r="N29" s="171"/>
      <c r="O29" s="170"/>
      <c r="P29" s="169"/>
    </row>
    <row r="30" spans="1:23" x14ac:dyDescent="0.3">
      <c r="B30" s="167" t="s">
        <v>38</v>
      </c>
      <c r="C30" s="166"/>
      <c r="D30" s="166"/>
      <c r="E30" s="166"/>
      <c r="F30" s="166"/>
      <c r="G30" s="166"/>
      <c r="H30" s="166"/>
      <c r="I30" s="166"/>
      <c r="J30" s="166"/>
      <c r="K30" s="166"/>
      <c r="L30" s="166"/>
      <c r="M30" s="166"/>
      <c r="N30" s="165"/>
      <c r="O30" s="147"/>
    </row>
    <row r="31" spans="1:23" x14ac:dyDescent="0.3">
      <c r="B31" s="146"/>
      <c r="C31" s="145"/>
      <c r="D31" s="145"/>
      <c r="E31" s="145"/>
      <c r="F31" s="145"/>
      <c r="G31" s="145"/>
      <c r="H31" s="145"/>
      <c r="I31" s="145"/>
      <c r="J31" s="145"/>
      <c r="K31" s="145"/>
      <c r="L31" s="145"/>
      <c r="M31" s="145"/>
      <c r="N31" s="144"/>
      <c r="O31" s="147"/>
    </row>
    <row r="32" spans="1:23" s="86" customFormat="1" ht="20.399999999999999" x14ac:dyDescent="0.35">
      <c r="B32" s="118" t="s">
        <v>39</v>
      </c>
      <c r="C32" s="119"/>
      <c r="D32" s="119"/>
      <c r="E32" s="119"/>
      <c r="F32" s="119"/>
      <c r="G32" s="119"/>
      <c r="H32" s="119"/>
      <c r="I32" s="119"/>
      <c r="J32" s="119"/>
      <c r="K32" s="119"/>
      <c r="L32" s="119"/>
      <c r="M32" s="119"/>
      <c r="N32" s="120"/>
      <c r="O32" s="92"/>
      <c r="P32" s="83"/>
    </row>
    <row r="33" spans="2:16" s="86" customFormat="1" ht="20.399999999999999" x14ac:dyDescent="0.35">
      <c r="B33" s="118" t="s">
        <v>40</v>
      </c>
      <c r="C33" s="119"/>
      <c r="D33" s="119"/>
      <c r="E33" s="119"/>
      <c r="F33" s="119"/>
      <c r="G33" s="119"/>
      <c r="H33" s="119"/>
      <c r="I33" s="119"/>
      <c r="J33" s="119"/>
      <c r="K33" s="119"/>
      <c r="L33" s="119"/>
      <c r="M33" s="119"/>
      <c r="N33" s="120"/>
      <c r="O33" s="92"/>
      <c r="P33" s="83"/>
    </row>
    <row r="34" spans="2:16" s="86" customFormat="1" ht="20.399999999999999" x14ac:dyDescent="0.35">
      <c r="B34" s="107" t="s">
        <v>131</v>
      </c>
      <c r="C34" s="108"/>
      <c r="D34" s="108"/>
      <c r="E34" s="108"/>
      <c r="F34" s="108"/>
      <c r="G34" s="164" t="s">
        <v>130</v>
      </c>
      <c r="H34" s="164"/>
      <c r="I34" s="163"/>
      <c r="J34" s="163"/>
      <c r="K34" s="163"/>
      <c r="L34" s="163"/>
      <c r="M34" s="162" t="s">
        <v>129</v>
      </c>
      <c r="N34" s="161"/>
      <c r="O34" s="83"/>
      <c r="P34" s="83"/>
    </row>
    <row r="35" spans="2:16" x14ac:dyDescent="0.3">
      <c r="B35" s="160"/>
      <c r="C35" s="159"/>
      <c r="D35" s="159"/>
      <c r="E35" s="159"/>
      <c r="F35" s="159"/>
      <c r="G35" s="159"/>
      <c r="H35" s="159"/>
      <c r="I35" s="159"/>
      <c r="J35" s="159"/>
      <c r="K35" s="159"/>
      <c r="L35" s="159"/>
      <c r="M35" s="159"/>
      <c r="N35" s="158"/>
    </row>
    <row r="36" spans="2:16" x14ac:dyDescent="0.3">
      <c r="B36" s="160"/>
      <c r="C36" s="159"/>
      <c r="D36" s="159"/>
      <c r="E36" s="159"/>
      <c r="F36" s="159"/>
      <c r="G36" s="159"/>
      <c r="H36" s="159"/>
      <c r="I36" s="159"/>
      <c r="J36" s="159"/>
      <c r="K36" s="159"/>
      <c r="L36" s="159"/>
      <c r="M36" s="159"/>
      <c r="N36" s="158"/>
    </row>
    <row r="37" spans="2:16" x14ac:dyDescent="0.3">
      <c r="B37" s="160"/>
      <c r="C37" s="159"/>
      <c r="D37" s="159"/>
      <c r="E37" s="159"/>
      <c r="F37" s="159"/>
      <c r="G37" s="159"/>
      <c r="H37" s="159"/>
      <c r="I37" s="159"/>
      <c r="J37" s="159"/>
      <c r="K37" s="159"/>
      <c r="L37" s="159"/>
      <c r="M37" s="159"/>
      <c r="N37" s="158"/>
    </row>
    <row r="38" spans="2:16" ht="16.8" x14ac:dyDescent="0.3">
      <c r="B38" s="149" t="s">
        <v>128</v>
      </c>
      <c r="C38" s="157"/>
      <c r="D38" s="154"/>
      <c r="E38" s="151"/>
      <c r="F38" s="151"/>
      <c r="G38" s="151"/>
      <c r="H38" s="151"/>
      <c r="I38" s="151"/>
      <c r="J38" s="152"/>
      <c r="K38" s="151"/>
      <c r="L38" s="151"/>
      <c r="M38" s="151"/>
      <c r="N38" s="156"/>
    </row>
    <row r="39" spans="2:16" ht="16.8" x14ac:dyDescent="0.3">
      <c r="B39" s="149" t="s">
        <v>127</v>
      </c>
      <c r="C39" s="155"/>
      <c r="D39" s="154"/>
      <c r="E39" s="151"/>
      <c r="F39" s="151"/>
      <c r="G39" s="151"/>
      <c r="H39" s="151"/>
      <c r="I39" s="151"/>
      <c r="J39" s="152"/>
      <c r="K39" s="151"/>
      <c r="L39" s="151"/>
      <c r="M39" s="151"/>
      <c r="N39" s="150"/>
    </row>
    <row r="40" spans="2:16" ht="16.8" x14ac:dyDescent="0.3">
      <c r="B40" s="149" t="s">
        <v>126</v>
      </c>
      <c r="C40" s="153"/>
      <c r="D40" s="151"/>
      <c r="E40" s="151"/>
      <c r="F40" s="151"/>
      <c r="G40" s="151"/>
      <c r="H40" s="151"/>
      <c r="I40" s="151"/>
      <c r="J40" s="152"/>
      <c r="K40" s="151"/>
      <c r="L40" s="151"/>
      <c r="M40" s="151"/>
      <c r="N40" s="150"/>
    </row>
    <row r="41" spans="2:16" ht="16.8" x14ac:dyDescent="0.3">
      <c r="B41" s="149" t="s">
        <v>125</v>
      </c>
      <c r="N41" s="148"/>
    </row>
    <row r="42" spans="2:16" ht="16.8" x14ac:dyDescent="0.3">
      <c r="B42" s="149" t="s">
        <v>124</v>
      </c>
      <c r="N42" s="148"/>
    </row>
    <row r="43" spans="2:16" ht="16.8" x14ac:dyDescent="0.3">
      <c r="B43" s="149" t="s">
        <v>123</v>
      </c>
      <c r="N43" s="148"/>
    </row>
    <row r="44" spans="2:16" ht="16.8" x14ac:dyDescent="0.3">
      <c r="B44" s="149" t="s">
        <v>122</v>
      </c>
      <c r="N44" s="148"/>
    </row>
    <row r="45" spans="2:16" ht="16.8" x14ac:dyDescent="0.3">
      <c r="B45" s="149" t="s">
        <v>121</v>
      </c>
      <c r="N45" s="148"/>
    </row>
    <row r="46" spans="2:16" ht="16.8" x14ac:dyDescent="0.3">
      <c r="B46" s="149" t="s">
        <v>120</v>
      </c>
      <c r="N46" s="148"/>
    </row>
    <row r="47" spans="2:16" x14ac:dyDescent="0.3">
      <c r="B47" s="146" t="s">
        <v>39</v>
      </c>
      <c r="C47" s="145"/>
      <c r="D47" s="145"/>
      <c r="E47" s="145"/>
      <c r="F47" s="145"/>
      <c r="G47" s="145"/>
      <c r="H47" s="145"/>
      <c r="I47" s="145"/>
      <c r="J47" s="145"/>
      <c r="K47" s="145"/>
      <c r="L47" s="145"/>
      <c r="M47" s="145"/>
      <c r="N47" s="144"/>
      <c r="O47" s="147"/>
    </row>
    <row r="48" spans="2:16" x14ac:dyDescent="0.3">
      <c r="B48" s="146" t="s">
        <v>40</v>
      </c>
      <c r="C48" s="145"/>
      <c r="D48" s="145"/>
      <c r="E48" s="145"/>
      <c r="F48" s="145"/>
      <c r="G48" s="145"/>
      <c r="H48" s="145"/>
      <c r="I48" s="145"/>
      <c r="J48" s="145"/>
      <c r="K48" s="145"/>
      <c r="L48" s="145"/>
      <c r="M48" s="145"/>
      <c r="N48" s="144"/>
      <c r="O48" s="147"/>
    </row>
    <row r="49" spans="2:14" x14ac:dyDescent="0.3">
      <c r="B49" s="146" t="s">
        <v>119</v>
      </c>
      <c r="C49" s="145"/>
      <c r="D49" s="145"/>
      <c r="E49" s="145"/>
      <c r="F49" s="145"/>
      <c r="G49" s="145"/>
      <c r="H49" s="145"/>
      <c r="I49" s="145"/>
      <c r="J49" s="145"/>
      <c r="K49" s="145"/>
      <c r="L49" s="145"/>
      <c r="M49" s="145"/>
      <c r="N49" s="144"/>
    </row>
    <row r="50" spans="2:14" ht="25.8" x14ac:dyDescent="0.3">
      <c r="C50" s="15" t="s">
        <v>41</v>
      </c>
    </row>
    <row r="51" spans="2:14" ht="25.8" x14ac:dyDescent="0.3">
      <c r="C51" s="15" t="s">
        <v>42</v>
      </c>
    </row>
    <row r="52" spans="2:14" ht="25.8" x14ac:dyDescent="0.3">
      <c r="C52" s="15" t="s">
        <v>43</v>
      </c>
    </row>
    <row r="53" spans="2:14" ht="25.8" x14ac:dyDescent="0.3">
      <c r="C53" s="15" t="s">
        <v>44</v>
      </c>
    </row>
    <row r="54" spans="2:14" ht="25.8" x14ac:dyDescent="0.3">
      <c r="C54" s="15" t="s">
        <v>45</v>
      </c>
    </row>
  </sheetData>
  <dataConsolidate/>
  <mergeCells count="11">
    <mergeCell ref="F8:G8"/>
    <mergeCell ref="F9:G9"/>
    <mergeCell ref="G19:I19"/>
    <mergeCell ref="B22:N22"/>
    <mergeCell ref="B30:N30"/>
    <mergeCell ref="B32:N32"/>
    <mergeCell ref="B33:N33"/>
    <mergeCell ref="B47:N47"/>
    <mergeCell ref="B48:N48"/>
    <mergeCell ref="B49:N49"/>
    <mergeCell ref="B31:N31"/>
  </mergeCells>
  <dataValidations count="11">
    <dataValidation type="list" allowBlank="1" showInputMessage="1" showErrorMessage="1" sqref="H34" xr:uid="{1C1A2BAE-9C82-440D-A656-585E556C6DEC}">
      <formula1>"ALAA HAMMAD,KHALED QASSEM,RAMY RAOUF,SIMON LOBO,MHAREN CLEMENTE GARADO"</formula1>
    </dataValidation>
    <dataValidation type="list" allowBlank="1" showInputMessage="1" showErrorMessage="1" sqref="M34" xr:uid="{839AE61A-3977-491C-A75B-01383A542E3F}">
      <formula1>"Alaa Hammad,Bachir Ibrahim Mourad,Khaled Qassem,Ramy Raoof,Simon Lobo,Mharen Clemente Garado,Ranjith"</formula1>
    </dataValidation>
    <dataValidation type="list" allowBlank="1" showInputMessage="1" showErrorMessage="1" sqref="B11" xr:uid="{3D2C659D-82E8-49A7-BF96-5AF87F92780A}">
      <formula1>"FO Ceramic+ Intr&amp;Extr CeramicGold WdwTnt,FO Mirror Camera Sensor"</formula1>
    </dataValidation>
    <dataValidation type="list" allowBlank="1" showInputMessage="1" showErrorMessage="1" sqref="B12" xr:uid="{60823E69-B9DD-4D39-BC9A-76AC4A3A98A6}">
      <formula1>"FO Exterior ceramic All Cars SCOTCHGUARD,FO Mirror Camera Sensor,FO PPF Gold Package "</formula1>
    </dataValidation>
    <dataValidation type="list" allowBlank="1" showInputMessage="1" showErrorMessage="1" sqref="K20" xr:uid="{56ADA7EF-6942-4053-B022-F13D728D665F}">
      <formula1>"Esaad,Emirates Platinum,Fazaa,Humat Alwatan,Permissible,ASX,XPMLP,XP,MON,MON G57,OUT,F08,P08,F06,P06,F03,F03-1,P03,EC,G37,G38,G40,G43"</formula1>
    </dataValidation>
    <dataValidation type="list" allowBlank="1" showInputMessage="1" showErrorMessage="1" sqref="B16" xr:uid="{BA954CEC-EF2D-445F-8B43-C453AAB1755B}">
      <formula1>"RMC-10-40KMS,RMC-10-60KMS,RMC-10-70KMS,RMC-10-100000KMS,RMC-40-70KMS,RMC-40-100000KMS"</formula1>
    </dataValidation>
    <dataValidation type="list" allowBlank="1" showInputMessage="1" showErrorMessage="1" sqref="K24" xr:uid="{22CFB64F-F1FE-41C1-AC5A-9703B14EF41B}">
      <formula1>"RMC-10-70K,RMC-10-100000K,RMC-40-70K"</formula1>
    </dataValidation>
    <dataValidation type="list" allowBlank="1" showInputMessage="1" showErrorMessage="1" sqref="D5" xr:uid="{2E0E6C21-A969-4254-B902-2B170D4101A2}">
      <formula1>"MIG09,MIG10,H16,P16,H17,H48,H43,H40,H42,H44,H45,H38,H37,EH40,EH43,ML,HL,PR, MLP,HLP,PRP,XPML,XPHL,XPMLP, XPMLP-01,XC, G10,P10, G03, P03, G06,P06,G12,P12,G05,P05,G08,P08,G09,P09,H57,P57,H64,H59,P59,H61,P61"</formula1>
    </dataValidation>
    <dataValidation type="list" allowBlank="1" showInputMessage="1" showErrorMessage="1" sqref="M21" xr:uid="{BD3D082E-B98A-4AC9-BC37-A128F7B48800}">
      <formula1>"3000-4999,5000-9999,5000-99999,10000-14999,15000-24999,25000-34999,35000-99999,5000-11999,12000-19999,20000-39999,40000-69999,70000-99999"</formula1>
    </dataValidation>
    <dataValidation type="list" allowBlank="1" showInputMessage="1" showErrorMessage="1" sqref="C10:C16 L20 L24:L25 G14:G15 J10" xr:uid="{615853FA-C41D-47A0-AF54-720069BC0300}">
      <formula1>"YES,NO"</formula1>
    </dataValidation>
    <dataValidation type="list" allowBlank="1" showInputMessage="1" showErrorMessage="1" sqref="K21" xr:uid="{EC777793-73B5-4618-87B7-A62A5B66D054}">
      <formula1>"ADCB,ADCB PAY IN 2027,Ajman Bank,ADIB,DIB EXPAT,DIB LOCAL GVH,Emirates NBD,EIB,FAB,RAK,SIB STL,SIB NON STL"</formula1>
    </dataValidation>
  </dataValidations>
  <pageMargins left="0.23622047244094491" right="0.23622047244094491" top="0.74803149606299213" bottom="0.74803149606299213" header="0.31496062992125984" footer="0.31496062992125984"/>
  <pageSetup paperSize="9" scale="40" orientation="landscape" horizontalDpi="4294967295" verticalDpi="4294967295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2B3C6A-F679-4212-A734-2229D30DD234}">
  <sheetPr>
    <pageSetUpPr fitToPage="1"/>
  </sheetPr>
  <dimension ref="A1:AA54"/>
  <sheetViews>
    <sheetView topLeftCell="B1" zoomScaleNormal="100" workbookViewId="0">
      <selection activeCell="D5" sqref="D5"/>
    </sheetView>
  </sheetViews>
  <sheetFormatPr defaultColWidth="9.109375" defaultRowHeight="15.6" x14ac:dyDescent="0.3"/>
  <cols>
    <col min="1" max="1" width="16" style="1" hidden="1" customWidth="1"/>
    <col min="2" max="2" width="75.109375" style="2" customWidth="1"/>
    <col min="3" max="3" width="26.88671875" style="3" customWidth="1"/>
    <col min="4" max="4" width="23.88671875" style="2" customWidth="1"/>
    <col min="5" max="5" width="23.33203125" style="2" customWidth="1"/>
    <col min="6" max="6" width="19.88671875" style="2" customWidth="1"/>
    <col min="7" max="7" width="23.33203125" style="2" customWidth="1"/>
    <col min="8" max="8" width="24.44140625" style="2" customWidth="1"/>
    <col min="9" max="9" width="27.109375" style="2" customWidth="1"/>
    <col min="10" max="10" width="26.6640625" style="2" customWidth="1"/>
    <col min="11" max="11" width="25.44140625" style="2" customWidth="1"/>
    <col min="12" max="12" width="20.5546875" style="2" customWidth="1"/>
    <col min="13" max="13" width="20.109375" style="2" customWidth="1"/>
    <col min="14" max="14" width="19.5546875" style="2" customWidth="1"/>
    <col min="15" max="15" width="15.109375" style="2" bestFit="1" customWidth="1"/>
    <col min="16" max="16" width="12.6640625" style="2" hidden="1" customWidth="1"/>
    <col min="17" max="17" width="12.6640625" style="1" hidden="1" customWidth="1"/>
    <col min="18" max="18" width="15.6640625" style="1" hidden="1" customWidth="1"/>
    <col min="19" max="19" width="13" style="1" hidden="1" customWidth="1"/>
    <col min="20" max="20" width="17.109375" style="1" hidden="1" customWidth="1"/>
    <col min="21" max="21" width="14.5546875" style="1" bestFit="1" customWidth="1"/>
    <col min="22" max="22" width="19" style="1" customWidth="1"/>
    <col min="23" max="23" width="22.5546875" style="1" bestFit="1" customWidth="1"/>
    <col min="24" max="25" width="9.109375" style="1"/>
    <col min="26" max="26" width="14" style="1" bestFit="1" customWidth="1"/>
    <col min="27" max="27" width="22.33203125" style="1" bestFit="1" customWidth="1"/>
    <col min="28" max="16384" width="9.109375" style="1"/>
  </cols>
  <sheetData>
    <row r="1" spans="1:27" ht="15.75" customHeight="1" x14ac:dyDescent="0.3">
      <c r="B1" s="222" t="s">
        <v>148</v>
      </c>
      <c r="C1" s="221"/>
      <c r="D1" s="221"/>
      <c r="E1" s="221"/>
      <c r="F1" s="221"/>
      <c r="G1" s="221"/>
      <c r="H1" s="221"/>
      <c r="I1" s="221"/>
      <c r="J1" s="221"/>
      <c r="K1" s="221"/>
      <c r="L1" s="221"/>
      <c r="M1" s="221"/>
      <c r="N1" s="220"/>
    </row>
    <row r="2" spans="1:27" ht="15.75" customHeight="1" x14ac:dyDescent="0.3">
      <c r="B2" s="219" t="s">
        <v>147</v>
      </c>
      <c r="C2" s="218"/>
      <c r="D2" s="218"/>
      <c r="E2" s="218"/>
      <c r="F2" s="218"/>
      <c r="G2" s="218"/>
      <c r="H2" s="218"/>
      <c r="I2" s="218"/>
      <c r="J2" s="218"/>
      <c r="K2" s="218"/>
      <c r="L2" s="218"/>
      <c r="M2" s="218"/>
      <c r="N2" s="217"/>
      <c r="Q2" s="2"/>
      <c r="S2" s="186"/>
    </row>
    <row r="3" spans="1:27" ht="15.75" customHeight="1" x14ac:dyDescent="0.3">
      <c r="B3" s="219" t="s">
        <v>146</v>
      </c>
      <c r="C3" s="218"/>
      <c r="D3" s="218"/>
      <c r="E3" s="218"/>
      <c r="F3" s="218"/>
      <c r="G3" s="218"/>
      <c r="H3" s="218"/>
      <c r="I3" s="218"/>
      <c r="J3" s="218"/>
      <c r="K3" s="218"/>
      <c r="L3" s="218"/>
      <c r="M3" s="218"/>
      <c r="N3" s="217"/>
      <c r="O3" s="3"/>
      <c r="P3" s="3"/>
      <c r="Q3" s="153"/>
      <c r="R3" s="153"/>
      <c r="S3" s="216" t="e">
        <f>N7+J14</f>
        <v>#VALUE!</v>
      </c>
      <c r="T3" s="216"/>
      <c r="U3" s="153"/>
      <c r="V3" s="153"/>
      <c r="W3" s="153"/>
      <c r="AA3" s="1">
        <f>273000/5</f>
        <v>54600</v>
      </c>
    </row>
    <row r="4" spans="1:27" ht="15.75" customHeight="1" x14ac:dyDescent="0.3">
      <c r="B4" s="215"/>
      <c r="C4" s="214"/>
      <c r="D4" s="214"/>
      <c r="E4" s="214"/>
      <c r="F4" s="214"/>
      <c r="G4" s="214"/>
      <c r="H4" s="214"/>
      <c r="I4" s="214"/>
      <c r="J4" s="214"/>
      <c r="K4" s="214"/>
      <c r="L4" s="214"/>
      <c r="M4" s="214"/>
      <c r="N4" s="213"/>
      <c r="O4" s="212" t="s">
        <v>0</v>
      </c>
      <c r="P4" s="212"/>
      <c r="Q4" s="210"/>
      <c r="R4" s="210"/>
      <c r="S4" s="211"/>
      <c r="T4" s="211"/>
      <c r="U4" s="210" t="s">
        <v>1</v>
      </c>
      <c r="V4" s="210" t="s">
        <v>2</v>
      </c>
      <c r="W4" s="210" t="s">
        <v>3</v>
      </c>
    </row>
    <row r="5" spans="1:27" ht="25.2" thickBot="1" x14ac:dyDescent="0.45">
      <c r="B5" s="17"/>
      <c r="C5" s="18" t="str">
        <f>IF(D5="MIG09","Mirage G09",IF(D5="MIG10","MirageG10",IF(D5="H16","Attrage H16",IF(D5="P16","Attrage P16",IF(D5="H17","Attrage H17",IF(D5="H48","ASX H48",IF(D5="H43","ASX H43",IF(D5="H40","ASX H40",IF(D5="H42","ASX H42",IF(D5="H44","ASX H44",IF(D5="H45","ASX H45",IF(D5="H38","Eclipse H38",IF(D5="H37","Eclipse H37",IF(D5="EH40","Eclipse H40",IF(D5="EH43","Eclipse H43",IF(D5="XPML","Xpander ML",IF(D5="ML","Destinator ML",IF(D5="HL","Destinator HL",IF(D5="PR","Destinator PR",IF(D5="MLP","Destinator MLP",IF(D5="HLP","Destinator HLP",IF(D5="PRP","Destinator PRP",IF(D5="XPHL","Xpander HL",IF(D5="XPMLP","Xpander ML P",IF(D5="XPMLP-01","Xpander ML P-01",IF(D5="XC","Xpander Cross",IF(D5="G03","Outlander G03",IF(D5="P03","Outlander P03",IF(D5="G06","Outlander G06",IF(D5="P06","Outlander P06",IF(D5="OTP06-01","Outlander P06-01",IF(D5="G08","Outlander G08",IF(D5="P08","Outlander P08",IF(D5="H57","Montero H57",IF(D5="P57","Montero P57",IF(D5="H64","Montero G64",IF(D5="H59","Montero G59",IF(D5="P59","Montero G59 P",IF(D5="H61","Montero G61",IF(D5="P61","Montero P61",IF(D5="G10","Outlander G10",IF(D5="P10","Outlander P10",IF(D5="G12","Outlander G12",IF(D5="P12","Outlander P12",IF(D5="G05","Outlander G05",IF(D5="P05","Outlander P05",IF(D5="G09","Outlander G09",IF(D5="P09","Outlander P09",))))))))))))))))))))))))))))))))))))))))))))))))</f>
        <v>Outlander P06</v>
      </c>
      <c r="D5" s="19" t="s">
        <v>168</v>
      </c>
      <c r="E5" s="20" t="s">
        <v>145</v>
      </c>
      <c r="F5" s="37"/>
      <c r="G5" s="37"/>
      <c r="H5" s="37"/>
      <c r="I5" s="20"/>
      <c r="J5" s="34"/>
      <c r="K5" s="209">
        <v>0</v>
      </c>
      <c r="L5" s="208">
        <v>3.39E-2</v>
      </c>
      <c r="M5" s="208">
        <v>6.7799999999999999E-2</v>
      </c>
      <c r="N5" s="208">
        <v>0.1017</v>
      </c>
      <c r="O5" s="147">
        <f>K7+K14</f>
        <v>14538.923297167501</v>
      </c>
      <c r="S5" s="186"/>
      <c r="U5" s="186">
        <f>L7+L14</f>
        <v>6002.6162028393746</v>
      </c>
      <c r="V5" s="186">
        <f>M7+M14</f>
        <v>4059.1645945987502</v>
      </c>
      <c r="W5" s="186">
        <f>N7+N14</f>
        <v>2853.4136778393749</v>
      </c>
    </row>
    <row r="6" spans="1:27" s="5" customFormat="1" ht="99" thickBot="1" x14ac:dyDescent="0.35">
      <c r="A6" s="4" t="s">
        <v>4</v>
      </c>
      <c r="B6" s="26" t="s">
        <v>5</v>
      </c>
      <c r="C6" s="27" t="s">
        <v>6</v>
      </c>
      <c r="D6" s="27" t="s">
        <v>144</v>
      </c>
      <c r="E6" s="27" t="s">
        <v>7</v>
      </c>
      <c r="F6" s="27" t="s">
        <v>8</v>
      </c>
      <c r="G6" s="28" t="s">
        <v>9</v>
      </c>
      <c r="H6" s="28" t="s">
        <v>143</v>
      </c>
      <c r="I6" s="28" t="s">
        <v>10</v>
      </c>
      <c r="J6" s="28" t="s">
        <v>142</v>
      </c>
      <c r="K6" s="28" t="s">
        <v>11</v>
      </c>
      <c r="L6" s="28" t="s">
        <v>12</v>
      </c>
      <c r="M6" s="28" t="s">
        <v>13</v>
      </c>
      <c r="N6" s="28" t="s">
        <v>14</v>
      </c>
      <c r="O6" s="207"/>
      <c r="P6" s="206"/>
      <c r="T6" s="205"/>
      <c r="U6" s="205">
        <f>N7+L14</f>
        <v>4742.9351928393753</v>
      </c>
      <c r="V6" s="205">
        <f>N7+K14</f>
        <v>11704.6410246675</v>
      </c>
      <c r="W6" s="205" t="e">
        <f>N7+J14</f>
        <v>#VALUE!</v>
      </c>
    </row>
    <row r="7" spans="1:27" ht="25.2" thickBot="1" x14ac:dyDescent="0.45">
      <c r="A7" s="6">
        <f>B8</f>
        <v>114900</v>
      </c>
      <c r="B7" s="29">
        <f>IF(L20="YES",C8*1,IF(L20="NO",B8*1))</f>
        <v>114900</v>
      </c>
      <c r="C7" s="29">
        <f>B7*5/100</f>
        <v>5745</v>
      </c>
      <c r="D7" s="203">
        <f>B7+C7</f>
        <v>120645</v>
      </c>
      <c r="E7" s="29">
        <f>D17</f>
        <v>20499.113625000002</v>
      </c>
      <c r="F7" s="29">
        <f>(C7)+(D10+D11+D12+D13+D16)*5/100</f>
        <v>6315</v>
      </c>
      <c r="G7" s="30">
        <f>B7+E7+F7</f>
        <v>141714.113625</v>
      </c>
      <c r="H7" s="29">
        <f>G7*D20</f>
        <v>28342.822725000002</v>
      </c>
      <c r="I7" s="30">
        <f>(G7-H7)</f>
        <v>113371.29089999999</v>
      </c>
      <c r="J7" s="30">
        <f>(((I7*D19)*1)+I7)/12</f>
        <v>9815.1195096674983</v>
      </c>
      <c r="K7" s="30">
        <f>(((I7*D19)*2)+I7)/24</f>
        <v>5091.3157221675001</v>
      </c>
      <c r="L7" s="30">
        <f>(((I7*D19)*3)+I7)/36</f>
        <v>3516.7144596674998</v>
      </c>
      <c r="M7" s="30">
        <f>(((I7*D19)*4)+I7)/48</f>
        <v>2729.4138284175001</v>
      </c>
      <c r="N7" s="30">
        <f>((((I7*D19)*5)+I7)/60)</f>
        <v>2257.0334496675</v>
      </c>
      <c r="O7" s="147"/>
      <c r="P7" s="2">
        <f>H7+H16</f>
        <v>29533.221279450001</v>
      </c>
      <c r="T7" s="186">
        <f>25973/2</f>
        <v>12986.5</v>
      </c>
    </row>
    <row r="8" spans="1:27" ht="24.6" x14ac:dyDescent="0.4">
      <c r="A8" s="7">
        <v>0.2</v>
      </c>
      <c r="B8" s="31">
        <f>IF(D5="MIG09",39900,IF(D5="MIG10",41900,IF(D5="H16",41900,IF(D5="P16",47400,IF(D5="H17",47900,IF(D5="H48",67900,IF(D5="H43",70900,IF(D5="H40",72900,IF(D5="H42",74900,IF(D5="H44",73900,IF(D5="H45",79900,IF(D5="H38",86900,IF(D5="H37",79900,IF(D5="EH40",99900,IF(D5="EH43",106900,IF(D5="ML",71900,IF(D5="HL",83900,IF(D5="PR",95900,IF(D5="MLP",80900,IF(D5="HLP",91900,IF(D5="PRP",102900,IF(D5="XPML",69900,IF(D5="XPHL",71000,IF(D5="XPMLP",75900,IF(D5="XPMLP-01",77800,IF(D5="XC",84900,IF(D5="G10",81900,IF(D5="P10",93900,IF(D5="G12",97900,IF(D5="P12",105900,IF(D5="G05",104900,IF(D5="P05",105900,IF(D5="G03",92900,IF(D5="P03",100900,IF(D5="G06",109900,IF(D5="P06",114900,IF(D5="OTP06-01",118900,IF(D5="G08",125900,IF(D5="P08",132900,IF(D5="OTP06-01",109900,IF(D5="G09",129900,IF(D5="P09",134900,IF(D5="H57",105900,IF(D5="P57",113900,IF(D5="H64",116900,IF(D5="H59",127900,IF(D5="P59",134900,IF(D5="H61",134900,IF(D5="P61",138900)))))))))))))))))))))))))))))))))))))))))))))))))</f>
        <v>114900</v>
      </c>
      <c r="C8" s="32">
        <f>IF(L20="YES",N20,IF(L20="NO",N20))</f>
        <v>114900</v>
      </c>
      <c r="D8" s="29">
        <v>0</v>
      </c>
      <c r="E8" s="33"/>
      <c r="F8" s="139"/>
      <c r="G8" s="140"/>
      <c r="H8" s="110">
        <f>G7*20/100</f>
        <v>28342.822724999998</v>
      </c>
      <c r="I8" s="34"/>
      <c r="J8" s="34" t="s">
        <v>15</v>
      </c>
      <c r="K8" s="34">
        <f>(I7*K5+I7)/24</f>
        <v>4723.8037875</v>
      </c>
      <c r="L8" s="34">
        <f>(I7*L5+I7)/36</f>
        <v>3255.9604905974998</v>
      </c>
      <c r="M8" s="34">
        <f>(I7*M5+I7)/48</f>
        <v>2522.0388421462499</v>
      </c>
      <c r="N8" s="34">
        <f>(I7*N5+I7)/60</f>
        <v>2081.6858530754998</v>
      </c>
      <c r="O8" s="147">
        <v>0</v>
      </c>
      <c r="P8" s="2">
        <f>P7/12</f>
        <v>2461.1017732875002</v>
      </c>
      <c r="T8" s="1">
        <f>25973-12973</f>
        <v>13000</v>
      </c>
    </row>
    <row r="9" spans="1:27" ht="24.6" x14ac:dyDescent="0.4">
      <c r="A9" s="8">
        <f>B8/(100%-A8)</f>
        <v>143625</v>
      </c>
      <c r="B9" s="109">
        <f>B7-B8</f>
        <v>0</v>
      </c>
      <c r="C9" s="109"/>
      <c r="D9" s="36"/>
      <c r="E9" s="33"/>
      <c r="F9" s="139"/>
      <c r="G9" s="140"/>
      <c r="H9" s="33"/>
      <c r="I9" s="37" t="s">
        <v>16</v>
      </c>
      <c r="J9" s="38">
        <f>(J7*12)-I7</f>
        <v>4410.1432160099794</v>
      </c>
      <c r="K9" s="38">
        <f>(K7*24)-I7</f>
        <v>8820.2864320200169</v>
      </c>
      <c r="L9" s="38">
        <f>(L7*36)-I7</f>
        <v>13230.429648029996</v>
      </c>
      <c r="M9" s="38">
        <f>(M7*48)-I7</f>
        <v>17640.572864040005</v>
      </c>
      <c r="N9" s="38">
        <f>(N7*60)-I7</f>
        <v>22050.716080050013</v>
      </c>
      <c r="O9" s="147"/>
      <c r="T9" s="1">
        <f>T8/12</f>
        <v>1083.3333333333333</v>
      </c>
      <c r="Z9" s="1" t="s">
        <v>86</v>
      </c>
    </row>
    <row r="10" spans="1:27" ht="24.6" x14ac:dyDescent="0.4">
      <c r="A10" s="8"/>
      <c r="B10" s="37" t="s">
        <v>141</v>
      </c>
      <c r="C10" s="20" t="s">
        <v>17</v>
      </c>
      <c r="D10" s="36">
        <f>IF(C10="YES",700,IF(C10="NO",0))</f>
        <v>0</v>
      </c>
      <c r="E10" s="39"/>
      <c r="F10" s="40"/>
      <c r="G10" s="40"/>
      <c r="H10" s="33"/>
      <c r="I10" s="44" t="s">
        <v>85</v>
      </c>
      <c r="J10" s="117" t="s">
        <v>19</v>
      </c>
      <c r="K10" s="117">
        <f>IF(J10="YES",Z10,IF(J10="NO",0))</f>
        <v>1000</v>
      </c>
      <c r="L10" s="41">
        <f>(L8*36)-I7</f>
        <v>3843.2867615099967</v>
      </c>
      <c r="M10" s="41">
        <f>(M8*48)-I7</f>
        <v>7686.5735230199934</v>
      </c>
      <c r="N10" s="41">
        <f>(N8*60)-I7</f>
        <v>11529.860284530005</v>
      </c>
      <c r="O10" s="147">
        <f>IF(D5="XC",3690,IF(D5="XPML",3690,IF(D5="XPHL",3690,IF(D5="XPMLP",3690,IF(D5="XPMLP-01",3690,IF(D5="Xpander P",3690,IF(D5="ML",3690,IF(D5="HL",3690,IF(D5="PR",(U19*3/100+510)*1.05,IF(D5="MLP",3690,IF(D5="HLP",(U19*3/100+510)*1.05,IF(D5="PRP",(U19*3/100+510)*1.05,IF(D5="H57",(U19*2.75/100+510)*1.05,IF(D5="P57",(U19*2.75/100+510)*1.05,IF(D5="H64",(U19*2.75/100+510)*1.05,IF(D5="H59",(U19*2.75/100+510)*1.05,IF(D5="P59",(U19*2.75/100+510)*1.05,IF(D5="H61",(U19*2.75/100+510)*1.05,IF(D5="P61",(U19*2.75/100+510)*1.05,IF(D5="G03",(U19*3/100+510)*1.05,IF(D5="G10",(U19*3/100+510)*1.05,IF(D5="P10",(U19*3/100+510)*1.05,IF(D5="G12",(U19*3/100+510)*1.05,IF(D5="P12",(U19*3/100+510)*1.05,IF(D5="G05",(U19*3/100+510)*1.05,IF(D5="P05",(U19*3/100+510)*1.05,IF(D5="P03",(U19*3/100+510)*1.05,IF(D5="G06",(U19*3/100+510)*1.05,IF(D5="P06",(U19*3/100+510)*1.05,IF(D5="OTP06-01",(U19*3/100+510)*1.05,IF(D5="G08",(U19*3/100+510)*1.05,IF(D5="P08",(U19*3/100+510)*1.05,IF(D5="G09",(U19*3/100+510)*1.05,IF(D5="P09",(U19*3/100+510)*1.05,IF(D5="H38",3625,IF(D5="H37",3625,IF(D5="EH40",(U19*3/100+450)*1.05,IF(D5="EH43",(U19*3/100+450)*1.05,IF(D5="H48",3625,IF(D5="H43",3625,IF(D5="H40",3625,IF(D5="H42",3625,IF(D5="H44",3625,IF(D5="H45",3625,IF(D5="ASX HL 4WD",3625,IF(D5="H16",3625,IF(D5="H17",3625,IF(D5="P16",3625,IF(D5="Attrage S",3625,IF(D5="MIG09",3625,IF(D5="MIG10",3625,IF(D5="Xpander HL",3690))))))))))))))))))))))))))))))))))))))))))))))))))))</f>
        <v>4712.8725000000004</v>
      </c>
      <c r="P10" s="204"/>
      <c r="Q10" s="204">
        <f>5.25*3</f>
        <v>15.75</v>
      </c>
      <c r="Z10" s="1">
        <f>IF(D5="MIG09",1000,IF(D5="MIG10",1000,IF(D5="H16",1000,IF(D5="P16",1000,IF(D5="H17",1000,IF(D5="H48",1000,IF(D5="H43",1000,IF(D5="H40",1000,IF(D5="H42",1000,IF(D5="H44",1000,IF(D5="H45",1000,IF(D5="H38",1000,IF(D5="H37",1000,IF(D5="EH40",1000,IF(D5="EH43",1000,IF(D5="ML",1000,IF(D5="HL",1000,IF(D5="PR",1000,IF(D5="MLP",1000,IF(D5="HLP",1000,IF(D5="PRP",1000,IF(D5="XPML",1000,IF(D5="XPHL",1000,IF(D5="XPMLP",1000,IF(D5="XPMLP-01",1000,IF(D5="XC",1000,IF(D5="G10",1000,IF(D5="P10",1000,IF(D5="G12",1000,IF(D5="P12",1000,IF(D5="G05",1000,IF(D5="P05",1000,IF(D5="G03",1000,IF(D5="P03",1000,IF(D5="G06",1000,IF(D5="P06",1000,IF(D5="OTP06-01",1000,IF(D5="G08",1000,IF(D5="P08",1000,IF(D5="OTP06-01",1000,IF(D5="G09",1000,IF(D5="P09",1000,IF(D5="H57",1000,IF(D5="P57",1000,IF(D5="H64",1000,IF(D5="H59",1000,IF(D5="P59",1000,IF(D5="H61",1000,IF(D5="P61",1000)))))))))))))))))))))))))))))))))))))))))))))))))</f>
        <v>1000</v>
      </c>
    </row>
    <row r="11" spans="1:27" ht="24.6" x14ac:dyDescent="0.4">
      <c r="A11" s="8"/>
      <c r="B11" s="37" t="s">
        <v>18</v>
      </c>
      <c r="C11" s="20" t="s">
        <v>19</v>
      </c>
      <c r="D11" s="203">
        <f>IF(C11="YES",O17,IF(C11="NO",0))</f>
        <v>2700</v>
      </c>
      <c r="E11" s="39"/>
      <c r="F11" s="40"/>
      <c r="G11" s="40"/>
      <c r="H11" s="33"/>
      <c r="I11" s="33"/>
      <c r="J11" s="44" t="s">
        <v>76</v>
      </c>
      <c r="K11" s="44">
        <f>H8-K10</f>
        <v>27342.822724999998</v>
      </c>
      <c r="L11" s="37"/>
      <c r="M11" s="37"/>
      <c r="N11" s="38"/>
      <c r="O11" s="147">
        <f>IF(D5="XC",6100,IF(D5="XPML",6100,IF(D5="XPHL",6100,IF(D5="XPMLP",6100,IF(D5="XPMLP-01",6100,IF(D5="Xpander P",6100,IF(D5="ML",6600,IF(D5="HL",6600,IF(D5="PR",6600,IF(D5="MLP",6600,IF(D5="HLP",6600,IF(D5="PRP",6600,IF(D5="H57",5900,IF(D5="P57",5900,IF(D5="H64",5900,IF(D5="H59",5900,IF(D5="P59",5900,IF(D5="H61",5900,IF(D5="P61",5900,IF(D5="G03",6700,IF(D5="G10",6700,IF(D5="P10",6700,IF(D5="G12",6700,IF(D5="P12",6700,IF(D5="G05",6700,IF(D5="P05",6700,IF(D5="P03",6700,IF(D5="G06",6700,IF(D5="P06",6700,IF(D5="OTP06-01",6700,IF(D5="G08",6700,IF(D5="G09",6700,IF(D5="G08",6700,IF(D5="P08",6700,IF(D5="P09",6700,IF(D5="H37",6400,IF(D5="H38",6400,IF(D5="EH40",6400,IF(D5="EH43",6400,IF(D5="H48",6600,IF(D5="H43",6600,IF(D5="H40",6600,IF(D5="H42",6600,IF(D5="H44",6600,IF(D5="H45",6600,IF(D5="ASX HL 4WD",6600,IF(D5="H16",5400,IF(D5="H17",5400,IF(D5="P16",5400,IF(D5="Attrage S",5400,IF(D5="MIG09",5400,IF(D5="MIG10",5400,IF(D5="Xpander HL",6000)))))))))))))))))))))))))))))))))))))))))))))))))))))</f>
        <v>6700</v>
      </c>
      <c r="P11" s="147"/>
      <c r="Q11" s="147"/>
      <c r="R11" s="147"/>
      <c r="S11" s="147"/>
      <c r="T11" s="147"/>
      <c r="U11" s="147">
        <f>IF(D5="XC",4900,IF(D5="XPML",4900,IF(D5="XPHL",4900,IF(D5="XPMLP",4900,IF(D5="XPMLP-01",4900,IF(D5="Xpander P",4900,IF(D5="ML",5400,IF(D5="HL",5400,IF(D5="PR",5400,IF(D5="MLP",5400,IF(D5="HLP",5400,IF(D5="PRP",5400,IF(D5="H57",4600,IF(D5="P57",4600,IF(D5="MOG64",4600,IF(D5="H59",4600,IF(D5="P59",4600,IF(D5="H61",4600,IF(D5="P61",4600,IF(D5="G03",5500,IF(D5="P03",5500,IF(D5="G10",5500,IF(D5="P10",5500,IF(D5="G12",5500,IF(D5="P12",5500,IF(D5="G05",5500,IF(D5="P05",5500,IF(D5="G06",5500,IF(D5="P06",5500,IF(D5="OTP06-01",5500,IF(D5="F08",5500,IF(D5="P08",5500,IF(D5="G09",5500,IF(D5="P09",5500,IF(D5="H38",5200,IF(D5="H37",5200,IF(D5="EH40",5200,IF(D5="EH43",5200,IF(D5="H48",5300,IF(D5="H43",5300,IF(D5="H40",5300,IF(D5="H42",5300,IF(D5="H44",5300,IF(D5="H45",5300,IF(D5="ASX HL",5300,IF(D5="ASX P",5300,IF(D5="ASX HL 4WD",5300,IF(D5="H16",4200,IF(D5="H17",4200,IF(D5="P16",4200,IF(D5="Attrage S",4200,IF(D5="MIG09",4200,IF(D5="MIG10",4200,IF(D5="Xpander HL",4900))))))))))))))))))))))))))))))))))))))))))))))))))))))</f>
        <v>5500</v>
      </c>
      <c r="V11" s="147">
        <f>IF(D5="XC",9700,IF(D5="XPML",9700,IF(D5="XPHL",9700,IF(D5="XPMLP",9700,IF(D5="XPMLP-01",9700,IF(D5="XPMLP-01",9700,IF(D5="Xpander P",9700,IF(D5="ML",10800,IF(D5="HL",10800,IF(D5="PR",10800,IF(D5="MLP",10800,IF(D5="HLP",10800,IF(D5="PRP",10800,IF(D5="H57",9300,IF(D5="P57",9300,IF(D5="MG64",9300,IF(D5="H59",9300,IF(D5="P59",9300,IF(D5="H61",9300,IF(D5="P61",9300,IF(D5="G03",11000,IF(D5="G10",11000,IF(D5="P10",11000,IF(D5="G12",11000,IF(D5="P12",11000,IF(D5="G05",11000,IF(D5="P05",11000,IF(D5="P03",11000,IF(D5="G06",11000,IF(D5="P06",11000,IF(D5="OTP06-01",11000,IF(D5="G08",11000,IF(D5="P08",11000,IF(D5="G09",11000,IF(D5="P09",11000,IF(D5="H38",10400,IF(D5="H37",10400,IF(D5="EH40",10400,IF(D5="EH43",10400,IF(D5="H48",10700,IF(D5="H43",10700,IF(D5="H40",10700,IF(D5="H42",10700,IF(D5="H44",10800,IF(D5="H45",10800,IF(D5="ASX HL",12200,IF(D5="ASX P",12200,IF(D5="ASX HL 4WD",12200,IF(D5="H16",8500,IF(D5="H17",8500,IF(D5="P16",8500,IF(D5="Attrage S",9600,IF(D5="MIG09",8500,IF(D5="MIG10",8500,IF(D5="Xpander HL",11300)))))))))))))))))))))))))))))))))))))))))))))))))))))))</f>
        <v>11000</v>
      </c>
      <c r="W11" s="147">
        <f>IF(D5="XC",9200,IF(D5="XPML",9200,IF(D5="XPHL",9200,IF(D5="XPMLP",9200,IF(D5="XPMLP-01",9200,IF(D5="Xpander P",9200,IF(D5="ML",10000,IF(D5="HL",10000,IF(D5="PR",10000,IF(D5="MLP",10000,IF(D5="HLP",10000,IF(D5="PRP",10000,IF(D5="H57",8700,IF(D5="P57",8700,IF(D5="H64",8700,IF(D5="H59",8700,IF(D5="P59",8700,IF(D5="H61",8700,IF(D5="P61",8700,IF(D5="G03",10400,IF(D5="P03",10400,IF(D5="G10",10400,IF(D5="P10",10400,IF(D5="G12",10400,IF(D5="P12",10400,IF(D5="G05",10400,IF(D5="P05",10400,IF(D5="G06",10400,IF(D5="P06",10400,IF(D5="OTP06-01",10400,IF(D5="G08",10400,IF(D5="P08",10400,IF(D5="G09",10400,IF(D5="P09",10400,IF(D5="H38",9800,IF(D5="H37",9800,IF(D5="EH40",9800,IF(D5="EH43",9800,IF(D5="H48",10100,IF(D5="H43",10100,IF(D5="H40",10100,IF(D5="H42",10100,IF(D5="H44",10100,IF(D5="H45",10100,IF(D5="ASX HL",10100,IF(D5="ASX P",10100,IF(D5="ASX HL 4WD",10100,IF(D5="H16",7900,IF(D5="H17",7900,IF(D5="P16",7900,IF(D5="Attrage S",7900,IF(D5="MIG09",7900,IF(D5="MIG10",7900,IF(D5="Xpander HL",9200))))))))))))))))))))))))))))))))))))))))))))))))))))))</f>
        <v>10400</v>
      </c>
      <c r="X11" s="147">
        <f>IF(D5="XC",4500,IF(D5="XPML",4500,IF(D5="XPHL",4500,IF(D5="XPMLP",4500,IF(D5="XPMLP-01",4500,IF(D5="Xpander P",4500,IF(D5="ML",5000,IF(D5="HL",5000,IF(D5="PR",5000,IF(D5="MLP",5000,IF(D5="HLP",5000,IF(D5="PRP",5000,IF(D5="H57",8700,IF(D5="P57",8700,IF(D5="MOG64",4300,IF(D5="H59",4300,IF(D5="P59",4300,IF(D5="H61",4300,IF(D5="P61",4300,IF(D5="G03",5000,IF(D5="P03",5000,IF(D5="G10",5000,IF(D5="P10",5000,IF(D5="G12",5000,IF(D5="P12",5000,IF(D5="G05",5000,IF(D5="P05",5000,IF(D5="G06",5000,IF(D5="P06",5000,IF(D5="OTP06-01",5000,IF(D5="G08",5000,IF(D5="P08",5000,IF(D5="G09",5000,IF(D5="P09",5000,IF(D5="H38",4900,IF(D5="H37",4900,IF(D5="EH40",4900,IF(D5="EH43",4900,IF(D5="H48",4900,IF(D5="H43",4900,IF(D5="H40",4900,IF(D5="H42",4900,IF(D5="H44",4900,IF(D5="H45",4900,IF(D5="ASX HL",4900,IF(D5="ASX P",4900,IF(D5="ASX HL 4WD",4900,IF(D5="H16",3700,IF(D5="H17",3700,IF(D5="P16",3700,IF(D5="Attrage S",3700,IF(D5="MIG09",3700,IF(D5="MIG10",3700,IF(D5="Xpander HL",4500))))))))))))))))))))))))))))))))))))))))))))))))))))))</f>
        <v>5000</v>
      </c>
      <c r="Y11" s="147">
        <f>IF(D5="XC",5400,IF(D5="XPML ",5400,IF(D5="XPHL",5400,IF(D5="XPMLP",5400,IF(D5="XPMLP-01",5400,IF(D5="Xpander P",5400,IF(D5="ML",6000,IF(D5="HL",6000,IF(D5="PR",6000,IF(D5="MLP",6000,IF(D5="HLP",6000,IF(D5="PRP",6000,IF(D5="H57",5200,IF(D5="57",5200,IF(D5="H64",5200,IF(D5="H59",5200,IF(D5="P59",5200,IF(D5="H61",5200,IF(D5="P61",5200,IF(D5="G03",6000,IF(D5="P03",6000,IF(D5="G10",6000,IF(D5="P10",6000,IF(D5="G12",6000,IF(D5="P12",6000,IF(D5="G05",6000,IF(D5="P05",6000,IF(D5="G06",6000,IF(D5="P06",6000,IF(D5="OTP06-01",6000,IF(D5="G08",6000,IF(D5="P08",6000,IF(D5="G09",6000,IF(D5="P09",6000,IF(D5="H38",5700,IF(D5="H37",5700,IF(D5="EH40",5700,IF(D5="EH43",5700,IF(D5="H48",5900,IF(D5="H43",5900,IF(D5="H40",5900,IF(D5="H42",5900,IF(D5="H44",5900,IF(D5="H45",5900,IF(D5="ASX HL",5900,IF(D5="ASX P",5900,IF(D5="ASX HL 4WD",5900,IF(D5="H16",4500,IF(D5="H17",4500,IF(D5="P16",4500,IF(D5="Attrage S",4500,IF(D5="MIG09",4500,IF(D5="MIG10",4500,IF(D5="Xpander HL",5400))))))))))))))))))))))))))))))))))))))))))))))))))))))</f>
        <v>6000</v>
      </c>
    </row>
    <row r="12" spans="1:27" ht="24.6" x14ac:dyDescent="0.4">
      <c r="A12" s="8"/>
      <c r="B12" s="37" t="s">
        <v>20</v>
      </c>
      <c r="C12" s="20" t="s">
        <v>17</v>
      </c>
      <c r="D12" s="36">
        <f>IF(C12="YES",2000,IF(C12="NO",0))</f>
        <v>0</v>
      </c>
      <c r="E12" s="43"/>
      <c r="F12" s="43" t="s">
        <v>21</v>
      </c>
      <c r="G12" s="40"/>
      <c r="H12" s="33">
        <v>600</v>
      </c>
      <c r="I12" s="33"/>
      <c r="J12" s="202" t="s">
        <v>140</v>
      </c>
      <c r="K12" s="45">
        <v>0</v>
      </c>
      <c r="L12" s="45">
        <v>5.2499999999999998E-2</v>
      </c>
      <c r="M12" s="45">
        <v>0.126</v>
      </c>
      <c r="N12" s="201">
        <v>0.26250000000000001</v>
      </c>
      <c r="O12" s="147">
        <f>IF(K20="Esaad",B8*3/100,IF(K20="Emirates Platinum",B8*3/100,IF(K20="Fazaa",B8*3/100,IF(K20="Humat Alwatan",B8*3/100,IF(K20="Permissible",2000,IF(K20="ASX",8400,IF(K20="XPMLP",15100,IF(K20="XP",7200,IF(K20="G43",11000,IF(K20="EC",17000,IF(K20="G37",17000,IF(K20="G38",15000,IF(K20="G40",11000,IF(K20="OUT",3000,IF(K20="F08",14400,IF(K20="P08",11100,IF(K20="F06",13100,IF(K20="P06",13400,IF(K20="F03",3500,IF(K20="F03-1",13500,IF(K20="P03",13100,IF(K20="MON",10000,IF(K20="MON G57",9000,0)))))))))))))))))))))))</f>
        <v>2000</v>
      </c>
      <c r="Z12" s="86" t="s">
        <v>83</v>
      </c>
      <c r="AA12" s="86" t="s">
        <v>84</v>
      </c>
    </row>
    <row r="13" spans="1:27" ht="24.6" x14ac:dyDescent="0.4">
      <c r="A13" s="8">
        <f>B8*1.26582</f>
        <v>145442.71799999999</v>
      </c>
      <c r="B13" s="37" t="s">
        <v>23</v>
      </c>
      <c r="C13" s="20" t="s">
        <v>19</v>
      </c>
      <c r="D13" s="36">
        <f>IF(C13="YES",2000,IF(C13="NO",0))</f>
        <v>2000</v>
      </c>
      <c r="E13" s="47"/>
      <c r="F13" s="47" t="s">
        <v>75</v>
      </c>
      <c r="G13" s="51"/>
      <c r="H13" s="39">
        <v>315</v>
      </c>
      <c r="I13" s="33"/>
      <c r="J13" s="44" t="s">
        <v>54</v>
      </c>
      <c r="K13" s="29" t="s">
        <v>79</v>
      </c>
      <c r="L13" s="29" t="s">
        <v>25</v>
      </c>
      <c r="M13" s="29" t="s">
        <v>0</v>
      </c>
      <c r="N13" s="57" t="s">
        <v>26</v>
      </c>
      <c r="O13" s="9">
        <f>IF(M21="3000-4999",6%,IF(M21="5000-9999",4.75%,IF(M21="10000-14999",3.15%,IF(M21="15000-24999",2.5%,IF(M21="25000-34999",2.25%,IF(M21="35000-99999",2.15%))))))</f>
        <v>4.7500000000000001E-2</v>
      </c>
      <c r="Q13" s="2">
        <f>H7/12</f>
        <v>2361.90189375</v>
      </c>
      <c r="U13" s="9">
        <f>IF(M21="3000-4999",6%,IF(M21="5000-9999",3.25%,IF(M21="10000-14999",3%,IF(M21="15000-24999",2.25%,IF(M21="25000-34999",2.15%,IF(M21="35000-99999",1.99%))))))</f>
        <v>3.2500000000000001E-2</v>
      </c>
      <c r="Z13" s="99">
        <f>IF(M21="5000-9999",2.49%,IF(M21="10000-19999",2.19%,IF(M21="20000-34999",2.09%,IF(M21="35000-49999",1.89%,IF(M21="50000-99999",1.79%)))))</f>
        <v>2.4900000000000002E-2</v>
      </c>
      <c r="AA13" s="99">
        <f>IF(M21="5000-9999",2.59%,IF(M21="10000-19999",2.29%,IF(M21="20000-34999",2.19%,IF(M21="35000-49999",1.99%,IF(M21="50000-99999",1.89%)))))</f>
        <v>2.5899999999999999E-2</v>
      </c>
    </row>
    <row r="14" spans="1:27" ht="24.6" x14ac:dyDescent="0.4">
      <c r="A14" s="10" t="s">
        <v>27</v>
      </c>
      <c r="B14" s="37" t="s">
        <v>24</v>
      </c>
      <c r="C14" s="20" t="s">
        <v>19</v>
      </c>
      <c r="D14" s="50">
        <f>IF(C14="YES",U19*3.15*1.05/100,IF(C14="NO",U19*0/100))</f>
        <v>4386.2411250000005</v>
      </c>
      <c r="E14" s="48"/>
      <c r="F14" s="48" t="s">
        <v>24</v>
      </c>
      <c r="G14" s="51" t="s">
        <v>17</v>
      </c>
      <c r="H14" s="39">
        <f>IF(G14="YES",U19*3.15*1.05/100,IF(G14="NO",U19*0/100))</f>
        <v>0</v>
      </c>
      <c r="I14" s="33"/>
      <c r="J14" s="44" t="s">
        <v>55</v>
      </c>
      <c r="K14" s="44">
        <f>(H8*K12+H8)/3</f>
        <v>9447.607575</v>
      </c>
      <c r="L14" s="44">
        <f>(H8*L12+H8)/12</f>
        <v>2485.9017431718748</v>
      </c>
      <c r="M14" s="44">
        <f>(H8*M12+H8)/24</f>
        <v>1329.7507661812499</v>
      </c>
      <c r="N14" s="200">
        <f>(H7*N12+H7)/60</f>
        <v>596.38022817187505</v>
      </c>
      <c r="O14" s="9">
        <f>IF(M21="3000-4999",3.89%,IF(M21="5000-9999",3.89%,IF(M21="10000-14999",3.89%,IF(M21="15000-24999",2.69%,IF(M21="25000-34999",2.69%,IF(M21="35000-99999",2.39%,IF(M21="76000-99999",2.5%)))))))</f>
        <v>3.8900000000000004E-2</v>
      </c>
    </row>
    <row r="15" spans="1:27" ht="24.6" x14ac:dyDescent="0.4">
      <c r="A15" s="11">
        <f>(B7*3%)+10+120</f>
        <v>3577</v>
      </c>
      <c r="B15" s="37" t="s">
        <v>28</v>
      </c>
      <c r="C15" s="20" t="s">
        <v>19</v>
      </c>
      <c r="D15" s="29">
        <f>IF(C15="YES",O10,IF(C15="NO",0))</f>
        <v>4712.8725000000004</v>
      </c>
      <c r="E15" s="48"/>
      <c r="F15" s="48" t="s">
        <v>53</v>
      </c>
      <c r="G15" s="51" t="s">
        <v>17</v>
      </c>
      <c r="H15" s="39">
        <f>IF(G15="YES",O10,IF(G15="NO",0))</f>
        <v>0</v>
      </c>
      <c r="I15" s="33"/>
      <c r="J15" s="44"/>
      <c r="K15" s="44"/>
      <c r="L15" s="44"/>
      <c r="M15" s="44"/>
      <c r="N15" s="198"/>
      <c r="O15" s="9" t="b">
        <f>IF(M21="3000-4999",4.99%, IF(M21="5000-11999",2.75%,IF(M21="12000-19999",2.75%,IF(M21="20000-39999",2.25%,IF(M21="40000-69999",2.25%,IF(M21="70000-99999",2.25%))))))</f>
        <v>0</v>
      </c>
      <c r="P15" s="191"/>
    </row>
    <row r="16" spans="1:27" ht="24.6" x14ac:dyDescent="0.4">
      <c r="A16" s="11">
        <f>((B7-B8)*3%+10+120)</f>
        <v>130</v>
      </c>
      <c r="B16" s="37" t="s">
        <v>78</v>
      </c>
      <c r="C16" s="20" t="s">
        <v>19</v>
      </c>
      <c r="D16" s="29">
        <f>IF(C16="YES",O16,IF(C16="NO",0))</f>
        <v>6700</v>
      </c>
      <c r="E16" s="47"/>
      <c r="F16" s="47" t="s">
        <v>74</v>
      </c>
      <c r="G16" s="54"/>
      <c r="H16" s="33">
        <f>I7*1.05%</f>
        <v>1190.3985544499999</v>
      </c>
      <c r="I16" s="33"/>
      <c r="J16" s="44" t="s">
        <v>16</v>
      </c>
      <c r="K16" s="44">
        <f>(K14*3)-H8</f>
        <v>0</v>
      </c>
      <c r="L16" s="44">
        <f>(L14*12)-H8</f>
        <v>1487.9981930624999</v>
      </c>
      <c r="M16" s="44">
        <f>(M14*24)-H8</f>
        <v>3571.1956633500013</v>
      </c>
      <c r="N16" s="198"/>
      <c r="O16" s="147">
        <f>IF(B16="RMC-10-70KMS",O11,IF(B16="RMC-10-100000KMS",V11,IF(B16="RMC-40-70KMS",U11, IF(B16="RMC-10-40KMS",X11, IF(B16="RMC-10-60KMS",Y11, IF(B16="RMC-40-100000KMS",W11,0))))))</f>
        <v>6700</v>
      </c>
    </row>
    <row r="17" spans="1:23" ht="24.6" x14ac:dyDescent="0.4">
      <c r="A17" s="11">
        <f>A15+A16</f>
        <v>3707</v>
      </c>
      <c r="B17" s="37"/>
      <c r="C17" s="20"/>
      <c r="D17" s="29">
        <f>SUM(D10:D16)</f>
        <v>20499.113625000002</v>
      </c>
      <c r="E17" s="48"/>
      <c r="F17" s="48"/>
      <c r="G17" s="54"/>
      <c r="H17" s="33">
        <f>+SUM(H12:H16)+(H7)</f>
        <v>30448.221279450001</v>
      </c>
      <c r="I17" s="33"/>
      <c r="J17" s="20"/>
      <c r="K17" s="199"/>
      <c r="L17" s="199"/>
      <c r="M17" s="199"/>
      <c r="N17" s="198"/>
      <c r="O17" s="147">
        <f>IF(B11="FO Ceramic+ Intr&amp;Extr CeramicGold WdwTnt",2700,IF(B11="FO Mirror Camera Sensor",2000))</f>
        <v>2700</v>
      </c>
      <c r="T17" s="1">
        <f>19615-791</f>
        <v>18824</v>
      </c>
    </row>
    <row r="18" spans="1:23" ht="24.6" x14ac:dyDescent="0.4">
      <c r="A18" s="12" t="s">
        <v>29</v>
      </c>
      <c r="B18" s="55" t="s">
        <v>30</v>
      </c>
      <c r="C18" s="197"/>
      <c r="D18" s="57">
        <v>0</v>
      </c>
      <c r="E18" s="38"/>
      <c r="F18" s="20"/>
      <c r="G18" s="20"/>
      <c r="H18" s="37"/>
      <c r="I18" s="37"/>
      <c r="J18" s="37"/>
      <c r="K18" s="37"/>
      <c r="L18" s="37"/>
      <c r="M18" s="37"/>
      <c r="N18" s="37"/>
      <c r="O18" s="9" t="b">
        <f>IF(M21="5000-99999",1.99%)</f>
        <v>0</v>
      </c>
      <c r="U18" s="196" t="s">
        <v>52</v>
      </c>
      <c r="V18" s="196" t="s">
        <v>52</v>
      </c>
    </row>
    <row r="19" spans="1:23" ht="24.6" x14ac:dyDescent="0.4">
      <c r="A19" s="11">
        <f>B8*3.15%</f>
        <v>3619.35</v>
      </c>
      <c r="B19" s="58" t="s">
        <v>31</v>
      </c>
      <c r="C19" s="59"/>
      <c r="D19" s="60">
        <f>IF(K21="DIB EXPAT",O13,IF(K21="DIB LOCAL GVH",U13,IF(K21="Emirates NBD",O14,IF(K21="ADCB",O15,IF(K21="ADCB PAY IN 2027",O19,IF(K21="Ajman Bank",O18,IF(K21="SIB STL",Z13,IF(K21="SIB NON STL",AA13,))))))))</f>
        <v>3.8900000000000004E-2</v>
      </c>
      <c r="E19" s="20"/>
      <c r="F19" s="195"/>
      <c r="G19" s="141" t="s">
        <v>73</v>
      </c>
      <c r="H19" s="142"/>
      <c r="I19" s="143"/>
      <c r="J19" s="109">
        <f>(U19*20/100)/365</f>
        <v>72.665753424657538</v>
      </c>
      <c r="K19" s="37"/>
      <c r="L19" s="37"/>
      <c r="M19" s="37"/>
      <c r="N19" s="34">
        <f>D7</f>
        <v>120645</v>
      </c>
      <c r="O19" s="194" t="b">
        <f>IF(M21="5000-11999",3.35%,IF(M21="12000-19999",3.35%,IF(M21="20000-39999",2.85%,IF(M21="40000-69999",2.85%,IF(M21="70000-99999",2.85%)))))</f>
        <v>0</v>
      </c>
      <c r="P19" s="2">
        <f>81400-2500</f>
        <v>78900</v>
      </c>
      <c r="U19" s="193">
        <f>V19</f>
        <v>132615</v>
      </c>
      <c r="V19" s="192">
        <f>(B7+D10+D11+D12+D13+D16)*1.05</f>
        <v>132615</v>
      </c>
    </row>
    <row r="20" spans="1:23" ht="24.6" x14ac:dyDescent="0.4">
      <c r="A20" s="11"/>
      <c r="B20" s="58" t="s">
        <v>32</v>
      </c>
      <c r="C20" s="59"/>
      <c r="D20" s="63">
        <v>0.2</v>
      </c>
      <c r="E20" s="37"/>
      <c r="F20" s="37"/>
      <c r="G20" s="38"/>
      <c r="H20" s="38"/>
      <c r="I20" s="38"/>
      <c r="J20" s="103"/>
      <c r="K20" s="104" t="s">
        <v>33</v>
      </c>
      <c r="L20" s="104" t="s">
        <v>17</v>
      </c>
      <c r="M20" s="104">
        <f>IF(L20="YES",O12,IF(L20="NO",0))</f>
        <v>0</v>
      </c>
      <c r="N20" s="34">
        <f>B8-M20</f>
        <v>114900</v>
      </c>
      <c r="O20" s="187"/>
      <c r="P20" s="191"/>
      <c r="T20" s="1">
        <f>1992+1084</f>
        <v>3076</v>
      </c>
      <c r="U20" s="186"/>
      <c r="V20" s="2"/>
    </row>
    <row r="21" spans="1:23" ht="24.6" x14ac:dyDescent="0.4">
      <c r="A21" s="13">
        <f>A19+A20</f>
        <v>3619.35</v>
      </c>
      <c r="B21" s="37"/>
      <c r="C21" s="20"/>
      <c r="D21" s="37"/>
      <c r="E21" s="37"/>
      <c r="F21" s="37"/>
      <c r="G21" s="37"/>
      <c r="H21" s="37"/>
      <c r="I21" s="37"/>
      <c r="J21" s="190" t="s">
        <v>34</v>
      </c>
      <c r="K21" s="16" t="s">
        <v>139</v>
      </c>
      <c r="L21" s="16" t="s">
        <v>35</v>
      </c>
      <c r="M21" s="189" t="s">
        <v>80</v>
      </c>
      <c r="N21" s="188"/>
      <c r="O21" s="187"/>
      <c r="T21" s="1">
        <f>25973-12973</f>
        <v>13000</v>
      </c>
      <c r="U21" s="186">
        <f>M14+N7</f>
        <v>3586.7842158487501</v>
      </c>
    </row>
    <row r="22" spans="1:23" s="179" customFormat="1" ht="24.6" x14ac:dyDescent="0.4">
      <c r="A22" s="185"/>
      <c r="B22" s="184" t="s">
        <v>51</v>
      </c>
      <c r="C22" s="183"/>
      <c r="D22" s="183"/>
      <c r="E22" s="183"/>
      <c r="F22" s="183"/>
      <c r="G22" s="183"/>
      <c r="H22" s="183"/>
      <c r="I22" s="183"/>
      <c r="J22" s="183"/>
      <c r="K22" s="183"/>
      <c r="L22" s="183"/>
      <c r="M22" s="183"/>
      <c r="N22" s="182"/>
      <c r="O22" s="181"/>
      <c r="P22" s="180"/>
    </row>
    <row r="23" spans="1:23" s="168" customFormat="1" ht="26.4" x14ac:dyDescent="0.5">
      <c r="A23" s="175" t="s">
        <v>36</v>
      </c>
      <c r="B23" s="172" t="s">
        <v>138</v>
      </c>
      <c r="C23" s="169"/>
      <c r="D23" s="169"/>
      <c r="E23" s="169"/>
      <c r="F23" s="169"/>
      <c r="G23" s="169"/>
      <c r="H23" s="176"/>
      <c r="I23" s="176"/>
      <c r="J23" s="169"/>
      <c r="K23" s="169"/>
      <c r="L23" s="169"/>
      <c r="M23" s="169"/>
      <c r="N23" s="178"/>
      <c r="O23" s="170"/>
      <c r="P23" s="169"/>
    </row>
    <row r="24" spans="1:23" s="168" customFormat="1" ht="26.4" x14ac:dyDescent="0.5">
      <c r="A24" s="175" t="s">
        <v>36</v>
      </c>
      <c r="B24" s="172" t="s">
        <v>137</v>
      </c>
      <c r="C24" s="169"/>
      <c r="D24" s="169"/>
      <c r="E24" s="169"/>
      <c r="F24" s="169"/>
      <c r="G24" s="169"/>
      <c r="H24" s="177">
        <f>H7/365</f>
        <v>77.651569109589047</v>
      </c>
      <c r="I24" s="177">
        <f>H7+H12+H16</f>
        <v>30133.221279450001</v>
      </c>
      <c r="J24" s="169"/>
      <c r="K24" s="169"/>
      <c r="L24" s="169"/>
      <c r="M24" s="169"/>
      <c r="N24" s="173"/>
      <c r="O24" s="170"/>
      <c r="P24" s="169">
        <f>1232+480</f>
        <v>1712</v>
      </c>
      <c r="T24" s="168">
        <f>88704/1.05</f>
        <v>84480</v>
      </c>
    </row>
    <row r="25" spans="1:23" s="168" customFormat="1" ht="26.4" x14ac:dyDescent="0.5">
      <c r="A25" s="175" t="s">
        <v>36</v>
      </c>
      <c r="B25" s="172" t="s">
        <v>136</v>
      </c>
      <c r="C25" s="169"/>
      <c r="D25" s="169"/>
      <c r="E25" s="169"/>
      <c r="F25" s="169"/>
      <c r="G25" s="169"/>
      <c r="H25" s="176"/>
      <c r="I25" s="176"/>
      <c r="J25" s="169"/>
      <c r="K25" s="169"/>
      <c r="L25" s="169"/>
      <c r="M25" s="169"/>
      <c r="N25" s="173"/>
      <c r="O25" s="170"/>
      <c r="P25" s="169"/>
      <c r="Q25" s="168">
        <f>79400-5233.33</f>
        <v>74166.67</v>
      </c>
      <c r="R25" s="168">
        <f>Q25*1.05</f>
        <v>77875.003500000006</v>
      </c>
      <c r="W25" s="168">
        <f>1999+1224</f>
        <v>3223</v>
      </c>
    </row>
    <row r="26" spans="1:23" s="168" customFormat="1" ht="26.4" x14ac:dyDescent="0.5">
      <c r="A26" s="175" t="s">
        <v>36</v>
      </c>
      <c r="B26" s="172" t="s">
        <v>135</v>
      </c>
      <c r="C26" s="169"/>
      <c r="D26" s="169"/>
      <c r="E26" s="169"/>
      <c r="F26" s="169"/>
      <c r="G26" s="169"/>
      <c r="H26" s="169"/>
      <c r="I26" s="169"/>
      <c r="J26" s="169"/>
      <c r="K26" s="169"/>
      <c r="L26" s="169"/>
      <c r="M26" s="169"/>
      <c r="N26" s="173"/>
      <c r="O26" s="170" t="s">
        <v>37</v>
      </c>
      <c r="P26" s="169"/>
      <c r="R26" s="168">
        <f>R25+2469</f>
        <v>80344.003500000006</v>
      </c>
    </row>
    <row r="27" spans="1:23" s="168" customFormat="1" ht="26.4" x14ac:dyDescent="0.5">
      <c r="A27" s="175" t="s">
        <v>36</v>
      </c>
      <c r="B27" s="172" t="s">
        <v>134</v>
      </c>
      <c r="C27" s="169"/>
      <c r="D27" s="169"/>
      <c r="E27" s="169"/>
      <c r="F27" s="169"/>
      <c r="G27" s="169"/>
      <c r="H27" s="169"/>
      <c r="I27" s="169"/>
      <c r="J27" s="169"/>
      <c r="K27" s="169"/>
      <c r="L27" s="169"/>
      <c r="M27" s="169"/>
      <c r="N27" s="173"/>
      <c r="O27" s="170">
        <f>129500-110900</f>
        <v>18600</v>
      </c>
      <c r="P27" s="169"/>
      <c r="W27" s="174">
        <f>N7+L14</f>
        <v>4742.9351928393753</v>
      </c>
    </row>
    <row r="28" spans="1:23" s="168" customFormat="1" ht="26.4" x14ac:dyDescent="0.5">
      <c r="B28" s="172" t="s">
        <v>133</v>
      </c>
      <c r="C28" s="169"/>
      <c r="D28" s="169"/>
      <c r="E28" s="169"/>
      <c r="F28" s="169"/>
      <c r="G28" s="169"/>
      <c r="H28" s="169"/>
      <c r="I28" s="169"/>
      <c r="J28" s="169"/>
      <c r="K28" s="169"/>
      <c r="L28" s="169"/>
      <c r="M28" s="169"/>
      <c r="N28" s="173"/>
      <c r="O28" s="170">
        <f>85000-69900</f>
        <v>15100</v>
      </c>
      <c r="P28" s="169"/>
    </row>
    <row r="29" spans="1:23" s="168" customFormat="1" ht="26.4" x14ac:dyDescent="0.5">
      <c r="B29" s="172" t="s">
        <v>132</v>
      </c>
      <c r="C29" s="169"/>
      <c r="D29" s="169"/>
      <c r="E29" s="169"/>
      <c r="F29" s="169"/>
      <c r="G29" s="169"/>
      <c r="H29" s="169"/>
      <c r="I29" s="169"/>
      <c r="J29" s="169"/>
      <c r="K29" s="169"/>
      <c r="L29" s="169"/>
      <c r="M29" s="169"/>
      <c r="N29" s="171"/>
      <c r="O29" s="170"/>
      <c r="P29" s="169"/>
    </row>
    <row r="30" spans="1:23" x14ac:dyDescent="0.3">
      <c r="B30" s="167" t="s">
        <v>38</v>
      </c>
      <c r="C30" s="166"/>
      <c r="D30" s="166"/>
      <c r="E30" s="166"/>
      <c r="F30" s="166"/>
      <c r="G30" s="166"/>
      <c r="H30" s="166"/>
      <c r="I30" s="166"/>
      <c r="J30" s="166"/>
      <c r="K30" s="166"/>
      <c r="L30" s="166"/>
      <c r="M30" s="166"/>
      <c r="N30" s="165"/>
      <c r="O30" s="147"/>
    </row>
    <row r="31" spans="1:23" x14ac:dyDescent="0.3">
      <c r="B31" s="146"/>
      <c r="C31" s="145"/>
      <c r="D31" s="145"/>
      <c r="E31" s="145"/>
      <c r="F31" s="145"/>
      <c r="G31" s="145"/>
      <c r="H31" s="145"/>
      <c r="I31" s="145"/>
      <c r="J31" s="145"/>
      <c r="K31" s="145"/>
      <c r="L31" s="145"/>
      <c r="M31" s="145"/>
      <c r="N31" s="144"/>
      <c r="O31" s="147"/>
    </row>
    <row r="32" spans="1:23" s="86" customFormat="1" ht="20.399999999999999" x14ac:dyDescent="0.35">
      <c r="B32" s="118" t="s">
        <v>39</v>
      </c>
      <c r="C32" s="119"/>
      <c r="D32" s="119"/>
      <c r="E32" s="119"/>
      <c r="F32" s="119"/>
      <c r="G32" s="119"/>
      <c r="H32" s="119"/>
      <c r="I32" s="119"/>
      <c r="J32" s="119"/>
      <c r="K32" s="119"/>
      <c r="L32" s="119"/>
      <c r="M32" s="119"/>
      <c r="N32" s="120"/>
      <c r="O32" s="92"/>
      <c r="P32" s="83"/>
    </row>
    <row r="33" spans="2:16" s="86" customFormat="1" ht="20.399999999999999" x14ac:dyDescent="0.35">
      <c r="B33" s="118" t="s">
        <v>40</v>
      </c>
      <c r="C33" s="119"/>
      <c r="D33" s="119"/>
      <c r="E33" s="119"/>
      <c r="F33" s="119"/>
      <c r="G33" s="119"/>
      <c r="H33" s="119"/>
      <c r="I33" s="119"/>
      <c r="J33" s="119"/>
      <c r="K33" s="119"/>
      <c r="L33" s="119"/>
      <c r="M33" s="119"/>
      <c r="N33" s="120"/>
      <c r="O33" s="92"/>
      <c r="P33" s="83"/>
    </row>
    <row r="34" spans="2:16" s="86" customFormat="1" ht="20.399999999999999" x14ac:dyDescent="0.35">
      <c r="B34" s="107" t="s">
        <v>131</v>
      </c>
      <c r="C34" s="108"/>
      <c r="D34" s="108"/>
      <c r="E34" s="108"/>
      <c r="F34" s="108"/>
      <c r="G34" s="164" t="s">
        <v>130</v>
      </c>
      <c r="H34" s="164"/>
      <c r="I34" s="163"/>
      <c r="J34" s="163"/>
      <c r="K34" s="163"/>
      <c r="L34" s="163"/>
      <c r="M34" s="162" t="s">
        <v>129</v>
      </c>
      <c r="N34" s="161"/>
      <c r="O34" s="83"/>
      <c r="P34" s="83"/>
    </row>
    <row r="35" spans="2:16" x14ac:dyDescent="0.3">
      <c r="B35" s="160"/>
      <c r="C35" s="159"/>
      <c r="D35" s="159"/>
      <c r="E35" s="159"/>
      <c r="F35" s="159"/>
      <c r="G35" s="159"/>
      <c r="H35" s="159"/>
      <c r="I35" s="159"/>
      <c r="J35" s="159"/>
      <c r="K35" s="159"/>
      <c r="L35" s="159"/>
      <c r="M35" s="159"/>
      <c r="N35" s="158"/>
    </row>
    <row r="36" spans="2:16" x14ac:dyDescent="0.3">
      <c r="B36" s="160"/>
      <c r="C36" s="159"/>
      <c r="D36" s="159"/>
      <c r="E36" s="159"/>
      <c r="F36" s="159"/>
      <c r="G36" s="159"/>
      <c r="H36" s="159"/>
      <c r="I36" s="159"/>
      <c r="J36" s="159"/>
      <c r="K36" s="159"/>
      <c r="L36" s="159"/>
      <c r="M36" s="159"/>
      <c r="N36" s="158"/>
    </row>
    <row r="37" spans="2:16" x14ac:dyDescent="0.3">
      <c r="B37" s="160"/>
      <c r="C37" s="159"/>
      <c r="D37" s="159"/>
      <c r="E37" s="159"/>
      <c r="F37" s="159"/>
      <c r="G37" s="159"/>
      <c r="H37" s="159"/>
      <c r="I37" s="159"/>
      <c r="J37" s="159"/>
      <c r="K37" s="159"/>
      <c r="L37" s="159"/>
      <c r="M37" s="159"/>
      <c r="N37" s="158"/>
    </row>
    <row r="38" spans="2:16" ht="16.8" x14ac:dyDescent="0.3">
      <c r="B38" s="149" t="s">
        <v>128</v>
      </c>
      <c r="C38" s="157"/>
      <c r="D38" s="154"/>
      <c r="E38" s="151"/>
      <c r="F38" s="151"/>
      <c r="G38" s="151"/>
      <c r="H38" s="151"/>
      <c r="I38" s="151"/>
      <c r="J38" s="152"/>
      <c r="K38" s="151"/>
      <c r="L38" s="151"/>
      <c r="M38" s="151"/>
      <c r="N38" s="156"/>
    </row>
    <row r="39" spans="2:16" ht="16.8" x14ac:dyDescent="0.3">
      <c r="B39" s="149" t="s">
        <v>127</v>
      </c>
      <c r="C39" s="155"/>
      <c r="D39" s="154"/>
      <c r="E39" s="151"/>
      <c r="F39" s="151"/>
      <c r="G39" s="151"/>
      <c r="H39" s="151"/>
      <c r="I39" s="151"/>
      <c r="J39" s="152"/>
      <c r="K39" s="151"/>
      <c r="L39" s="151"/>
      <c r="M39" s="151"/>
      <c r="N39" s="150"/>
    </row>
    <row r="40" spans="2:16" ht="16.8" x14ac:dyDescent="0.3">
      <c r="B40" s="149" t="s">
        <v>126</v>
      </c>
      <c r="C40" s="153"/>
      <c r="D40" s="151"/>
      <c r="E40" s="151"/>
      <c r="F40" s="151"/>
      <c r="G40" s="151"/>
      <c r="H40" s="151"/>
      <c r="I40" s="151"/>
      <c r="J40" s="152"/>
      <c r="K40" s="151"/>
      <c r="L40" s="151"/>
      <c r="M40" s="151"/>
      <c r="N40" s="150"/>
    </row>
    <row r="41" spans="2:16" ht="16.8" x14ac:dyDescent="0.3">
      <c r="B41" s="149" t="s">
        <v>125</v>
      </c>
      <c r="N41" s="148"/>
    </row>
    <row r="42" spans="2:16" ht="16.8" x14ac:dyDescent="0.3">
      <c r="B42" s="149" t="s">
        <v>124</v>
      </c>
      <c r="N42" s="148"/>
    </row>
    <row r="43" spans="2:16" ht="16.8" x14ac:dyDescent="0.3">
      <c r="B43" s="149" t="s">
        <v>123</v>
      </c>
      <c r="N43" s="148"/>
    </row>
    <row r="44" spans="2:16" ht="16.8" x14ac:dyDescent="0.3">
      <c r="B44" s="149" t="s">
        <v>122</v>
      </c>
      <c r="N44" s="148"/>
    </row>
    <row r="45" spans="2:16" ht="16.8" x14ac:dyDescent="0.3">
      <c r="B45" s="149" t="s">
        <v>121</v>
      </c>
      <c r="N45" s="148"/>
    </row>
    <row r="46" spans="2:16" ht="16.8" x14ac:dyDescent="0.3">
      <c r="B46" s="149" t="s">
        <v>120</v>
      </c>
      <c r="N46" s="148"/>
    </row>
    <row r="47" spans="2:16" x14ac:dyDescent="0.3">
      <c r="B47" s="146" t="s">
        <v>39</v>
      </c>
      <c r="C47" s="145"/>
      <c r="D47" s="145"/>
      <c r="E47" s="145"/>
      <c r="F47" s="145"/>
      <c r="G47" s="145"/>
      <c r="H47" s="145"/>
      <c r="I47" s="145"/>
      <c r="J47" s="145"/>
      <c r="K47" s="145"/>
      <c r="L47" s="145"/>
      <c r="M47" s="145"/>
      <c r="N47" s="144"/>
      <c r="O47" s="147"/>
    </row>
    <row r="48" spans="2:16" x14ac:dyDescent="0.3">
      <c r="B48" s="146" t="s">
        <v>40</v>
      </c>
      <c r="C48" s="145"/>
      <c r="D48" s="145"/>
      <c r="E48" s="145"/>
      <c r="F48" s="145"/>
      <c r="G48" s="145"/>
      <c r="H48" s="145"/>
      <c r="I48" s="145"/>
      <c r="J48" s="145"/>
      <c r="K48" s="145"/>
      <c r="L48" s="145"/>
      <c r="M48" s="145"/>
      <c r="N48" s="144"/>
      <c r="O48" s="147"/>
    </row>
    <row r="49" spans="2:14" x14ac:dyDescent="0.3">
      <c r="B49" s="146" t="s">
        <v>119</v>
      </c>
      <c r="C49" s="145"/>
      <c r="D49" s="145"/>
      <c r="E49" s="145"/>
      <c r="F49" s="145"/>
      <c r="G49" s="145"/>
      <c r="H49" s="145"/>
      <c r="I49" s="145"/>
      <c r="J49" s="145"/>
      <c r="K49" s="145"/>
      <c r="L49" s="145"/>
      <c r="M49" s="145"/>
      <c r="N49" s="144"/>
    </row>
    <row r="50" spans="2:14" ht="25.8" x14ac:dyDescent="0.3">
      <c r="C50" s="15" t="s">
        <v>41</v>
      </c>
    </row>
    <row r="51" spans="2:14" ht="25.8" x14ac:dyDescent="0.3">
      <c r="C51" s="15" t="s">
        <v>42</v>
      </c>
    </row>
    <row r="52" spans="2:14" ht="25.8" x14ac:dyDescent="0.3">
      <c r="C52" s="15" t="s">
        <v>43</v>
      </c>
    </row>
    <row r="53" spans="2:14" ht="25.8" x14ac:dyDescent="0.3">
      <c r="C53" s="15" t="s">
        <v>44</v>
      </c>
    </row>
    <row r="54" spans="2:14" ht="25.8" x14ac:dyDescent="0.3">
      <c r="C54" s="15" t="s">
        <v>45</v>
      </c>
    </row>
  </sheetData>
  <dataConsolidate/>
  <mergeCells count="11">
    <mergeCell ref="F8:G8"/>
    <mergeCell ref="F9:G9"/>
    <mergeCell ref="G19:I19"/>
    <mergeCell ref="B22:N22"/>
    <mergeCell ref="B30:N30"/>
    <mergeCell ref="B32:N32"/>
    <mergeCell ref="B33:N33"/>
    <mergeCell ref="B47:N47"/>
    <mergeCell ref="B48:N48"/>
    <mergeCell ref="B49:N49"/>
    <mergeCell ref="B31:N31"/>
  </mergeCells>
  <dataValidations count="11">
    <dataValidation type="list" allowBlank="1" showInputMessage="1" showErrorMessage="1" sqref="H34" xr:uid="{A145D49C-E730-4B2F-AD6B-80138AB65056}">
      <formula1>"ALAA HAMMAD,KHALED QASSEM,RAMY RAOUF,SIMON LOBO,MHAREN CLEMENTE GARADO"</formula1>
    </dataValidation>
    <dataValidation type="list" allowBlank="1" showInputMessage="1" showErrorMessage="1" sqref="M34" xr:uid="{F32B771A-DAB2-49DD-8727-285BC7B50367}">
      <formula1>"Alaa Hammad,Bachir Ibrahim Mourad,Khaled Qassem,Ramy Raoof,Simon Lobo,Mharen Clemente Garado,Ranjith"</formula1>
    </dataValidation>
    <dataValidation type="list" allowBlank="1" showInputMessage="1" showErrorMessage="1" sqref="B11" xr:uid="{2315974E-C944-4B02-AADD-AB36D6826276}">
      <formula1>"FO Ceramic+ Intr&amp;Extr CeramicGold WdwTnt,FO Mirror Camera Sensor"</formula1>
    </dataValidation>
    <dataValidation type="list" allowBlank="1" showInputMessage="1" showErrorMessage="1" sqref="B12" xr:uid="{E946C6D5-8EF6-4391-A160-8943A7DD40DF}">
      <formula1>"FO Exterior ceramic All Cars SCOTCHGUARD,FO Mirror Camera Sensor,FO PPF Gold Package "</formula1>
    </dataValidation>
    <dataValidation type="list" allowBlank="1" showInputMessage="1" showErrorMessage="1" sqref="K20" xr:uid="{B3DFB994-1F2D-4608-82DB-2A45A2A437EB}">
      <formula1>"Esaad,Emirates Platinum,Fazaa,Humat Alwatan,Permissible,ASX,XPMLP,XP,MON,MON G57,OUT,F08,P08,F06,P06,F03,F03-1,P03,EC,G37,G38,G40,G43"</formula1>
    </dataValidation>
    <dataValidation type="list" allowBlank="1" showInputMessage="1" showErrorMessage="1" sqref="B16" xr:uid="{23C6C637-3694-40A1-9C9C-F367AC8FDCB4}">
      <formula1>"RMC-10-40KMS,RMC-10-60KMS,RMC-10-70KMS,RMC-10-100000KMS,RMC-40-70KMS,RMC-40-100000KMS"</formula1>
    </dataValidation>
    <dataValidation type="list" allowBlank="1" showInputMessage="1" showErrorMessage="1" sqref="K24" xr:uid="{A50A9767-9AFC-4A87-AA6D-8A1C946E60FF}">
      <formula1>"RMC-10-70K,RMC-10-100000K,RMC-40-70K"</formula1>
    </dataValidation>
    <dataValidation type="list" allowBlank="1" showInputMessage="1" showErrorMessage="1" sqref="D5" xr:uid="{AA5BD6E7-3586-4BF0-B99C-10780D81BA05}">
      <formula1>"MIG09,MIG10,H16,P16,H17,H48,H43,H40,H42,H44,H45,H38,H37,EH40,EH43,ML,HL,PR, MLP,HLP,PRP,XPML,XPHL,XPMLP, XPMLP-01,XC, G10,P10, G03, P03, G06,P06,G12,P12,G05,P05,G08,P08,G09,P09,H57,P57,H64,H59,P59,H61,P61"</formula1>
    </dataValidation>
    <dataValidation type="list" allowBlank="1" showInputMessage="1" showErrorMessage="1" sqref="M21" xr:uid="{30EE2AAF-10EB-4A79-BBC7-5786330CD693}">
      <formula1>"3000-4999,5000-9999,5000-99999,10000-14999,15000-24999,25000-34999,35000-99999,5000-11999,12000-19999,20000-39999,40000-69999,70000-99999"</formula1>
    </dataValidation>
    <dataValidation type="list" allowBlank="1" showInputMessage="1" showErrorMessage="1" sqref="C10:C16 L20 L24:L25 G14:G15 J10" xr:uid="{661EE9A8-CD92-4A60-8248-0CBFB79ABF40}">
      <formula1>"YES,NO"</formula1>
    </dataValidation>
    <dataValidation type="list" allowBlank="1" showInputMessage="1" showErrorMessage="1" sqref="K21" xr:uid="{2C4C1A2D-DA11-4B94-8068-28DB3C92FFAD}">
      <formula1>"ADCB,ADCB PAY IN 2027,Ajman Bank,ADIB,DIB EXPAT,DIB LOCAL GVH,Emirates NBD,EIB,FAB,RAK,SIB STL,SIB NON STL"</formula1>
    </dataValidation>
  </dataValidations>
  <pageMargins left="0.23622047244094491" right="0.23622047244094491" top="0.74803149606299213" bottom="0.74803149606299213" header="0.31496062992125984" footer="0.31496062992125984"/>
  <pageSetup paperSize="9" scale="40" orientation="landscape" horizontalDpi="4294967295" verticalDpi="4294967295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77B6B9-3467-4711-9C9F-04578EC64FB3}">
  <sheetPr>
    <pageSetUpPr fitToPage="1"/>
  </sheetPr>
  <dimension ref="A1:AA54"/>
  <sheetViews>
    <sheetView topLeftCell="B1" zoomScaleNormal="100" workbookViewId="0">
      <selection activeCell="D5" sqref="D5"/>
    </sheetView>
  </sheetViews>
  <sheetFormatPr defaultColWidth="9.109375" defaultRowHeight="15.6" x14ac:dyDescent="0.3"/>
  <cols>
    <col min="1" max="1" width="16" style="1" hidden="1" customWidth="1"/>
    <col min="2" max="2" width="75.109375" style="2" customWidth="1"/>
    <col min="3" max="3" width="26.88671875" style="3" customWidth="1"/>
    <col min="4" max="4" width="23.88671875" style="2" customWidth="1"/>
    <col min="5" max="5" width="23.33203125" style="2" customWidth="1"/>
    <col min="6" max="6" width="19.88671875" style="2" customWidth="1"/>
    <col min="7" max="7" width="23.33203125" style="2" customWidth="1"/>
    <col min="8" max="8" width="24.44140625" style="2" customWidth="1"/>
    <col min="9" max="9" width="27.109375" style="2" customWidth="1"/>
    <col min="10" max="10" width="26.6640625" style="2" customWidth="1"/>
    <col min="11" max="11" width="25.44140625" style="2" customWidth="1"/>
    <col min="12" max="12" width="20.5546875" style="2" customWidth="1"/>
    <col min="13" max="13" width="20.109375" style="2" customWidth="1"/>
    <col min="14" max="14" width="19.5546875" style="2" customWidth="1"/>
    <col min="15" max="15" width="15.109375" style="2" bestFit="1" customWidth="1"/>
    <col min="16" max="16" width="12.6640625" style="2" hidden="1" customWidth="1"/>
    <col min="17" max="17" width="12.6640625" style="1" hidden="1" customWidth="1"/>
    <col min="18" max="18" width="15.6640625" style="1" hidden="1" customWidth="1"/>
    <col min="19" max="19" width="13" style="1" hidden="1" customWidth="1"/>
    <col min="20" max="20" width="17.109375" style="1" hidden="1" customWidth="1"/>
    <col min="21" max="21" width="14.5546875" style="1" bestFit="1" customWidth="1"/>
    <col min="22" max="22" width="19" style="1" customWidth="1"/>
    <col min="23" max="23" width="22.5546875" style="1" bestFit="1" customWidth="1"/>
    <col min="24" max="25" width="9.109375" style="1"/>
    <col min="26" max="26" width="14" style="1" bestFit="1" customWidth="1"/>
    <col min="27" max="27" width="22.33203125" style="1" bestFit="1" customWidth="1"/>
    <col min="28" max="16384" width="9.109375" style="1"/>
  </cols>
  <sheetData>
    <row r="1" spans="1:27" ht="15.75" customHeight="1" x14ac:dyDescent="0.3">
      <c r="B1" s="222" t="s">
        <v>148</v>
      </c>
      <c r="C1" s="221"/>
      <c r="D1" s="221"/>
      <c r="E1" s="221"/>
      <c r="F1" s="221"/>
      <c r="G1" s="221"/>
      <c r="H1" s="221"/>
      <c r="I1" s="221"/>
      <c r="J1" s="221"/>
      <c r="K1" s="221"/>
      <c r="L1" s="221"/>
      <c r="M1" s="221"/>
      <c r="N1" s="220"/>
    </row>
    <row r="2" spans="1:27" ht="15.75" customHeight="1" x14ac:dyDescent="0.3">
      <c r="B2" s="219" t="s">
        <v>147</v>
      </c>
      <c r="C2" s="218"/>
      <c r="D2" s="218"/>
      <c r="E2" s="218"/>
      <c r="F2" s="218"/>
      <c r="G2" s="218"/>
      <c r="H2" s="218"/>
      <c r="I2" s="218"/>
      <c r="J2" s="218"/>
      <c r="K2" s="218"/>
      <c r="L2" s="218"/>
      <c r="M2" s="218"/>
      <c r="N2" s="217"/>
      <c r="Q2" s="2"/>
      <c r="S2" s="186"/>
    </row>
    <row r="3" spans="1:27" ht="15.75" customHeight="1" x14ac:dyDescent="0.3">
      <c r="B3" s="219" t="s">
        <v>146</v>
      </c>
      <c r="C3" s="218"/>
      <c r="D3" s="218"/>
      <c r="E3" s="218"/>
      <c r="F3" s="218"/>
      <c r="G3" s="218"/>
      <c r="H3" s="218"/>
      <c r="I3" s="218"/>
      <c r="J3" s="218"/>
      <c r="K3" s="218"/>
      <c r="L3" s="218"/>
      <c r="M3" s="218"/>
      <c r="N3" s="217"/>
      <c r="O3" s="3"/>
      <c r="P3" s="3"/>
      <c r="Q3" s="153"/>
      <c r="R3" s="153"/>
      <c r="S3" s="216" t="e">
        <f>N7+J14</f>
        <v>#VALUE!</v>
      </c>
      <c r="T3" s="216"/>
      <c r="U3" s="153"/>
      <c r="V3" s="153"/>
      <c r="W3" s="153"/>
      <c r="AA3" s="1">
        <f>273000/5</f>
        <v>54600</v>
      </c>
    </row>
    <row r="4" spans="1:27" ht="15.75" customHeight="1" x14ac:dyDescent="0.3">
      <c r="B4" s="215"/>
      <c r="C4" s="214"/>
      <c r="D4" s="214"/>
      <c r="E4" s="214"/>
      <c r="F4" s="214"/>
      <c r="G4" s="214"/>
      <c r="H4" s="214"/>
      <c r="I4" s="214"/>
      <c r="J4" s="214"/>
      <c r="K4" s="214"/>
      <c r="L4" s="214"/>
      <c r="M4" s="214"/>
      <c r="N4" s="213"/>
      <c r="O4" s="212" t="s">
        <v>0</v>
      </c>
      <c r="P4" s="212"/>
      <c r="Q4" s="210"/>
      <c r="R4" s="210"/>
      <c r="S4" s="211"/>
      <c r="T4" s="211"/>
      <c r="U4" s="210" t="s">
        <v>1</v>
      </c>
      <c r="V4" s="210" t="s">
        <v>2</v>
      </c>
      <c r="W4" s="210" t="s">
        <v>3</v>
      </c>
    </row>
    <row r="5" spans="1:27" ht="25.2" thickBot="1" x14ac:dyDescent="0.45">
      <c r="B5" s="17"/>
      <c r="C5" s="18" t="str">
        <f>IF(D5="MIG09","Mirage G09",IF(D5="MIG10","MirageG10",IF(D5="H16","Attrage H16",IF(D5="P16","Attrage P16",IF(D5="H17","Attrage H17",IF(D5="H48","ASX H48",IF(D5="H43","ASX H43",IF(D5="H40","ASX H40",IF(D5="H42","ASX H42",IF(D5="H44","ASX H44",IF(D5="H45","ASX H45",IF(D5="H38","Eclipse H38",IF(D5="H37","Eclipse H37",IF(D5="EH40","Eclipse H40",IF(D5="EH43","Eclipse H43",IF(D5="XPML","Xpander ML",IF(D5="ML","Destinator ML",IF(D5="HL","Destinator HL",IF(D5="PR","Destinator PR",IF(D5="MLP","Destinator MLP",IF(D5="HLP","Destinator HLP",IF(D5="PRP","Destinator PRP",IF(D5="XPHL","Xpander HL",IF(D5="XPMLP","Xpander ML P",IF(D5="XPMLP-01","Xpander ML P-01",IF(D5="XC","Xpander Cross",IF(D5="G03","Outlander G03",IF(D5="P03","Outlander P03",IF(D5="G06","Outlander G06",IF(D5="P06","Outlander P06",IF(D5="OTP06-01","Outlander P06-01",IF(D5="G08","Outlander G08",IF(D5="P08","Outlander P08",IF(D5="H57","Montero H57",IF(D5="P57","Montero P57",IF(D5="H64","Montero G64",IF(D5="H59","Montero G59",IF(D5="P59","Montero G59 P",IF(D5="H61","Montero G61",IF(D5="P61","Montero P61",IF(D5="G10","Outlander G10",IF(D5="P10","Outlander P10",IF(D5="G12","Outlander G12",IF(D5="P12","Outlander P12",IF(D5="G05","Outlander G05",IF(D5="P05","Outlander P05",IF(D5="G09","Outlander G09",IF(D5="P09","Outlander P09",))))))))))))))))))))))))))))))))))))))))))))))))</f>
        <v>Outlander P12</v>
      </c>
      <c r="D5" s="19" t="s">
        <v>167</v>
      </c>
      <c r="E5" s="20" t="s">
        <v>145</v>
      </c>
      <c r="F5" s="37"/>
      <c r="G5" s="37"/>
      <c r="H5" s="37"/>
      <c r="I5" s="20"/>
      <c r="J5" s="34"/>
      <c r="K5" s="209">
        <v>0</v>
      </c>
      <c r="L5" s="208">
        <v>3.39E-2</v>
      </c>
      <c r="M5" s="208">
        <v>6.7799999999999999E-2</v>
      </c>
      <c r="N5" s="208">
        <v>0.1017</v>
      </c>
      <c r="O5" s="147">
        <f>K7+K14</f>
        <v>13506.810382642498</v>
      </c>
      <c r="S5" s="186"/>
      <c r="U5" s="186">
        <f>L7+L14</f>
        <v>5576.4926462831245</v>
      </c>
      <c r="V5" s="186">
        <f>M7+M14</f>
        <v>3771.0059658862492</v>
      </c>
      <c r="W5" s="186">
        <f>N7+N14</f>
        <v>2650.8508712831249</v>
      </c>
    </row>
    <row r="6" spans="1:27" s="5" customFormat="1" ht="99" thickBot="1" x14ac:dyDescent="0.35">
      <c r="A6" s="4" t="s">
        <v>4</v>
      </c>
      <c r="B6" s="26" t="s">
        <v>5</v>
      </c>
      <c r="C6" s="27" t="s">
        <v>6</v>
      </c>
      <c r="D6" s="27" t="s">
        <v>144</v>
      </c>
      <c r="E6" s="27" t="s">
        <v>7</v>
      </c>
      <c r="F6" s="27" t="s">
        <v>8</v>
      </c>
      <c r="G6" s="28" t="s">
        <v>9</v>
      </c>
      <c r="H6" s="28" t="s">
        <v>143</v>
      </c>
      <c r="I6" s="28" t="s">
        <v>10</v>
      </c>
      <c r="J6" s="28" t="s">
        <v>142</v>
      </c>
      <c r="K6" s="28" t="s">
        <v>11</v>
      </c>
      <c r="L6" s="28" t="s">
        <v>12</v>
      </c>
      <c r="M6" s="28" t="s">
        <v>13</v>
      </c>
      <c r="N6" s="28" t="s">
        <v>14</v>
      </c>
      <c r="O6" s="207"/>
      <c r="P6" s="206"/>
      <c r="T6" s="205"/>
      <c r="U6" s="205">
        <f>N7+L14</f>
        <v>4406.2359362831248</v>
      </c>
      <c r="V6" s="205">
        <f>N7+K14</f>
        <v>10873.732785142498</v>
      </c>
      <c r="W6" s="205" t="e">
        <f>N7+J14</f>
        <v>#VALUE!</v>
      </c>
    </row>
    <row r="7" spans="1:27" ht="25.2" thickBot="1" x14ac:dyDescent="0.45">
      <c r="A7" s="6">
        <f>B8</f>
        <v>105900</v>
      </c>
      <c r="B7" s="29">
        <f>IF(L20="YES",C8*1,IF(L20="NO",B8*1))</f>
        <v>105900</v>
      </c>
      <c r="C7" s="29">
        <f>B7*5/100</f>
        <v>5295</v>
      </c>
      <c r="D7" s="203">
        <f>B7+C7</f>
        <v>111195</v>
      </c>
      <c r="E7" s="29">
        <f>D17</f>
        <v>19888.879874999999</v>
      </c>
      <c r="F7" s="29">
        <f>(C7)+(D10+D11+D12+D13+D16)*5/100</f>
        <v>5865</v>
      </c>
      <c r="G7" s="30">
        <f>B7+E7+F7</f>
        <v>131653.87987499998</v>
      </c>
      <c r="H7" s="29">
        <f>G7*D20</f>
        <v>26330.775974999997</v>
      </c>
      <c r="I7" s="30">
        <f>(G7-H7)</f>
        <v>105323.10389999999</v>
      </c>
      <c r="J7" s="30">
        <f>(((I7*D19)*1)+I7)/12</f>
        <v>9118.3477201424994</v>
      </c>
      <c r="K7" s="30">
        <f>(((I7*D19)*2)+I7)/24</f>
        <v>4729.8850576424993</v>
      </c>
      <c r="L7" s="30">
        <f>(((I7*D19)*3)+I7)/36</f>
        <v>3267.0641701424993</v>
      </c>
      <c r="M7" s="30">
        <f>(((I7*D19)*4)+I7)/48</f>
        <v>2535.6537263924997</v>
      </c>
      <c r="N7" s="30">
        <f>((((I7*D19)*5)+I7)/60)</f>
        <v>2096.8074601425001</v>
      </c>
      <c r="O7" s="147"/>
      <c r="P7" s="2">
        <f>H7+H16</f>
        <v>27436.668565949996</v>
      </c>
      <c r="T7" s="186">
        <f>25973/2</f>
        <v>12986.5</v>
      </c>
    </row>
    <row r="8" spans="1:27" ht="24.6" x14ac:dyDescent="0.4">
      <c r="A8" s="7">
        <v>0.2</v>
      </c>
      <c r="B8" s="31">
        <f>IF(D5="MIG09",39900,IF(D5="MIG10",41900,IF(D5="H16",41900,IF(D5="P16",47400,IF(D5="H17",47900,IF(D5="H48",67900,IF(D5="H43",70900,IF(D5="H40",72900,IF(D5="H42",74900,IF(D5="H44",73900,IF(D5="H45",79900,IF(D5="H38",86900,IF(D5="H37",79900,IF(D5="EH40",99900,IF(D5="EH43",106900,IF(D5="ML",71900,IF(D5="HL",83900,IF(D5="PR",95900,IF(D5="MLP",80900,IF(D5="HLP",91900,IF(D5="PRP",102900,IF(D5="XPML",69900,IF(D5="XPHL",71000,IF(D5="XPMLP",75900,IF(D5="XPMLP-01",77800,IF(D5="XC",84900,IF(D5="G10",81900,IF(D5="P10",93900,IF(D5="G12",97900,IF(D5="P12",105900,IF(D5="G05",104900,IF(D5="P05",105900,IF(D5="G03",92900,IF(D5="P03",100900,IF(D5="G06",109900,IF(D5="P06",114900,IF(D5="OTP06-01",118900,IF(D5="G08",125900,IF(D5="P08",132900,IF(D5="OTP06-01",109900,IF(D5="G09",129900,IF(D5="P09",134900,IF(D5="H57",105900,IF(D5="P57",113900,IF(D5="H64",116900,IF(D5="H59",127900,IF(D5="P59",134900,IF(D5="H61",134900,IF(D5="P61",138900)))))))))))))))))))))))))))))))))))))))))))))))))</f>
        <v>105900</v>
      </c>
      <c r="C8" s="32">
        <f>IF(L20="YES",N20,IF(L20="NO",N20))</f>
        <v>105900</v>
      </c>
      <c r="D8" s="29">
        <v>0</v>
      </c>
      <c r="E8" s="33"/>
      <c r="F8" s="139"/>
      <c r="G8" s="140"/>
      <c r="H8" s="110">
        <f>G7*20/100</f>
        <v>26330.775974999997</v>
      </c>
      <c r="I8" s="34"/>
      <c r="J8" s="34" t="s">
        <v>15</v>
      </c>
      <c r="K8" s="34">
        <f>(I7*K5+I7)/24</f>
        <v>4388.4626624999992</v>
      </c>
      <c r="L8" s="34">
        <f>(I7*L5+I7)/36</f>
        <v>3024.8210311724997</v>
      </c>
      <c r="M8" s="34">
        <f>(I7*M5+I7)/48</f>
        <v>2343.00021550875</v>
      </c>
      <c r="N8" s="34">
        <f>(I7*N5+I7)/60</f>
        <v>1933.9077261104999</v>
      </c>
      <c r="O8" s="147">
        <v>0</v>
      </c>
      <c r="P8" s="2">
        <f>P7/12</f>
        <v>2286.3890471624995</v>
      </c>
      <c r="T8" s="1">
        <f>25973-12973</f>
        <v>13000</v>
      </c>
    </row>
    <row r="9" spans="1:27" ht="24.6" x14ac:dyDescent="0.4">
      <c r="A9" s="8">
        <f>B8/(100%-A8)</f>
        <v>132375</v>
      </c>
      <c r="B9" s="109">
        <f>B7-B8</f>
        <v>0</v>
      </c>
      <c r="C9" s="109"/>
      <c r="D9" s="36"/>
      <c r="E9" s="33"/>
      <c r="F9" s="139"/>
      <c r="G9" s="140"/>
      <c r="H9" s="33"/>
      <c r="I9" s="37" t="s">
        <v>16</v>
      </c>
      <c r="J9" s="38">
        <f>(J7*12)-I7</f>
        <v>4097.0687417100125</v>
      </c>
      <c r="K9" s="38">
        <f>(K7*24)-I7</f>
        <v>8194.137483419996</v>
      </c>
      <c r="L9" s="38">
        <f>(L7*36)-I7</f>
        <v>12291.206225129979</v>
      </c>
      <c r="M9" s="38">
        <f>(M7*48)-I7</f>
        <v>16388.274966839992</v>
      </c>
      <c r="N9" s="38">
        <f>(N7*60)-I7</f>
        <v>20485.343708550019</v>
      </c>
      <c r="O9" s="147"/>
      <c r="T9" s="1">
        <f>T8/12</f>
        <v>1083.3333333333333</v>
      </c>
      <c r="Z9" s="1" t="s">
        <v>86</v>
      </c>
    </row>
    <row r="10" spans="1:27" ht="24.6" x14ac:dyDescent="0.4">
      <c r="A10" s="8"/>
      <c r="B10" s="37" t="s">
        <v>141</v>
      </c>
      <c r="C10" s="20" t="s">
        <v>17</v>
      </c>
      <c r="D10" s="36">
        <f>IF(C10="YES",700,IF(C10="NO",0))</f>
        <v>0</v>
      </c>
      <c r="E10" s="39"/>
      <c r="F10" s="40"/>
      <c r="G10" s="40"/>
      <c r="H10" s="33"/>
      <c r="I10" s="44" t="s">
        <v>85</v>
      </c>
      <c r="J10" s="117" t="s">
        <v>19</v>
      </c>
      <c r="K10" s="117">
        <f>IF(J10="YES",Z10,IF(J10="NO",0))</f>
        <v>1000</v>
      </c>
      <c r="L10" s="41">
        <f>(L8*36)-I7</f>
        <v>3570.4532222099951</v>
      </c>
      <c r="M10" s="41">
        <f>(M8*48)-I7</f>
        <v>7140.9064444200194</v>
      </c>
      <c r="N10" s="41">
        <f>(N8*60)-I7</f>
        <v>10711.35966663</v>
      </c>
      <c r="O10" s="147">
        <f>IF(D5="XC",3690,IF(D5="XPML",3690,IF(D5="XPHL",3690,IF(D5="XPMLP",3690,IF(D5="XPMLP-01",3690,IF(D5="Xpander P",3690,IF(D5="ML",3690,IF(D5="HL",3690,IF(D5="PR",(U19*3/100+510)*1.05,IF(D5="MLP",3690,IF(D5="HLP",(U19*3/100+510)*1.05,IF(D5="PRP",(U19*3/100+510)*1.05,IF(D5="H57",(U19*2.75/100+510)*1.05,IF(D5="P57",(U19*2.75/100+510)*1.05,IF(D5="H64",(U19*2.75/100+510)*1.05,IF(D5="H59",(U19*2.75/100+510)*1.05,IF(D5="P59",(U19*2.75/100+510)*1.05,IF(D5="H61",(U19*2.75/100+510)*1.05,IF(D5="P61",(U19*2.75/100+510)*1.05,IF(D5="G03",(U19*3/100+510)*1.05,IF(D5="G10",(U19*3/100+510)*1.05,IF(D5="P10",(U19*3/100+510)*1.05,IF(D5="G12",(U19*3/100+510)*1.05,IF(D5="P12",(U19*3/100+510)*1.05,IF(D5="G05",(U19*3/100+510)*1.05,IF(D5="P05",(U19*3/100+510)*1.05,IF(D5="P03",(U19*3/100+510)*1.05,IF(D5="G06",(U19*3/100+510)*1.05,IF(D5="P06",(U19*3/100+510)*1.05,IF(D5="OTP06-01",(U19*3/100+510)*1.05,IF(D5="G08",(U19*3/100+510)*1.05,IF(D5="P08",(U19*3/100+510)*1.05,IF(D5="G09",(U19*3/100+510)*1.05,IF(D5="P09",(U19*3/100+510)*1.05,IF(D5="H38",3625,IF(D5="H37",3625,IF(D5="EH40",(U19*3/100+450)*1.05,IF(D5="EH43",(U19*3/100+450)*1.05,IF(D5="H48",3625,IF(D5="H43",3625,IF(D5="H40",3625,IF(D5="H42",3625,IF(D5="H44",3625,IF(D5="H45",3625,IF(D5="ASX HL 4WD",3625,IF(D5="H16",3625,IF(D5="H17",3625,IF(D5="P16",3625,IF(D5="Attrage S",3625,IF(D5="MIG09",3625,IF(D5="MIG10",3625,IF(D5="Xpander HL",3690))))))))))))))))))))))))))))))))))))))))))))))))))))</f>
        <v>4415.1975000000002</v>
      </c>
      <c r="P10" s="204"/>
      <c r="Q10" s="204">
        <f>5.25*3</f>
        <v>15.75</v>
      </c>
      <c r="Z10" s="1">
        <f>IF(D5="MIG09",1000,IF(D5="MIG10",1000,IF(D5="H16",1000,IF(D5="P16",1000,IF(D5="H17",1000,IF(D5="H48",1000,IF(D5="H43",1000,IF(D5="H40",1000,IF(D5="H42",1000,IF(D5="H44",1000,IF(D5="H45",1000,IF(D5="H38",1000,IF(D5="H37",1000,IF(D5="EH40",1000,IF(D5="EH43",1000,IF(D5="ML",1000,IF(D5="HL",1000,IF(D5="PR",1000,IF(D5="MLP",1000,IF(D5="HLP",1000,IF(D5="PRP",1000,IF(D5="XPML",1000,IF(D5="XPHL",1000,IF(D5="XPMLP",1000,IF(D5="XPMLP-01",1000,IF(D5="XC",1000,IF(D5="G10",1000,IF(D5="P10",1000,IF(D5="G12",1000,IF(D5="P12",1000,IF(D5="G05",1000,IF(D5="P05",1000,IF(D5="G03",1000,IF(D5="P03",1000,IF(D5="G06",1000,IF(D5="P06",1000,IF(D5="OTP06-01",1000,IF(D5="G08",1000,IF(D5="P08",1000,IF(D5="OTP06-01",1000,IF(D5="G09",1000,IF(D5="P09",1000,IF(D5="H57",1000,IF(D5="P57",1000,IF(D5="H64",1000,IF(D5="H59",1000,IF(D5="P59",1000,IF(D5="H61",1000,IF(D5="P61",1000)))))))))))))))))))))))))))))))))))))))))))))))))</f>
        <v>1000</v>
      </c>
    </row>
    <row r="11" spans="1:27" ht="24.6" x14ac:dyDescent="0.4">
      <c r="A11" s="8"/>
      <c r="B11" s="37" t="s">
        <v>18</v>
      </c>
      <c r="C11" s="20" t="s">
        <v>19</v>
      </c>
      <c r="D11" s="203">
        <f>IF(C11="YES",O17,IF(C11="NO",0))</f>
        <v>2700</v>
      </c>
      <c r="E11" s="39"/>
      <c r="F11" s="40"/>
      <c r="G11" s="40"/>
      <c r="H11" s="33"/>
      <c r="I11" s="33"/>
      <c r="J11" s="44" t="s">
        <v>76</v>
      </c>
      <c r="K11" s="44">
        <f>H8-K10</f>
        <v>25330.775974999997</v>
      </c>
      <c r="L11" s="37"/>
      <c r="M11" s="37"/>
      <c r="N11" s="38"/>
      <c r="O11" s="147">
        <f>IF(D5="XC",6100,IF(D5="XPML",6100,IF(D5="XPHL",6100,IF(D5="XPMLP",6100,IF(D5="XPMLP-01",6100,IF(D5="Xpander P",6100,IF(D5="ML",6600,IF(D5="HL",6600,IF(D5="PR",6600,IF(D5="MLP",6600,IF(D5="HLP",6600,IF(D5="PRP",6600,IF(D5="H57",5900,IF(D5="P57",5900,IF(D5="H64",5900,IF(D5="H59",5900,IF(D5="P59",5900,IF(D5="H61",5900,IF(D5="P61",5900,IF(D5="G03",6700,IF(D5="G10",6700,IF(D5="P10",6700,IF(D5="G12",6700,IF(D5="P12",6700,IF(D5="G05",6700,IF(D5="P05",6700,IF(D5="P03",6700,IF(D5="G06",6700,IF(D5="P06",6700,IF(D5="OTP06-01",6700,IF(D5="G08",6700,IF(D5="G09",6700,IF(D5="G08",6700,IF(D5="P08",6700,IF(D5="P09",6700,IF(D5="H37",6400,IF(D5="H38",6400,IF(D5="EH40",6400,IF(D5="EH43",6400,IF(D5="H48",6600,IF(D5="H43",6600,IF(D5="H40",6600,IF(D5="H42",6600,IF(D5="H44",6600,IF(D5="H45",6600,IF(D5="ASX HL 4WD",6600,IF(D5="H16",5400,IF(D5="H17",5400,IF(D5="P16",5400,IF(D5="Attrage S",5400,IF(D5="MIG09",5400,IF(D5="MIG10",5400,IF(D5="Xpander HL",6000)))))))))))))))))))))))))))))))))))))))))))))))))))))</f>
        <v>6700</v>
      </c>
      <c r="P11" s="147"/>
      <c r="Q11" s="147"/>
      <c r="R11" s="147"/>
      <c r="S11" s="147"/>
      <c r="T11" s="147"/>
      <c r="U11" s="147">
        <f>IF(D5="XC",4900,IF(D5="XPML",4900,IF(D5="XPHL",4900,IF(D5="XPMLP",4900,IF(D5="XPMLP-01",4900,IF(D5="Xpander P",4900,IF(D5="ML",5400,IF(D5="HL",5400,IF(D5="PR",5400,IF(D5="MLP",5400,IF(D5="HLP",5400,IF(D5="PRP",5400,IF(D5="H57",4600,IF(D5="P57",4600,IF(D5="MOG64",4600,IF(D5="H59",4600,IF(D5="P59",4600,IF(D5="H61",4600,IF(D5="P61",4600,IF(D5="G03",5500,IF(D5="P03",5500,IF(D5="G10",5500,IF(D5="P10",5500,IF(D5="G12",5500,IF(D5="P12",5500,IF(D5="G05",5500,IF(D5="P05",5500,IF(D5="G06",5500,IF(D5="P06",5500,IF(D5="OTP06-01",5500,IF(D5="F08",5500,IF(D5="P08",5500,IF(D5="G09",5500,IF(D5="P09",5500,IF(D5="H38",5200,IF(D5="H37",5200,IF(D5="EH40",5200,IF(D5="EH43",5200,IF(D5="H48",5300,IF(D5="H43",5300,IF(D5="H40",5300,IF(D5="H42",5300,IF(D5="H44",5300,IF(D5="H45",5300,IF(D5="ASX HL",5300,IF(D5="ASX P",5300,IF(D5="ASX HL 4WD",5300,IF(D5="H16",4200,IF(D5="H17",4200,IF(D5="P16",4200,IF(D5="Attrage S",4200,IF(D5="MIG09",4200,IF(D5="MIG10",4200,IF(D5="Xpander HL",4900))))))))))))))))))))))))))))))))))))))))))))))))))))))</f>
        <v>5500</v>
      </c>
      <c r="V11" s="147">
        <f>IF(D5="XC",9700,IF(D5="XPML",9700,IF(D5="XPHL",9700,IF(D5="XPMLP",9700,IF(D5="XPMLP-01",9700,IF(D5="XPMLP-01",9700,IF(D5="Xpander P",9700,IF(D5="ML",10800,IF(D5="HL",10800,IF(D5="PR",10800,IF(D5="MLP",10800,IF(D5="HLP",10800,IF(D5="PRP",10800,IF(D5="H57",9300,IF(D5="P57",9300,IF(D5="MG64",9300,IF(D5="H59",9300,IF(D5="P59",9300,IF(D5="H61",9300,IF(D5="P61",9300,IF(D5="G03",11000,IF(D5="G10",11000,IF(D5="P10",11000,IF(D5="G12",11000,IF(D5="P12",11000,IF(D5="G05",11000,IF(D5="P05",11000,IF(D5="P03",11000,IF(D5="G06",11000,IF(D5="P06",11000,IF(D5="OTP06-01",11000,IF(D5="G08",11000,IF(D5="P08",11000,IF(D5="G09",11000,IF(D5="P09",11000,IF(D5="H38",10400,IF(D5="H37",10400,IF(D5="EH40",10400,IF(D5="EH43",10400,IF(D5="H48",10700,IF(D5="H43",10700,IF(D5="H40",10700,IF(D5="H42",10700,IF(D5="H44",10800,IF(D5="H45",10800,IF(D5="ASX HL",12200,IF(D5="ASX P",12200,IF(D5="ASX HL 4WD",12200,IF(D5="H16",8500,IF(D5="H17",8500,IF(D5="P16",8500,IF(D5="Attrage S",9600,IF(D5="MIG09",8500,IF(D5="MIG10",8500,IF(D5="Xpander HL",11300)))))))))))))))))))))))))))))))))))))))))))))))))))))))</f>
        <v>11000</v>
      </c>
      <c r="W11" s="147">
        <f>IF(D5="XC",9200,IF(D5="XPML",9200,IF(D5="XPHL",9200,IF(D5="XPMLP",9200,IF(D5="XPMLP-01",9200,IF(D5="Xpander P",9200,IF(D5="ML",10000,IF(D5="HL",10000,IF(D5="PR",10000,IF(D5="MLP",10000,IF(D5="HLP",10000,IF(D5="PRP",10000,IF(D5="H57",8700,IF(D5="P57",8700,IF(D5="H64",8700,IF(D5="H59",8700,IF(D5="P59",8700,IF(D5="H61",8700,IF(D5="P61",8700,IF(D5="G03",10400,IF(D5="P03",10400,IF(D5="G10",10400,IF(D5="P10",10400,IF(D5="G12",10400,IF(D5="P12",10400,IF(D5="G05",10400,IF(D5="P05",10400,IF(D5="G06",10400,IF(D5="P06",10400,IF(D5="OTP06-01",10400,IF(D5="G08",10400,IF(D5="P08",10400,IF(D5="G09",10400,IF(D5="P09",10400,IF(D5="H38",9800,IF(D5="H37",9800,IF(D5="EH40",9800,IF(D5="EH43",9800,IF(D5="H48",10100,IF(D5="H43",10100,IF(D5="H40",10100,IF(D5="H42",10100,IF(D5="H44",10100,IF(D5="H45",10100,IF(D5="ASX HL",10100,IF(D5="ASX P",10100,IF(D5="ASX HL 4WD",10100,IF(D5="H16",7900,IF(D5="H17",7900,IF(D5="P16",7900,IF(D5="Attrage S",7900,IF(D5="MIG09",7900,IF(D5="MIG10",7900,IF(D5="Xpander HL",9200))))))))))))))))))))))))))))))))))))))))))))))))))))))</f>
        <v>10400</v>
      </c>
      <c r="X11" s="147">
        <f>IF(D5="XC",4500,IF(D5="XPML",4500,IF(D5="XPHL",4500,IF(D5="XPMLP",4500,IF(D5="XPMLP-01",4500,IF(D5="Xpander P",4500,IF(D5="ML",5000,IF(D5="HL",5000,IF(D5="PR",5000,IF(D5="MLP",5000,IF(D5="HLP",5000,IF(D5="PRP",5000,IF(D5="H57",8700,IF(D5="P57",8700,IF(D5="MOG64",4300,IF(D5="H59",4300,IF(D5="P59",4300,IF(D5="H61",4300,IF(D5="P61",4300,IF(D5="G03",5000,IF(D5="P03",5000,IF(D5="G10",5000,IF(D5="P10",5000,IF(D5="G12",5000,IF(D5="P12",5000,IF(D5="G05",5000,IF(D5="P05",5000,IF(D5="G06",5000,IF(D5="P06",5000,IF(D5="OTP06-01",5000,IF(D5="G08",5000,IF(D5="P08",5000,IF(D5="G09",5000,IF(D5="P09",5000,IF(D5="H38",4900,IF(D5="H37",4900,IF(D5="EH40",4900,IF(D5="EH43",4900,IF(D5="H48",4900,IF(D5="H43",4900,IF(D5="H40",4900,IF(D5="H42",4900,IF(D5="H44",4900,IF(D5="H45",4900,IF(D5="ASX HL",4900,IF(D5="ASX P",4900,IF(D5="ASX HL 4WD",4900,IF(D5="H16",3700,IF(D5="H17",3700,IF(D5="P16",3700,IF(D5="Attrage S",3700,IF(D5="MIG09",3700,IF(D5="MIG10",3700,IF(D5="Xpander HL",4500))))))))))))))))))))))))))))))))))))))))))))))))))))))</f>
        <v>5000</v>
      </c>
      <c r="Y11" s="147">
        <f>IF(D5="XC",5400,IF(D5="XPML ",5400,IF(D5="XPHL",5400,IF(D5="XPMLP",5400,IF(D5="XPMLP-01",5400,IF(D5="Xpander P",5400,IF(D5="ML",6000,IF(D5="HL",6000,IF(D5="PR",6000,IF(D5="MLP",6000,IF(D5="HLP",6000,IF(D5="PRP",6000,IF(D5="H57",5200,IF(D5="57",5200,IF(D5="H64",5200,IF(D5="H59",5200,IF(D5="P59",5200,IF(D5="H61",5200,IF(D5="P61",5200,IF(D5="G03",6000,IF(D5="P03",6000,IF(D5="G10",6000,IF(D5="P10",6000,IF(D5="G12",6000,IF(D5="P12",6000,IF(D5="G05",6000,IF(D5="P05",6000,IF(D5="G06",6000,IF(D5="P06",6000,IF(D5="OTP06-01",6000,IF(D5="G08",6000,IF(D5="P08",6000,IF(D5="G09",6000,IF(D5="P09",6000,IF(D5="H38",5700,IF(D5="H37",5700,IF(D5="EH40",5700,IF(D5="EH43",5700,IF(D5="H48",5900,IF(D5="H43",5900,IF(D5="H40",5900,IF(D5="H42",5900,IF(D5="H44",5900,IF(D5="H45",5900,IF(D5="ASX HL",5900,IF(D5="ASX P",5900,IF(D5="ASX HL 4WD",5900,IF(D5="H16",4500,IF(D5="H17",4500,IF(D5="P16",4500,IF(D5="Attrage S",4500,IF(D5="MIG09",4500,IF(D5="MIG10",4500,IF(D5="Xpander HL",5400))))))))))))))))))))))))))))))))))))))))))))))))))))))</f>
        <v>6000</v>
      </c>
    </row>
    <row r="12" spans="1:27" ht="24.6" x14ac:dyDescent="0.4">
      <c r="A12" s="8"/>
      <c r="B12" s="37" t="s">
        <v>20</v>
      </c>
      <c r="C12" s="20" t="s">
        <v>17</v>
      </c>
      <c r="D12" s="36">
        <f>IF(C12="YES",2000,IF(C12="NO",0))</f>
        <v>0</v>
      </c>
      <c r="E12" s="43"/>
      <c r="F12" s="43" t="s">
        <v>21</v>
      </c>
      <c r="G12" s="40"/>
      <c r="H12" s="33">
        <v>600</v>
      </c>
      <c r="I12" s="33"/>
      <c r="J12" s="202" t="s">
        <v>140</v>
      </c>
      <c r="K12" s="45">
        <v>0</v>
      </c>
      <c r="L12" s="45">
        <v>5.2499999999999998E-2</v>
      </c>
      <c r="M12" s="45">
        <v>0.126</v>
      </c>
      <c r="N12" s="201">
        <v>0.26250000000000001</v>
      </c>
      <c r="O12" s="147">
        <f>IF(K20="Esaad",B8*3/100,IF(K20="Emirates Platinum",B8*3/100,IF(K20="Fazaa",B8*3/100,IF(K20="Humat Alwatan",B8*3/100,IF(K20="Permissible",2000,IF(K20="ASX",8400,IF(K20="XPMLP",15100,IF(K20="XP",7200,IF(K20="G43",11000,IF(K20="EC",17000,IF(K20="G37",17000,IF(K20="G38",15000,IF(K20="G40",11000,IF(K20="OUT",3000,IF(K20="F08",14400,IF(K20="P08",11100,IF(K20="F06",13100,IF(K20="P06",13400,IF(K20="F03",3500,IF(K20="F03-1",13500,IF(K20="P03",13100,IF(K20="MON",10000,IF(K20="MON G57",9000,0)))))))))))))))))))))))</f>
        <v>2000</v>
      </c>
      <c r="Z12" s="86" t="s">
        <v>83</v>
      </c>
      <c r="AA12" s="86" t="s">
        <v>84</v>
      </c>
    </row>
    <row r="13" spans="1:27" ht="24.6" x14ac:dyDescent="0.4">
      <c r="A13" s="8">
        <f>B8*1.26582</f>
        <v>134050.33799999999</v>
      </c>
      <c r="B13" s="37" t="s">
        <v>23</v>
      </c>
      <c r="C13" s="20" t="s">
        <v>19</v>
      </c>
      <c r="D13" s="36">
        <f>IF(C13="YES",2000,IF(C13="NO",0))</f>
        <v>2000</v>
      </c>
      <c r="E13" s="47"/>
      <c r="F13" s="47" t="s">
        <v>75</v>
      </c>
      <c r="G13" s="51"/>
      <c r="H13" s="39">
        <v>315</v>
      </c>
      <c r="I13" s="33"/>
      <c r="J13" s="44" t="s">
        <v>54</v>
      </c>
      <c r="K13" s="29" t="s">
        <v>79</v>
      </c>
      <c r="L13" s="29" t="s">
        <v>25</v>
      </c>
      <c r="M13" s="29" t="s">
        <v>0</v>
      </c>
      <c r="N13" s="57" t="s">
        <v>26</v>
      </c>
      <c r="O13" s="9">
        <f>IF(M21="3000-4999",6%,IF(M21="5000-9999",4.75%,IF(M21="10000-14999",3.15%,IF(M21="15000-24999",2.5%,IF(M21="25000-34999",2.25%,IF(M21="35000-99999",2.15%))))))</f>
        <v>4.7500000000000001E-2</v>
      </c>
      <c r="Q13" s="2">
        <f>H7/12</f>
        <v>2194.2313312499996</v>
      </c>
      <c r="U13" s="9">
        <f>IF(M21="3000-4999",6%,IF(M21="5000-9999",3.25%,IF(M21="10000-14999",3%,IF(M21="15000-24999",2.25%,IF(M21="25000-34999",2.15%,IF(M21="35000-99999",1.99%))))))</f>
        <v>3.2500000000000001E-2</v>
      </c>
      <c r="Z13" s="99">
        <f>IF(M21="5000-9999",2.49%,IF(M21="10000-19999",2.19%,IF(M21="20000-34999",2.09%,IF(M21="35000-49999",1.89%,IF(M21="50000-99999",1.79%)))))</f>
        <v>2.4900000000000002E-2</v>
      </c>
      <c r="AA13" s="99">
        <f>IF(M21="5000-9999",2.59%,IF(M21="10000-19999",2.29%,IF(M21="20000-34999",2.19%,IF(M21="35000-49999",1.99%,IF(M21="50000-99999",1.89%)))))</f>
        <v>2.5899999999999999E-2</v>
      </c>
    </row>
    <row r="14" spans="1:27" ht="24.6" x14ac:dyDescent="0.4">
      <c r="A14" s="10" t="s">
        <v>27</v>
      </c>
      <c r="B14" s="37" t="s">
        <v>24</v>
      </c>
      <c r="C14" s="20" t="s">
        <v>19</v>
      </c>
      <c r="D14" s="50">
        <f>IF(C14="YES",U19*3.15*1.05/100,IF(C14="NO",U19*0/100))</f>
        <v>4073.6823749999999</v>
      </c>
      <c r="E14" s="48"/>
      <c r="F14" s="48" t="s">
        <v>24</v>
      </c>
      <c r="G14" s="51" t="s">
        <v>17</v>
      </c>
      <c r="H14" s="39">
        <f>IF(G14="YES",U19*3.15*1.05/100,IF(G14="NO",U19*0/100))</f>
        <v>0</v>
      </c>
      <c r="I14" s="33"/>
      <c r="J14" s="44" t="s">
        <v>55</v>
      </c>
      <c r="K14" s="44">
        <f>(H8*K12+H8)/3</f>
        <v>8776.9253249999983</v>
      </c>
      <c r="L14" s="44">
        <f>(H8*L12+H8)/12</f>
        <v>2309.4284761406248</v>
      </c>
      <c r="M14" s="44">
        <f>(H8*M12+H8)/24</f>
        <v>1235.3522394937497</v>
      </c>
      <c r="N14" s="200">
        <f>(H7*N12+H7)/60</f>
        <v>554.04341114062493</v>
      </c>
      <c r="O14" s="9">
        <f>IF(M21="3000-4999",3.89%,IF(M21="5000-9999",3.89%,IF(M21="10000-14999",3.89%,IF(M21="15000-24999",2.69%,IF(M21="25000-34999",2.69%,IF(M21="35000-99999",2.39%,IF(M21="76000-99999",2.5%)))))))</f>
        <v>3.8900000000000004E-2</v>
      </c>
    </row>
    <row r="15" spans="1:27" ht="24.6" x14ac:dyDescent="0.4">
      <c r="A15" s="11">
        <f>(B7*3%)+10+120</f>
        <v>3307</v>
      </c>
      <c r="B15" s="37" t="s">
        <v>28</v>
      </c>
      <c r="C15" s="20" t="s">
        <v>19</v>
      </c>
      <c r="D15" s="29">
        <f>IF(C15="YES",O10,IF(C15="NO",0))</f>
        <v>4415.1975000000002</v>
      </c>
      <c r="E15" s="48"/>
      <c r="F15" s="48" t="s">
        <v>53</v>
      </c>
      <c r="G15" s="51" t="s">
        <v>17</v>
      </c>
      <c r="H15" s="39">
        <f>IF(G15="YES",O10,IF(G15="NO",0))</f>
        <v>0</v>
      </c>
      <c r="I15" s="33"/>
      <c r="J15" s="44"/>
      <c r="K15" s="44"/>
      <c r="L15" s="44"/>
      <c r="M15" s="44"/>
      <c r="N15" s="198"/>
      <c r="O15" s="9" t="b">
        <f>IF(M21="3000-4999",4.99%, IF(M21="5000-11999",2.75%,IF(M21="12000-19999",2.75%,IF(M21="20000-39999",2.25%,IF(M21="40000-69999",2.25%,IF(M21="70000-99999",2.25%))))))</f>
        <v>0</v>
      </c>
      <c r="P15" s="191"/>
    </row>
    <row r="16" spans="1:27" ht="24.6" x14ac:dyDescent="0.4">
      <c r="A16" s="11">
        <f>((B7-B8)*3%+10+120)</f>
        <v>130</v>
      </c>
      <c r="B16" s="37" t="s">
        <v>78</v>
      </c>
      <c r="C16" s="20" t="s">
        <v>19</v>
      </c>
      <c r="D16" s="29">
        <f>IF(C16="YES",O16,IF(C16="NO",0))</f>
        <v>6700</v>
      </c>
      <c r="E16" s="47"/>
      <c r="F16" s="47" t="s">
        <v>74</v>
      </c>
      <c r="G16" s="54"/>
      <c r="H16" s="33">
        <f>I7*1.05%</f>
        <v>1105.8925909499999</v>
      </c>
      <c r="I16" s="33"/>
      <c r="J16" s="44" t="s">
        <v>16</v>
      </c>
      <c r="K16" s="44">
        <f>(K14*3)-H8</f>
        <v>0</v>
      </c>
      <c r="L16" s="44">
        <f>(L14*12)-H8</f>
        <v>1382.3657386874984</v>
      </c>
      <c r="M16" s="44">
        <f>(M14*24)-H8</f>
        <v>3317.6777728499947</v>
      </c>
      <c r="N16" s="198"/>
      <c r="O16" s="147">
        <f>IF(B16="RMC-10-70KMS",O11,IF(B16="RMC-10-100000KMS",V11,IF(B16="RMC-40-70KMS",U11, IF(B16="RMC-10-40KMS",X11, IF(B16="RMC-10-60KMS",Y11, IF(B16="RMC-40-100000KMS",W11,0))))))</f>
        <v>6700</v>
      </c>
    </row>
    <row r="17" spans="1:23" ht="24.6" x14ac:dyDescent="0.4">
      <c r="A17" s="11">
        <f>A15+A16</f>
        <v>3437</v>
      </c>
      <c r="B17" s="37"/>
      <c r="C17" s="20"/>
      <c r="D17" s="29">
        <f>SUM(D10:D16)</f>
        <v>19888.879874999999</v>
      </c>
      <c r="E17" s="48"/>
      <c r="F17" s="48"/>
      <c r="G17" s="54"/>
      <c r="H17" s="33">
        <f>+SUM(H12:H16)+(H7)</f>
        <v>28351.668565949996</v>
      </c>
      <c r="I17" s="33"/>
      <c r="J17" s="20"/>
      <c r="K17" s="199"/>
      <c r="L17" s="199"/>
      <c r="M17" s="199"/>
      <c r="N17" s="198"/>
      <c r="O17" s="147">
        <f>IF(B11="FO Ceramic+ Intr&amp;Extr CeramicGold WdwTnt",2700,IF(B11="FO Mirror Camera Sensor",2000))</f>
        <v>2700</v>
      </c>
      <c r="T17" s="1">
        <f>19615-791</f>
        <v>18824</v>
      </c>
    </row>
    <row r="18" spans="1:23" ht="24.6" x14ac:dyDescent="0.4">
      <c r="A18" s="12" t="s">
        <v>29</v>
      </c>
      <c r="B18" s="55" t="s">
        <v>30</v>
      </c>
      <c r="C18" s="197"/>
      <c r="D18" s="57">
        <v>0</v>
      </c>
      <c r="E18" s="38"/>
      <c r="F18" s="20"/>
      <c r="G18" s="20"/>
      <c r="H18" s="37"/>
      <c r="I18" s="37"/>
      <c r="J18" s="37"/>
      <c r="K18" s="37"/>
      <c r="L18" s="37"/>
      <c r="M18" s="37"/>
      <c r="N18" s="37"/>
      <c r="O18" s="9" t="b">
        <f>IF(M21="5000-99999",1.99%)</f>
        <v>0</v>
      </c>
      <c r="U18" s="196" t="s">
        <v>52</v>
      </c>
      <c r="V18" s="196" t="s">
        <v>52</v>
      </c>
    </row>
    <row r="19" spans="1:23" ht="24.6" x14ac:dyDescent="0.4">
      <c r="A19" s="11">
        <f>B8*3.15%</f>
        <v>3335.85</v>
      </c>
      <c r="B19" s="58" t="s">
        <v>31</v>
      </c>
      <c r="C19" s="59"/>
      <c r="D19" s="60">
        <f>IF(K21="DIB EXPAT",O13,IF(K21="DIB LOCAL GVH",U13,IF(K21="Emirates NBD",O14,IF(K21="ADCB",O15,IF(K21="ADCB PAY IN 2027",O19,IF(K21="Ajman Bank",O18,IF(K21="SIB STL",Z13,IF(K21="SIB NON STL",AA13,))))))))</f>
        <v>3.8900000000000004E-2</v>
      </c>
      <c r="E19" s="20"/>
      <c r="F19" s="195"/>
      <c r="G19" s="141" t="s">
        <v>73</v>
      </c>
      <c r="H19" s="142"/>
      <c r="I19" s="143"/>
      <c r="J19" s="109">
        <f>(U19*20/100)/365</f>
        <v>67.487671232876707</v>
      </c>
      <c r="K19" s="37"/>
      <c r="L19" s="37"/>
      <c r="M19" s="37"/>
      <c r="N19" s="34">
        <f>D7</f>
        <v>111195</v>
      </c>
      <c r="O19" s="194" t="b">
        <f>IF(M21="5000-11999",3.35%,IF(M21="12000-19999",3.35%,IF(M21="20000-39999",2.85%,IF(M21="40000-69999",2.85%,IF(M21="70000-99999",2.85%)))))</f>
        <v>0</v>
      </c>
      <c r="P19" s="2">
        <f>81400-2500</f>
        <v>78900</v>
      </c>
      <c r="U19" s="193">
        <f>V19</f>
        <v>123165</v>
      </c>
      <c r="V19" s="192">
        <f>(B7+D10+D11+D12+D13+D16)*1.05</f>
        <v>123165</v>
      </c>
    </row>
    <row r="20" spans="1:23" ht="24.6" x14ac:dyDescent="0.4">
      <c r="A20" s="11"/>
      <c r="B20" s="58" t="s">
        <v>32</v>
      </c>
      <c r="C20" s="59"/>
      <c r="D20" s="63">
        <v>0.2</v>
      </c>
      <c r="E20" s="37"/>
      <c r="F20" s="37"/>
      <c r="G20" s="38"/>
      <c r="H20" s="38"/>
      <c r="I20" s="38"/>
      <c r="J20" s="103"/>
      <c r="K20" s="104" t="s">
        <v>33</v>
      </c>
      <c r="L20" s="104" t="s">
        <v>17</v>
      </c>
      <c r="M20" s="104">
        <f>IF(L20="YES",O12,IF(L20="NO",0))</f>
        <v>0</v>
      </c>
      <c r="N20" s="34">
        <f>B8-M20</f>
        <v>105900</v>
      </c>
      <c r="O20" s="187"/>
      <c r="P20" s="191"/>
      <c r="T20" s="1">
        <f>1992+1084</f>
        <v>3076</v>
      </c>
      <c r="U20" s="186"/>
      <c r="V20" s="2"/>
    </row>
    <row r="21" spans="1:23" ht="24.6" x14ac:dyDescent="0.4">
      <c r="A21" s="13">
        <f>A19+A20</f>
        <v>3335.85</v>
      </c>
      <c r="B21" s="37"/>
      <c r="C21" s="20"/>
      <c r="D21" s="37"/>
      <c r="E21" s="37"/>
      <c r="F21" s="37"/>
      <c r="G21" s="37"/>
      <c r="H21" s="37"/>
      <c r="I21" s="37"/>
      <c r="J21" s="190" t="s">
        <v>34</v>
      </c>
      <c r="K21" s="16" t="s">
        <v>139</v>
      </c>
      <c r="L21" s="16" t="s">
        <v>35</v>
      </c>
      <c r="M21" s="189" t="s">
        <v>80</v>
      </c>
      <c r="N21" s="188"/>
      <c r="O21" s="187"/>
      <c r="T21" s="1">
        <f>25973-12973</f>
        <v>13000</v>
      </c>
      <c r="U21" s="186">
        <f>M14+N7</f>
        <v>3332.1596996362496</v>
      </c>
    </row>
    <row r="22" spans="1:23" s="179" customFormat="1" ht="24.6" x14ac:dyDescent="0.4">
      <c r="A22" s="185"/>
      <c r="B22" s="184" t="s">
        <v>51</v>
      </c>
      <c r="C22" s="183"/>
      <c r="D22" s="183"/>
      <c r="E22" s="183"/>
      <c r="F22" s="183"/>
      <c r="G22" s="183"/>
      <c r="H22" s="183"/>
      <c r="I22" s="183"/>
      <c r="J22" s="183"/>
      <c r="K22" s="183"/>
      <c r="L22" s="183"/>
      <c r="M22" s="183"/>
      <c r="N22" s="182"/>
      <c r="O22" s="181"/>
      <c r="P22" s="180"/>
    </row>
    <row r="23" spans="1:23" s="168" customFormat="1" ht="26.4" x14ac:dyDescent="0.5">
      <c r="A23" s="175" t="s">
        <v>36</v>
      </c>
      <c r="B23" s="172" t="s">
        <v>138</v>
      </c>
      <c r="C23" s="169"/>
      <c r="D23" s="169"/>
      <c r="E23" s="169"/>
      <c r="F23" s="169"/>
      <c r="G23" s="169"/>
      <c r="H23" s="176"/>
      <c r="I23" s="176"/>
      <c r="J23" s="169"/>
      <c r="K23" s="169"/>
      <c r="L23" s="169"/>
      <c r="M23" s="169"/>
      <c r="N23" s="178"/>
      <c r="O23" s="170"/>
      <c r="P23" s="169"/>
    </row>
    <row r="24" spans="1:23" s="168" customFormat="1" ht="26.4" x14ac:dyDescent="0.5">
      <c r="A24" s="175" t="s">
        <v>36</v>
      </c>
      <c r="B24" s="172" t="s">
        <v>137</v>
      </c>
      <c r="C24" s="169"/>
      <c r="D24" s="169"/>
      <c r="E24" s="169"/>
      <c r="F24" s="169"/>
      <c r="G24" s="169"/>
      <c r="H24" s="177">
        <f>H7/365</f>
        <v>72.139112260273961</v>
      </c>
      <c r="I24" s="177">
        <f>H7+H12+H16</f>
        <v>28036.668565949996</v>
      </c>
      <c r="J24" s="169"/>
      <c r="K24" s="169"/>
      <c r="L24" s="169"/>
      <c r="M24" s="169"/>
      <c r="N24" s="173"/>
      <c r="O24" s="170"/>
      <c r="P24" s="169">
        <f>1232+480</f>
        <v>1712</v>
      </c>
      <c r="T24" s="168">
        <f>88704/1.05</f>
        <v>84480</v>
      </c>
    </row>
    <row r="25" spans="1:23" s="168" customFormat="1" ht="26.4" x14ac:dyDescent="0.5">
      <c r="A25" s="175" t="s">
        <v>36</v>
      </c>
      <c r="B25" s="172" t="s">
        <v>136</v>
      </c>
      <c r="C25" s="169"/>
      <c r="D25" s="169"/>
      <c r="E25" s="169"/>
      <c r="F25" s="169"/>
      <c r="G25" s="169"/>
      <c r="H25" s="176"/>
      <c r="I25" s="176"/>
      <c r="J25" s="169"/>
      <c r="K25" s="169"/>
      <c r="L25" s="169"/>
      <c r="M25" s="169"/>
      <c r="N25" s="173"/>
      <c r="O25" s="170"/>
      <c r="P25" s="169"/>
      <c r="Q25" s="168">
        <f>79400-5233.33</f>
        <v>74166.67</v>
      </c>
      <c r="R25" s="168">
        <f>Q25*1.05</f>
        <v>77875.003500000006</v>
      </c>
      <c r="W25" s="168">
        <f>1999+1224</f>
        <v>3223</v>
      </c>
    </row>
    <row r="26" spans="1:23" s="168" customFormat="1" ht="26.4" x14ac:dyDescent="0.5">
      <c r="A26" s="175" t="s">
        <v>36</v>
      </c>
      <c r="B26" s="172" t="s">
        <v>135</v>
      </c>
      <c r="C26" s="169"/>
      <c r="D26" s="169"/>
      <c r="E26" s="169"/>
      <c r="F26" s="169"/>
      <c r="G26" s="169"/>
      <c r="H26" s="169"/>
      <c r="I26" s="169"/>
      <c r="J26" s="169"/>
      <c r="K26" s="169"/>
      <c r="L26" s="169"/>
      <c r="M26" s="169"/>
      <c r="N26" s="173"/>
      <c r="O26" s="170" t="s">
        <v>37</v>
      </c>
      <c r="P26" s="169"/>
      <c r="R26" s="168">
        <f>R25+2469</f>
        <v>80344.003500000006</v>
      </c>
    </row>
    <row r="27" spans="1:23" s="168" customFormat="1" ht="26.4" x14ac:dyDescent="0.5">
      <c r="A27" s="175" t="s">
        <v>36</v>
      </c>
      <c r="B27" s="172" t="s">
        <v>134</v>
      </c>
      <c r="C27" s="169"/>
      <c r="D27" s="169"/>
      <c r="E27" s="169"/>
      <c r="F27" s="169"/>
      <c r="G27" s="169"/>
      <c r="H27" s="169"/>
      <c r="I27" s="169"/>
      <c r="J27" s="169"/>
      <c r="K27" s="169"/>
      <c r="L27" s="169"/>
      <c r="M27" s="169"/>
      <c r="N27" s="173"/>
      <c r="O27" s="170">
        <f>129500-110900</f>
        <v>18600</v>
      </c>
      <c r="P27" s="169"/>
      <c r="W27" s="174">
        <f>N7+L14</f>
        <v>4406.2359362831248</v>
      </c>
    </row>
    <row r="28" spans="1:23" s="168" customFormat="1" ht="26.4" x14ac:dyDescent="0.5">
      <c r="B28" s="172" t="s">
        <v>133</v>
      </c>
      <c r="C28" s="169"/>
      <c r="D28" s="169"/>
      <c r="E28" s="169"/>
      <c r="F28" s="169"/>
      <c r="G28" s="169"/>
      <c r="H28" s="169"/>
      <c r="I28" s="169"/>
      <c r="J28" s="169"/>
      <c r="K28" s="169"/>
      <c r="L28" s="169"/>
      <c r="M28" s="169"/>
      <c r="N28" s="173"/>
      <c r="O28" s="170">
        <f>85000-69900</f>
        <v>15100</v>
      </c>
      <c r="P28" s="169"/>
    </row>
    <row r="29" spans="1:23" s="168" customFormat="1" ht="26.4" x14ac:dyDescent="0.5">
      <c r="B29" s="172" t="s">
        <v>132</v>
      </c>
      <c r="C29" s="169"/>
      <c r="D29" s="169"/>
      <c r="E29" s="169"/>
      <c r="F29" s="169"/>
      <c r="G29" s="169"/>
      <c r="H29" s="169"/>
      <c r="I29" s="169"/>
      <c r="J29" s="169"/>
      <c r="K29" s="169"/>
      <c r="L29" s="169"/>
      <c r="M29" s="169"/>
      <c r="N29" s="171"/>
      <c r="O29" s="170"/>
      <c r="P29" s="169"/>
    </row>
    <row r="30" spans="1:23" x14ac:dyDescent="0.3">
      <c r="B30" s="167" t="s">
        <v>38</v>
      </c>
      <c r="C30" s="166"/>
      <c r="D30" s="166"/>
      <c r="E30" s="166"/>
      <c r="F30" s="166"/>
      <c r="G30" s="166"/>
      <c r="H30" s="166"/>
      <c r="I30" s="166"/>
      <c r="J30" s="166"/>
      <c r="K30" s="166"/>
      <c r="L30" s="166"/>
      <c r="M30" s="166"/>
      <c r="N30" s="165"/>
      <c r="O30" s="147"/>
    </row>
    <row r="31" spans="1:23" x14ac:dyDescent="0.3">
      <c r="B31" s="146"/>
      <c r="C31" s="145"/>
      <c r="D31" s="145"/>
      <c r="E31" s="145"/>
      <c r="F31" s="145"/>
      <c r="G31" s="145"/>
      <c r="H31" s="145"/>
      <c r="I31" s="145"/>
      <c r="J31" s="145"/>
      <c r="K31" s="145"/>
      <c r="L31" s="145"/>
      <c r="M31" s="145"/>
      <c r="N31" s="144"/>
      <c r="O31" s="147"/>
    </row>
    <row r="32" spans="1:23" s="86" customFormat="1" ht="20.399999999999999" x14ac:dyDescent="0.35">
      <c r="B32" s="118" t="s">
        <v>39</v>
      </c>
      <c r="C32" s="119"/>
      <c r="D32" s="119"/>
      <c r="E32" s="119"/>
      <c r="F32" s="119"/>
      <c r="G32" s="119"/>
      <c r="H32" s="119"/>
      <c r="I32" s="119"/>
      <c r="J32" s="119"/>
      <c r="K32" s="119"/>
      <c r="L32" s="119"/>
      <c r="M32" s="119"/>
      <c r="N32" s="120"/>
      <c r="O32" s="92"/>
      <c r="P32" s="83"/>
    </row>
    <row r="33" spans="2:16" s="86" customFormat="1" ht="20.399999999999999" x14ac:dyDescent="0.35">
      <c r="B33" s="118" t="s">
        <v>40</v>
      </c>
      <c r="C33" s="119"/>
      <c r="D33" s="119"/>
      <c r="E33" s="119"/>
      <c r="F33" s="119"/>
      <c r="G33" s="119"/>
      <c r="H33" s="119"/>
      <c r="I33" s="119"/>
      <c r="J33" s="119"/>
      <c r="K33" s="119"/>
      <c r="L33" s="119"/>
      <c r="M33" s="119"/>
      <c r="N33" s="120"/>
      <c r="O33" s="92"/>
      <c r="P33" s="83"/>
    </row>
    <row r="34" spans="2:16" s="86" customFormat="1" ht="20.399999999999999" x14ac:dyDescent="0.35">
      <c r="B34" s="107" t="s">
        <v>131</v>
      </c>
      <c r="C34" s="108"/>
      <c r="D34" s="108"/>
      <c r="E34" s="108"/>
      <c r="F34" s="108"/>
      <c r="G34" s="164" t="s">
        <v>130</v>
      </c>
      <c r="H34" s="164"/>
      <c r="I34" s="163"/>
      <c r="J34" s="163"/>
      <c r="K34" s="163"/>
      <c r="L34" s="163"/>
      <c r="M34" s="162" t="s">
        <v>129</v>
      </c>
      <c r="N34" s="161"/>
      <c r="O34" s="83"/>
      <c r="P34" s="83"/>
    </row>
    <row r="35" spans="2:16" x14ac:dyDescent="0.3">
      <c r="B35" s="160"/>
      <c r="C35" s="159"/>
      <c r="D35" s="159"/>
      <c r="E35" s="159"/>
      <c r="F35" s="159"/>
      <c r="G35" s="159"/>
      <c r="H35" s="159"/>
      <c r="I35" s="159"/>
      <c r="J35" s="159"/>
      <c r="K35" s="159"/>
      <c r="L35" s="159"/>
      <c r="M35" s="159"/>
      <c r="N35" s="158"/>
    </row>
    <row r="36" spans="2:16" x14ac:dyDescent="0.3">
      <c r="B36" s="160"/>
      <c r="C36" s="159"/>
      <c r="D36" s="159"/>
      <c r="E36" s="159"/>
      <c r="F36" s="159"/>
      <c r="G36" s="159"/>
      <c r="H36" s="159"/>
      <c r="I36" s="159"/>
      <c r="J36" s="159"/>
      <c r="K36" s="159"/>
      <c r="L36" s="159"/>
      <c r="M36" s="159"/>
      <c r="N36" s="158"/>
    </row>
    <row r="37" spans="2:16" x14ac:dyDescent="0.3">
      <c r="B37" s="160"/>
      <c r="C37" s="159"/>
      <c r="D37" s="159"/>
      <c r="E37" s="159"/>
      <c r="F37" s="159"/>
      <c r="G37" s="159"/>
      <c r="H37" s="159"/>
      <c r="I37" s="159"/>
      <c r="J37" s="159"/>
      <c r="K37" s="159"/>
      <c r="L37" s="159"/>
      <c r="M37" s="159"/>
      <c r="N37" s="158"/>
    </row>
    <row r="38" spans="2:16" ht="16.8" x14ac:dyDescent="0.3">
      <c r="B38" s="149" t="s">
        <v>128</v>
      </c>
      <c r="C38" s="157"/>
      <c r="D38" s="154"/>
      <c r="E38" s="151"/>
      <c r="F38" s="151"/>
      <c r="G38" s="151"/>
      <c r="H38" s="151"/>
      <c r="I38" s="151"/>
      <c r="J38" s="152"/>
      <c r="K38" s="151"/>
      <c r="L38" s="151"/>
      <c r="M38" s="151"/>
      <c r="N38" s="156"/>
    </row>
    <row r="39" spans="2:16" ht="16.8" x14ac:dyDescent="0.3">
      <c r="B39" s="149" t="s">
        <v>127</v>
      </c>
      <c r="C39" s="155"/>
      <c r="D39" s="154"/>
      <c r="E39" s="151"/>
      <c r="F39" s="151"/>
      <c r="G39" s="151"/>
      <c r="H39" s="151"/>
      <c r="I39" s="151"/>
      <c r="J39" s="152"/>
      <c r="K39" s="151"/>
      <c r="L39" s="151"/>
      <c r="M39" s="151"/>
      <c r="N39" s="150"/>
    </row>
    <row r="40" spans="2:16" ht="16.8" x14ac:dyDescent="0.3">
      <c r="B40" s="149" t="s">
        <v>126</v>
      </c>
      <c r="C40" s="153"/>
      <c r="D40" s="151"/>
      <c r="E40" s="151"/>
      <c r="F40" s="151"/>
      <c r="G40" s="151"/>
      <c r="H40" s="151"/>
      <c r="I40" s="151"/>
      <c r="J40" s="152"/>
      <c r="K40" s="151"/>
      <c r="L40" s="151"/>
      <c r="M40" s="151"/>
      <c r="N40" s="150"/>
    </row>
    <row r="41" spans="2:16" ht="16.8" x14ac:dyDescent="0.3">
      <c r="B41" s="149" t="s">
        <v>125</v>
      </c>
      <c r="N41" s="148"/>
    </row>
    <row r="42" spans="2:16" ht="16.8" x14ac:dyDescent="0.3">
      <c r="B42" s="149" t="s">
        <v>124</v>
      </c>
      <c r="N42" s="148"/>
    </row>
    <row r="43" spans="2:16" ht="16.8" x14ac:dyDescent="0.3">
      <c r="B43" s="149" t="s">
        <v>123</v>
      </c>
      <c r="N43" s="148"/>
    </row>
    <row r="44" spans="2:16" ht="16.8" x14ac:dyDescent="0.3">
      <c r="B44" s="149" t="s">
        <v>122</v>
      </c>
      <c r="N44" s="148"/>
    </row>
    <row r="45" spans="2:16" ht="16.8" x14ac:dyDescent="0.3">
      <c r="B45" s="149" t="s">
        <v>121</v>
      </c>
      <c r="N45" s="148"/>
    </row>
    <row r="46" spans="2:16" ht="16.8" x14ac:dyDescent="0.3">
      <c r="B46" s="149" t="s">
        <v>120</v>
      </c>
      <c r="N46" s="148"/>
    </row>
    <row r="47" spans="2:16" x14ac:dyDescent="0.3">
      <c r="B47" s="146" t="s">
        <v>39</v>
      </c>
      <c r="C47" s="145"/>
      <c r="D47" s="145"/>
      <c r="E47" s="145"/>
      <c r="F47" s="145"/>
      <c r="G47" s="145"/>
      <c r="H47" s="145"/>
      <c r="I47" s="145"/>
      <c r="J47" s="145"/>
      <c r="K47" s="145"/>
      <c r="L47" s="145"/>
      <c r="M47" s="145"/>
      <c r="N47" s="144"/>
      <c r="O47" s="147"/>
    </row>
    <row r="48" spans="2:16" x14ac:dyDescent="0.3">
      <c r="B48" s="146" t="s">
        <v>40</v>
      </c>
      <c r="C48" s="145"/>
      <c r="D48" s="145"/>
      <c r="E48" s="145"/>
      <c r="F48" s="145"/>
      <c r="G48" s="145"/>
      <c r="H48" s="145"/>
      <c r="I48" s="145"/>
      <c r="J48" s="145"/>
      <c r="K48" s="145"/>
      <c r="L48" s="145"/>
      <c r="M48" s="145"/>
      <c r="N48" s="144"/>
      <c r="O48" s="147"/>
    </row>
    <row r="49" spans="2:14" x14ac:dyDescent="0.3">
      <c r="B49" s="146" t="s">
        <v>119</v>
      </c>
      <c r="C49" s="145"/>
      <c r="D49" s="145"/>
      <c r="E49" s="145"/>
      <c r="F49" s="145"/>
      <c r="G49" s="145"/>
      <c r="H49" s="145"/>
      <c r="I49" s="145"/>
      <c r="J49" s="145"/>
      <c r="K49" s="145"/>
      <c r="L49" s="145"/>
      <c r="M49" s="145"/>
      <c r="N49" s="144"/>
    </row>
    <row r="50" spans="2:14" ht="25.8" x14ac:dyDescent="0.3">
      <c r="C50" s="15" t="s">
        <v>41</v>
      </c>
    </row>
    <row r="51" spans="2:14" ht="25.8" x14ac:dyDescent="0.3">
      <c r="C51" s="15" t="s">
        <v>42</v>
      </c>
    </row>
    <row r="52" spans="2:14" ht="25.8" x14ac:dyDescent="0.3">
      <c r="C52" s="15" t="s">
        <v>43</v>
      </c>
    </row>
    <row r="53" spans="2:14" ht="25.8" x14ac:dyDescent="0.3">
      <c r="C53" s="15" t="s">
        <v>44</v>
      </c>
    </row>
    <row r="54" spans="2:14" ht="25.8" x14ac:dyDescent="0.3">
      <c r="C54" s="15" t="s">
        <v>45</v>
      </c>
    </row>
  </sheetData>
  <dataConsolidate/>
  <mergeCells count="11">
    <mergeCell ref="F8:G8"/>
    <mergeCell ref="F9:G9"/>
    <mergeCell ref="G19:I19"/>
    <mergeCell ref="B22:N22"/>
    <mergeCell ref="B30:N30"/>
    <mergeCell ref="B32:N32"/>
    <mergeCell ref="B33:N33"/>
    <mergeCell ref="B47:N47"/>
    <mergeCell ref="B48:N48"/>
    <mergeCell ref="B49:N49"/>
    <mergeCell ref="B31:N31"/>
  </mergeCells>
  <dataValidations count="11">
    <dataValidation type="list" allowBlank="1" showInputMessage="1" showErrorMessage="1" sqref="H34" xr:uid="{FAED7551-0332-4426-958A-1883A7EEFAB5}">
      <formula1>"ALAA HAMMAD,KHALED QASSEM,RAMY RAOUF,SIMON LOBO,MHAREN CLEMENTE GARADO"</formula1>
    </dataValidation>
    <dataValidation type="list" allowBlank="1" showInputMessage="1" showErrorMessage="1" sqref="M34" xr:uid="{6FC29A55-5954-4C27-A17F-F67F78E178E6}">
      <formula1>"Alaa Hammad,Bachir Ibrahim Mourad,Khaled Qassem,Ramy Raoof,Simon Lobo,Mharen Clemente Garado,Ranjith"</formula1>
    </dataValidation>
    <dataValidation type="list" allowBlank="1" showInputMessage="1" showErrorMessage="1" sqref="B11" xr:uid="{0F8BC865-91F9-4D35-B90C-F45ADB988846}">
      <formula1>"FO Ceramic+ Intr&amp;Extr CeramicGold WdwTnt,FO Mirror Camera Sensor"</formula1>
    </dataValidation>
    <dataValidation type="list" allowBlank="1" showInputMessage="1" showErrorMessage="1" sqref="B12" xr:uid="{8D7ACE5B-7093-4C65-A90B-7EC47DA66A65}">
      <formula1>"FO Exterior ceramic All Cars SCOTCHGUARD,FO Mirror Camera Sensor,FO PPF Gold Package "</formula1>
    </dataValidation>
    <dataValidation type="list" allowBlank="1" showInputMessage="1" showErrorMessage="1" sqref="K20" xr:uid="{6A10B924-0DCA-4BEC-A508-E7B7FD86480C}">
      <formula1>"Esaad,Emirates Platinum,Fazaa,Humat Alwatan,Permissible,ASX,XPMLP,XP,MON,MON G57,OUT,F08,P08,F06,P06,F03,F03-1,P03,EC,G37,G38,G40,G43"</formula1>
    </dataValidation>
    <dataValidation type="list" allowBlank="1" showInputMessage="1" showErrorMessage="1" sqref="B16" xr:uid="{BA2F1FA0-204C-4EDC-A00D-244CD81061D5}">
      <formula1>"RMC-10-40KMS,RMC-10-60KMS,RMC-10-70KMS,RMC-10-100000KMS,RMC-40-70KMS,RMC-40-100000KMS"</formula1>
    </dataValidation>
    <dataValidation type="list" allowBlank="1" showInputMessage="1" showErrorMessage="1" sqref="K24" xr:uid="{E024163A-938E-4C7E-AF40-1E55D5309CF3}">
      <formula1>"RMC-10-70K,RMC-10-100000K,RMC-40-70K"</formula1>
    </dataValidation>
    <dataValidation type="list" allowBlank="1" showInputMessage="1" showErrorMessage="1" sqref="D5" xr:uid="{66708E5C-70BE-4A34-BE1F-F0DCE84C6F14}">
      <formula1>"MIG09,MIG10,H16,P16,H17,H48,H43,H40,H42,H44,H45,H38,H37,EH40,EH43,ML,HL,PR, MLP,HLP,PRP,XPML,XPHL,XPMLP, XPMLP-01,XC, G10,P10, G03, P03, G06,P06,G12,P12,G05,P05,G08,P08,G09,P09,H57,P57,H64,H59,P59,H61,P61"</formula1>
    </dataValidation>
    <dataValidation type="list" allowBlank="1" showInputMessage="1" showErrorMessage="1" sqref="M21" xr:uid="{317C4A6F-0641-465D-B3F8-8D4AC44EC88C}">
      <formula1>"3000-4999,5000-9999,5000-99999,10000-14999,15000-24999,25000-34999,35000-99999,5000-11999,12000-19999,20000-39999,40000-69999,70000-99999"</formula1>
    </dataValidation>
    <dataValidation type="list" allowBlank="1" showInputMessage="1" showErrorMessage="1" sqref="C10:C16 L20 L24:L25 G14:G15 J10" xr:uid="{DE066D09-9263-4530-BC78-FCFDA878EC85}">
      <formula1>"YES,NO"</formula1>
    </dataValidation>
    <dataValidation type="list" allowBlank="1" showInputMessage="1" showErrorMessage="1" sqref="K21" xr:uid="{501FFF9F-AD5D-4526-A242-8B3247176289}">
      <formula1>"ADCB,ADCB PAY IN 2027,Ajman Bank,ADIB,DIB EXPAT,DIB LOCAL GVH,Emirates NBD,EIB,FAB,RAK,SIB STL,SIB NON STL"</formula1>
    </dataValidation>
  </dataValidations>
  <pageMargins left="0.23622047244094491" right="0.23622047244094491" top="0.74803149606299213" bottom="0.74803149606299213" header="0.31496062992125984" footer="0.31496062992125984"/>
  <pageSetup paperSize="9" scale="40" orientation="landscape" horizontalDpi="4294967295" verticalDpi="4294967295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C144C7-30EC-44D1-AF5F-99E4539DF53A}">
  <sheetPr>
    <pageSetUpPr fitToPage="1"/>
  </sheetPr>
  <dimension ref="A1:AA54"/>
  <sheetViews>
    <sheetView topLeftCell="B1" zoomScaleNormal="100" workbookViewId="0">
      <selection activeCell="D5" sqref="D5"/>
    </sheetView>
  </sheetViews>
  <sheetFormatPr defaultColWidth="9.109375" defaultRowHeight="15.6" x14ac:dyDescent="0.3"/>
  <cols>
    <col min="1" max="1" width="16" style="1" hidden="1" customWidth="1"/>
    <col min="2" max="2" width="75.109375" style="2" customWidth="1"/>
    <col min="3" max="3" width="26.88671875" style="3" customWidth="1"/>
    <col min="4" max="4" width="23.88671875" style="2" customWidth="1"/>
    <col min="5" max="5" width="23.33203125" style="2" customWidth="1"/>
    <col min="6" max="6" width="19.88671875" style="2" customWidth="1"/>
    <col min="7" max="7" width="23.33203125" style="2" customWidth="1"/>
    <col min="8" max="8" width="24.44140625" style="2" customWidth="1"/>
    <col min="9" max="9" width="27.109375" style="2" customWidth="1"/>
    <col min="10" max="10" width="26.6640625" style="2" customWidth="1"/>
    <col min="11" max="11" width="25.44140625" style="2" customWidth="1"/>
    <col min="12" max="12" width="20.5546875" style="2" customWidth="1"/>
    <col min="13" max="13" width="20.109375" style="2" customWidth="1"/>
    <col min="14" max="14" width="19.5546875" style="2" customWidth="1"/>
    <col min="15" max="15" width="15.109375" style="2" bestFit="1" customWidth="1"/>
    <col min="16" max="16" width="12.6640625" style="2" hidden="1" customWidth="1"/>
    <col min="17" max="17" width="12.6640625" style="1" hidden="1" customWidth="1"/>
    <col min="18" max="18" width="15.6640625" style="1" hidden="1" customWidth="1"/>
    <col min="19" max="19" width="13" style="1" hidden="1" customWidth="1"/>
    <col min="20" max="20" width="17.109375" style="1" hidden="1" customWidth="1"/>
    <col min="21" max="21" width="14.5546875" style="1" bestFit="1" customWidth="1"/>
    <col min="22" max="22" width="19" style="1" customWidth="1"/>
    <col min="23" max="23" width="22.5546875" style="1" bestFit="1" customWidth="1"/>
    <col min="24" max="25" width="9.109375" style="1"/>
    <col min="26" max="26" width="14" style="1" bestFit="1" customWidth="1"/>
    <col min="27" max="27" width="22.33203125" style="1" bestFit="1" customWidth="1"/>
    <col min="28" max="16384" width="9.109375" style="1"/>
  </cols>
  <sheetData>
    <row r="1" spans="1:27" ht="15.75" customHeight="1" x14ac:dyDescent="0.3">
      <c r="B1" s="222" t="s">
        <v>148</v>
      </c>
      <c r="C1" s="221"/>
      <c r="D1" s="221"/>
      <c r="E1" s="221"/>
      <c r="F1" s="221"/>
      <c r="G1" s="221"/>
      <c r="H1" s="221"/>
      <c r="I1" s="221"/>
      <c r="J1" s="221"/>
      <c r="K1" s="221"/>
      <c r="L1" s="221"/>
      <c r="M1" s="221"/>
      <c r="N1" s="220"/>
    </row>
    <row r="2" spans="1:27" ht="15.75" customHeight="1" x14ac:dyDescent="0.3">
      <c r="B2" s="219" t="s">
        <v>147</v>
      </c>
      <c r="C2" s="218"/>
      <c r="D2" s="218"/>
      <c r="E2" s="218"/>
      <c r="F2" s="218"/>
      <c r="G2" s="218"/>
      <c r="H2" s="218"/>
      <c r="I2" s="218"/>
      <c r="J2" s="218"/>
      <c r="K2" s="218"/>
      <c r="L2" s="218"/>
      <c r="M2" s="218"/>
      <c r="N2" s="217"/>
      <c r="Q2" s="2"/>
      <c r="S2" s="186"/>
    </row>
    <row r="3" spans="1:27" ht="15.75" customHeight="1" x14ac:dyDescent="0.3">
      <c r="B3" s="219" t="s">
        <v>146</v>
      </c>
      <c r="C3" s="218"/>
      <c r="D3" s="218"/>
      <c r="E3" s="218"/>
      <c r="F3" s="218"/>
      <c r="G3" s="218"/>
      <c r="H3" s="218"/>
      <c r="I3" s="218"/>
      <c r="J3" s="218"/>
      <c r="K3" s="218"/>
      <c r="L3" s="218"/>
      <c r="M3" s="218"/>
      <c r="N3" s="217"/>
      <c r="O3" s="3"/>
      <c r="P3" s="3"/>
      <c r="Q3" s="153"/>
      <c r="R3" s="153"/>
      <c r="S3" s="216" t="e">
        <f>N7+J14</f>
        <v>#VALUE!</v>
      </c>
      <c r="T3" s="216"/>
      <c r="U3" s="153"/>
      <c r="V3" s="153"/>
      <c r="W3" s="153"/>
      <c r="AA3" s="1">
        <f>273000/5</f>
        <v>54600</v>
      </c>
    </row>
    <row r="4" spans="1:27" ht="15.75" customHeight="1" x14ac:dyDescent="0.3">
      <c r="B4" s="215"/>
      <c r="C4" s="214"/>
      <c r="D4" s="214"/>
      <c r="E4" s="214"/>
      <c r="F4" s="214"/>
      <c r="G4" s="214"/>
      <c r="H4" s="214"/>
      <c r="I4" s="214"/>
      <c r="J4" s="214"/>
      <c r="K4" s="214"/>
      <c r="L4" s="214"/>
      <c r="M4" s="214"/>
      <c r="N4" s="213"/>
      <c r="O4" s="212" t="s">
        <v>0</v>
      </c>
      <c r="P4" s="212"/>
      <c r="Q4" s="210"/>
      <c r="R4" s="210"/>
      <c r="S4" s="211"/>
      <c r="T4" s="211"/>
      <c r="U4" s="210" t="s">
        <v>1</v>
      </c>
      <c r="V4" s="210" t="s">
        <v>2</v>
      </c>
      <c r="W4" s="210" t="s">
        <v>3</v>
      </c>
    </row>
    <row r="5" spans="1:27" ht="25.2" thickBot="1" x14ac:dyDescent="0.45">
      <c r="B5" s="17"/>
      <c r="C5" s="18" t="str">
        <f>IF(D5="MIG09","Mirage G09",IF(D5="MIG10","MirageG10",IF(D5="H16","Attrage H16",IF(D5="P16","Attrage P16",IF(D5="H17","Attrage H17",IF(D5="H48","ASX H48",IF(D5="H43","ASX H43",IF(D5="H40","ASX H40",IF(D5="H42","ASX H42",IF(D5="H44","ASX H44",IF(D5="H45","ASX H45",IF(D5="H38","Eclipse H38",IF(D5="H37","Eclipse H37",IF(D5="EH40","Eclipse H40",IF(D5="EH43","Eclipse H43",IF(D5="XPML","Xpander ML",IF(D5="ML","Destinator ML",IF(D5="HL","Destinator HL",IF(D5="PR","Destinator PR",IF(D5="MLP","Destinator MLP",IF(D5="HLP","Destinator HLP",IF(D5="PRP","Destinator PRP",IF(D5="XPHL","Xpander HL",IF(D5="XPMLP","Xpander ML P",IF(D5="XPMLP-01","Xpander ML P-01",IF(D5="XC","Xpander Cross",IF(D5="G03","Outlander G03",IF(D5="P03","Outlander P03",IF(D5="G06","Outlander G06",IF(D5="P06","Outlander P06",IF(D5="OTP06-01","Outlander P06-01",IF(D5="G08","Outlander G08",IF(D5="P08","Outlander P08",IF(D5="H57","Montero H57",IF(D5="P57","Montero P57",IF(D5="H64","Montero G64",IF(D5="H59","Montero G59",IF(D5="P59","Montero G59 P",IF(D5="H61","Montero G61",IF(D5="P61","Montero P61",IF(D5="G10","Outlander G10",IF(D5="P10","Outlander P10",IF(D5="G12","Outlander G12",IF(D5="P12","Outlander P12",IF(D5="G05","Outlander G05",IF(D5="P05","Outlander P05",IF(D5="G09","Outlander G09",IF(D5="P09","Outlander P09",))))))))))))))))))))))))))))))))))))))))))))))))</f>
        <v>Outlander P12</v>
      </c>
      <c r="D5" s="19" t="s">
        <v>167</v>
      </c>
      <c r="E5" s="20" t="s">
        <v>145</v>
      </c>
      <c r="F5" s="37"/>
      <c r="G5" s="37"/>
      <c r="H5" s="37"/>
      <c r="I5" s="20"/>
      <c r="J5" s="34"/>
      <c r="K5" s="209">
        <v>0</v>
      </c>
      <c r="L5" s="208">
        <v>3.39E-2</v>
      </c>
      <c r="M5" s="208">
        <v>6.7799999999999999E-2</v>
      </c>
      <c r="N5" s="208">
        <v>0.1017</v>
      </c>
      <c r="O5" s="147">
        <f>K7+K14</f>
        <v>13506.810382642498</v>
      </c>
      <c r="S5" s="186"/>
      <c r="U5" s="186">
        <f>L7+L14</f>
        <v>5576.4926462831245</v>
      </c>
      <c r="V5" s="186">
        <f>M7+M14</f>
        <v>3771.0059658862492</v>
      </c>
      <c r="W5" s="186">
        <f>N7+N14</f>
        <v>2650.8508712831249</v>
      </c>
    </row>
    <row r="6" spans="1:27" s="5" customFormat="1" ht="99" thickBot="1" x14ac:dyDescent="0.35">
      <c r="A6" s="4" t="s">
        <v>4</v>
      </c>
      <c r="B6" s="26" t="s">
        <v>5</v>
      </c>
      <c r="C6" s="27" t="s">
        <v>6</v>
      </c>
      <c r="D6" s="27" t="s">
        <v>144</v>
      </c>
      <c r="E6" s="27" t="s">
        <v>7</v>
      </c>
      <c r="F6" s="27" t="s">
        <v>8</v>
      </c>
      <c r="G6" s="28" t="s">
        <v>9</v>
      </c>
      <c r="H6" s="28" t="s">
        <v>143</v>
      </c>
      <c r="I6" s="28" t="s">
        <v>10</v>
      </c>
      <c r="J6" s="28" t="s">
        <v>142</v>
      </c>
      <c r="K6" s="28" t="s">
        <v>11</v>
      </c>
      <c r="L6" s="28" t="s">
        <v>12</v>
      </c>
      <c r="M6" s="28" t="s">
        <v>13</v>
      </c>
      <c r="N6" s="28" t="s">
        <v>14</v>
      </c>
      <c r="O6" s="207"/>
      <c r="P6" s="206"/>
      <c r="T6" s="205"/>
      <c r="U6" s="205">
        <f>N7+L14</f>
        <v>4406.2359362831248</v>
      </c>
      <c r="V6" s="205">
        <f>N7+K14</f>
        <v>10873.732785142498</v>
      </c>
      <c r="W6" s="205" t="e">
        <f>N7+J14</f>
        <v>#VALUE!</v>
      </c>
    </row>
    <row r="7" spans="1:27" ht="25.2" thickBot="1" x14ac:dyDescent="0.45">
      <c r="A7" s="6">
        <f>B8</f>
        <v>105900</v>
      </c>
      <c r="B7" s="29">
        <f>IF(L20="YES",C8*1,IF(L20="NO",B8*1))</f>
        <v>105900</v>
      </c>
      <c r="C7" s="29">
        <f>B7*5/100</f>
        <v>5295</v>
      </c>
      <c r="D7" s="203">
        <f>B7+C7</f>
        <v>111195</v>
      </c>
      <c r="E7" s="29">
        <f>D17</f>
        <v>19888.879874999999</v>
      </c>
      <c r="F7" s="29">
        <f>(C7)+(D10+D11+D12+D13+D16)*5/100</f>
        <v>5865</v>
      </c>
      <c r="G7" s="30">
        <f>B7+E7+F7</f>
        <v>131653.87987499998</v>
      </c>
      <c r="H7" s="29">
        <f>G7*D20</f>
        <v>26330.775974999997</v>
      </c>
      <c r="I7" s="30">
        <f>(G7-H7)</f>
        <v>105323.10389999999</v>
      </c>
      <c r="J7" s="30">
        <f>(((I7*D19)*1)+I7)/12</f>
        <v>9118.3477201424994</v>
      </c>
      <c r="K7" s="30">
        <f>(((I7*D19)*2)+I7)/24</f>
        <v>4729.8850576424993</v>
      </c>
      <c r="L7" s="30">
        <f>(((I7*D19)*3)+I7)/36</f>
        <v>3267.0641701424993</v>
      </c>
      <c r="M7" s="30">
        <f>(((I7*D19)*4)+I7)/48</f>
        <v>2535.6537263924997</v>
      </c>
      <c r="N7" s="30">
        <f>((((I7*D19)*5)+I7)/60)</f>
        <v>2096.8074601425001</v>
      </c>
      <c r="O7" s="147"/>
      <c r="P7" s="2">
        <f>H7+H16</f>
        <v>27436.668565949996</v>
      </c>
      <c r="T7" s="186">
        <f>25973/2</f>
        <v>12986.5</v>
      </c>
    </row>
    <row r="8" spans="1:27" ht="24.6" x14ac:dyDescent="0.4">
      <c r="A8" s="7">
        <v>0.2</v>
      </c>
      <c r="B8" s="31">
        <f>IF(D5="MIG09",39900,IF(D5="MIG10",41900,IF(D5="H16",41900,IF(D5="P16",47400,IF(D5="H17",47900,IF(D5="H48",67900,IF(D5="H43",70900,IF(D5="H40",72900,IF(D5="H42",74900,IF(D5="H44",73900,IF(D5="H45",79900,IF(D5="H38",86900,IF(D5="H37",79900,IF(D5="EH40",99900,IF(D5="EH43",106900,IF(D5="ML",71900,IF(D5="HL",83900,IF(D5="PR",95900,IF(D5="MLP",80900,IF(D5="HLP",91900,IF(D5="PRP",102900,IF(D5="XPML",69900,IF(D5="XPHL",71000,IF(D5="XPMLP",75900,IF(D5="XPMLP-01",77800,IF(D5="XC",84900,IF(D5="G10",81900,IF(D5="P10",93900,IF(D5="G12",97900,IF(D5="P12",105900,IF(D5="G05",104900,IF(D5="P05",105900,IF(D5="G03",92900,IF(D5="P03",100900,IF(D5="G06",109900,IF(D5="P06",114900,IF(D5="OTP06-01",118900,IF(D5="G08",125900,IF(D5="P08",132900,IF(D5="OTP06-01",109900,IF(D5="G09",129900,IF(D5="P09",134900,IF(D5="H57",105900,IF(D5="P57",113900,IF(D5="H64",116900,IF(D5="H59",127900,IF(D5="P59",134900,IF(D5="H61",134900,IF(D5="P61",138900)))))))))))))))))))))))))))))))))))))))))))))))))</f>
        <v>105900</v>
      </c>
      <c r="C8" s="32">
        <f>IF(L20="YES",N20,IF(L20="NO",N20))</f>
        <v>105900</v>
      </c>
      <c r="D8" s="29">
        <v>0</v>
      </c>
      <c r="E8" s="33"/>
      <c r="F8" s="139"/>
      <c r="G8" s="140"/>
      <c r="H8" s="110">
        <f>G7*20/100</f>
        <v>26330.775974999997</v>
      </c>
      <c r="I8" s="34"/>
      <c r="J8" s="34" t="s">
        <v>15</v>
      </c>
      <c r="K8" s="34">
        <f>(I7*K5+I7)/24</f>
        <v>4388.4626624999992</v>
      </c>
      <c r="L8" s="34">
        <f>(I7*L5+I7)/36</f>
        <v>3024.8210311724997</v>
      </c>
      <c r="M8" s="34">
        <f>(I7*M5+I7)/48</f>
        <v>2343.00021550875</v>
      </c>
      <c r="N8" s="34">
        <f>(I7*N5+I7)/60</f>
        <v>1933.9077261104999</v>
      </c>
      <c r="O8" s="147">
        <v>0</v>
      </c>
      <c r="P8" s="2">
        <f>P7/12</f>
        <v>2286.3890471624995</v>
      </c>
      <c r="T8" s="1">
        <f>25973-12973</f>
        <v>13000</v>
      </c>
    </row>
    <row r="9" spans="1:27" ht="24.6" x14ac:dyDescent="0.4">
      <c r="A9" s="8">
        <f>B8/(100%-A8)</f>
        <v>132375</v>
      </c>
      <c r="B9" s="109">
        <f>B7-B8</f>
        <v>0</v>
      </c>
      <c r="C9" s="109"/>
      <c r="D9" s="36"/>
      <c r="E9" s="33"/>
      <c r="F9" s="139"/>
      <c r="G9" s="140"/>
      <c r="H9" s="33"/>
      <c r="I9" s="37" t="s">
        <v>16</v>
      </c>
      <c r="J9" s="38">
        <f>(J7*12)-I7</f>
        <v>4097.0687417100125</v>
      </c>
      <c r="K9" s="38">
        <f>(K7*24)-I7</f>
        <v>8194.137483419996</v>
      </c>
      <c r="L9" s="38">
        <f>(L7*36)-I7</f>
        <v>12291.206225129979</v>
      </c>
      <c r="M9" s="38">
        <f>(M7*48)-I7</f>
        <v>16388.274966839992</v>
      </c>
      <c r="N9" s="38">
        <f>(N7*60)-I7</f>
        <v>20485.343708550019</v>
      </c>
      <c r="O9" s="147"/>
      <c r="T9" s="1">
        <f>T8/12</f>
        <v>1083.3333333333333</v>
      </c>
      <c r="Z9" s="1" t="s">
        <v>86</v>
      </c>
    </row>
    <row r="10" spans="1:27" ht="24.6" x14ac:dyDescent="0.4">
      <c r="A10" s="8"/>
      <c r="B10" s="37" t="s">
        <v>141</v>
      </c>
      <c r="C10" s="20" t="s">
        <v>17</v>
      </c>
      <c r="D10" s="36">
        <f>IF(C10="YES",700,IF(C10="NO",0))</f>
        <v>0</v>
      </c>
      <c r="E10" s="39"/>
      <c r="F10" s="40"/>
      <c r="G10" s="40"/>
      <c r="H10" s="33"/>
      <c r="I10" s="44" t="s">
        <v>85</v>
      </c>
      <c r="J10" s="117" t="s">
        <v>19</v>
      </c>
      <c r="K10" s="117">
        <f>IF(J10="YES",Z10,IF(J10="NO",0))</f>
        <v>1000</v>
      </c>
      <c r="L10" s="41">
        <f>(L8*36)-I7</f>
        <v>3570.4532222099951</v>
      </c>
      <c r="M10" s="41">
        <f>(M8*48)-I7</f>
        <v>7140.9064444200194</v>
      </c>
      <c r="N10" s="41">
        <f>(N8*60)-I7</f>
        <v>10711.35966663</v>
      </c>
      <c r="O10" s="147">
        <f>IF(D5="XC",3690,IF(D5="XPML",3690,IF(D5="XPHL",3690,IF(D5="XPMLP",3690,IF(D5="XPMLP-01",3690,IF(D5="Xpander P",3690,IF(D5="ML",3690,IF(D5="HL",3690,IF(D5="PR",(U19*3/100+510)*1.05,IF(D5="MLP",3690,IF(D5="HLP",(U19*3/100+510)*1.05,IF(D5="PRP",(U19*3/100+510)*1.05,IF(D5="H57",(U19*2.75/100+510)*1.05,IF(D5="P57",(U19*2.75/100+510)*1.05,IF(D5="H64",(U19*2.75/100+510)*1.05,IF(D5="H59",(U19*2.75/100+510)*1.05,IF(D5="P59",(U19*2.75/100+510)*1.05,IF(D5="H61",(U19*2.75/100+510)*1.05,IF(D5="P61",(U19*2.75/100+510)*1.05,IF(D5="G03",(U19*3/100+510)*1.05,IF(D5="G10",(U19*3/100+510)*1.05,IF(D5="P10",(U19*3/100+510)*1.05,IF(D5="G12",(U19*3/100+510)*1.05,IF(D5="P12",(U19*3/100+510)*1.05,IF(D5="G05",(U19*3/100+510)*1.05,IF(D5="P05",(U19*3/100+510)*1.05,IF(D5="P03",(U19*3/100+510)*1.05,IF(D5="G06",(U19*3/100+510)*1.05,IF(D5="P06",(U19*3/100+510)*1.05,IF(D5="OTP06-01",(U19*3/100+510)*1.05,IF(D5="G08",(U19*3/100+510)*1.05,IF(D5="P08",(U19*3/100+510)*1.05,IF(D5="G09",(U19*3/100+510)*1.05,IF(D5="P09",(U19*3/100+510)*1.05,IF(D5="H38",3625,IF(D5="H37",3625,IF(D5="EH40",(U19*3/100+450)*1.05,IF(D5="EH43",(U19*3/100+450)*1.05,IF(D5="H48",3625,IF(D5="H43",3625,IF(D5="H40",3625,IF(D5="H42",3625,IF(D5="H44",3625,IF(D5="H45",3625,IF(D5="ASX HL 4WD",3625,IF(D5="H16",3625,IF(D5="H17",3625,IF(D5="P16",3625,IF(D5="Attrage S",3625,IF(D5="MIG09",3625,IF(D5="MIG10",3625,IF(D5="Xpander HL",3690))))))))))))))))))))))))))))))))))))))))))))))))))))</f>
        <v>4415.1975000000002</v>
      </c>
      <c r="P10" s="204"/>
      <c r="Q10" s="204">
        <f>5.25*3</f>
        <v>15.75</v>
      </c>
      <c r="Z10" s="1">
        <f>IF(D5="MIG09",1000,IF(D5="MIG10",1000,IF(D5="H16",1000,IF(D5="P16",1000,IF(D5="H17",1000,IF(D5="H48",1000,IF(D5="H43",1000,IF(D5="H40",1000,IF(D5="H42",1000,IF(D5="H44",1000,IF(D5="H45",1000,IF(D5="H38",1000,IF(D5="H37",1000,IF(D5="EH40",1000,IF(D5="EH43",1000,IF(D5="ML",1000,IF(D5="HL",1000,IF(D5="PR",1000,IF(D5="MLP",1000,IF(D5="HLP",1000,IF(D5="PRP",1000,IF(D5="XPML",1000,IF(D5="XPHL",1000,IF(D5="XPMLP",1000,IF(D5="XPMLP-01",1000,IF(D5="XC",1000,IF(D5="G10",1000,IF(D5="P10",1000,IF(D5="G12",1000,IF(D5="P12",1000,IF(D5="G05",1000,IF(D5="P05",1000,IF(D5="G03",1000,IF(D5="P03",1000,IF(D5="G06",1000,IF(D5="P06",1000,IF(D5="OTP06-01",1000,IF(D5="G08",1000,IF(D5="P08",1000,IF(D5="OTP06-01",1000,IF(D5="G09",1000,IF(D5="P09",1000,IF(D5="H57",1000,IF(D5="P57",1000,IF(D5="H64",1000,IF(D5="H59",1000,IF(D5="P59",1000,IF(D5="H61",1000,IF(D5="P61",1000)))))))))))))))))))))))))))))))))))))))))))))))))</f>
        <v>1000</v>
      </c>
    </row>
    <row r="11" spans="1:27" ht="24.6" x14ac:dyDescent="0.4">
      <c r="A11" s="8"/>
      <c r="B11" s="37" t="s">
        <v>18</v>
      </c>
      <c r="C11" s="20" t="s">
        <v>19</v>
      </c>
      <c r="D11" s="203">
        <f>IF(C11="YES",O17,IF(C11="NO",0))</f>
        <v>2700</v>
      </c>
      <c r="E11" s="39"/>
      <c r="F11" s="40"/>
      <c r="G11" s="40"/>
      <c r="H11" s="33"/>
      <c r="I11" s="33"/>
      <c r="J11" s="44" t="s">
        <v>76</v>
      </c>
      <c r="K11" s="44">
        <f>H8-K10</f>
        <v>25330.775974999997</v>
      </c>
      <c r="L11" s="37"/>
      <c r="M11" s="37"/>
      <c r="N11" s="38"/>
      <c r="O11" s="147">
        <f>IF(D5="XC",6100,IF(D5="XPML",6100,IF(D5="XPHL",6100,IF(D5="XPMLP",6100,IF(D5="XPMLP-01",6100,IF(D5="Xpander P",6100,IF(D5="ML",6600,IF(D5="HL",6600,IF(D5="PR",6600,IF(D5="MLP",6600,IF(D5="HLP",6600,IF(D5="PRP",6600,IF(D5="H57",5900,IF(D5="P57",5900,IF(D5="H64",5900,IF(D5="H59",5900,IF(D5="P59",5900,IF(D5="H61",5900,IF(D5="P61",5900,IF(D5="G03",6700,IF(D5="G10",6700,IF(D5="P10",6700,IF(D5="G12",6700,IF(D5="P12",6700,IF(D5="G05",6700,IF(D5="P05",6700,IF(D5="P03",6700,IF(D5="G06",6700,IF(D5="P06",6700,IF(D5="OTP06-01",6700,IF(D5="G08",6700,IF(D5="G09",6700,IF(D5="G08",6700,IF(D5="P08",6700,IF(D5="P09",6700,IF(D5="H37",6400,IF(D5="H38",6400,IF(D5="EH40",6400,IF(D5="EH43",6400,IF(D5="H48",6600,IF(D5="H43",6600,IF(D5="H40",6600,IF(D5="H42",6600,IF(D5="H44",6600,IF(D5="H45",6600,IF(D5="ASX HL 4WD",6600,IF(D5="H16",5400,IF(D5="H17",5400,IF(D5="P16",5400,IF(D5="Attrage S",5400,IF(D5="MIG09",5400,IF(D5="MIG10",5400,IF(D5="Xpander HL",6000)))))))))))))))))))))))))))))))))))))))))))))))))))))</f>
        <v>6700</v>
      </c>
      <c r="P11" s="147"/>
      <c r="Q11" s="147"/>
      <c r="R11" s="147"/>
      <c r="S11" s="147"/>
      <c r="T11" s="147"/>
      <c r="U11" s="147">
        <f>IF(D5="XC",4900,IF(D5="XPML",4900,IF(D5="XPHL",4900,IF(D5="XPMLP",4900,IF(D5="XPMLP-01",4900,IF(D5="Xpander P",4900,IF(D5="ML",5400,IF(D5="HL",5400,IF(D5="PR",5400,IF(D5="MLP",5400,IF(D5="HLP",5400,IF(D5="PRP",5400,IF(D5="H57",4600,IF(D5="P57",4600,IF(D5="MOG64",4600,IF(D5="H59",4600,IF(D5="P59",4600,IF(D5="H61",4600,IF(D5="P61",4600,IF(D5="G03",5500,IF(D5="P03",5500,IF(D5="G10",5500,IF(D5="P10",5500,IF(D5="G12",5500,IF(D5="P12",5500,IF(D5="G05",5500,IF(D5="P05",5500,IF(D5="G06",5500,IF(D5="P06",5500,IF(D5="OTP06-01",5500,IF(D5="F08",5500,IF(D5="P08",5500,IF(D5="G09",5500,IF(D5="P09",5500,IF(D5="H38",5200,IF(D5="H37",5200,IF(D5="EH40",5200,IF(D5="EH43",5200,IF(D5="H48",5300,IF(D5="H43",5300,IF(D5="H40",5300,IF(D5="H42",5300,IF(D5="H44",5300,IF(D5="H45",5300,IF(D5="ASX HL",5300,IF(D5="ASX P",5300,IF(D5="ASX HL 4WD",5300,IF(D5="H16",4200,IF(D5="H17",4200,IF(D5="P16",4200,IF(D5="Attrage S",4200,IF(D5="MIG09",4200,IF(D5="MIG10",4200,IF(D5="Xpander HL",4900))))))))))))))))))))))))))))))))))))))))))))))))))))))</f>
        <v>5500</v>
      </c>
      <c r="V11" s="147">
        <f>IF(D5="XC",9700,IF(D5="XPML",9700,IF(D5="XPHL",9700,IF(D5="XPMLP",9700,IF(D5="XPMLP-01",9700,IF(D5="XPMLP-01",9700,IF(D5="Xpander P",9700,IF(D5="ML",10800,IF(D5="HL",10800,IF(D5="PR",10800,IF(D5="MLP",10800,IF(D5="HLP",10800,IF(D5="PRP",10800,IF(D5="H57",9300,IF(D5="P57",9300,IF(D5="MG64",9300,IF(D5="H59",9300,IF(D5="P59",9300,IF(D5="H61",9300,IF(D5="P61",9300,IF(D5="G03",11000,IF(D5="G10",11000,IF(D5="P10",11000,IF(D5="G12",11000,IF(D5="P12",11000,IF(D5="G05",11000,IF(D5="P05",11000,IF(D5="P03",11000,IF(D5="G06",11000,IF(D5="P06",11000,IF(D5="OTP06-01",11000,IF(D5="G08",11000,IF(D5="P08",11000,IF(D5="G09",11000,IF(D5="P09",11000,IF(D5="H38",10400,IF(D5="H37",10400,IF(D5="EH40",10400,IF(D5="EH43",10400,IF(D5="H48",10700,IF(D5="H43",10700,IF(D5="H40",10700,IF(D5="H42",10700,IF(D5="H44",10800,IF(D5="H45",10800,IF(D5="ASX HL",12200,IF(D5="ASX P",12200,IF(D5="ASX HL 4WD",12200,IF(D5="H16",8500,IF(D5="H17",8500,IF(D5="P16",8500,IF(D5="Attrage S",9600,IF(D5="MIG09",8500,IF(D5="MIG10",8500,IF(D5="Xpander HL",11300)))))))))))))))))))))))))))))))))))))))))))))))))))))))</f>
        <v>11000</v>
      </c>
      <c r="W11" s="147">
        <f>IF(D5="XC",9200,IF(D5="XPML",9200,IF(D5="XPHL",9200,IF(D5="XPMLP",9200,IF(D5="XPMLP-01",9200,IF(D5="Xpander P",9200,IF(D5="ML",10000,IF(D5="HL",10000,IF(D5="PR",10000,IF(D5="MLP",10000,IF(D5="HLP",10000,IF(D5="PRP",10000,IF(D5="H57",8700,IF(D5="P57",8700,IF(D5="H64",8700,IF(D5="H59",8700,IF(D5="P59",8700,IF(D5="H61",8700,IF(D5="P61",8700,IF(D5="G03",10400,IF(D5="P03",10400,IF(D5="G10",10400,IF(D5="P10",10400,IF(D5="G12",10400,IF(D5="P12",10400,IF(D5="G05",10400,IF(D5="P05",10400,IF(D5="G06",10400,IF(D5="P06",10400,IF(D5="OTP06-01",10400,IF(D5="G08",10400,IF(D5="P08",10400,IF(D5="G09",10400,IF(D5="P09",10400,IF(D5="H38",9800,IF(D5="H37",9800,IF(D5="EH40",9800,IF(D5="EH43",9800,IF(D5="H48",10100,IF(D5="H43",10100,IF(D5="H40",10100,IF(D5="H42",10100,IF(D5="H44",10100,IF(D5="H45",10100,IF(D5="ASX HL",10100,IF(D5="ASX P",10100,IF(D5="ASX HL 4WD",10100,IF(D5="H16",7900,IF(D5="H17",7900,IF(D5="P16",7900,IF(D5="Attrage S",7900,IF(D5="MIG09",7900,IF(D5="MIG10",7900,IF(D5="Xpander HL",9200))))))))))))))))))))))))))))))))))))))))))))))))))))))</f>
        <v>10400</v>
      </c>
      <c r="X11" s="147">
        <f>IF(D5="XC",4500,IF(D5="XPML",4500,IF(D5="XPHL",4500,IF(D5="XPMLP",4500,IF(D5="XPMLP-01",4500,IF(D5="Xpander P",4500,IF(D5="ML",5000,IF(D5="HL",5000,IF(D5="PR",5000,IF(D5="MLP",5000,IF(D5="HLP",5000,IF(D5="PRP",5000,IF(D5="H57",8700,IF(D5="P57",8700,IF(D5="MOG64",4300,IF(D5="H59",4300,IF(D5="P59",4300,IF(D5="H61",4300,IF(D5="P61",4300,IF(D5="G03",5000,IF(D5="P03",5000,IF(D5="G10",5000,IF(D5="P10",5000,IF(D5="G12",5000,IF(D5="P12",5000,IF(D5="G05",5000,IF(D5="P05",5000,IF(D5="G06",5000,IF(D5="P06",5000,IF(D5="OTP06-01",5000,IF(D5="G08",5000,IF(D5="P08",5000,IF(D5="G09",5000,IF(D5="P09",5000,IF(D5="H38",4900,IF(D5="H37",4900,IF(D5="EH40",4900,IF(D5="EH43",4900,IF(D5="H48",4900,IF(D5="H43",4900,IF(D5="H40",4900,IF(D5="H42",4900,IF(D5="H44",4900,IF(D5="H45",4900,IF(D5="ASX HL",4900,IF(D5="ASX P",4900,IF(D5="ASX HL 4WD",4900,IF(D5="H16",3700,IF(D5="H17",3700,IF(D5="P16",3700,IF(D5="Attrage S",3700,IF(D5="MIG09",3700,IF(D5="MIG10",3700,IF(D5="Xpander HL",4500))))))))))))))))))))))))))))))))))))))))))))))))))))))</f>
        <v>5000</v>
      </c>
      <c r="Y11" s="147">
        <f>IF(D5="XC",5400,IF(D5="XPML ",5400,IF(D5="XPHL",5400,IF(D5="XPMLP",5400,IF(D5="XPMLP-01",5400,IF(D5="Xpander P",5400,IF(D5="ML",6000,IF(D5="HL",6000,IF(D5="PR",6000,IF(D5="MLP",6000,IF(D5="HLP",6000,IF(D5="PRP",6000,IF(D5="H57",5200,IF(D5="57",5200,IF(D5="H64",5200,IF(D5="H59",5200,IF(D5="P59",5200,IF(D5="H61",5200,IF(D5="P61",5200,IF(D5="G03",6000,IF(D5="P03",6000,IF(D5="G10",6000,IF(D5="P10",6000,IF(D5="G12",6000,IF(D5="P12",6000,IF(D5="G05",6000,IF(D5="P05",6000,IF(D5="G06",6000,IF(D5="P06",6000,IF(D5="OTP06-01",6000,IF(D5="G08",6000,IF(D5="P08",6000,IF(D5="G09",6000,IF(D5="P09",6000,IF(D5="H38",5700,IF(D5="H37",5700,IF(D5="EH40",5700,IF(D5="EH43",5700,IF(D5="H48",5900,IF(D5="H43",5900,IF(D5="H40",5900,IF(D5="H42",5900,IF(D5="H44",5900,IF(D5="H45",5900,IF(D5="ASX HL",5900,IF(D5="ASX P",5900,IF(D5="ASX HL 4WD",5900,IF(D5="H16",4500,IF(D5="H17",4500,IF(D5="P16",4500,IF(D5="Attrage S",4500,IF(D5="MIG09",4500,IF(D5="MIG10",4500,IF(D5="Xpander HL",5400))))))))))))))))))))))))))))))))))))))))))))))))))))))</f>
        <v>6000</v>
      </c>
    </row>
    <row r="12" spans="1:27" ht="24.6" x14ac:dyDescent="0.4">
      <c r="A12" s="8"/>
      <c r="B12" s="37" t="s">
        <v>20</v>
      </c>
      <c r="C12" s="20" t="s">
        <v>17</v>
      </c>
      <c r="D12" s="36">
        <f>IF(C12="YES",2000,IF(C12="NO",0))</f>
        <v>0</v>
      </c>
      <c r="E12" s="43"/>
      <c r="F12" s="43" t="s">
        <v>21</v>
      </c>
      <c r="G12" s="40"/>
      <c r="H12" s="33">
        <v>600</v>
      </c>
      <c r="I12" s="33"/>
      <c r="J12" s="202" t="s">
        <v>140</v>
      </c>
      <c r="K12" s="45">
        <v>0</v>
      </c>
      <c r="L12" s="45">
        <v>5.2499999999999998E-2</v>
      </c>
      <c r="M12" s="45">
        <v>0.126</v>
      </c>
      <c r="N12" s="201">
        <v>0.26250000000000001</v>
      </c>
      <c r="O12" s="147">
        <f>IF(K20="Esaad",B8*3/100,IF(K20="Emirates Platinum",B8*3/100,IF(K20="Fazaa",B8*3/100,IF(K20="Humat Alwatan",B8*3/100,IF(K20="Permissible",2000,IF(K20="ASX",8400,IF(K20="XPMLP",15100,IF(K20="XP",7200,IF(K20="G43",11000,IF(K20="EC",17000,IF(K20="G37",17000,IF(K20="G38",15000,IF(K20="G40",11000,IF(K20="OUT",3000,IF(K20="F08",14400,IF(K20="P08",11100,IF(K20="F06",13100,IF(K20="P06",13400,IF(K20="F03",3500,IF(K20="F03-1",13500,IF(K20="P03",13100,IF(K20="MON",10000,IF(K20="MON G57",9000,0)))))))))))))))))))))))</f>
        <v>2000</v>
      </c>
      <c r="Z12" s="86" t="s">
        <v>83</v>
      </c>
      <c r="AA12" s="86" t="s">
        <v>84</v>
      </c>
    </row>
    <row r="13" spans="1:27" ht="24.6" x14ac:dyDescent="0.4">
      <c r="A13" s="8">
        <f>B8*1.26582</f>
        <v>134050.33799999999</v>
      </c>
      <c r="B13" s="37" t="s">
        <v>23</v>
      </c>
      <c r="C13" s="20" t="s">
        <v>19</v>
      </c>
      <c r="D13" s="36">
        <f>IF(C13="YES",2000,IF(C13="NO",0))</f>
        <v>2000</v>
      </c>
      <c r="E13" s="47"/>
      <c r="F13" s="47" t="s">
        <v>75</v>
      </c>
      <c r="G13" s="51"/>
      <c r="H13" s="39">
        <v>315</v>
      </c>
      <c r="I13" s="33"/>
      <c r="J13" s="44" t="s">
        <v>54</v>
      </c>
      <c r="K13" s="29" t="s">
        <v>79</v>
      </c>
      <c r="L13" s="29" t="s">
        <v>25</v>
      </c>
      <c r="M13" s="29" t="s">
        <v>0</v>
      </c>
      <c r="N13" s="57" t="s">
        <v>26</v>
      </c>
      <c r="O13" s="9">
        <f>IF(M21="3000-4999",6%,IF(M21="5000-9999",4.75%,IF(M21="10000-14999",3.15%,IF(M21="15000-24999",2.5%,IF(M21="25000-34999",2.25%,IF(M21="35000-99999",2.15%))))))</f>
        <v>4.7500000000000001E-2</v>
      </c>
      <c r="Q13" s="2">
        <f>H7/12</f>
        <v>2194.2313312499996</v>
      </c>
      <c r="U13" s="9">
        <f>IF(M21="3000-4999",6%,IF(M21="5000-9999",3.25%,IF(M21="10000-14999",3%,IF(M21="15000-24999",2.25%,IF(M21="25000-34999",2.15%,IF(M21="35000-99999",1.99%))))))</f>
        <v>3.2500000000000001E-2</v>
      </c>
      <c r="Z13" s="99">
        <f>IF(M21="5000-9999",2.49%,IF(M21="10000-19999",2.19%,IF(M21="20000-34999",2.09%,IF(M21="35000-49999",1.89%,IF(M21="50000-99999",1.79%)))))</f>
        <v>2.4900000000000002E-2</v>
      </c>
      <c r="AA13" s="99">
        <f>IF(M21="5000-9999",2.59%,IF(M21="10000-19999",2.29%,IF(M21="20000-34999",2.19%,IF(M21="35000-49999",1.99%,IF(M21="50000-99999",1.89%)))))</f>
        <v>2.5899999999999999E-2</v>
      </c>
    </row>
    <row r="14" spans="1:27" ht="24.6" x14ac:dyDescent="0.4">
      <c r="A14" s="10" t="s">
        <v>27</v>
      </c>
      <c r="B14" s="37" t="s">
        <v>24</v>
      </c>
      <c r="C14" s="20" t="s">
        <v>19</v>
      </c>
      <c r="D14" s="50">
        <f>IF(C14="YES",U19*3.15*1.05/100,IF(C14="NO",U19*0/100))</f>
        <v>4073.6823749999999</v>
      </c>
      <c r="E14" s="48"/>
      <c r="F14" s="48" t="s">
        <v>24</v>
      </c>
      <c r="G14" s="51" t="s">
        <v>17</v>
      </c>
      <c r="H14" s="39">
        <f>IF(G14="YES",U19*3.15*1.05/100,IF(G14="NO",U19*0/100))</f>
        <v>0</v>
      </c>
      <c r="I14" s="33"/>
      <c r="J14" s="44" t="s">
        <v>55</v>
      </c>
      <c r="K14" s="44">
        <f>(H8*K12+H8)/3</f>
        <v>8776.9253249999983</v>
      </c>
      <c r="L14" s="44">
        <f>(H8*L12+H8)/12</f>
        <v>2309.4284761406248</v>
      </c>
      <c r="M14" s="44">
        <f>(H8*M12+H8)/24</f>
        <v>1235.3522394937497</v>
      </c>
      <c r="N14" s="200">
        <f>(H7*N12+H7)/60</f>
        <v>554.04341114062493</v>
      </c>
      <c r="O14" s="9">
        <f>IF(M21="3000-4999",3.89%,IF(M21="5000-9999",3.89%,IF(M21="10000-14999",3.89%,IF(M21="15000-24999",2.69%,IF(M21="25000-34999",2.69%,IF(M21="35000-99999",2.39%,IF(M21="76000-99999",2.5%)))))))</f>
        <v>3.8900000000000004E-2</v>
      </c>
    </row>
    <row r="15" spans="1:27" ht="24.6" x14ac:dyDescent="0.4">
      <c r="A15" s="11">
        <f>(B7*3%)+10+120</f>
        <v>3307</v>
      </c>
      <c r="B15" s="37" t="s">
        <v>28</v>
      </c>
      <c r="C15" s="20" t="s">
        <v>19</v>
      </c>
      <c r="D15" s="29">
        <f>IF(C15="YES",O10,IF(C15="NO",0))</f>
        <v>4415.1975000000002</v>
      </c>
      <c r="E15" s="48"/>
      <c r="F15" s="48" t="s">
        <v>53</v>
      </c>
      <c r="G15" s="51" t="s">
        <v>17</v>
      </c>
      <c r="H15" s="39">
        <f>IF(G15="YES",O10,IF(G15="NO",0))</f>
        <v>0</v>
      </c>
      <c r="I15" s="33"/>
      <c r="J15" s="44"/>
      <c r="K15" s="44"/>
      <c r="L15" s="44"/>
      <c r="M15" s="44"/>
      <c r="N15" s="198"/>
      <c r="O15" s="9" t="b">
        <f>IF(M21="3000-4999",4.99%, IF(M21="5000-11999",2.75%,IF(M21="12000-19999",2.75%,IF(M21="20000-39999",2.25%,IF(M21="40000-69999",2.25%,IF(M21="70000-99999",2.25%))))))</f>
        <v>0</v>
      </c>
      <c r="P15" s="191"/>
    </row>
    <row r="16" spans="1:27" ht="24.6" x14ac:dyDescent="0.4">
      <c r="A16" s="11">
        <f>((B7-B8)*3%+10+120)</f>
        <v>130</v>
      </c>
      <c r="B16" s="37" t="s">
        <v>78</v>
      </c>
      <c r="C16" s="20" t="s">
        <v>19</v>
      </c>
      <c r="D16" s="29">
        <f>IF(C16="YES",O16,IF(C16="NO",0))</f>
        <v>6700</v>
      </c>
      <c r="E16" s="47"/>
      <c r="F16" s="47" t="s">
        <v>74</v>
      </c>
      <c r="G16" s="54"/>
      <c r="H16" s="33">
        <f>I7*1.05%</f>
        <v>1105.8925909499999</v>
      </c>
      <c r="I16" s="33"/>
      <c r="J16" s="44" t="s">
        <v>16</v>
      </c>
      <c r="K16" s="44">
        <f>(K14*3)-H8</f>
        <v>0</v>
      </c>
      <c r="L16" s="44">
        <f>(L14*12)-H8</f>
        <v>1382.3657386874984</v>
      </c>
      <c r="M16" s="44">
        <f>(M14*24)-H8</f>
        <v>3317.6777728499947</v>
      </c>
      <c r="N16" s="198"/>
      <c r="O16" s="147">
        <f>IF(B16="RMC-10-70KMS",O11,IF(B16="RMC-10-100000KMS",V11,IF(B16="RMC-40-70KMS",U11, IF(B16="RMC-10-40KMS",X11, IF(B16="RMC-10-60KMS",Y11, IF(B16="RMC-40-100000KMS",W11,0))))))</f>
        <v>6700</v>
      </c>
    </row>
    <row r="17" spans="1:23" ht="24.6" x14ac:dyDescent="0.4">
      <c r="A17" s="11">
        <f>A15+A16</f>
        <v>3437</v>
      </c>
      <c r="B17" s="37"/>
      <c r="C17" s="20"/>
      <c r="D17" s="29">
        <f>SUM(D10:D16)</f>
        <v>19888.879874999999</v>
      </c>
      <c r="E17" s="48"/>
      <c r="F17" s="48"/>
      <c r="G17" s="54"/>
      <c r="H17" s="33">
        <f>+SUM(H12:H16)+(H7)</f>
        <v>28351.668565949996</v>
      </c>
      <c r="I17" s="33"/>
      <c r="J17" s="20"/>
      <c r="K17" s="199"/>
      <c r="L17" s="199"/>
      <c r="M17" s="199"/>
      <c r="N17" s="198"/>
      <c r="O17" s="147">
        <f>IF(B11="FO Ceramic+ Intr&amp;Extr CeramicGold WdwTnt",2700,IF(B11="FO Mirror Camera Sensor",2000))</f>
        <v>2700</v>
      </c>
      <c r="T17" s="1">
        <f>19615-791</f>
        <v>18824</v>
      </c>
    </row>
    <row r="18" spans="1:23" ht="24.6" x14ac:dyDescent="0.4">
      <c r="A18" s="12" t="s">
        <v>29</v>
      </c>
      <c r="B18" s="55" t="s">
        <v>30</v>
      </c>
      <c r="C18" s="197"/>
      <c r="D18" s="57">
        <v>0</v>
      </c>
      <c r="E18" s="38"/>
      <c r="F18" s="20"/>
      <c r="G18" s="20"/>
      <c r="H18" s="37"/>
      <c r="I18" s="37"/>
      <c r="J18" s="37"/>
      <c r="K18" s="37"/>
      <c r="L18" s="37"/>
      <c r="M18" s="37"/>
      <c r="N18" s="37"/>
      <c r="O18" s="9" t="b">
        <f>IF(M21="5000-99999",1.99%)</f>
        <v>0</v>
      </c>
      <c r="U18" s="196" t="s">
        <v>52</v>
      </c>
      <c r="V18" s="196" t="s">
        <v>52</v>
      </c>
    </row>
    <row r="19" spans="1:23" ht="24.6" x14ac:dyDescent="0.4">
      <c r="A19" s="11">
        <f>B8*3.15%</f>
        <v>3335.85</v>
      </c>
      <c r="B19" s="58" t="s">
        <v>31</v>
      </c>
      <c r="C19" s="59"/>
      <c r="D19" s="60">
        <f>IF(K21="DIB EXPAT",O13,IF(K21="DIB LOCAL GVH",U13,IF(K21="Emirates NBD",O14,IF(K21="ADCB",O15,IF(K21="ADCB PAY IN 2027",O19,IF(K21="Ajman Bank",O18,IF(K21="SIB STL",Z13,IF(K21="SIB NON STL",AA13,))))))))</f>
        <v>3.8900000000000004E-2</v>
      </c>
      <c r="E19" s="20"/>
      <c r="F19" s="195"/>
      <c r="G19" s="141" t="s">
        <v>73</v>
      </c>
      <c r="H19" s="142"/>
      <c r="I19" s="143"/>
      <c r="J19" s="109">
        <f>(U19*20/100)/365</f>
        <v>67.487671232876707</v>
      </c>
      <c r="K19" s="37"/>
      <c r="L19" s="37"/>
      <c r="M19" s="37"/>
      <c r="N19" s="34">
        <f>D7</f>
        <v>111195</v>
      </c>
      <c r="O19" s="194" t="b">
        <f>IF(M21="5000-11999",3.35%,IF(M21="12000-19999",3.35%,IF(M21="20000-39999",2.85%,IF(M21="40000-69999",2.85%,IF(M21="70000-99999",2.85%)))))</f>
        <v>0</v>
      </c>
      <c r="P19" s="2">
        <f>81400-2500</f>
        <v>78900</v>
      </c>
      <c r="U19" s="193">
        <f>V19</f>
        <v>123165</v>
      </c>
      <c r="V19" s="192">
        <f>(B7+D10+D11+D12+D13+D16)*1.05</f>
        <v>123165</v>
      </c>
    </row>
    <row r="20" spans="1:23" ht="24.6" x14ac:dyDescent="0.4">
      <c r="A20" s="11"/>
      <c r="B20" s="58" t="s">
        <v>32</v>
      </c>
      <c r="C20" s="59"/>
      <c r="D20" s="63">
        <v>0.2</v>
      </c>
      <c r="E20" s="37"/>
      <c r="F20" s="37"/>
      <c r="G20" s="38"/>
      <c r="H20" s="38"/>
      <c r="I20" s="38"/>
      <c r="J20" s="103"/>
      <c r="K20" s="104" t="s">
        <v>33</v>
      </c>
      <c r="L20" s="104" t="s">
        <v>17</v>
      </c>
      <c r="M20" s="104">
        <f>IF(L20="YES",O12,IF(L20="NO",0))</f>
        <v>0</v>
      </c>
      <c r="N20" s="34">
        <f>B8-M20</f>
        <v>105900</v>
      </c>
      <c r="O20" s="187"/>
      <c r="P20" s="191"/>
      <c r="T20" s="1">
        <f>1992+1084</f>
        <v>3076</v>
      </c>
      <c r="U20" s="186"/>
      <c r="V20" s="2"/>
    </row>
    <row r="21" spans="1:23" ht="24.6" x14ac:dyDescent="0.4">
      <c r="A21" s="13">
        <f>A19+A20</f>
        <v>3335.85</v>
      </c>
      <c r="B21" s="37"/>
      <c r="C21" s="20"/>
      <c r="D21" s="37"/>
      <c r="E21" s="37"/>
      <c r="F21" s="37"/>
      <c r="G21" s="37"/>
      <c r="H21" s="37"/>
      <c r="I21" s="37"/>
      <c r="J21" s="190" t="s">
        <v>34</v>
      </c>
      <c r="K21" s="16" t="s">
        <v>139</v>
      </c>
      <c r="L21" s="16" t="s">
        <v>35</v>
      </c>
      <c r="M21" s="189" t="s">
        <v>80</v>
      </c>
      <c r="N21" s="188"/>
      <c r="O21" s="187"/>
      <c r="T21" s="1">
        <f>25973-12973</f>
        <v>13000</v>
      </c>
      <c r="U21" s="186">
        <f>M14+N7</f>
        <v>3332.1596996362496</v>
      </c>
    </row>
    <row r="22" spans="1:23" s="179" customFormat="1" ht="24.6" x14ac:dyDescent="0.4">
      <c r="A22" s="185"/>
      <c r="B22" s="184" t="s">
        <v>51</v>
      </c>
      <c r="C22" s="183"/>
      <c r="D22" s="183"/>
      <c r="E22" s="183"/>
      <c r="F22" s="183"/>
      <c r="G22" s="183"/>
      <c r="H22" s="183"/>
      <c r="I22" s="183"/>
      <c r="J22" s="183"/>
      <c r="K22" s="183"/>
      <c r="L22" s="183"/>
      <c r="M22" s="183"/>
      <c r="N22" s="182"/>
      <c r="O22" s="181"/>
      <c r="P22" s="180"/>
    </row>
    <row r="23" spans="1:23" s="168" customFormat="1" ht="26.4" x14ac:dyDescent="0.5">
      <c r="A23" s="175" t="s">
        <v>36</v>
      </c>
      <c r="B23" s="172" t="s">
        <v>138</v>
      </c>
      <c r="C23" s="169"/>
      <c r="D23" s="169"/>
      <c r="E23" s="169"/>
      <c r="F23" s="169"/>
      <c r="G23" s="169"/>
      <c r="H23" s="176"/>
      <c r="I23" s="176"/>
      <c r="J23" s="169"/>
      <c r="K23" s="169"/>
      <c r="L23" s="169"/>
      <c r="M23" s="169"/>
      <c r="N23" s="178"/>
      <c r="O23" s="170"/>
      <c r="P23" s="169"/>
    </row>
    <row r="24" spans="1:23" s="168" customFormat="1" ht="26.4" x14ac:dyDescent="0.5">
      <c r="A24" s="175" t="s">
        <v>36</v>
      </c>
      <c r="B24" s="172" t="s">
        <v>137</v>
      </c>
      <c r="C24" s="169"/>
      <c r="D24" s="169"/>
      <c r="E24" s="169"/>
      <c r="F24" s="169"/>
      <c r="G24" s="169"/>
      <c r="H24" s="177">
        <f>H7/365</f>
        <v>72.139112260273961</v>
      </c>
      <c r="I24" s="177">
        <f>H7+H12+H16</f>
        <v>28036.668565949996</v>
      </c>
      <c r="J24" s="169"/>
      <c r="K24" s="169"/>
      <c r="L24" s="169"/>
      <c r="M24" s="169"/>
      <c r="N24" s="173"/>
      <c r="O24" s="170"/>
      <c r="P24" s="169">
        <f>1232+480</f>
        <v>1712</v>
      </c>
      <c r="T24" s="168">
        <f>88704/1.05</f>
        <v>84480</v>
      </c>
    </row>
    <row r="25" spans="1:23" s="168" customFormat="1" ht="26.4" x14ac:dyDescent="0.5">
      <c r="A25" s="175" t="s">
        <v>36</v>
      </c>
      <c r="B25" s="172" t="s">
        <v>136</v>
      </c>
      <c r="C25" s="169"/>
      <c r="D25" s="169"/>
      <c r="E25" s="169"/>
      <c r="F25" s="169"/>
      <c r="G25" s="169"/>
      <c r="H25" s="176"/>
      <c r="I25" s="176"/>
      <c r="J25" s="169"/>
      <c r="K25" s="169"/>
      <c r="L25" s="169"/>
      <c r="M25" s="169"/>
      <c r="N25" s="173"/>
      <c r="O25" s="170"/>
      <c r="P25" s="169"/>
      <c r="Q25" s="168">
        <f>79400-5233.33</f>
        <v>74166.67</v>
      </c>
      <c r="R25" s="168">
        <f>Q25*1.05</f>
        <v>77875.003500000006</v>
      </c>
      <c r="W25" s="168">
        <f>1999+1224</f>
        <v>3223</v>
      </c>
    </row>
    <row r="26" spans="1:23" s="168" customFormat="1" ht="26.4" x14ac:dyDescent="0.5">
      <c r="A26" s="175" t="s">
        <v>36</v>
      </c>
      <c r="B26" s="172" t="s">
        <v>135</v>
      </c>
      <c r="C26" s="169"/>
      <c r="D26" s="169"/>
      <c r="E26" s="169"/>
      <c r="F26" s="169"/>
      <c r="G26" s="169"/>
      <c r="H26" s="169"/>
      <c r="I26" s="169"/>
      <c r="J26" s="169"/>
      <c r="K26" s="169"/>
      <c r="L26" s="169"/>
      <c r="M26" s="169"/>
      <c r="N26" s="173"/>
      <c r="O26" s="170" t="s">
        <v>37</v>
      </c>
      <c r="P26" s="169"/>
      <c r="R26" s="168">
        <f>R25+2469</f>
        <v>80344.003500000006</v>
      </c>
    </row>
    <row r="27" spans="1:23" s="168" customFormat="1" ht="26.4" x14ac:dyDescent="0.5">
      <c r="A27" s="175" t="s">
        <v>36</v>
      </c>
      <c r="B27" s="172" t="s">
        <v>134</v>
      </c>
      <c r="C27" s="169"/>
      <c r="D27" s="169"/>
      <c r="E27" s="169"/>
      <c r="F27" s="169"/>
      <c r="G27" s="169"/>
      <c r="H27" s="169"/>
      <c r="I27" s="169"/>
      <c r="J27" s="169"/>
      <c r="K27" s="169"/>
      <c r="L27" s="169"/>
      <c r="M27" s="169"/>
      <c r="N27" s="173"/>
      <c r="O27" s="170">
        <f>129500-110900</f>
        <v>18600</v>
      </c>
      <c r="P27" s="169"/>
      <c r="W27" s="174">
        <f>N7+L14</f>
        <v>4406.2359362831248</v>
      </c>
    </row>
    <row r="28" spans="1:23" s="168" customFormat="1" ht="26.4" x14ac:dyDescent="0.5">
      <c r="B28" s="172" t="s">
        <v>133</v>
      </c>
      <c r="C28" s="169"/>
      <c r="D28" s="169"/>
      <c r="E28" s="169"/>
      <c r="F28" s="169"/>
      <c r="G28" s="169"/>
      <c r="H28" s="169"/>
      <c r="I28" s="169"/>
      <c r="J28" s="169"/>
      <c r="K28" s="169"/>
      <c r="L28" s="169"/>
      <c r="M28" s="169"/>
      <c r="N28" s="173"/>
      <c r="O28" s="170">
        <f>85000-69900</f>
        <v>15100</v>
      </c>
      <c r="P28" s="169"/>
    </row>
    <row r="29" spans="1:23" s="168" customFormat="1" ht="26.4" x14ac:dyDescent="0.5">
      <c r="B29" s="172" t="s">
        <v>132</v>
      </c>
      <c r="C29" s="169"/>
      <c r="D29" s="169"/>
      <c r="E29" s="169"/>
      <c r="F29" s="169"/>
      <c r="G29" s="169"/>
      <c r="H29" s="169"/>
      <c r="I29" s="169"/>
      <c r="J29" s="169"/>
      <c r="K29" s="169"/>
      <c r="L29" s="169"/>
      <c r="M29" s="169"/>
      <c r="N29" s="171"/>
      <c r="O29" s="170"/>
      <c r="P29" s="169"/>
    </row>
    <row r="30" spans="1:23" x14ac:dyDescent="0.3">
      <c r="B30" s="167" t="s">
        <v>38</v>
      </c>
      <c r="C30" s="166"/>
      <c r="D30" s="166"/>
      <c r="E30" s="166"/>
      <c r="F30" s="166"/>
      <c r="G30" s="166"/>
      <c r="H30" s="166"/>
      <c r="I30" s="166"/>
      <c r="J30" s="166"/>
      <c r="K30" s="166"/>
      <c r="L30" s="166"/>
      <c r="M30" s="166"/>
      <c r="N30" s="165"/>
      <c r="O30" s="147"/>
    </row>
    <row r="31" spans="1:23" x14ac:dyDescent="0.3">
      <c r="B31" s="146"/>
      <c r="C31" s="145"/>
      <c r="D31" s="145"/>
      <c r="E31" s="145"/>
      <c r="F31" s="145"/>
      <c r="G31" s="145"/>
      <c r="H31" s="145"/>
      <c r="I31" s="145"/>
      <c r="J31" s="145"/>
      <c r="K31" s="145"/>
      <c r="L31" s="145"/>
      <c r="M31" s="145"/>
      <c r="N31" s="144"/>
      <c r="O31" s="147"/>
    </row>
    <row r="32" spans="1:23" s="86" customFormat="1" ht="20.399999999999999" x14ac:dyDescent="0.35">
      <c r="B32" s="118" t="s">
        <v>39</v>
      </c>
      <c r="C32" s="119"/>
      <c r="D32" s="119"/>
      <c r="E32" s="119"/>
      <c r="F32" s="119"/>
      <c r="G32" s="119"/>
      <c r="H32" s="119"/>
      <c r="I32" s="119"/>
      <c r="J32" s="119"/>
      <c r="K32" s="119"/>
      <c r="L32" s="119"/>
      <c r="M32" s="119"/>
      <c r="N32" s="120"/>
      <c r="O32" s="92"/>
      <c r="P32" s="83"/>
    </row>
    <row r="33" spans="2:16" s="86" customFormat="1" ht="20.399999999999999" x14ac:dyDescent="0.35">
      <c r="B33" s="118" t="s">
        <v>40</v>
      </c>
      <c r="C33" s="119"/>
      <c r="D33" s="119"/>
      <c r="E33" s="119"/>
      <c r="F33" s="119"/>
      <c r="G33" s="119"/>
      <c r="H33" s="119"/>
      <c r="I33" s="119"/>
      <c r="J33" s="119"/>
      <c r="K33" s="119"/>
      <c r="L33" s="119"/>
      <c r="M33" s="119"/>
      <c r="N33" s="120"/>
      <c r="O33" s="92"/>
      <c r="P33" s="83"/>
    </row>
    <row r="34" spans="2:16" s="86" customFormat="1" ht="20.399999999999999" x14ac:dyDescent="0.35">
      <c r="B34" s="107" t="s">
        <v>131</v>
      </c>
      <c r="C34" s="108"/>
      <c r="D34" s="108"/>
      <c r="E34" s="108"/>
      <c r="F34" s="108"/>
      <c r="G34" s="164" t="s">
        <v>130</v>
      </c>
      <c r="H34" s="164"/>
      <c r="I34" s="163"/>
      <c r="J34" s="163"/>
      <c r="K34" s="163"/>
      <c r="L34" s="163"/>
      <c r="M34" s="162" t="s">
        <v>129</v>
      </c>
      <c r="N34" s="161"/>
      <c r="O34" s="83"/>
      <c r="P34" s="83"/>
    </row>
    <row r="35" spans="2:16" x14ac:dyDescent="0.3">
      <c r="B35" s="160"/>
      <c r="C35" s="159"/>
      <c r="D35" s="159"/>
      <c r="E35" s="159"/>
      <c r="F35" s="159"/>
      <c r="G35" s="159"/>
      <c r="H35" s="159"/>
      <c r="I35" s="159"/>
      <c r="J35" s="159"/>
      <c r="K35" s="159"/>
      <c r="L35" s="159"/>
      <c r="M35" s="159"/>
      <c r="N35" s="158"/>
    </row>
    <row r="36" spans="2:16" x14ac:dyDescent="0.3">
      <c r="B36" s="160"/>
      <c r="C36" s="159"/>
      <c r="D36" s="159"/>
      <c r="E36" s="159"/>
      <c r="F36" s="159"/>
      <c r="G36" s="159"/>
      <c r="H36" s="159"/>
      <c r="I36" s="159"/>
      <c r="J36" s="159"/>
      <c r="K36" s="159"/>
      <c r="L36" s="159"/>
      <c r="M36" s="159"/>
      <c r="N36" s="158"/>
    </row>
    <row r="37" spans="2:16" x14ac:dyDescent="0.3">
      <c r="B37" s="160"/>
      <c r="C37" s="159"/>
      <c r="D37" s="159"/>
      <c r="E37" s="159"/>
      <c r="F37" s="159"/>
      <c r="G37" s="159"/>
      <c r="H37" s="159"/>
      <c r="I37" s="159"/>
      <c r="J37" s="159"/>
      <c r="K37" s="159"/>
      <c r="L37" s="159"/>
      <c r="M37" s="159"/>
      <c r="N37" s="158"/>
    </row>
    <row r="38" spans="2:16" ht="16.8" x14ac:dyDescent="0.3">
      <c r="B38" s="149" t="s">
        <v>128</v>
      </c>
      <c r="C38" s="157"/>
      <c r="D38" s="154"/>
      <c r="E38" s="151"/>
      <c r="F38" s="151"/>
      <c r="G38" s="151"/>
      <c r="H38" s="151"/>
      <c r="I38" s="151"/>
      <c r="J38" s="152"/>
      <c r="K38" s="151"/>
      <c r="L38" s="151"/>
      <c r="M38" s="151"/>
      <c r="N38" s="156"/>
    </row>
    <row r="39" spans="2:16" ht="16.8" x14ac:dyDescent="0.3">
      <c r="B39" s="149" t="s">
        <v>127</v>
      </c>
      <c r="C39" s="155"/>
      <c r="D39" s="154"/>
      <c r="E39" s="151"/>
      <c r="F39" s="151"/>
      <c r="G39" s="151"/>
      <c r="H39" s="151"/>
      <c r="I39" s="151"/>
      <c r="J39" s="152"/>
      <c r="K39" s="151"/>
      <c r="L39" s="151"/>
      <c r="M39" s="151"/>
      <c r="N39" s="150"/>
    </row>
    <row r="40" spans="2:16" ht="16.8" x14ac:dyDescent="0.3">
      <c r="B40" s="149" t="s">
        <v>126</v>
      </c>
      <c r="C40" s="153"/>
      <c r="D40" s="151"/>
      <c r="E40" s="151"/>
      <c r="F40" s="151"/>
      <c r="G40" s="151"/>
      <c r="H40" s="151"/>
      <c r="I40" s="151"/>
      <c r="J40" s="152"/>
      <c r="K40" s="151"/>
      <c r="L40" s="151"/>
      <c r="M40" s="151"/>
      <c r="N40" s="150"/>
    </row>
    <row r="41" spans="2:16" ht="16.8" x14ac:dyDescent="0.3">
      <c r="B41" s="149" t="s">
        <v>125</v>
      </c>
      <c r="N41" s="148"/>
    </row>
    <row r="42" spans="2:16" ht="16.8" x14ac:dyDescent="0.3">
      <c r="B42" s="149" t="s">
        <v>124</v>
      </c>
      <c r="N42" s="148"/>
    </row>
    <row r="43" spans="2:16" ht="16.8" x14ac:dyDescent="0.3">
      <c r="B43" s="149" t="s">
        <v>123</v>
      </c>
      <c r="N43" s="148"/>
    </row>
    <row r="44" spans="2:16" ht="16.8" x14ac:dyDescent="0.3">
      <c r="B44" s="149" t="s">
        <v>122</v>
      </c>
      <c r="N44" s="148"/>
    </row>
    <row r="45" spans="2:16" ht="16.8" x14ac:dyDescent="0.3">
      <c r="B45" s="149" t="s">
        <v>121</v>
      </c>
      <c r="N45" s="148"/>
    </row>
    <row r="46" spans="2:16" ht="16.8" x14ac:dyDescent="0.3">
      <c r="B46" s="149" t="s">
        <v>120</v>
      </c>
      <c r="N46" s="148"/>
    </row>
    <row r="47" spans="2:16" x14ac:dyDescent="0.3">
      <c r="B47" s="146" t="s">
        <v>39</v>
      </c>
      <c r="C47" s="145"/>
      <c r="D47" s="145"/>
      <c r="E47" s="145"/>
      <c r="F47" s="145"/>
      <c r="G47" s="145"/>
      <c r="H47" s="145"/>
      <c r="I47" s="145"/>
      <c r="J47" s="145"/>
      <c r="K47" s="145"/>
      <c r="L47" s="145"/>
      <c r="M47" s="145"/>
      <c r="N47" s="144"/>
      <c r="O47" s="147"/>
    </row>
    <row r="48" spans="2:16" x14ac:dyDescent="0.3">
      <c r="B48" s="146" t="s">
        <v>40</v>
      </c>
      <c r="C48" s="145"/>
      <c r="D48" s="145"/>
      <c r="E48" s="145"/>
      <c r="F48" s="145"/>
      <c r="G48" s="145"/>
      <c r="H48" s="145"/>
      <c r="I48" s="145"/>
      <c r="J48" s="145"/>
      <c r="K48" s="145"/>
      <c r="L48" s="145"/>
      <c r="M48" s="145"/>
      <c r="N48" s="144"/>
      <c r="O48" s="147"/>
    </row>
    <row r="49" spans="2:14" x14ac:dyDescent="0.3">
      <c r="B49" s="146" t="s">
        <v>119</v>
      </c>
      <c r="C49" s="145"/>
      <c r="D49" s="145"/>
      <c r="E49" s="145"/>
      <c r="F49" s="145"/>
      <c r="G49" s="145"/>
      <c r="H49" s="145"/>
      <c r="I49" s="145"/>
      <c r="J49" s="145"/>
      <c r="K49" s="145"/>
      <c r="L49" s="145"/>
      <c r="M49" s="145"/>
      <c r="N49" s="144"/>
    </row>
    <row r="50" spans="2:14" ht="25.8" x14ac:dyDescent="0.3">
      <c r="C50" s="15" t="s">
        <v>41</v>
      </c>
    </row>
    <row r="51" spans="2:14" ht="25.8" x14ac:dyDescent="0.3">
      <c r="C51" s="15" t="s">
        <v>42</v>
      </c>
    </row>
    <row r="52" spans="2:14" ht="25.8" x14ac:dyDescent="0.3">
      <c r="C52" s="15" t="s">
        <v>43</v>
      </c>
    </row>
    <row r="53" spans="2:14" ht="25.8" x14ac:dyDescent="0.3">
      <c r="C53" s="15" t="s">
        <v>44</v>
      </c>
    </row>
    <row r="54" spans="2:14" ht="25.8" x14ac:dyDescent="0.3">
      <c r="C54" s="15" t="s">
        <v>45</v>
      </c>
    </row>
  </sheetData>
  <dataConsolidate/>
  <mergeCells count="11">
    <mergeCell ref="B32:N32"/>
    <mergeCell ref="B33:N33"/>
    <mergeCell ref="B47:N47"/>
    <mergeCell ref="B48:N48"/>
    <mergeCell ref="B49:N49"/>
    <mergeCell ref="F8:G8"/>
    <mergeCell ref="F9:G9"/>
    <mergeCell ref="G19:I19"/>
    <mergeCell ref="B22:N22"/>
    <mergeCell ref="B30:N30"/>
    <mergeCell ref="B31:N31"/>
  </mergeCells>
  <dataValidations count="11">
    <dataValidation type="list" allowBlank="1" showInputMessage="1" showErrorMessage="1" sqref="H34" xr:uid="{CA99B23E-693B-4F32-BAF2-271FB2967CD9}">
      <formula1>"ALAA HAMMAD,KHALED QASSEM,RAMY RAOUF,SIMON LOBO,MHAREN CLEMENTE GARADO"</formula1>
    </dataValidation>
    <dataValidation type="list" allowBlank="1" showInputMessage="1" showErrorMessage="1" sqref="M34" xr:uid="{52FE0CE8-8B86-461E-B72F-37A2043CD6E2}">
      <formula1>"Alaa Hammad,Bachir Ibrahim Mourad,Khaled Qassem,Ramy Raoof,Simon Lobo,Mharen Clemente Garado,Ranjith"</formula1>
    </dataValidation>
    <dataValidation type="list" allowBlank="1" showInputMessage="1" showErrorMessage="1" sqref="B11" xr:uid="{261BC0C4-B6AA-49CF-8476-C528D594B5D5}">
      <formula1>"FO Ceramic+ Intr&amp;Extr CeramicGold WdwTnt,FO Mirror Camera Sensor"</formula1>
    </dataValidation>
    <dataValidation type="list" allowBlank="1" showInputMessage="1" showErrorMessage="1" sqref="B12" xr:uid="{40FF73A5-8B61-44D0-8393-6FD70A1E9156}">
      <formula1>"FO Exterior ceramic All Cars SCOTCHGUARD,FO Mirror Camera Sensor,FO PPF Gold Package "</formula1>
    </dataValidation>
    <dataValidation type="list" allowBlank="1" showInputMessage="1" showErrorMessage="1" sqref="K20" xr:uid="{F318D10C-3722-48CD-AA56-80D28C42BB26}">
      <formula1>"Esaad,Emirates Platinum,Fazaa,Humat Alwatan,Permissible,ASX,XPMLP,XP,MON,MON G57,OUT,F08,P08,F06,P06,F03,F03-1,P03,EC,G37,G38,G40,G43"</formula1>
    </dataValidation>
    <dataValidation type="list" allowBlank="1" showInputMessage="1" showErrorMessage="1" sqref="B16" xr:uid="{25687A89-0879-47A5-8EFB-B48D47453AC0}">
      <formula1>"RMC-10-40KMS,RMC-10-60KMS,RMC-10-70KMS,RMC-10-100000KMS,RMC-40-70KMS,RMC-40-100000KMS"</formula1>
    </dataValidation>
    <dataValidation type="list" allowBlank="1" showInputMessage="1" showErrorMessage="1" sqref="K24" xr:uid="{93815578-8DF5-48A6-97CE-18D7B2D41C26}">
      <formula1>"RMC-10-70K,RMC-10-100000K,RMC-40-70K"</formula1>
    </dataValidation>
    <dataValidation type="list" allowBlank="1" showInputMessage="1" showErrorMessage="1" sqref="D5" xr:uid="{733651BA-D571-4440-A463-05B1C2F35C56}">
      <formula1>"MIG09,MIG10,H16,P16,H17,H48,H43,H40,H42,H44,H45,H38,H37,EH40,EH43,ML,HL,PR, MLP,HLP,PRP,XPML,XPHL,XPMLP, XPMLP-01,XC, G10,P10, G03, P03, G06,P06,G12,P12,G05,P05,G08,P08,G09,P09,H57,P57,H64,H59,P59,H61,P61"</formula1>
    </dataValidation>
    <dataValidation type="list" allowBlank="1" showInputMessage="1" showErrorMessage="1" sqref="M21" xr:uid="{85B8E810-D41E-477F-A4F0-EE65E3001E45}">
      <formula1>"3000-4999,5000-9999,5000-99999,10000-14999,15000-24999,25000-34999,35000-99999,5000-11999,12000-19999,20000-39999,40000-69999,70000-99999"</formula1>
    </dataValidation>
    <dataValidation type="list" allowBlank="1" showInputMessage="1" showErrorMessage="1" sqref="C10:C16 L20 L24:L25 G14:G15 J10" xr:uid="{B0FDEC65-7F21-48E3-9F0B-B4136AD09531}">
      <formula1>"YES,NO"</formula1>
    </dataValidation>
    <dataValidation type="list" allowBlank="1" showInputMessage="1" showErrorMessage="1" sqref="K21" xr:uid="{8EC0F593-0C81-4081-83B7-55004F05F80D}">
      <formula1>"ADCB,ADCB PAY IN 2027,Ajman Bank,ADIB,DIB EXPAT,DIB LOCAL GVH,Emirates NBD,EIB,FAB,RAK,SIB STL,SIB NON STL"</formula1>
    </dataValidation>
  </dataValidations>
  <pageMargins left="0.23622047244094491" right="0.23622047244094491" top="0.74803149606299213" bottom="0.74803149606299213" header="0.31496062992125984" footer="0.31496062992125984"/>
  <pageSetup paperSize="9" scale="40" orientation="landscape" horizontalDpi="4294967295" verticalDpi="4294967295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FEFBA-FC12-4853-BA48-C6E1FC0A7BCF}">
  <sheetPr>
    <pageSetUpPr fitToPage="1"/>
  </sheetPr>
  <dimension ref="A1:AA54"/>
  <sheetViews>
    <sheetView topLeftCell="B1" zoomScaleNormal="100" workbookViewId="0">
      <selection activeCell="B10" sqref="B10"/>
    </sheetView>
  </sheetViews>
  <sheetFormatPr defaultColWidth="9.109375" defaultRowHeight="15.6" x14ac:dyDescent="0.3"/>
  <cols>
    <col min="1" max="1" width="16" style="1" hidden="1" customWidth="1"/>
    <col min="2" max="2" width="75.109375" style="2" customWidth="1"/>
    <col min="3" max="3" width="26.88671875" style="3" customWidth="1"/>
    <col min="4" max="4" width="23.88671875" style="2" customWidth="1"/>
    <col min="5" max="5" width="23.33203125" style="2" customWidth="1"/>
    <col min="6" max="6" width="19.88671875" style="2" customWidth="1"/>
    <col min="7" max="7" width="23.33203125" style="2" customWidth="1"/>
    <col min="8" max="8" width="24.44140625" style="2" customWidth="1"/>
    <col min="9" max="9" width="27.109375" style="2" customWidth="1"/>
    <col min="10" max="10" width="26.6640625" style="2" customWidth="1"/>
    <col min="11" max="11" width="25.44140625" style="2" customWidth="1"/>
    <col min="12" max="12" width="20.5546875" style="2" customWidth="1"/>
    <col min="13" max="13" width="20.109375" style="2" customWidth="1"/>
    <col min="14" max="14" width="19.5546875" style="2" customWidth="1"/>
    <col min="15" max="15" width="15.109375" style="2" bestFit="1" customWidth="1"/>
    <col min="16" max="16" width="12.6640625" style="2" hidden="1" customWidth="1"/>
    <col min="17" max="17" width="12.6640625" style="1" hidden="1" customWidth="1"/>
    <col min="18" max="18" width="15.6640625" style="1" hidden="1" customWidth="1"/>
    <col min="19" max="19" width="13" style="1" hidden="1" customWidth="1"/>
    <col min="20" max="20" width="17.109375" style="1" hidden="1" customWidth="1"/>
    <col min="21" max="21" width="14.5546875" style="1" bestFit="1" customWidth="1"/>
    <col min="22" max="22" width="19" style="1" customWidth="1"/>
    <col min="23" max="23" width="22.5546875" style="1" bestFit="1" customWidth="1"/>
    <col min="24" max="25" width="9.109375" style="1"/>
    <col min="26" max="26" width="14" style="1" bestFit="1" customWidth="1"/>
    <col min="27" max="27" width="22.33203125" style="1" bestFit="1" customWidth="1"/>
    <col min="28" max="16384" width="9.109375" style="1"/>
  </cols>
  <sheetData>
    <row r="1" spans="1:27" ht="15.75" customHeight="1" x14ac:dyDescent="0.3">
      <c r="B1" s="222" t="s">
        <v>148</v>
      </c>
      <c r="C1" s="221"/>
      <c r="D1" s="221"/>
      <c r="E1" s="221"/>
      <c r="F1" s="221"/>
      <c r="G1" s="221"/>
      <c r="H1" s="221"/>
      <c r="I1" s="221"/>
      <c r="J1" s="221"/>
      <c r="K1" s="221"/>
      <c r="L1" s="221"/>
      <c r="M1" s="221"/>
      <c r="N1" s="220"/>
    </row>
    <row r="2" spans="1:27" ht="15.75" customHeight="1" x14ac:dyDescent="0.3">
      <c r="B2" s="219" t="s">
        <v>147</v>
      </c>
      <c r="C2" s="218"/>
      <c r="D2" s="218"/>
      <c r="E2" s="218"/>
      <c r="F2" s="218"/>
      <c r="G2" s="218"/>
      <c r="H2" s="218"/>
      <c r="I2" s="218"/>
      <c r="J2" s="218"/>
      <c r="K2" s="218"/>
      <c r="L2" s="218"/>
      <c r="M2" s="218"/>
      <c r="N2" s="217"/>
      <c r="Q2" s="2"/>
      <c r="S2" s="186"/>
    </row>
    <row r="3" spans="1:27" ht="15.75" customHeight="1" x14ac:dyDescent="0.3">
      <c r="B3" s="219" t="s">
        <v>146</v>
      </c>
      <c r="C3" s="218"/>
      <c r="D3" s="218"/>
      <c r="E3" s="218"/>
      <c r="F3" s="218"/>
      <c r="G3" s="218"/>
      <c r="H3" s="218"/>
      <c r="I3" s="218"/>
      <c r="J3" s="218"/>
      <c r="K3" s="218"/>
      <c r="L3" s="218"/>
      <c r="M3" s="218"/>
      <c r="N3" s="217"/>
      <c r="O3" s="3"/>
      <c r="P3" s="3"/>
      <c r="Q3" s="153"/>
      <c r="R3" s="153"/>
      <c r="S3" s="216" t="e">
        <f>N7+J14</f>
        <v>#VALUE!</v>
      </c>
      <c r="T3" s="216"/>
      <c r="U3" s="153"/>
      <c r="V3" s="153"/>
      <c r="W3" s="153"/>
      <c r="AA3" s="1">
        <f>273000/5</f>
        <v>54600</v>
      </c>
    </row>
    <row r="4" spans="1:27" ht="15.75" customHeight="1" x14ac:dyDescent="0.3">
      <c r="B4" s="215"/>
      <c r="C4" s="214"/>
      <c r="D4" s="214"/>
      <c r="E4" s="214"/>
      <c r="F4" s="214"/>
      <c r="G4" s="214"/>
      <c r="H4" s="214"/>
      <c r="I4" s="214"/>
      <c r="J4" s="214"/>
      <c r="K4" s="214"/>
      <c r="L4" s="214"/>
      <c r="M4" s="214"/>
      <c r="N4" s="213"/>
      <c r="O4" s="212" t="s">
        <v>0</v>
      </c>
      <c r="P4" s="212"/>
      <c r="Q4" s="210"/>
      <c r="R4" s="210"/>
      <c r="S4" s="211"/>
      <c r="T4" s="211"/>
      <c r="U4" s="210" t="s">
        <v>1</v>
      </c>
      <c r="V4" s="210" t="s">
        <v>2</v>
      </c>
      <c r="W4" s="210" t="s">
        <v>3</v>
      </c>
    </row>
    <row r="5" spans="1:27" ht="25.2" thickBot="1" x14ac:dyDescent="0.45">
      <c r="B5" s="17"/>
      <c r="C5" s="18" t="str">
        <f>IF(D5="MIG09","Mirage G09",IF(D5="MIG10","MirageG10",IF(D5="H16","Attrage H16",IF(D5="P16","Attrage P16",IF(D5="H17","Attrage H17",IF(D5="H48","ASX H48",IF(D5="H43","ASX H43",IF(D5="H40","ASX H40",IF(D5="H42","ASX H42",IF(D5="H44","ASX H44",IF(D5="H45","ASX H45",IF(D5="H38","Eclipse H38",IF(D5="H37","Eclipse H37",IF(D5="EH40","Eclipse H40",IF(D5="EH43","Eclipse H43",IF(D5="XPML","Xpander ML",IF(D5="ML","Destinator ML",IF(D5="HL","Destinator HL",IF(D5="PR","Destinator PR",IF(D5="MLP","Destinator MLP",IF(D5="HLP","Destinator HLP",IF(D5="PRP","Destinator PRP",IF(D5="XPHL","Xpander HL",IF(D5="XPMLP","Xpander ML P",IF(D5="XPMLP-01","Xpander ML P-01",IF(D5="XC","Xpander Cross",IF(D5="G03","Outlander G03",IF(D5="P03","Outlander P03",IF(D5="G06","Outlander G06",IF(D5="P06","Outlander P06",IF(D5="OTP06-01","Outlander P06-01",IF(D5="G08","Outlander G08",IF(D5="P08","Outlander P08",IF(D5="H57","Montero H57",IF(D5="P57","Montero P57",IF(D5="H64","Montero G64",IF(D5="H59","Montero G59",IF(D5="P59","Montero G59 P",IF(D5="H61","Montero G61",IF(D5="P61","Montero P61",IF(D5="G10","Outlander G10",IF(D5="P10","Outlander P10",IF(D5="G12","Outlander G12",IF(D5="P12","Outlander P12",IF(D5="G05","Outlander G05",IF(D5="P05","Outlander P05",IF(D5="G09","Outlander G09",IF(D5="P09","Outlander P09",))))))))))))))))))))))))))))))))))))))))))))))))</f>
        <v>Outlander G12</v>
      </c>
      <c r="D5" s="19" t="s">
        <v>166</v>
      </c>
      <c r="E5" s="20" t="s">
        <v>145</v>
      </c>
      <c r="F5" s="37"/>
      <c r="G5" s="37"/>
      <c r="H5" s="37"/>
      <c r="I5" s="20"/>
      <c r="J5" s="34"/>
      <c r="K5" s="209">
        <v>0</v>
      </c>
      <c r="L5" s="208">
        <v>3.39E-2</v>
      </c>
      <c r="M5" s="208">
        <v>6.7799999999999999E-2</v>
      </c>
      <c r="N5" s="208">
        <v>0.1017</v>
      </c>
      <c r="O5" s="147">
        <f>K7+K14</f>
        <v>12589.376680842499</v>
      </c>
      <c r="S5" s="186"/>
      <c r="U5" s="186">
        <f>L7+L14</f>
        <v>5197.7161515664575</v>
      </c>
      <c r="V5" s="186">
        <f>M7+M14</f>
        <v>3514.8649625862499</v>
      </c>
      <c r="W5" s="186">
        <f>N7+N14</f>
        <v>2470.7950432331249</v>
      </c>
    </row>
    <row r="6" spans="1:27" s="5" customFormat="1" ht="99" thickBot="1" x14ac:dyDescent="0.35">
      <c r="A6" s="4" t="s">
        <v>4</v>
      </c>
      <c r="B6" s="26" t="s">
        <v>5</v>
      </c>
      <c r="C6" s="27" t="s">
        <v>6</v>
      </c>
      <c r="D6" s="27" t="s">
        <v>144</v>
      </c>
      <c r="E6" s="27" t="s">
        <v>7</v>
      </c>
      <c r="F6" s="27" t="s">
        <v>8</v>
      </c>
      <c r="G6" s="28" t="s">
        <v>9</v>
      </c>
      <c r="H6" s="28" t="s">
        <v>143</v>
      </c>
      <c r="I6" s="28" t="s">
        <v>10</v>
      </c>
      <c r="J6" s="28" t="s">
        <v>142</v>
      </c>
      <c r="K6" s="28" t="s">
        <v>11</v>
      </c>
      <c r="L6" s="28" t="s">
        <v>12</v>
      </c>
      <c r="M6" s="28" t="s">
        <v>13</v>
      </c>
      <c r="N6" s="28" t="s">
        <v>14</v>
      </c>
      <c r="O6" s="207"/>
      <c r="P6" s="206"/>
      <c r="T6" s="205"/>
      <c r="U6" s="205">
        <f>N7+L14</f>
        <v>4106.947708233125</v>
      </c>
      <c r="V6" s="205">
        <f>N7+K14</f>
        <v>10135.147683342499</v>
      </c>
      <c r="W6" s="205" t="e">
        <f>N7+J14</f>
        <v>#VALUE!</v>
      </c>
    </row>
    <row r="7" spans="1:27" ht="25.2" thickBot="1" x14ac:dyDescent="0.45">
      <c r="A7" s="6">
        <f>B8</f>
        <v>97900</v>
      </c>
      <c r="B7" s="29">
        <f>IF(L20="YES",C8*1,IF(L20="NO",B8*1))</f>
        <v>97900</v>
      </c>
      <c r="C7" s="29">
        <f>B7*5/100</f>
        <v>4895</v>
      </c>
      <c r="D7" s="203">
        <f>B7+C7</f>
        <v>102795</v>
      </c>
      <c r="E7" s="29">
        <f>D17</f>
        <v>19346.449874999998</v>
      </c>
      <c r="F7" s="29">
        <f>(C7)+(D10+D11+D12+D13+D16)*5/100</f>
        <v>5465</v>
      </c>
      <c r="G7" s="30">
        <f>B7+E7+F7</f>
        <v>122711.44987499999</v>
      </c>
      <c r="H7" s="29">
        <f>G7*D20</f>
        <v>24542.289975</v>
      </c>
      <c r="I7" s="30">
        <f>(G7-H7)</f>
        <v>98169.159899999999</v>
      </c>
      <c r="J7" s="30">
        <f>(((I7*D19)*1)+I7)/12</f>
        <v>8498.9950183425008</v>
      </c>
      <c r="K7" s="30">
        <f>(((I7*D19)*2)+I7)/24</f>
        <v>4408.6133558424999</v>
      </c>
      <c r="L7" s="30">
        <f>(((I7*D19)*3)+I7)/36</f>
        <v>3045.1528016758334</v>
      </c>
      <c r="M7" s="30">
        <f>(((I7*D19)*4)+I7)/48</f>
        <v>2363.4225245924999</v>
      </c>
      <c r="N7" s="30">
        <f>((((I7*D19)*5)+I7)/60)</f>
        <v>1954.3843583425</v>
      </c>
      <c r="O7" s="147"/>
      <c r="P7" s="2">
        <f>H7+H16</f>
        <v>25573.06615395</v>
      </c>
      <c r="T7" s="186">
        <f>25973/2</f>
        <v>12986.5</v>
      </c>
    </row>
    <row r="8" spans="1:27" ht="24.6" x14ac:dyDescent="0.4">
      <c r="A8" s="7">
        <v>0.2</v>
      </c>
      <c r="B8" s="31">
        <f>IF(D5="MIG09",39900,IF(D5="MIG10",41900,IF(D5="H16",41900,IF(D5="P16",47400,IF(D5="H17",47900,IF(D5="H48",67900,IF(D5="H43",70900,IF(D5="H40",72900,IF(D5="H42",74900,IF(D5="H44",73900,IF(D5="H45",79900,IF(D5="H38",86900,IF(D5="H37",79900,IF(D5="EH40",99900,IF(D5="EH43",106900,IF(D5="ML",71900,IF(D5="HL",83900,IF(D5="PR",95900,IF(D5="MLP",80900,IF(D5="HLP",91900,IF(D5="PRP",102900,IF(D5="XPML",69900,IF(D5="XPHL",71000,IF(D5="XPMLP",75900,IF(D5="XPMLP-01",77800,IF(D5="XC",84900,IF(D5="G10",81900,IF(D5="P10",93900,IF(D5="G12",97900,IF(D5="P12",105900,IF(D5="G05",104900,IF(D5="P05",105900,IF(D5="G03",92900,IF(D5="P03",100900,IF(D5="G06",109900,IF(D5="P06",114900,IF(D5="OTP06-01",118900,IF(D5="G08",125900,IF(D5="P08",132900,IF(D5="OTP06-01",109900,IF(D5="G09",129900,IF(D5="P09",134900,IF(D5="H57",105900,IF(D5="P57",113900,IF(D5="H64",116900,IF(D5="H59",127900,IF(D5="P59",134900,IF(D5="H61",134900,IF(D5="P61",138900)))))))))))))))))))))))))))))))))))))))))))))))))</f>
        <v>97900</v>
      </c>
      <c r="C8" s="32">
        <f>IF(L20="YES",N20,IF(L20="NO",N20))</f>
        <v>97900</v>
      </c>
      <c r="D8" s="29">
        <v>0</v>
      </c>
      <c r="E8" s="33"/>
      <c r="F8" s="139"/>
      <c r="G8" s="140"/>
      <c r="H8" s="110">
        <f>G7*20/100</f>
        <v>24542.289974999996</v>
      </c>
      <c r="I8" s="34"/>
      <c r="J8" s="34" t="s">
        <v>15</v>
      </c>
      <c r="K8" s="34">
        <f>(I7*K5+I7)/24</f>
        <v>4090.3816624999999</v>
      </c>
      <c r="L8" s="34">
        <f>(I7*L5+I7)/36</f>
        <v>2819.3637339058332</v>
      </c>
      <c r="M8" s="34">
        <f>(I7*M5+I7)/48</f>
        <v>2183.8547696087498</v>
      </c>
      <c r="N8" s="34">
        <f>(I7*N5+I7)/60</f>
        <v>1802.5493910305001</v>
      </c>
      <c r="O8" s="147">
        <v>0</v>
      </c>
      <c r="P8" s="2">
        <f>P7/12</f>
        <v>2131.0888461625</v>
      </c>
      <c r="T8" s="1">
        <f>25973-12973</f>
        <v>13000</v>
      </c>
    </row>
    <row r="9" spans="1:27" ht="24.6" x14ac:dyDescent="0.4">
      <c r="A9" s="8">
        <f>B8/(100%-A8)</f>
        <v>122375</v>
      </c>
      <c r="B9" s="109">
        <f>B7-B8</f>
        <v>0</v>
      </c>
      <c r="C9" s="109"/>
      <c r="D9" s="36"/>
      <c r="E9" s="33"/>
      <c r="F9" s="139"/>
      <c r="G9" s="140"/>
      <c r="H9" s="33"/>
      <c r="I9" s="37" t="s">
        <v>16</v>
      </c>
      <c r="J9" s="38">
        <f>(J7*12)-I7</f>
        <v>3818.7803201100032</v>
      </c>
      <c r="K9" s="38">
        <f>(K7*24)-I7</f>
        <v>7637.5606402200065</v>
      </c>
      <c r="L9" s="38">
        <f>(L7*36)-I7</f>
        <v>11456.34096033001</v>
      </c>
      <c r="M9" s="38">
        <f>(M7*48)-I7</f>
        <v>15275.121280439998</v>
      </c>
      <c r="N9" s="38">
        <f>(N7*60)-I7</f>
        <v>19093.901600550002</v>
      </c>
      <c r="O9" s="147"/>
      <c r="T9" s="1">
        <f>T8/12</f>
        <v>1083.3333333333333</v>
      </c>
      <c r="Z9" s="1" t="s">
        <v>86</v>
      </c>
    </row>
    <row r="10" spans="1:27" ht="24.6" x14ac:dyDescent="0.4">
      <c r="A10" s="8"/>
      <c r="B10" s="37" t="s">
        <v>141</v>
      </c>
      <c r="C10" s="20" t="s">
        <v>17</v>
      </c>
      <c r="D10" s="36">
        <f>IF(C10="YES",700,IF(C10="NO",0))</f>
        <v>0</v>
      </c>
      <c r="E10" s="39"/>
      <c r="F10" s="40"/>
      <c r="G10" s="40"/>
      <c r="H10" s="33"/>
      <c r="I10" s="44" t="s">
        <v>85</v>
      </c>
      <c r="J10" s="117" t="s">
        <v>19</v>
      </c>
      <c r="K10" s="117">
        <f>IF(J10="YES",Z10,IF(J10="NO",0))</f>
        <v>1000</v>
      </c>
      <c r="L10" s="41">
        <f>(L8*36)-I7</f>
        <v>3327.934520609997</v>
      </c>
      <c r="M10" s="41">
        <f>(M8*48)-I7</f>
        <v>6655.869041219994</v>
      </c>
      <c r="N10" s="41">
        <f>(N8*60)-I7</f>
        <v>9983.8035618300055</v>
      </c>
      <c r="O10" s="147">
        <f>IF(D5="XC",3690,IF(D5="XPML",3690,IF(D5="XPHL",3690,IF(D5="XPMLP",3690,IF(D5="XPMLP-01",3690,IF(D5="Xpander P",3690,IF(D5="ML",3690,IF(D5="HL",3690,IF(D5="PR",(U19*3/100+510)*1.05,IF(D5="MLP",3690,IF(D5="HLP",(U19*3/100+510)*1.05,IF(D5="PRP",(U19*3/100+510)*1.05,IF(D5="H57",(U19*2.75/100+510)*1.05,IF(D5="P57",(U19*2.75/100+510)*1.05,IF(D5="H64",(U19*2.75/100+510)*1.05,IF(D5="H59",(U19*2.75/100+510)*1.05,IF(D5="P59",(U19*2.75/100+510)*1.05,IF(D5="H61",(U19*2.75/100+510)*1.05,IF(D5="P61",(U19*2.75/100+510)*1.05,IF(D5="G03",(U19*3/100+510)*1.05,IF(D5="G10",(U19*3/100+510)*1.05,IF(D5="P10",(U19*3/100+510)*1.05,IF(D5="G12",(U19*3/100+510)*1.05,IF(D5="P12",(U19*3/100+510)*1.05,IF(D5="G05",(U19*3/100+510)*1.05,IF(D5="P05",(U19*3/100+510)*1.05,IF(D5="P03",(U19*3/100+510)*1.05,IF(D5="G06",(U19*3/100+510)*1.05,IF(D5="P06",(U19*3/100+510)*1.05,IF(D5="OTP06-01",(U19*3/100+510)*1.05,IF(D5="G08",(U19*3/100+510)*1.05,IF(D5="P08",(U19*3/100+510)*1.05,IF(D5="G09",(U19*3/100+510)*1.05,IF(D5="P09",(U19*3/100+510)*1.05,IF(D5="H38",3625,IF(D5="H37",3625,IF(D5="EH40",(U19*3/100+450)*1.05,IF(D5="EH43",(U19*3/100+450)*1.05,IF(D5="H48",3625,IF(D5="H43",3625,IF(D5="H40",3625,IF(D5="H42",3625,IF(D5="H44",3625,IF(D5="H45",3625,IF(D5="ASX HL 4WD",3625,IF(D5="H16",3625,IF(D5="H17",3625,IF(D5="P16",3625,IF(D5="Attrage S",3625,IF(D5="MIG09",3625,IF(D5="MIG10",3625,IF(D5="Xpander HL",3690))))))))))))))))))))))))))))))))))))))))))))))))))))</f>
        <v>4150.5974999999999</v>
      </c>
      <c r="P10" s="204"/>
      <c r="Q10" s="204">
        <f>5.25*3</f>
        <v>15.75</v>
      </c>
      <c r="Z10" s="1">
        <f>IF(D5="MIG09",1000,IF(D5="MIG10",1000,IF(D5="H16",1000,IF(D5="P16",1000,IF(D5="H17",1000,IF(D5="H48",1000,IF(D5="H43",1000,IF(D5="H40",1000,IF(D5="H42",1000,IF(D5="H44",1000,IF(D5="H45",1000,IF(D5="H38",1000,IF(D5="H37",1000,IF(D5="EH40",1000,IF(D5="EH43",1000,IF(D5="ML",1000,IF(D5="HL",1000,IF(D5="PR",1000,IF(D5="MLP",1000,IF(D5="HLP",1000,IF(D5="PRP",1000,IF(D5="XPML",1000,IF(D5="XPHL",1000,IF(D5="XPMLP",1000,IF(D5="XPMLP-01",1000,IF(D5="XC",1000,IF(D5="G10",1000,IF(D5="P10",1000,IF(D5="G12",1000,IF(D5="P12",1000,IF(D5="G05",1000,IF(D5="P05",1000,IF(D5="G03",1000,IF(D5="P03",1000,IF(D5="G06",1000,IF(D5="P06",1000,IF(D5="OTP06-01",1000,IF(D5="G08",1000,IF(D5="P08",1000,IF(D5="OTP06-01",1000,IF(D5="G09",1000,IF(D5="P09",1000,IF(D5="H57",1000,IF(D5="P57",1000,IF(D5="H64",1000,IF(D5="H59",1000,IF(D5="P59",1000,IF(D5="H61",1000,IF(D5="P61",1000)))))))))))))))))))))))))))))))))))))))))))))))))</f>
        <v>1000</v>
      </c>
    </row>
    <row r="11" spans="1:27" ht="24.6" x14ac:dyDescent="0.4">
      <c r="A11" s="8"/>
      <c r="B11" s="37" t="s">
        <v>18</v>
      </c>
      <c r="C11" s="20" t="s">
        <v>19</v>
      </c>
      <c r="D11" s="203">
        <f>IF(C11="YES",O17,IF(C11="NO",0))</f>
        <v>2700</v>
      </c>
      <c r="E11" s="39"/>
      <c r="F11" s="40"/>
      <c r="G11" s="40"/>
      <c r="H11" s="33"/>
      <c r="I11" s="33"/>
      <c r="J11" s="44" t="s">
        <v>76</v>
      </c>
      <c r="K11" s="44">
        <f>H8-K10</f>
        <v>23542.289974999996</v>
      </c>
      <c r="L11" s="37"/>
      <c r="M11" s="37"/>
      <c r="N11" s="38"/>
      <c r="O11" s="147">
        <f>IF(D5="XC",6100,IF(D5="XPML",6100,IF(D5="XPHL",6100,IF(D5="XPMLP",6100,IF(D5="XPMLP-01",6100,IF(D5="Xpander P",6100,IF(D5="ML",6600,IF(D5="HL",6600,IF(D5="PR",6600,IF(D5="MLP",6600,IF(D5="HLP",6600,IF(D5="PRP",6600,IF(D5="H57",5900,IF(D5="P57",5900,IF(D5="H64",5900,IF(D5="H59",5900,IF(D5="P59",5900,IF(D5="H61",5900,IF(D5="P61",5900,IF(D5="G03",6700,IF(D5="G10",6700,IF(D5="P10",6700,IF(D5="G12",6700,IF(D5="P12",6700,IF(D5="G05",6700,IF(D5="P05",6700,IF(D5="P03",6700,IF(D5="G06",6700,IF(D5="P06",6700,IF(D5="OTP06-01",6700,IF(D5="G08",6700,IF(D5="G09",6700,IF(D5="G08",6700,IF(D5="P08",6700,IF(D5="P09",6700,IF(D5="H37",6400,IF(D5="H38",6400,IF(D5="EH40",6400,IF(D5="EH43",6400,IF(D5="H48",6600,IF(D5="H43",6600,IF(D5="H40",6600,IF(D5="H42",6600,IF(D5="H44",6600,IF(D5="H45",6600,IF(D5="ASX HL 4WD",6600,IF(D5="H16",5400,IF(D5="H17",5400,IF(D5="P16",5400,IF(D5="Attrage S",5400,IF(D5="MIG09",5400,IF(D5="MIG10",5400,IF(D5="Xpander HL",6000)))))))))))))))))))))))))))))))))))))))))))))))))))))</f>
        <v>6700</v>
      </c>
      <c r="P11" s="147"/>
      <c r="Q11" s="147"/>
      <c r="R11" s="147"/>
      <c r="S11" s="147"/>
      <c r="T11" s="147"/>
      <c r="U11" s="147">
        <f>IF(D5="XC",4900,IF(D5="XPML",4900,IF(D5="XPHL",4900,IF(D5="XPMLP",4900,IF(D5="XPMLP-01",4900,IF(D5="Xpander P",4900,IF(D5="ML",5400,IF(D5="HL",5400,IF(D5="PR",5400,IF(D5="MLP",5400,IF(D5="HLP",5400,IF(D5="PRP",5400,IF(D5="H57",4600,IF(D5="P57",4600,IF(D5="MOG64",4600,IF(D5="H59",4600,IF(D5="P59",4600,IF(D5="H61",4600,IF(D5="P61",4600,IF(D5="G03",5500,IF(D5="P03",5500,IF(D5="G10",5500,IF(D5="P10",5500,IF(D5="G12",5500,IF(D5="P12",5500,IF(D5="G05",5500,IF(D5="P05",5500,IF(D5="G06",5500,IF(D5="P06",5500,IF(D5="OTP06-01",5500,IF(D5="F08",5500,IF(D5="P08",5500,IF(D5="G09",5500,IF(D5="P09",5500,IF(D5="H38",5200,IF(D5="H37",5200,IF(D5="EH40",5200,IF(D5="EH43",5200,IF(D5="H48",5300,IF(D5="H43",5300,IF(D5="H40",5300,IF(D5="H42",5300,IF(D5="H44",5300,IF(D5="H45",5300,IF(D5="ASX HL",5300,IF(D5="ASX P",5300,IF(D5="ASX HL 4WD",5300,IF(D5="H16",4200,IF(D5="H17",4200,IF(D5="P16",4200,IF(D5="Attrage S",4200,IF(D5="MIG09",4200,IF(D5="MIG10",4200,IF(D5="Xpander HL",4900))))))))))))))))))))))))))))))))))))))))))))))))))))))</f>
        <v>5500</v>
      </c>
      <c r="V11" s="147">
        <f>IF(D5="XC",9700,IF(D5="XPML",9700,IF(D5="XPHL",9700,IF(D5="XPMLP",9700,IF(D5="XPMLP-01",9700,IF(D5="XPMLP-01",9700,IF(D5="Xpander P",9700,IF(D5="ML",10800,IF(D5="HL",10800,IF(D5="PR",10800,IF(D5="MLP",10800,IF(D5="HLP",10800,IF(D5="PRP",10800,IF(D5="H57",9300,IF(D5="P57",9300,IF(D5="MG64",9300,IF(D5="H59",9300,IF(D5="P59",9300,IF(D5="H61",9300,IF(D5="P61",9300,IF(D5="G03",11000,IF(D5="G10",11000,IF(D5="P10",11000,IF(D5="G12",11000,IF(D5="P12",11000,IF(D5="G05",11000,IF(D5="P05",11000,IF(D5="P03",11000,IF(D5="G06",11000,IF(D5="P06",11000,IF(D5="OTP06-01",11000,IF(D5="G08",11000,IF(D5="P08",11000,IF(D5="G09",11000,IF(D5="P09",11000,IF(D5="H38",10400,IF(D5="H37",10400,IF(D5="EH40",10400,IF(D5="EH43",10400,IF(D5="H48",10700,IF(D5="H43",10700,IF(D5="H40",10700,IF(D5="H42",10700,IF(D5="H44",10800,IF(D5="H45",10800,IF(D5="ASX HL",12200,IF(D5="ASX P",12200,IF(D5="ASX HL 4WD",12200,IF(D5="H16",8500,IF(D5="H17",8500,IF(D5="P16",8500,IF(D5="Attrage S",9600,IF(D5="MIG09",8500,IF(D5="MIG10",8500,IF(D5="Xpander HL",11300)))))))))))))))))))))))))))))))))))))))))))))))))))))))</f>
        <v>11000</v>
      </c>
      <c r="W11" s="147">
        <f>IF(D5="XC",9200,IF(D5="XPML",9200,IF(D5="XPHL",9200,IF(D5="XPMLP",9200,IF(D5="XPMLP-01",9200,IF(D5="Xpander P",9200,IF(D5="ML",10000,IF(D5="HL",10000,IF(D5="PR",10000,IF(D5="MLP",10000,IF(D5="HLP",10000,IF(D5="PRP",10000,IF(D5="H57",8700,IF(D5="P57",8700,IF(D5="H64",8700,IF(D5="H59",8700,IF(D5="P59",8700,IF(D5="H61",8700,IF(D5="P61",8700,IF(D5="G03",10400,IF(D5="P03",10400,IF(D5="G10",10400,IF(D5="P10",10400,IF(D5="G12",10400,IF(D5="P12",10400,IF(D5="G05",10400,IF(D5="P05",10400,IF(D5="G06",10400,IF(D5="P06",10400,IF(D5="OTP06-01",10400,IF(D5="G08",10400,IF(D5="P08",10400,IF(D5="G09",10400,IF(D5="P09",10400,IF(D5="H38",9800,IF(D5="H37",9800,IF(D5="EH40",9800,IF(D5="EH43",9800,IF(D5="H48",10100,IF(D5="H43",10100,IF(D5="H40",10100,IF(D5="H42",10100,IF(D5="H44",10100,IF(D5="H45",10100,IF(D5="ASX HL",10100,IF(D5="ASX P",10100,IF(D5="ASX HL 4WD",10100,IF(D5="H16",7900,IF(D5="H17",7900,IF(D5="P16",7900,IF(D5="Attrage S",7900,IF(D5="MIG09",7900,IF(D5="MIG10",7900,IF(D5="Xpander HL",9200))))))))))))))))))))))))))))))))))))))))))))))))))))))</f>
        <v>10400</v>
      </c>
      <c r="X11" s="147">
        <f>IF(D5="XC",4500,IF(D5="XPML",4500,IF(D5="XPHL",4500,IF(D5="XPMLP",4500,IF(D5="XPMLP-01",4500,IF(D5="Xpander P",4500,IF(D5="ML",5000,IF(D5="HL",5000,IF(D5="PR",5000,IF(D5="MLP",5000,IF(D5="HLP",5000,IF(D5="PRP",5000,IF(D5="H57",8700,IF(D5="P57",8700,IF(D5="MOG64",4300,IF(D5="H59",4300,IF(D5="P59",4300,IF(D5="H61",4300,IF(D5="P61",4300,IF(D5="G03",5000,IF(D5="P03",5000,IF(D5="G10",5000,IF(D5="P10",5000,IF(D5="G12",5000,IF(D5="P12",5000,IF(D5="G05",5000,IF(D5="P05",5000,IF(D5="G06",5000,IF(D5="P06",5000,IF(D5="OTP06-01",5000,IF(D5="G08",5000,IF(D5="P08",5000,IF(D5="G09",5000,IF(D5="P09",5000,IF(D5="H38",4900,IF(D5="H37",4900,IF(D5="EH40",4900,IF(D5="EH43",4900,IF(D5="H48",4900,IF(D5="H43",4900,IF(D5="H40",4900,IF(D5="H42",4900,IF(D5="H44",4900,IF(D5="H45",4900,IF(D5="ASX HL",4900,IF(D5="ASX P",4900,IF(D5="ASX HL 4WD",4900,IF(D5="H16",3700,IF(D5="H17",3700,IF(D5="P16",3700,IF(D5="Attrage S",3700,IF(D5="MIG09",3700,IF(D5="MIG10",3700,IF(D5="Xpander HL",4500))))))))))))))))))))))))))))))))))))))))))))))))))))))</f>
        <v>5000</v>
      </c>
      <c r="Y11" s="147">
        <f>IF(D5="XC",5400,IF(D5="XPML ",5400,IF(D5="XPHL",5400,IF(D5="XPMLP",5400,IF(D5="XPMLP-01",5400,IF(D5="Xpander P",5400,IF(D5="ML",6000,IF(D5="HL",6000,IF(D5="PR",6000,IF(D5="MLP",6000,IF(D5="HLP",6000,IF(D5="PRP",6000,IF(D5="H57",5200,IF(D5="57",5200,IF(D5="H64",5200,IF(D5="H59",5200,IF(D5="P59",5200,IF(D5="H61",5200,IF(D5="P61",5200,IF(D5="G03",6000,IF(D5="P03",6000,IF(D5="G10",6000,IF(D5="P10",6000,IF(D5="G12",6000,IF(D5="P12",6000,IF(D5="G05",6000,IF(D5="P05",6000,IF(D5="G06",6000,IF(D5="P06",6000,IF(D5="OTP06-01",6000,IF(D5="G08",6000,IF(D5="P08",6000,IF(D5="G09",6000,IF(D5="P09",6000,IF(D5="H38",5700,IF(D5="H37",5700,IF(D5="EH40",5700,IF(D5="EH43",5700,IF(D5="H48",5900,IF(D5="H43",5900,IF(D5="H40",5900,IF(D5="H42",5900,IF(D5="H44",5900,IF(D5="H45",5900,IF(D5="ASX HL",5900,IF(D5="ASX P",5900,IF(D5="ASX HL 4WD",5900,IF(D5="H16",4500,IF(D5="H17",4500,IF(D5="P16",4500,IF(D5="Attrage S",4500,IF(D5="MIG09",4500,IF(D5="MIG10",4500,IF(D5="Xpander HL",5400))))))))))))))))))))))))))))))))))))))))))))))))))))))</f>
        <v>6000</v>
      </c>
    </row>
    <row r="12" spans="1:27" ht="24.6" x14ac:dyDescent="0.4">
      <c r="A12" s="8"/>
      <c r="B12" s="37" t="s">
        <v>20</v>
      </c>
      <c r="C12" s="20" t="s">
        <v>17</v>
      </c>
      <c r="D12" s="36">
        <f>IF(C12="YES",2000,IF(C12="NO",0))</f>
        <v>0</v>
      </c>
      <c r="E12" s="43"/>
      <c r="F12" s="43" t="s">
        <v>21</v>
      </c>
      <c r="G12" s="40"/>
      <c r="H12" s="33">
        <v>600</v>
      </c>
      <c r="I12" s="33"/>
      <c r="J12" s="202" t="s">
        <v>140</v>
      </c>
      <c r="K12" s="45">
        <v>0</v>
      </c>
      <c r="L12" s="45">
        <v>5.2499999999999998E-2</v>
      </c>
      <c r="M12" s="45">
        <v>0.126</v>
      </c>
      <c r="N12" s="201">
        <v>0.26250000000000001</v>
      </c>
      <c r="O12" s="147">
        <f>IF(K20="Esaad",B8*3/100,IF(K20="Emirates Platinum",B8*3/100,IF(K20="Fazaa",B8*3/100,IF(K20="Humat Alwatan",B8*3/100,IF(K20="Permissible",2000,IF(K20="ASX",8400,IF(K20="XPMLP",15100,IF(K20="XP",7200,IF(K20="G43",11000,IF(K20="EC",17000,IF(K20="G37",17000,IF(K20="G38",15000,IF(K20="G40",11000,IF(K20="OUT",3000,IF(K20="F08",14400,IF(K20="P08",11100,IF(K20="F06",13100,IF(K20="P06",13400,IF(K20="F03",3500,IF(K20="F03-1",13500,IF(K20="P03",13100,IF(K20="MON",10000,IF(K20="MON G57",9000,0)))))))))))))))))))))))</f>
        <v>2000</v>
      </c>
      <c r="Z12" s="86" t="s">
        <v>83</v>
      </c>
      <c r="AA12" s="86" t="s">
        <v>84</v>
      </c>
    </row>
    <row r="13" spans="1:27" ht="24.6" x14ac:dyDescent="0.4">
      <c r="A13" s="8">
        <f>B8*1.26582</f>
        <v>123923.77799999999</v>
      </c>
      <c r="B13" s="37" t="s">
        <v>23</v>
      </c>
      <c r="C13" s="20" t="s">
        <v>19</v>
      </c>
      <c r="D13" s="36">
        <f>IF(C13="YES",2000,IF(C13="NO",0))</f>
        <v>2000</v>
      </c>
      <c r="E13" s="47"/>
      <c r="F13" s="47" t="s">
        <v>75</v>
      </c>
      <c r="G13" s="51"/>
      <c r="H13" s="39">
        <v>315</v>
      </c>
      <c r="I13" s="33"/>
      <c r="J13" s="44" t="s">
        <v>54</v>
      </c>
      <c r="K13" s="29" t="s">
        <v>79</v>
      </c>
      <c r="L13" s="29" t="s">
        <v>25</v>
      </c>
      <c r="M13" s="29" t="s">
        <v>0</v>
      </c>
      <c r="N13" s="57" t="s">
        <v>26</v>
      </c>
      <c r="O13" s="9">
        <f>IF(M21="3000-4999",6%,IF(M21="5000-9999",4.75%,IF(M21="10000-14999",3.15%,IF(M21="15000-24999",2.5%,IF(M21="25000-34999",2.25%,IF(M21="35000-99999",2.15%))))))</f>
        <v>4.7500000000000001E-2</v>
      </c>
      <c r="Q13" s="2">
        <f>H7/12</f>
        <v>2045.19083125</v>
      </c>
      <c r="U13" s="9">
        <f>IF(M21="3000-4999",6%,IF(M21="5000-9999",3.25%,IF(M21="10000-14999",3%,IF(M21="15000-24999",2.25%,IF(M21="25000-34999",2.15%,IF(M21="35000-99999",1.99%))))))</f>
        <v>3.2500000000000001E-2</v>
      </c>
      <c r="Z13" s="99">
        <f>IF(M21="5000-9999",2.49%,IF(M21="10000-19999",2.19%,IF(M21="20000-34999",2.09%,IF(M21="35000-49999",1.89%,IF(M21="50000-99999",1.79%)))))</f>
        <v>2.4900000000000002E-2</v>
      </c>
      <c r="AA13" s="99">
        <f>IF(M21="5000-9999",2.59%,IF(M21="10000-19999",2.29%,IF(M21="20000-34999",2.19%,IF(M21="35000-49999",1.99%,IF(M21="50000-99999",1.89%)))))</f>
        <v>2.5899999999999999E-2</v>
      </c>
    </row>
    <row r="14" spans="1:27" ht="24.6" x14ac:dyDescent="0.4">
      <c r="A14" s="10" t="s">
        <v>27</v>
      </c>
      <c r="B14" s="37" t="s">
        <v>24</v>
      </c>
      <c r="C14" s="20" t="s">
        <v>19</v>
      </c>
      <c r="D14" s="50">
        <f>IF(C14="YES",U19*3.15*1.05/100,IF(C14="NO",U19*0/100))</f>
        <v>3795.8523749999999</v>
      </c>
      <c r="E14" s="48"/>
      <c r="F14" s="48" t="s">
        <v>24</v>
      </c>
      <c r="G14" s="51" t="s">
        <v>17</v>
      </c>
      <c r="H14" s="39">
        <f>IF(G14="YES",U19*3.15*1.05/100,IF(G14="NO",U19*0/100))</f>
        <v>0</v>
      </c>
      <c r="I14" s="33"/>
      <c r="J14" s="44" t="s">
        <v>55</v>
      </c>
      <c r="K14" s="44">
        <f>(H8*K12+H8)/3</f>
        <v>8180.763324999999</v>
      </c>
      <c r="L14" s="44">
        <f>(H8*L12+H8)/12</f>
        <v>2152.5633498906245</v>
      </c>
      <c r="M14" s="44">
        <f>(H8*M12+H8)/24</f>
        <v>1151.4424379937498</v>
      </c>
      <c r="N14" s="200">
        <f>(H7*N12+H7)/60</f>
        <v>516.41068489062502</v>
      </c>
      <c r="O14" s="9">
        <f>IF(M21="3000-4999",3.89%,IF(M21="5000-9999",3.89%,IF(M21="10000-14999",3.89%,IF(M21="15000-24999",2.69%,IF(M21="25000-34999",2.69%,IF(M21="35000-99999",2.39%,IF(M21="76000-99999",2.5%)))))))</f>
        <v>3.8900000000000004E-2</v>
      </c>
    </row>
    <row r="15" spans="1:27" ht="24.6" x14ac:dyDescent="0.4">
      <c r="A15" s="11">
        <f>(B7*3%)+10+120</f>
        <v>3067</v>
      </c>
      <c r="B15" s="37" t="s">
        <v>28</v>
      </c>
      <c r="C15" s="20" t="s">
        <v>19</v>
      </c>
      <c r="D15" s="29">
        <f>IF(C15="YES",O10,IF(C15="NO",0))</f>
        <v>4150.5974999999999</v>
      </c>
      <c r="E15" s="48"/>
      <c r="F15" s="48" t="s">
        <v>53</v>
      </c>
      <c r="G15" s="51" t="s">
        <v>17</v>
      </c>
      <c r="H15" s="39">
        <f>IF(G15="YES",O10,IF(G15="NO",0))</f>
        <v>0</v>
      </c>
      <c r="I15" s="33"/>
      <c r="J15" s="44"/>
      <c r="K15" s="44"/>
      <c r="L15" s="44"/>
      <c r="M15" s="44"/>
      <c r="N15" s="198"/>
      <c r="O15" s="9" t="b">
        <f>IF(M21="3000-4999",4.99%, IF(M21="5000-11999",2.75%,IF(M21="12000-19999",2.75%,IF(M21="20000-39999",2.25%,IF(M21="40000-69999",2.25%,IF(M21="70000-99999",2.25%))))))</f>
        <v>0</v>
      </c>
      <c r="P15" s="191"/>
    </row>
    <row r="16" spans="1:27" ht="24.6" x14ac:dyDescent="0.4">
      <c r="A16" s="11">
        <f>((B7-B8)*3%+10+120)</f>
        <v>130</v>
      </c>
      <c r="B16" s="37" t="s">
        <v>78</v>
      </c>
      <c r="C16" s="20" t="s">
        <v>19</v>
      </c>
      <c r="D16" s="29">
        <f>IF(C16="YES",O16,IF(C16="NO",0))</f>
        <v>6700</v>
      </c>
      <c r="E16" s="47"/>
      <c r="F16" s="47" t="s">
        <v>74</v>
      </c>
      <c r="G16" s="54"/>
      <c r="H16" s="33">
        <f>I7*1.05%</f>
        <v>1030.77617895</v>
      </c>
      <c r="I16" s="33"/>
      <c r="J16" s="44" t="s">
        <v>16</v>
      </c>
      <c r="K16" s="44">
        <f>(K14*3)-H8</f>
        <v>0</v>
      </c>
      <c r="L16" s="44">
        <f>(L14*12)-H8</f>
        <v>1288.4702236874982</v>
      </c>
      <c r="M16" s="44">
        <f>(M14*24)-H8</f>
        <v>3092.3285368499965</v>
      </c>
      <c r="N16" s="198"/>
      <c r="O16" s="147">
        <f>IF(B16="RMC-10-70KMS",O11,IF(B16="RMC-10-100000KMS",V11,IF(B16="RMC-40-70KMS",U11, IF(B16="RMC-10-40KMS",X11, IF(B16="RMC-10-60KMS",Y11, IF(B16="RMC-40-100000KMS",W11,0))))))</f>
        <v>6700</v>
      </c>
    </row>
    <row r="17" spans="1:23" ht="24.6" x14ac:dyDescent="0.4">
      <c r="A17" s="11">
        <f>A15+A16</f>
        <v>3197</v>
      </c>
      <c r="B17" s="37"/>
      <c r="C17" s="20"/>
      <c r="D17" s="29">
        <f>SUM(D10:D16)</f>
        <v>19346.449874999998</v>
      </c>
      <c r="E17" s="48"/>
      <c r="F17" s="48"/>
      <c r="G17" s="54"/>
      <c r="H17" s="33">
        <f>+SUM(H12:H16)+(H7)</f>
        <v>26488.06615395</v>
      </c>
      <c r="I17" s="33"/>
      <c r="J17" s="20"/>
      <c r="K17" s="199"/>
      <c r="L17" s="199"/>
      <c r="M17" s="199"/>
      <c r="N17" s="198"/>
      <c r="O17" s="147">
        <f>IF(B11="FO Ceramic+ Intr&amp;Extr CeramicGold WdwTnt",2700,IF(B11="FO Mirror Camera Sensor",2000))</f>
        <v>2700</v>
      </c>
      <c r="T17" s="1">
        <f>19615-791</f>
        <v>18824</v>
      </c>
    </row>
    <row r="18" spans="1:23" ht="24.6" x14ac:dyDescent="0.4">
      <c r="A18" s="12" t="s">
        <v>29</v>
      </c>
      <c r="B18" s="55" t="s">
        <v>30</v>
      </c>
      <c r="C18" s="197"/>
      <c r="D18" s="57">
        <v>0</v>
      </c>
      <c r="E18" s="38"/>
      <c r="F18" s="20"/>
      <c r="G18" s="20"/>
      <c r="H18" s="37"/>
      <c r="I18" s="37"/>
      <c r="J18" s="37"/>
      <c r="K18" s="37"/>
      <c r="L18" s="37"/>
      <c r="M18" s="37"/>
      <c r="N18" s="37"/>
      <c r="O18" s="9" t="b">
        <f>IF(M21="5000-99999",1.99%)</f>
        <v>0</v>
      </c>
      <c r="U18" s="196" t="s">
        <v>52</v>
      </c>
      <c r="V18" s="196" t="s">
        <v>52</v>
      </c>
    </row>
    <row r="19" spans="1:23" ht="24.6" x14ac:dyDescent="0.4">
      <c r="A19" s="11">
        <f>B8*3.15%</f>
        <v>3083.85</v>
      </c>
      <c r="B19" s="58" t="s">
        <v>31</v>
      </c>
      <c r="C19" s="59"/>
      <c r="D19" s="60">
        <f>IF(K21="DIB EXPAT",O13,IF(K21="DIB LOCAL GVH",U13,IF(K21="Emirates NBD",O14,IF(K21="ADCB",O15,IF(K21="ADCB PAY IN 2027",O19,IF(K21="Ajman Bank",O18,IF(K21="SIB STL",Z13,IF(K21="SIB NON STL",AA13,))))))))</f>
        <v>3.8900000000000004E-2</v>
      </c>
      <c r="E19" s="20"/>
      <c r="F19" s="195"/>
      <c r="G19" s="141" t="s">
        <v>73</v>
      </c>
      <c r="H19" s="142"/>
      <c r="I19" s="143"/>
      <c r="J19" s="109">
        <f>(U19*20/100)/365</f>
        <v>62.884931506849313</v>
      </c>
      <c r="K19" s="37"/>
      <c r="L19" s="37"/>
      <c r="M19" s="37"/>
      <c r="N19" s="34">
        <f>D7</f>
        <v>102795</v>
      </c>
      <c r="O19" s="194" t="b">
        <f>IF(M21="5000-11999",3.35%,IF(M21="12000-19999",3.35%,IF(M21="20000-39999",2.85%,IF(M21="40000-69999",2.85%,IF(M21="70000-99999",2.85%)))))</f>
        <v>0</v>
      </c>
      <c r="P19" s="2">
        <f>81400-2500</f>
        <v>78900</v>
      </c>
      <c r="U19" s="193">
        <f>V19</f>
        <v>114765</v>
      </c>
      <c r="V19" s="192">
        <f>(B7+D10+D11+D12+D13+D16)*1.05</f>
        <v>114765</v>
      </c>
    </row>
    <row r="20" spans="1:23" ht="24.6" x14ac:dyDescent="0.4">
      <c r="A20" s="11"/>
      <c r="B20" s="58" t="s">
        <v>32</v>
      </c>
      <c r="C20" s="59"/>
      <c r="D20" s="63">
        <v>0.2</v>
      </c>
      <c r="E20" s="37"/>
      <c r="F20" s="37"/>
      <c r="G20" s="38"/>
      <c r="H20" s="38"/>
      <c r="I20" s="38"/>
      <c r="J20" s="103"/>
      <c r="K20" s="104" t="s">
        <v>33</v>
      </c>
      <c r="L20" s="104" t="s">
        <v>17</v>
      </c>
      <c r="M20" s="104">
        <f>IF(L20="YES",O12,IF(L20="NO",0))</f>
        <v>0</v>
      </c>
      <c r="N20" s="34">
        <f>B8-M20</f>
        <v>97900</v>
      </c>
      <c r="O20" s="187"/>
      <c r="P20" s="191"/>
      <c r="T20" s="1">
        <f>1992+1084</f>
        <v>3076</v>
      </c>
      <c r="U20" s="186"/>
      <c r="V20" s="2"/>
    </row>
    <row r="21" spans="1:23" ht="24.6" x14ac:dyDescent="0.4">
      <c r="A21" s="13">
        <f>A19+A20</f>
        <v>3083.85</v>
      </c>
      <c r="B21" s="37"/>
      <c r="C21" s="20"/>
      <c r="D21" s="37"/>
      <c r="E21" s="37"/>
      <c r="F21" s="37"/>
      <c r="G21" s="37"/>
      <c r="H21" s="37"/>
      <c r="I21" s="37"/>
      <c r="J21" s="190" t="s">
        <v>34</v>
      </c>
      <c r="K21" s="16" t="s">
        <v>139</v>
      </c>
      <c r="L21" s="16" t="s">
        <v>35</v>
      </c>
      <c r="M21" s="189" t="s">
        <v>80</v>
      </c>
      <c r="N21" s="188"/>
      <c r="O21" s="187"/>
      <c r="T21" s="1">
        <f>25973-12973</f>
        <v>13000</v>
      </c>
      <c r="U21" s="186">
        <f>M14+N7</f>
        <v>3105.8267963362496</v>
      </c>
    </row>
    <row r="22" spans="1:23" s="179" customFormat="1" ht="24.6" x14ac:dyDescent="0.4">
      <c r="A22" s="185"/>
      <c r="B22" s="184" t="s">
        <v>51</v>
      </c>
      <c r="C22" s="183"/>
      <c r="D22" s="183"/>
      <c r="E22" s="183"/>
      <c r="F22" s="183"/>
      <c r="G22" s="183"/>
      <c r="H22" s="183"/>
      <c r="I22" s="183"/>
      <c r="J22" s="183"/>
      <c r="K22" s="183"/>
      <c r="L22" s="183"/>
      <c r="M22" s="183"/>
      <c r="N22" s="182"/>
      <c r="O22" s="181"/>
      <c r="P22" s="180"/>
    </row>
    <row r="23" spans="1:23" s="168" customFormat="1" ht="26.4" x14ac:dyDescent="0.5">
      <c r="A23" s="175" t="s">
        <v>36</v>
      </c>
      <c r="B23" s="172" t="s">
        <v>138</v>
      </c>
      <c r="C23" s="169"/>
      <c r="D23" s="169"/>
      <c r="E23" s="169"/>
      <c r="F23" s="169"/>
      <c r="G23" s="169"/>
      <c r="H23" s="176"/>
      <c r="I23" s="176"/>
      <c r="J23" s="169"/>
      <c r="K23" s="169"/>
      <c r="L23" s="169"/>
      <c r="M23" s="169"/>
      <c r="N23" s="178"/>
      <c r="O23" s="170"/>
      <c r="P23" s="169"/>
    </row>
    <row r="24" spans="1:23" s="168" customFormat="1" ht="26.4" x14ac:dyDescent="0.5">
      <c r="A24" s="175" t="s">
        <v>36</v>
      </c>
      <c r="B24" s="172" t="s">
        <v>137</v>
      </c>
      <c r="C24" s="169"/>
      <c r="D24" s="169"/>
      <c r="E24" s="169"/>
      <c r="F24" s="169"/>
      <c r="G24" s="169"/>
      <c r="H24" s="177">
        <f>H7/365</f>
        <v>67.239150616438351</v>
      </c>
      <c r="I24" s="177">
        <f>H7+H12+H16</f>
        <v>26173.06615395</v>
      </c>
      <c r="J24" s="169"/>
      <c r="K24" s="169"/>
      <c r="L24" s="169"/>
      <c r="M24" s="169"/>
      <c r="N24" s="173"/>
      <c r="O24" s="170"/>
      <c r="P24" s="169">
        <f>1232+480</f>
        <v>1712</v>
      </c>
      <c r="T24" s="168">
        <f>88704/1.05</f>
        <v>84480</v>
      </c>
    </row>
    <row r="25" spans="1:23" s="168" customFormat="1" ht="26.4" x14ac:dyDescent="0.5">
      <c r="A25" s="175" t="s">
        <v>36</v>
      </c>
      <c r="B25" s="172" t="s">
        <v>136</v>
      </c>
      <c r="C25" s="169"/>
      <c r="D25" s="169"/>
      <c r="E25" s="169"/>
      <c r="F25" s="169"/>
      <c r="G25" s="169"/>
      <c r="H25" s="176"/>
      <c r="I25" s="176"/>
      <c r="J25" s="169"/>
      <c r="K25" s="169"/>
      <c r="L25" s="169"/>
      <c r="M25" s="169"/>
      <c r="N25" s="173"/>
      <c r="O25" s="170"/>
      <c r="P25" s="169"/>
      <c r="Q25" s="168">
        <f>79400-5233.33</f>
        <v>74166.67</v>
      </c>
      <c r="R25" s="168">
        <f>Q25*1.05</f>
        <v>77875.003500000006</v>
      </c>
      <c r="W25" s="168">
        <f>1999+1224</f>
        <v>3223</v>
      </c>
    </row>
    <row r="26" spans="1:23" s="168" customFormat="1" ht="26.4" x14ac:dyDescent="0.5">
      <c r="A26" s="175" t="s">
        <v>36</v>
      </c>
      <c r="B26" s="172" t="s">
        <v>135</v>
      </c>
      <c r="C26" s="169"/>
      <c r="D26" s="169"/>
      <c r="E26" s="169"/>
      <c r="F26" s="169"/>
      <c r="G26" s="169"/>
      <c r="H26" s="169"/>
      <c r="I26" s="169"/>
      <c r="J26" s="169"/>
      <c r="K26" s="169"/>
      <c r="L26" s="169"/>
      <c r="M26" s="169"/>
      <c r="N26" s="173"/>
      <c r="O26" s="170" t="s">
        <v>37</v>
      </c>
      <c r="P26" s="169"/>
      <c r="R26" s="168">
        <f>R25+2469</f>
        <v>80344.003500000006</v>
      </c>
    </row>
    <row r="27" spans="1:23" s="168" customFormat="1" ht="26.4" x14ac:dyDescent="0.5">
      <c r="A27" s="175" t="s">
        <v>36</v>
      </c>
      <c r="B27" s="172" t="s">
        <v>134</v>
      </c>
      <c r="C27" s="169"/>
      <c r="D27" s="169"/>
      <c r="E27" s="169"/>
      <c r="F27" s="169"/>
      <c r="G27" s="169"/>
      <c r="H27" s="169"/>
      <c r="I27" s="169"/>
      <c r="J27" s="169"/>
      <c r="K27" s="169"/>
      <c r="L27" s="169"/>
      <c r="M27" s="169"/>
      <c r="N27" s="173"/>
      <c r="O27" s="170">
        <f>129500-110900</f>
        <v>18600</v>
      </c>
      <c r="P27" s="169"/>
      <c r="W27" s="174">
        <f>N7+L14</f>
        <v>4106.947708233125</v>
      </c>
    </row>
    <row r="28" spans="1:23" s="168" customFormat="1" ht="26.4" x14ac:dyDescent="0.5">
      <c r="B28" s="172" t="s">
        <v>133</v>
      </c>
      <c r="C28" s="169"/>
      <c r="D28" s="169"/>
      <c r="E28" s="169"/>
      <c r="F28" s="169"/>
      <c r="G28" s="169"/>
      <c r="H28" s="169"/>
      <c r="I28" s="169"/>
      <c r="J28" s="169"/>
      <c r="K28" s="169"/>
      <c r="L28" s="169"/>
      <c r="M28" s="169"/>
      <c r="N28" s="173"/>
      <c r="O28" s="170">
        <f>85000-69900</f>
        <v>15100</v>
      </c>
      <c r="P28" s="169"/>
    </row>
    <row r="29" spans="1:23" s="168" customFormat="1" ht="26.4" x14ac:dyDescent="0.5">
      <c r="B29" s="172" t="s">
        <v>132</v>
      </c>
      <c r="C29" s="169"/>
      <c r="D29" s="169"/>
      <c r="E29" s="169"/>
      <c r="F29" s="169"/>
      <c r="G29" s="169"/>
      <c r="H29" s="169"/>
      <c r="I29" s="169"/>
      <c r="J29" s="169"/>
      <c r="K29" s="169"/>
      <c r="L29" s="169"/>
      <c r="M29" s="169"/>
      <c r="N29" s="171"/>
      <c r="O29" s="170"/>
      <c r="P29" s="169"/>
    </row>
    <row r="30" spans="1:23" x14ac:dyDescent="0.3">
      <c r="B30" s="167" t="s">
        <v>38</v>
      </c>
      <c r="C30" s="166"/>
      <c r="D30" s="166"/>
      <c r="E30" s="166"/>
      <c r="F30" s="166"/>
      <c r="G30" s="166"/>
      <c r="H30" s="166"/>
      <c r="I30" s="166"/>
      <c r="J30" s="166"/>
      <c r="K30" s="166"/>
      <c r="L30" s="166"/>
      <c r="M30" s="166"/>
      <c r="N30" s="165"/>
      <c r="O30" s="147"/>
    </row>
    <row r="31" spans="1:23" x14ac:dyDescent="0.3">
      <c r="B31" s="146"/>
      <c r="C31" s="145"/>
      <c r="D31" s="145"/>
      <c r="E31" s="145"/>
      <c r="F31" s="145"/>
      <c r="G31" s="145"/>
      <c r="H31" s="145"/>
      <c r="I31" s="145"/>
      <c r="J31" s="145"/>
      <c r="K31" s="145"/>
      <c r="L31" s="145"/>
      <c r="M31" s="145"/>
      <c r="N31" s="144"/>
      <c r="O31" s="147"/>
    </row>
    <row r="32" spans="1:23" s="86" customFormat="1" ht="20.399999999999999" x14ac:dyDescent="0.35">
      <c r="B32" s="118" t="s">
        <v>39</v>
      </c>
      <c r="C32" s="119"/>
      <c r="D32" s="119"/>
      <c r="E32" s="119"/>
      <c r="F32" s="119"/>
      <c r="G32" s="119"/>
      <c r="H32" s="119"/>
      <c r="I32" s="119"/>
      <c r="J32" s="119"/>
      <c r="K32" s="119"/>
      <c r="L32" s="119"/>
      <c r="M32" s="119"/>
      <c r="N32" s="120"/>
      <c r="O32" s="92"/>
      <c r="P32" s="83"/>
    </row>
    <row r="33" spans="2:16" s="86" customFormat="1" ht="20.399999999999999" x14ac:dyDescent="0.35">
      <c r="B33" s="118" t="s">
        <v>40</v>
      </c>
      <c r="C33" s="119"/>
      <c r="D33" s="119"/>
      <c r="E33" s="119"/>
      <c r="F33" s="119"/>
      <c r="G33" s="119"/>
      <c r="H33" s="119"/>
      <c r="I33" s="119"/>
      <c r="J33" s="119"/>
      <c r="K33" s="119"/>
      <c r="L33" s="119"/>
      <c r="M33" s="119"/>
      <c r="N33" s="120"/>
      <c r="O33" s="92"/>
      <c r="P33" s="83"/>
    </row>
    <row r="34" spans="2:16" s="86" customFormat="1" ht="20.399999999999999" x14ac:dyDescent="0.35">
      <c r="B34" s="107" t="s">
        <v>131</v>
      </c>
      <c r="C34" s="108"/>
      <c r="D34" s="108"/>
      <c r="E34" s="108"/>
      <c r="F34" s="108"/>
      <c r="G34" s="164" t="s">
        <v>130</v>
      </c>
      <c r="H34" s="164"/>
      <c r="I34" s="163"/>
      <c r="J34" s="163"/>
      <c r="K34" s="163"/>
      <c r="L34" s="163"/>
      <c r="M34" s="162" t="s">
        <v>129</v>
      </c>
      <c r="N34" s="161"/>
      <c r="O34" s="83"/>
      <c r="P34" s="83"/>
    </row>
    <row r="35" spans="2:16" x14ac:dyDescent="0.3">
      <c r="B35" s="160"/>
      <c r="C35" s="159"/>
      <c r="D35" s="159"/>
      <c r="E35" s="159"/>
      <c r="F35" s="159"/>
      <c r="G35" s="159"/>
      <c r="H35" s="159"/>
      <c r="I35" s="159"/>
      <c r="J35" s="159"/>
      <c r="K35" s="159"/>
      <c r="L35" s="159"/>
      <c r="M35" s="159"/>
      <c r="N35" s="158"/>
    </row>
    <row r="36" spans="2:16" x14ac:dyDescent="0.3">
      <c r="B36" s="160"/>
      <c r="C36" s="159"/>
      <c r="D36" s="159"/>
      <c r="E36" s="159"/>
      <c r="F36" s="159"/>
      <c r="G36" s="159"/>
      <c r="H36" s="159"/>
      <c r="I36" s="159"/>
      <c r="J36" s="159"/>
      <c r="K36" s="159"/>
      <c r="L36" s="159"/>
      <c r="M36" s="159"/>
      <c r="N36" s="158"/>
    </row>
    <row r="37" spans="2:16" x14ac:dyDescent="0.3">
      <c r="B37" s="160"/>
      <c r="C37" s="159"/>
      <c r="D37" s="159"/>
      <c r="E37" s="159"/>
      <c r="F37" s="159"/>
      <c r="G37" s="159"/>
      <c r="H37" s="159"/>
      <c r="I37" s="159"/>
      <c r="J37" s="159"/>
      <c r="K37" s="159"/>
      <c r="L37" s="159"/>
      <c r="M37" s="159"/>
      <c r="N37" s="158"/>
    </row>
    <row r="38" spans="2:16" ht="16.8" x14ac:dyDescent="0.3">
      <c r="B38" s="149" t="s">
        <v>128</v>
      </c>
      <c r="C38" s="157"/>
      <c r="D38" s="154"/>
      <c r="E38" s="151"/>
      <c r="F38" s="151"/>
      <c r="G38" s="151"/>
      <c r="H38" s="151"/>
      <c r="I38" s="151"/>
      <c r="J38" s="152"/>
      <c r="K38" s="151"/>
      <c r="L38" s="151"/>
      <c r="M38" s="151"/>
      <c r="N38" s="156"/>
    </row>
    <row r="39" spans="2:16" ht="16.8" x14ac:dyDescent="0.3">
      <c r="B39" s="149" t="s">
        <v>127</v>
      </c>
      <c r="C39" s="155"/>
      <c r="D39" s="154"/>
      <c r="E39" s="151"/>
      <c r="F39" s="151"/>
      <c r="G39" s="151"/>
      <c r="H39" s="151"/>
      <c r="I39" s="151"/>
      <c r="J39" s="152"/>
      <c r="K39" s="151"/>
      <c r="L39" s="151"/>
      <c r="M39" s="151"/>
      <c r="N39" s="150"/>
    </row>
    <row r="40" spans="2:16" ht="16.8" x14ac:dyDescent="0.3">
      <c r="B40" s="149" t="s">
        <v>126</v>
      </c>
      <c r="C40" s="153"/>
      <c r="D40" s="151"/>
      <c r="E40" s="151"/>
      <c r="F40" s="151"/>
      <c r="G40" s="151"/>
      <c r="H40" s="151"/>
      <c r="I40" s="151"/>
      <c r="J40" s="152"/>
      <c r="K40" s="151"/>
      <c r="L40" s="151"/>
      <c r="M40" s="151"/>
      <c r="N40" s="150"/>
    </row>
    <row r="41" spans="2:16" ht="16.8" x14ac:dyDescent="0.3">
      <c r="B41" s="149" t="s">
        <v>125</v>
      </c>
      <c r="N41" s="148"/>
    </row>
    <row r="42" spans="2:16" ht="16.8" x14ac:dyDescent="0.3">
      <c r="B42" s="149" t="s">
        <v>124</v>
      </c>
      <c r="N42" s="148"/>
    </row>
    <row r="43" spans="2:16" ht="16.8" x14ac:dyDescent="0.3">
      <c r="B43" s="149" t="s">
        <v>123</v>
      </c>
      <c r="N43" s="148"/>
    </row>
    <row r="44" spans="2:16" ht="16.8" x14ac:dyDescent="0.3">
      <c r="B44" s="149" t="s">
        <v>122</v>
      </c>
      <c r="N44" s="148"/>
    </row>
    <row r="45" spans="2:16" ht="16.8" x14ac:dyDescent="0.3">
      <c r="B45" s="149" t="s">
        <v>121</v>
      </c>
      <c r="N45" s="148"/>
    </row>
    <row r="46" spans="2:16" ht="16.8" x14ac:dyDescent="0.3">
      <c r="B46" s="149" t="s">
        <v>120</v>
      </c>
      <c r="N46" s="148"/>
    </row>
    <row r="47" spans="2:16" x14ac:dyDescent="0.3">
      <c r="B47" s="146" t="s">
        <v>39</v>
      </c>
      <c r="C47" s="145"/>
      <c r="D47" s="145"/>
      <c r="E47" s="145"/>
      <c r="F47" s="145"/>
      <c r="G47" s="145"/>
      <c r="H47" s="145"/>
      <c r="I47" s="145"/>
      <c r="J47" s="145"/>
      <c r="K47" s="145"/>
      <c r="L47" s="145"/>
      <c r="M47" s="145"/>
      <c r="N47" s="144"/>
      <c r="O47" s="147"/>
    </row>
    <row r="48" spans="2:16" x14ac:dyDescent="0.3">
      <c r="B48" s="146" t="s">
        <v>40</v>
      </c>
      <c r="C48" s="145"/>
      <c r="D48" s="145"/>
      <c r="E48" s="145"/>
      <c r="F48" s="145"/>
      <c r="G48" s="145"/>
      <c r="H48" s="145"/>
      <c r="I48" s="145"/>
      <c r="J48" s="145"/>
      <c r="K48" s="145"/>
      <c r="L48" s="145"/>
      <c r="M48" s="145"/>
      <c r="N48" s="144"/>
      <c r="O48" s="147"/>
    </row>
    <row r="49" spans="2:14" x14ac:dyDescent="0.3">
      <c r="B49" s="146" t="s">
        <v>119</v>
      </c>
      <c r="C49" s="145"/>
      <c r="D49" s="145"/>
      <c r="E49" s="145"/>
      <c r="F49" s="145"/>
      <c r="G49" s="145"/>
      <c r="H49" s="145"/>
      <c r="I49" s="145"/>
      <c r="J49" s="145"/>
      <c r="K49" s="145"/>
      <c r="L49" s="145"/>
      <c r="M49" s="145"/>
      <c r="N49" s="144"/>
    </row>
    <row r="50" spans="2:14" ht="25.8" x14ac:dyDescent="0.3">
      <c r="C50" s="15" t="s">
        <v>41</v>
      </c>
    </row>
    <row r="51" spans="2:14" ht="25.8" x14ac:dyDescent="0.3">
      <c r="C51" s="15" t="s">
        <v>42</v>
      </c>
    </row>
    <row r="52" spans="2:14" ht="25.8" x14ac:dyDescent="0.3">
      <c r="C52" s="15" t="s">
        <v>43</v>
      </c>
    </row>
    <row r="53" spans="2:14" ht="25.8" x14ac:dyDescent="0.3">
      <c r="C53" s="15" t="s">
        <v>44</v>
      </c>
    </row>
    <row r="54" spans="2:14" ht="25.8" x14ac:dyDescent="0.3">
      <c r="C54" s="15" t="s">
        <v>45</v>
      </c>
    </row>
  </sheetData>
  <dataConsolidate/>
  <mergeCells count="11">
    <mergeCell ref="F8:G8"/>
    <mergeCell ref="F9:G9"/>
    <mergeCell ref="G19:I19"/>
    <mergeCell ref="B22:N22"/>
    <mergeCell ref="B30:N30"/>
    <mergeCell ref="B32:N32"/>
    <mergeCell ref="B33:N33"/>
    <mergeCell ref="B47:N47"/>
    <mergeCell ref="B48:N48"/>
    <mergeCell ref="B49:N49"/>
    <mergeCell ref="B31:N31"/>
  </mergeCells>
  <dataValidations count="11">
    <dataValidation type="list" allowBlank="1" showInputMessage="1" showErrorMessage="1" sqref="H34" xr:uid="{5D9A54C1-A13F-47EF-98A4-246A3A6E1503}">
      <formula1>"ALAA HAMMAD,KHALED QASSEM,RAMY RAOUF,SIMON LOBO,MHAREN CLEMENTE GARADO"</formula1>
    </dataValidation>
    <dataValidation type="list" allowBlank="1" showInputMessage="1" showErrorMessage="1" sqref="M34" xr:uid="{EC8A81D8-BDEF-4AB7-9947-8868CE941BD0}">
      <formula1>"Alaa Hammad,Bachir Ibrahim Mourad,Khaled Qassem,Ramy Raoof,Simon Lobo,Mharen Clemente Garado,Ranjith"</formula1>
    </dataValidation>
    <dataValidation type="list" allowBlank="1" showInputMessage="1" showErrorMessage="1" sqref="B11" xr:uid="{206063F2-17BA-49A1-9686-25FB81DA315F}">
      <formula1>"FO Ceramic+ Intr&amp;Extr CeramicGold WdwTnt,FO Mirror Camera Sensor"</formula1>
    </dataValidation>
    <dataValidation type="list" allowBlank="1" showInputMessage="1" showErrorMessage="1" sqref="B12" xr:uid="{CF726D63-6F2A-4196-AE10-C4F0F2BA8A18}">
      <formula1>"FO Exterior ceramic All Cars SCOTCHGUARD,FO Mirror Camera Sensor,FO PPF Gold Package "</formula1>
    </dataValidation>
    <dataValidation type="list" allowBlank="1" showInputMessage="1" showErrorMessage="1" sqref="K20" xr:uid="{16BC49BC-BFA6-4B7D-94AE-5A33D41FD4E2}">
      <formula1>"Esaad,Emirates Platinum,Fazaa,Humat Alwatan,Permissible,ASX,XPMLP,XP,MON,MON G57,OUT,F08,P08,F06,P06,F03,F03-1,P03,EC,G37,G38,G40,G43"</formula1>
    </dataValidation>
    <dataValidation type="list" allowBlank="1" showInputMessage="1" showErrorMessage="1" sqref="B16" xr:uid="{6E6E4F1D-EDE7-4052-AC4E-6E1301A90171}">
      <formula1>"RMC-10-40KMS,RMC-10-60KMS,RMC-10-70KMS,RMC-10-100000KMS,RMC-40-70KMS,RMC-40-100000KMS"</formula1>
    </dataValidation>
    <dataValidation type="list" allowBlank="1" showInputMessage="1" showErrorMessage="1" sqref="K24" xr:uid="{7E6724A3-87F9-4278-AE59-230764247955}">
      <formula1>"RMC-10-70K,RMC-10-100000K,RMC-40-70K"</formula1>
    </dataValidation>
    <dataValidation type="list" allowBlank="1" showInputMessage="1" showErrorMessage="1" sqref="D5" xr:uid="{E0B6AEBA-93DA-472E-A847-9D1DF2DE7B2E}">
      <formula1>"MIG09,MIG10,H16,P16,H17,H48,H43,H40,H42,H44,H45,H38,H37,EH40,EH43,ML,HL,PR, MLP,HLP,PRP,XPML,XPHL,XPMLP, XPMLP-01,XC, G10,P10, G03, P03, G06,P06,G12,P12,G05,P05,G08,P08,G09,P09,H57,P57,H64,H59,P59,H61,P61"</formula1>
    </dataValidation>
    <dataValidation type="list" allowBlank="1" showInputMessage="1" showErrorMessage="1" sqref="M21" xr:uid="{4402D520-FCB4-4950-9EB3-1A80E6B3F1CE}">
      <formula1>"3000-4999,5000-9999,5000-99999,10000-14999,15000-24999,25000-34999,35000-99999,5000-11999,12000-19999,20000-39999,40000-69999,70000-99999"</formula1>
    </dataValidation>
    <dataValidation type="list" allowBlank="1" showInputMessage="1" showErrorMessage="1" sqref="C10:C16 L20 L24:L25 G14:G15 J10" xr:uid="{A8BF812F-0D48-4EB7-8BF7-28E39DE051A6}">
      <formula1>"YES,NO"</formula1>
    </dataValidation>
    <dataValidation type="list" allowBlank="1" showInputMessage="1" showErrorMessage="1" sqref="K21" xr:uid="{E9ADEECE-687C-4374-9807-EEAA7B7A5EE7}">
      <formula1>"ADCB,ADCB PAY IN 2027,Ajman Bank,ADIB,DIB EXPAT,DIB LOCAL GVH,Emirates NBD,EIB,FAB,RAK,SIB STL,SIB NON STL"</formula1>
    </dataValidation>
  </dataValidations>
  <pageMargins left="0.23622047244094491" right="0.23622047244094491" top="0.74803149606299213" bottom="0.74803149606299213" header="0.31496062992125984" footer="0.31496062992125984"/>
  <pageSetup paperSize="9" scale="40" orientation="landscape" horizontalDpi="4294967295" verticalDpi="4294967295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2748A-B602-4440-899B-2A311CFE3A98}">
  <sheetPr>
    <pageSetUpPr fitToPage="1"/>
  </sheetPr>
  <dimension ref="A1:AA54"/>
  <sheetViews>
    <sheetView topLeftCell="B1" zoomScaleNormal="100" workbookViewId="0">
      <selection activeCell="D5" sqref="D5"/>
    </sheetView>
  </sheetViews>
  <sheetFormatPr defaultColWidth="9.109375" defaultRowHeight="15.6" x14ac:dyDescent="0.3"/>
  <cols>
    <col min="1" max="1" width="16" style="1" hidden="1" customWidth="1"/>
    <col min="2" max="2" width="75.109375" style="2" customWidth="1"/>
    <col min="3" max="3" width="26.88671875" style="3" customWidth="1"/>
    <col min="4" max="4" width="23.88671875" style="2" customWidth="1"/>
    <col min="5" max="5" width="23.33203125" style="2" customWidth="1"/>
    <col min="6" max="6" width="19.88671875" style="2" customWidth="1"/>
    <col min="7" max="7" width="23.33203125" style="2" customWidth="1"/>
    <col min="8" max="8" width="24.44140625" style="2" customWidth="1"/>
    <col min="9" max="9" width="27.109375" style="2" customWidth="1"/>
    <col min="10" max="10" width="26.6640625" style="2" customWidth="1"/>
    <col min="11" max="11" width="25.44140625" style="2" customWidth="1"/>
    <col min="12" max="12" width="20.5546875" style="2" customWidth="1"/>
    <col min="13" max="13" width="20.109375" style="2" customWidth="1"/>
    <col min="14" max="14" width="19.5546875" style="2" customWidth="1"/>
    <col min="15" max="15" width="15.109375" style="2" bestFit="1" customWidth="1"/>
    <col min="16" max="16" width="12.6640625" style="2" hidden="1" customWidth="1"/>
    <col min="17" max="17" width="12.6640625" style="1" hidden="1" customWidth="1"/>
    <col min="18" max="18" width="15.6640625" style="1" hidden="1" customWidth="1"/>
    <col min="19" max="19" width="13" style="1" hidden="1" customWidth="1"/>
    <col min="20" max="20" width="17.109375" style="1" hidden="1" customWidth="1"/>
    <col min="21" max="21" width="14.5546875" style="1" bestFit="1" customWidth="1"/>
    <col min="22" max="22" width="19" style="1" customWidth="1"/>
    <col min="23" max="23" width="22.5546875" style="1" bestFit="1" customWidth="1"/>
    <col min="24" max="25" width="9.109375" style="1"/>
    <col min="26" max="26" width="14" style="1" bestFit="1" customWidth="1"/>
    <col min="27" max="27" width="22.33203125" style="1" bestFit="1" customWidth="1"/>
    <col min="28" max="16384" width="9.109375" style="1"/>
  </cols>
  <sheetData>
    <row r="1" spans="1:27" ht="15.75" customHeight="1" x14ac:dyDescent="0.3">
      <c r="B1" s="222" t="s">
        <v>148</v>
      </c>
      <c r="C1" s="221"/>
      <c r="D1" s="221"/>
      <c r="E1" s="221"/>
      <c r="F1" s="221"/>
      <c r="G1" s="221"/>
      <c r="H1" s="221"/>
      <c r="I1" s="221"/>
      <c r="J1" s="221"/>
      <c r="K1" s="221"/>
      <c r="L1" s="221"/>
      <c r="M1" s="221"/>
      <c r="N1" s="220"/>
    </row>
    <row r="2" spans="1:27" ht="15.75" customHeight="1" x14ac:dyDescent="0.3">
      <c r="B2" s="219" t="s">
        <v>147</v>
      </c>
      <c r="C2" s="218"/>
      <c r="D2" s="218"/>
      <c r="E2" s="218"/>
      <c r="F2" s="218"/>
      <c r="G2" s="218"/>
      <c r="H2" s="218"/>
      <c r="I2" s="218"/>
      <c r="J2" s="218"/>
      <c r="K2" s="218"/>
      <c r="L2" s="218"/>
      <c r="M2" s="218"/>
      <c r="N2" s="217"/>
      <c r="Q2" s="2"/>
      <c r="S2" s="186"/>
    </row>
    <row r="3" spans="1:27" ht="15.75" customHeight="1" x14ac:dyDescent="0.3">
      <c r="B3" s="219" t="s">
        <v>146</v>
      </c>
      <c r="C3" s="218"/>
      <c r="D3" s="218"/>
      <c r="E3" s="218"/>
      <c r="F3" s="218"/>
      <c r="G3" s="218"/>
      <c r="H3" s="218"/>
      <c r="I3" s="218"/>
      <c r="J3" s="218"/>
      <c r="K3" s="218"/>
      <c r="L3" s="218"/>
      <c r="M3" s="218"/>
      <c r="N3" s="217"/>
      <c r="O3" s="3"/>
      <c r="P3" s="3"/>
      <c r="Q3" s="153"/>
      <c r="R3" s="153"/>
      <c r="S3" s="216" t="e">
        <f>N7+J14</f>
        <v>#VALUE!</v>
      </c>
      <c r="T3" s="216"/>
      <c r="U3" s="153"/>
      <c r="V3" s="153"/>
      <c r="W3" s="153"/>
      <c r="AA3" s="1">
        <f>273000/5</f>
        <v>54600</v>
      </c>
    </row>
    <row r="4" spans="1:27" ht="15.75" customHeight="1" x14ac:dyDescent="0.3">
      <c r="B4" s="215"/>
      <c r="C4" s="214"/>
      <c r="D4" s="214"/>
      <c r="E4" s="214"/>
      <c r="F4" s="214"/>
      <c r="G4" s="214"/>
      <c r="H4" s="214"/>
      <c r="I4" s="214"/>
      <c r="J4" s="214"/>
      <c r="K4" s="214"/>
      <c r="L4" s="214"/>
      <c r="M4" s="214"/>
      <c r="N4" s="213"/>
      <c r="O4" s="212" t="s">
        <v>0</v>
      </c>
      <c r="P4" s="212"/>
      <c r="Q4" s="210"/>
      <c r="R4" s="210"/>
      <c r="S4" s="211"/>
      <c r="T4" s="211"/>
      <c r="U4" s="210" t="s">
        <v>1</v>
      </c>
      <c r="V4" s="210" t="s">
        <v>2</v>
      </c>
      <c r="W4" s="210" t="s">
        <v>3</v>
      </c>
    </row>
    <row r="5" spans="1:27" ht="25.2" thickBot="1" x14ac:dyDescent="0.45">
      <c r="B5" s="17"/>
      <c r="C5" s="18" t="str">
        <f>IF(D5="MIG09","Mirage G09",IF(D5="MIG10","MirageG10",IF(D5="H16","Attrage H16",IF(D5="P16","Attrage P16",IF(D5="H17","Attrage H17",IF(D5="H48","ASX H48",IF(D5="H43","ASX H43",IF(D5="H40","ASX H40",IF(D5="H42","ASX H42",IF(D5="H44","ASX H44",IF(D5="H45","ASX H45",IF(D5="H38","Eclipse H38",IF(D5="H37","Eclipse H37",IF(D5="EH40","Eclipse H40",IF(D5="EH43","Eclipse H43",IF(D5="XPML","Xpander ML",IF(D5="ML","Destinator ML",IF(D5="HL","Destinator HL",IF(D5="PR","Destinator PR",IF(D5="MLP","Destinator MLP",IF(D5="HLP","Destinator HLP",IF(D5="PRP","Destinator PRP",IF(D5="XPHL","Xpander HL",IF(D5="XPMLP","Xpander ML P",IF(D5="XPMLP-01","Xpander ML P-01",IF(D5="XC","Xpander Cross",IF(D5="G03","Outlander G03",IF(D5="P03","Outlander P03",IF(D5="G06","Outlander G06",IF(D5="P06","Outlander P06",IF(D5="OTP06-01","Outlander P06-01",IF(D5="G08","Outlander G08",IF(D5="P08","Outlander P08",IF(D5="H57","Montero H57",IF(D5="P57","Montero P57",IF(D5="H64","Montero G64",IF(D5="H59","Montero G59",IF(D5="P59","Montero G59 P",IF(D5="H61","Montero G61",IF(D5="P61","Montero P61",IF(D5="G10","Outlander G10",IF(D5="P10","Outlander P10",IF(D5="G12","Outlander G12",IF(D5="P12","Outlander P12",IF(D5="G05","Outlander G05",IF(D5="P05","Outlander P05",IF(D5="G09","Outlander G09",IF(D5="P09","Outlander P09",))))))))))))))))))))))))))))))))))))))))))))))))</f>
        <v>Outlander P05</v>
      </c>
      <c r="D5" s="19" t="s">
        <v>165</v>
      </c>
      <c r="E5" s="20" t="s">
        <v>145</v>
      </c>
      <c r="F5" s="37"/>
      <c r="G5" s="37"/>
      <c r="H5" s="37"/>
      <c r="I5" s="20"/>
      <c r="J5" s="34"/>
      <c r="K5" s="209">
        <v>0</v>
      </c>
      <c r="L5" s="208">
        <v>3.39E-2</v>
      </c>
      <c r="M5" s="208">
        <v>6.7799999999999999E-2</v>
      </c>
      <c r="N5" s="208">
        <v>0.1017</v>
      </c>
      <c r="O5" s="147">
        <f>K7+K14</f>
        <v>13506.810382642498</v>
      </c>
      <c r="S5" s="186"/>
      <c r="U5" s="186">
        <f>L7+L14</f>
        <v>5576.4926462831245</v>
      </c>
      <c r="V5" s="186">
        <f>M7+M14</f>
        <v>3771.0059658862492</v>
      </c>
      <c r="W5" s="186">
        <f>N7+N14</f>
        <v>2650.8508712831249</v>
      </c>
    </row>
    <row r="6" spans="1:27" s="5" customFormat="1" ht="99" thickBot="1" x14ac:dyDescent="0.35">
      <c r="A6" s="4" t="s">
        <v>4</v>
      </c>
      <c r="B6" s="26" t="s">
        <v>5</v>
      </c>
      <c r="C6" s="27" t="s">
        <v>6</v>
      </c>
      <c r="D6" s="27" t="s">
        <v>144</v>
      </c>
      <c r="E6" s="27" t="s">
        <v>7</v>
      </c>
      <c r="F6" s="27" t="s">
        <v>8</v>
      </c>
      <c r="G6" s="28" t="s">
        <v>9</v>
      </c>
      <c r="H6" s="28" t="s">
        <v>143</v>
      </c>
      <c r="I6" s="28" t="s">
        <v>10</v>
      </c>
      <c r="J6" s="28" t="s">
        <v>142</v>
      </c>
      <c r="K6" s="28" t="s">
        <v>11</v>
      </c>
      <c r="L6" s="28" t="s">
        <v>12</v>
      </c>
      <c r="M6" s="28" t="s">
        <v>13</v>
      </c>
      <c r="N6" s="28" t="s">
        <v>14</v>
      </c>
      <c r="O6" s="207"/>
      <c r="P6" s="206"/>
      <c r="T6" s="205"/>
      <c r="U6" s="205">
        <f>N7+L14</f>
        <v>4406.2359362831248</v>
      </c>
      <c r="V6" s="205">
        <f>N7+K14</f>
        <v>10873.732785142498</v>
      </c>
      <c r="W6" s="205" t="e">
        <f>N7+J14</f>
        <v>#VALUE!</v>
      </c>
    </row>
    <row r="7" spans="1:27" ht="25.2" thickBot="1" x14ac:dyDescent="0.45">
      <c r="A7" s="6">
        <f>B8</f>
        <v>105900</v>
      </c>
      <c r="B7" s="29">
        <f>IF(L20="YES",C8*1,IF(L20="NO",B8*1))</f>
        <v>105900</v>
      </c>
      <c r="C7" s="29">
        <f>B7*5/100</f>
        <v>5295</v>
      </c>
      <c r="D7" s="203">
        <f>B7+C7</f>
        <v>111195</v>
      </c>
      <c r="E7" s="29">
        <f>D17</f>
        <v>19888.879874999999</v>
      </c>
      <c r="F7" s="29">
        <f>(C7)+(D10+D11+D12+D13+D16)*5/100</f>
        <v>5865</v>
      </c>
      <c r="G7" s="30">
        <f>B7+E7+F7</f>
        <v>131653.87987499998</v>
      </c>
      <c r="H7" s="29">
        <f>G7*D20</f>
        <v>26330.775974999997</v>
      </c>
      <c r="I7" s="30">
        <f>(G7-H7)</f>
        <v>105323.10389999999</v>
      </c>
      <c r="J7" s="30">
        <f>(((I7*D19)*1)+I7)/12</f>
        <v>9118.3477201424994</v>
      </c>
      <c r="K7" s="30">
        <f>(((I7*D19)*2)+I7)/24</f>
        <v>4729.8850576424993</v>
      </c>
      <c r="L7" s="30">
        <f>(((I7*D19)*3)+I7)/36</f>
        <v>3267.0641701424993</v>
      </c>
      <c r="M7" s="30">
        <f>(((I7*D19)*4)+I7)/48</f>
        <v>2535.6537263924997</v>
      </c>
      <c r="N7" s="30">
        <f>((((I7*D19)*5)+I7)/60)</f>
        <v>2096.8074601425001</v>
      </c>
      <c r="O7" s="147"/>
      <c r="P7" s="2">
        <f>H7+H16</f>
        <v>27436.668565949996</v>
      </c>
      <c r="T7" s="186">
        <f>25973/2</f>
        <v>12986.5</v>
      </c>
    </row>
    <row r="8" spans="1:27" ht="24.6" x14ac:dyDescent="0.4">
      <c r="A8" s="7">
        <v>0.2</v>
      </c>
      <c r="B8" s="31">
        <f>IF(D5="MIG09",39900,IF(D5="MIG10",41900,IF(D5="H16",41900,IF(D5="P16",47400,IF(D5="H17",47900,IF(D5="H48",67900,IF(D5="H43",70900,IF(D5="H40",72900,IF(D5="H42",74900,IF(D5="H44",73900,IF(D5="H45",79900,IF(D5="H38",86900,IF(D5="H37",79900,IF(D5="EH40",99900,IF(D5="EH43",106900,IF(D5="ML",71900,IF(D5="HL",83900,IF(D5="PR",95900,IF(D5="MLP",80900,IF(D5="HLP",91900,IF(D5="PRP",102900,IF(D5="XPML",69900,IF(D5="XPHL",71000,IF(D5="XPMLP",75900,IF(D5="XPMLP-01",77800,IF(D5="XC",84900,IF(D5="G10",81900,IF(D5="P10",93900,IF(D5="G12",97900,IF(D5="P12",105900,IF(D5="G05",104900,IF(D5="P05",105900,IF(D5="G03",92900,IF(D5="P03",100900,IF(D5="G06",109900,IF(D5="P06",114900,IF(D5="OTP06-01",118900,IF(D5="G08",125900,IF(D5="P08",132900,IF(D5="OTP06-01",109900,IF(D5="G09",129900,IF(D5="P09",134900,IF(D5="H57",105900,IF(D5="P57",113900,IF(D5="H64",116900,IF(D5="H59",127900,IF(D5="P59",134900,IF(D5="H61",134900,IF(D5="P61",138900)))))))))))))))))))))))))))))))))))))))))))))))))</f>
        <v>105900</v>
      </c>
      <c r="C8" s="32">
        <f>IF(L20="YES",N20,IF(L20="NO",N20))</f>
        <v>105900</v>
      </c>
      <c r="D8" s="29">
        <v>0</v>
      </c>
      <c r="E8" s="33"/>
      <c r="F8" s="139"/>
      <c r="G8" s="140"/>
      <c r="H8" s="110">
        <f>G7*20/100</f>
        <v>26330.775974999997</v>
      </c>
      <c r="I8" s="34"/>
      <c r="J8" s="34" t="s">
        <v>15</v>
      </c>
      <c r="K8" s="34">
        <f>(I7*K5+I7)/24</f>
        <v>4388.4626624999992</v>
      </c>
      <c r="L8" s="34">
        <f>(I7*L5+I7)/36</f>
        <v>3024.8210311724997</v>
      </c>
      <c r="M8" s="34">
        <f>(I7*M5+I7)/48</f>
        <v>2343.00021550875</v>
      </c>
      <c r="N8" s="34">
        <f>(I7*N5+I7)/60</f>
        <v>1933.9077261104999</v>
      </c>
      <c r="O8" s="147">
        <v>0</v>
      </c>
      <c r="P8" s="2">
        <f>P7/12</f>
        <v>2286.3890471624995</v>
      </c>
      <c r="T8" s="1">
        <f>25973-12973</f>
        <v>13000</v>
      </c>
    </row>
    <row r="9" spans="1:27" ht="24.6" x14ac:dyDescent="0.4">
      <c r="A9" s="8">
        <f>B8/(100%-A8)</f>
        <v>132375</v>
      </c>
      <c r="B9" s="109">
        <f>B7-B8</f>
        <v>0</v>
      </c>
      <c r="C9" s="109"/>
      <c r="D9" s="36"/>
      <c r="E9" s="33"/>
      <c r="F9" s="139"/>
      <c r="G9" s="140"/>
      <c r="H9" s="33"/>
      <c r="I9" s="37" t="s">
        <v>16</v>
      </c>
      <c r="J9" s="38">
        <f>(J7*12)-I7</f>
        <v>4097.0687417100125</v>
      </c>
      <c r="K9" s="38">
        <f>(K7*24)-I7</f>
        <v>8194.137483419996</v>
      </c>
      <c r="L9" s="38">
        <f>(L7*36)-I7</f>
        <v>12291.206225129979</v>
      </c>
      <c r="M9" s="38">
        <f>(M7*48)-I7</f>
        <v>16388.274966839992</v>
      </c>
      <c r="N9" s="38">
        <f>(N7*60)-I7</f>
        <v>20485.343708550019</v>
      </c>
      <c r="O9" s="147"/>
      <c r="T9" s="1">
        <f>T8/12</f>
        <v>1083.3333333333333</v>
      </c>
      <c r="Z9" s="1" t="s">
        <v>86</v>
      </c>
    </row>
    <row r="10" spans="1:27" ht="24.6" x14ac:dyDescent="0.4">
      <c r="A10" s="8"/>
      <c r="B10" s="37" t="s">
        <v>141</v>
      </c>
      <c r="C10" s="20" t="s">
        <v>17</v>
      </c>
      <c r="D10" s="36">
        <f>IF(C10="YES",700,IF(C10="NO",0))</f>
        <v>0</v>
      </c>
      <c r="E10" s="39"/>
      <c r="F10" s="40"/>
      <c r="G10" s="40"/>
      <c r="H10" s="33"/>
      <c r="I10" s="44" t="s">
        <v>85</v>
      </c>
      <c r="J10" s="117" t="s">
        <v>19</v>
      </c>
      <c r="K10" s="117">
        <f>IF(J10="YES",Z10,IF(J10="NO",0))</f>
        <v>1000</v>
      </c>
      <c r="L10" s="41">
        <f>(L8*36)-I7</f>
        <v>3570.4532222099951</v>
      </c>
      <c r="M10" s="41">
        <f>(M8*48)-I7</f>
        <v>7140.9064444200194</v>
      </c>
      <c r="N10" s="41">
        <f>(N8*60)-I7</f>
        <v>10711.35966663</v>
      </c>
      <c r="O10" s="147">
        <f>IF(D5="XC",3690,IF(D5="XPML",3690,IF(D5="XPHL",3690,IF(D5="XPMLP",3690,IF(D5="XPMLP-01",3690,IF(D5="Xpander P",3690,IF(D5="ML",3690,IF(D5="HL",3690,IF(D5="PR",(U19*3/100+510)*1.05,IF(D5="MLP",3690,IF(D5="HLP",(U19*3/100+510)*1.05,IF(D5="PRP",(U19*3/100+510)*1.05,IF(D5="H57",(U19*2.75/100+510)*1.05,IF(D5="P57",(U19*2.75/100+510)*1.05,IF(D5="H64",(U19*2.75/100+510)*1.05,IF(D5="H59",(U19*2.75/100+510)*1.05,IF(D5="P59",(U19*2.75/100+510)*1.05,IF(D5="H61",(U19*2.75/100+510)*1.05,IF(D5="P61",(U19*2.75/100+510)*1.05,IF(D5="G03",(U19*3/100+510)*1.05,IF(D5="G10",(U19*3/100+510)*1.05,IF(D5="P10",(U19*3/100+510)*1.05,IF(D5="G12",(U19*3/100+510)*1.05,IF(D5="P12",(U19*3/100+510)*1.05,IF(D5="G05",(U19*3/100+510)*1.05,IF(D5="P05",(U19*3/100+510)*1.05,IF(D5="P03",(U19*3/100+510)*1.05,IF(D5="G06",(U19*3/100+510)*1.05,IF(D5="P06",(U19*3/100+510)*1.05,IF(D5="OTP06-01",(U19*3/100+510)*1.05,IF(D5="G08",(U19*3/100+510)*1.05,IF(D5="P08",(U19*3/100+510)*1.05,IF(D5="G09",(U19*3/100+510)*1.05,IF(D5="P09",(U19*3/100+510)*1.05,IF(D5="H38",3625,IF(D5="H37",3625,IF(D5="EH40",(U19*3/100+450)*1.05,IF(D5="EH43",(U19*3/100+450)*1.05,IF(D5="H48",3625,IF(D5="H43",3625,IF(D5="H40",3625,IF(D5="H42",3625,IF(D5="H44",3625,IF(D5="H45",3625,IF(D5="ASX HL 4WD",3625,IF(D5="H16",3625,IF(D5="H17",3625,IF(D5="P16",3625,IF(D5="Attrage S",3625,IF(D5="MIG09",3625,IF(D5="MIG10",3625,IF(D5="Xpander HL",3690))))))))))))))))))))))))))))))))))))))))))))))))))))</f>
        <v>4415.1975000000002</v>
      </c>
      <c r="P10" s="204"/>
      <c r="Q10" s="204">
        <f>5.25*3</f>
        <v>15.75</v>
      </c>
      <c r="Z10" s="1">
        <f>IF(D5="MIG09",1000,IF(D5="MIG10",1000,IF(D5="H16",1000,IF(D5="P16",1000,IF(D5="H17",1000,IF(D5="H48",1000,IF(D5="H43",1000,IF(D5="H40",1000,IF(D5="H42",1000,IF(D5="H44",1000,IF(D5="H45",1000,IF(D5="H38",1000,IF(D5="H37",1000,IF(D5="EH40",1000,IF(D5="EH43",1000,IF(D5="ML",1000,IF(D5="HL",1000,IF(D5="PR",1000,IF(D5="MLP",1000,IF(D5="HLP",1000,IF(D5="PRP",1000,IF(D5="XPML",1000,IF(D5="XPHL",1000,IF(D5="XPMLP",1000,IF(D5="XPMLP-01",1000,IF(D5="XC",1000,IF(D5="G10",1000,IF(D5="P10",1000,IF(D5="G12",1000,IF(D5="P12",1000,IF(D5="G05",1000,IF(D5="P05",1000,IF(D5="G03",1000,IF(D5="P03",1000,IF(D5="G06",1000,IF(D5="P06",1000,IF(D5="OTP06-01",1000,IF(D5="G08",1000,IF(D5="P08",1000,IF(D5="OTP06-01",1000,IF(D5="G09",1000,IF(D5="P09",1000,IF(D5="H57",1000,IF(D5="P57",1000,IF(D5="H64",1000,IF(D5="H59",1000,IF(D5="P59",1000,IF(D5="H61",1000,IF(D5="P61",1000)))))))))))))))))))))))))))))))))))))))))))))))))</f>
        <v>1000</v>
      </c>
    </row>
    <row r="11" spans="1:27" ht="24.6" x14ac:dyDescent="0.4">
      <c r="A11" s="8"/>
      <c r="B11" s="37" t="s">
        <v>18</v>
      </c>
      <c r="C11" s="20" t="s">
        <v>19</v>
      </c>
      <c r="D11" s="203">
        <f>IF(C11="YES",O17,IF(C11="NO",0))</f>
        <v>2700</v>
      </c>
      <c r="E11" s="39"/>
      <c r="F11" s="40"/>
      <c r="G11" s="40"/>
      <c r="H11" s="33"/>
      <c r="I11" s="33"/>
      <c r="J11" s="44" t="s">
        <v>76</v>
      </c>
      <c r="K11" s="44">
        <f>H8-K10</f>
        <v>25330.775974999997</v>
      </c>
      <c r="L11" s="37"/>
      <c r="M11" s="37"/>
      <c r="N11" s="38"/>
      <c r="O11" s="147">
        <f>IF(D5="XC",6100,IF(D5="XPML",6100,IF(D5="XPHL",6100,IF(D5="XPMLP",6100,IF(D5="XPMLP-01",6100,IF(D5="Xpander P",6100,IF(D5="ML",6600,IF(D5="HL",6600,IF(D5="PR",6600,IF(D5="MLP",6600,IF(D5="HLP",6600,IF(D5="PRP",6600,IF(D5="H57",5900,IF(D5="P57",5900,IF(D5="H64",5900,IF(D5="H59",5900,IF(D5="P59",5900,IF(D5="H61",5900,IF(D5="P61",5900,IF(D5="G03",6700,IF(D5="G10",6700,IF(D5="P10",6700,IF(D5="G12",6700,IF(D5="P12",6700,IF(D5="G05",6700,IF(D5="P05",6700,IF(D5="P03",6700,IF(D5="G06",6700,IF(D5="P06",6700,IF(D5="OTP06-01",6700,IF(D5="G08",6700,IF(D5="G09",6700,IF(D5="G08",6700,IF(D5="P08",6700,IF(D5="P09",6700,IF(D5="H37",6400,IF(D5="H38",6400,IF(D5="EH40",6400,IF(D5="EH43",6400,IF(D5="H48",6600,IF(D5="H43",6600,IF(D5="H40",6600,IF(D5="H42",6600,IF(D5="H44",6600,IF(D5="H45",6600,IF(D5="ASX HL 4WD",6600,IF(D5="H16",5400,IF(D5="H17",5400,IF(D5="P16",5400,IF(D5="Attrage S",5400,IF(D5="MIG09",5400,IF(D5="MIG10",5400,IF(D5="Xpander HL",6000)))))))))))))))))))))))))))))))))))))))))))))))))))))</f>
        <v>6700</v>
      </c>
      <c r="P11" s="147"/>
      <c r="Q11" s="147"/>
      <c r="R11" s="147"/>
      <c r="S11" s="147"/>
      <c r="T11" s="147"/>
      <c r="U11" s="147">
        <f>IF(D5="XC",4900,IF(D5="XPML",4900,IF(D5="XPHL",4900,IF(D5="XPMLP",4900,IF(D5="XPMLP-01",4900,IF(D5="Xpander P",4900,IF(D5="ML",5400,IF(D5="HL",5400,IF(D5="PR",5400,IF(D5="MLP",5400,IF(D5="HLP",5400,IF(D5="PRP",5400,IF(D5="H57",4600,IF(D5="P57",4600,IF(D5="MOG64",4600,IF(D5="H59",4600,IF(D5="P59",4600,IF(D5="H61",4600,IF(D5="P61",4600,IF(D5="G03",5500,IF(D5="P03",5500,IF(D5="G10",5500,IF(D5="P10",5500,IF(D5="G12",5500,IF(D5="P12",5500,IF(D5="G05",5500,IF(D5="P05",5500,IF(D5="G06",5500,IF(D5="P06",5500,IF(D5="OTP06-01",5500,IF(D5="F08",5500,IF(D5="P08",5500,IF(D5="G09",5500,IF(D5="P09",5500,IF(D5="H38",5200,IF(D5="H37",5200,IF(D5="EH40",5200,IF(D5="EH43",5200,IF(D5="H48",5300,IF(D5="H43",5300,IF(D5="H40",5300,IF(D5="H42",5300,IF(D5="H44",5300,IF(D5="H45",5300,IF(D5="ASX HL",5300,IF(D5="ASX P",5300,IF(D5="ASX HL 4WD",5300,IF(D5="H16",4200,IF(D5="H17",4200,IF(D5="P16",4200,IF(D5="Attrage S",4200,IF(D5="MIG09",4200,IF(D5="MIG10",4200,IF(D5="Xpander HL",4900))))))))))))))))))))))))))))))))))))))))))))))))))))))</f>
        <v>5500</v>
      </c>
      <c r="V11" s="147">
        <f>IF(D5="XC",9700,IF(D5="XPML",9700,IF(D5="XPHL",9700,IF(D5="XPMLP",9700,IF(D5="XPMLP-01",9700,IF(D5="XPMLP-01",9700,IF(D5="Xpander P",9700,IF(D5="ML",10800,IF(D5="HL",10800,IF(D5="PR",10800,IF(D5="MLP",10800,IF(D5="HLP",10800,IF(D5="PRP",10800,IF(D5="H57",9300,IF(D5="P57",9300,IF(D5="MG64",9300,IF(D5="H59",9300,IF(D5="P59",9300,IF(D5="H61",9300,IF(D5="P61",9300,IF(D5="G03",11000,IF(D5="G10",11000,IF(D5="P10",11000,IF(D5="G12",11000,IF(D5="P12",11000,IF(D5="G05",11000,IF(D5="P05",11000,IF(D5="P03",11000,IF(D5="G06",11000,IF(D5="P06",11000,IF(D5="OTP06-01",11000,IF(D5="G08",11000,IF(D5="P08",11000,IF(D5="G09",11000,IF(D5="P09",11000,IF(D5="H38",10400,IF(D5="H37",10400,IF(D5="EH40",10400,IF(D5="EH43",10400,IF(D5="H48",10700,IF(D5="H43",10700,IF(D5="H40",10700,IF(D5="H42",10700,IF(D5="H44",10800,IF(D5="H45",10800,IF(D5="ASX HL",12200,IF(D5="ASX P",12200,IF(D5="ASX HL 4WD",12200,IF(D5="H16",8500,IF(D5="H17",8500,IF(D5="P16",8500,IF(D5="Attrage S",9600,IF(D5="MIG09",8500,IF(D5="MIG10",8500,IF(D5="Xpander HL",11300)))))))))))))))))))))))))))))))))))))))))))))))))))))))</f>
        <v>11000</v>
      </c>
      <c r="W11" s="147">
        <f>IF(D5="XC",9200,IF(D5="XPML",9200,IF(D5="XPHL",9200,IF(D5="XPMLP",9200,IF(D5="XPMLP-01",9200,IF(D5="Xpander P",9200,IF(D5="ML",10000,IF(D5="HL",10000,IF(D5="PR",10000,IF(D5="MLP",10000,IF(D5="HLP",10000,IF(D5="PRP",10000,IF(D5="H57",8700,IF(D5="P57",8700,IF(D5="H64",8700,IF(D5="H59",8700,IF(D5="P59",8700,IF(D5="H61",8700,IF(D5="P61",8700,IF(D5="G03",10400,IF(D5="P03",10400,IF(D5="G10",10400,IF(D5="P10",10400,IF(D5="G12",10400,IF(D5="P12",10400,IF(D5="G05",10400,IF(D5="P05",10400,IF(D5="G06",10400,IF(D5="P06",10400,IF(D5="OTP06-01",10400,IF(D5="G08",10400,IF(D5="P08",10400,IF(D5="G09",10400,IF(D5="P09",10400,IF(D5="H38",9800,IF(D5="H37",9800,IF(D5="EH40",9800,IF(D5="EH43",9800,IF(D5="H48",10100,IF(D5="H43",10100,IF(D5="H40",10100,IF(D5="H42",10100,IF(D5="H44",10100,IF(D5="H45",10100,IF(D5="ASX HL",10100,IF(D5="ASX P",10100,IF(D5="ASX HL 4WD",10100,IF(D5="H16",7900,IF(D5="H17",7900,IF(D5="P16",7900,IF(D5="Attrage S",7900,IF(D5="MIG09",7900,IF(D5="MIG10",7900,IF(D5="Xpander HL",9200))))))))))))))))))))))))))))))))))))))))))))))))))))))</f>
        <v>10400</v>
      </c>
      <c r="X11" s="147">
        <f>IF(D5="XC",4500,IF(D5="XPML",4500,IF(D5="XPHL",4500,IF(D5="XPMLP",4500,IF(D5="XPMLP-01",4500,IF(D5="Xpander P",4500,IF(D5="ML",5000,IF(D5="HL",5000,IF(D5="PR",5000,IF(D5="MLP",5000,IF(D5="HLP",5000,IF(D5="PRP",5000,IF(D5="H57",8700,IF(D5="P57",8700,IF(D5="MOG64",4300,IF(D5="H59",4300,IF(D5="P59",4300,IF(D5="H61",4300,IF(D5="P61",4300,IF(D5="G03",5000,IF(D5="P03",5000,IF(D5="G10",5000,IF(D5="P10",5000,IF(D5="G12",5000,IF(D5="P12",5000,IF(D5="G05",5000,IF(D5="P05",5000,IF(D5="G06",5000,IF(D5="P06",5000,IF(D5="OTP06-01",5000,IF(D5="G08",5000,IF(D5="P08",5000,IF(D5="G09",5000,IF(D5="P09",5000,IF(D5="H38",4900,IF(D5="H37",4900,IF(D5="EH40",4900,IF(D5="EH43",4900,IF(D5="H48",4900,IF(D5="H43",4900,IF(D5="H40",4900,IF(D5="H42",4900,IF(D5="H44",4900,IF(D5="H45",4900,IF(D5="ASX HL",4900,IF(D5="ASX P",4900,IF(D5="ASX HL 4WD",4900,IF(D5="H16",3700,IF(D5="H17",3700,IF(D5="P16",3700,IF(D5="Attrage S",3700,IF(D5="MIG09",3700,IF(D5="MIG10",3700,IF(D5="Xpander HL",4500))))))))))))))))))))))))))))))))))))))))))))))))))))))</f>
        <v>5000</v>
      </c>
      <c r="Y11" s="147">
        <f>IF(D5="XC",5400,IF(D5="XPML ",5400,IF(D5="XPHL",5400,IF(D5="XPMLP",5400,IF(D5="XPMLP-01",5400,IF(D5="Xpander P",5400,IF(D5="ML",6000,IF(D5="HL",6000,IF(D5="PR",6000,IF(D5="MLP",6000,IF(D5="HLP",6000,IF(D5="PRP",6000,IF(D5="H57",5200,IF(D5="57",5200,IF(D5="H64",5200,IF(D5="H59",5200,IF(D5="P59",5200,IF(D5="H61",5200,IF(D5="P61",5200,IF(D5="G03",6000,IF(D5="P03",6000,IF(D5="G10",6000,IF(D5="P10",6000,IF(D5="G12",6000,IF(D5="P12",6000,IF(D5="G05",6000,IF(D5="P05",6000,IF(D5="G06",6000,IF(D5="P06",6000,IF(D5="OTP06-01",6000,IF(D5="G08",6000,IF(D5="P08",6000,IF(D5="G09",6000,IF(D5="P09",6000,IF(D5="H38",5700,IF(D5="H37",5700,IF(D5="EH40",5700,IF(D5="EH43",5700,IF(D5="H48",5900,IF(D5="H43",5900,IF(D5="H40",5900,IF(D5="H42",5900,IF(D5="H44",5900,IF(D5="H45",5900,IF(D5="ASX HL",5900,IF(D5="ASX P",5900,IF(D5="ASX HL 4WD",5900,IF(D5="H16",4500,IF(D5="H17",4500,IF(D5="P16",4500,IF(D5="Attrage S",4500,IF(D5="MIG09",4500,IF(D5="MIG10",4500,IF(D5="Xpander HL",5400))))))))))))))))))))))))))))))))))))))))))))))))))))))</f>
        <v>6000</v>
      </c>
    </row>
    <row r="12" spans="1:27" ht="24.6" x14ac:dyDescent="0.4">
      <c r="A12" s="8"/>
      <c r="B12" s="37" t="s">
        <v>20</v>
      </c>
      <c r="C12" s="20" t="s">
        <v>17</v>
      </c>
      <c r="D12" s="36">
        <f>IF(C12="YES",2000,IF(C12="NO",0))</f>
        <v>0</v>
      </c>
      <c r="E12" s="43"/>
      <c r="F12" s="43" t="s">
        <v>21</v>
      </c>
      <c r="G12" s="40"/>
      <c r="H12" s="33">
        <v>600</v>
      </c>
      <c r="I12" s="33"/>
      <c r="J12" s="202" t="s">
        <v>140</v>
      </c>
      <c r="K12" s="45">
        <v>0</v>
      </c>
      <c r="L12" s="45">
        <v>5.2499999999999998E-2</v>
      </c>
      <c r="M12" s="45">
        <v>0.126</v>
      </c>
      <c r="N12" s="201">
        <v>0.26250000000000001</v>
      </c>
      <c r="O12" s="147">
        <f>IF(K20="Esaad",B8*3/100,IF(K20="Emirates Platinum",B8*3/100,IF(K20="Fazaa",B8*3/100,IF(K20="Humat Alwatan",B8*3/100,IF(K20="Permissible",2000,IF(K20="ASX",8400,IF(K20="XPMLP",15100,IF(K20="XP",7200,IF(K20="G43",11000,IF(K20="EC",17000,IF(K20="G37",17000,IF(K20="G38",15000,IF(K20="G40",11000,IF(K20="OUT",3000,IF(K20="F08",14400,IF(K20="P08",11100,IF(K20="F06",13100,IF(K20="P06",13400,IF(K20="F03",3500,IF(K20="F03-1",13500,IF(K20="P03",13100,IF(K20="MON",10000,IF(K20="MON G57",9000,0)))))))))))))))))))))))</f>
        <v>2000</v>
      </c>
      <c r="Z12" s="86" t="s">
        <v>83</v>
      </c>
      <c r="AA12" s="86" t="s">
        <v>84</v>
      </c>
    </row>
    <row r="13" spans="1:27" ht="24.6" x14ac:dyDescent="0.4">
      <c r="A13" s="8">
        <f>B8*1.26582</f>
        <v>134050.33799999999</v>
      </c>
      <c r="B13" s="37" t="s">
        <v>23</v>
      </c>
      <c r="C13" s="20" t="s">
        <v>19</v>
      </c>
      <c r="D13" s="36">
        <f>IF(C13="YES",2000,IF(C13="NO",0))</f>
        <v>2000</v>
      </c>
      <c r="E13" s="47"/>
      <c r="F13" s="47" t="s">
        <v>75</v>
      </c>
      <c r="G13" s="51"/>
      <c r="H13" s="39">
        <v>315</v>
      </c>
      <c r="I13" s="33"/>
      <c r="J13" s="44" t="s">
        <v>54</v>
      </c>
      <c r="K13" s="29" t="s">
        <v>79</v>
      </c>
      <c r="L13" s="29" t="s">
        <v>25</v>
      </c>
      <c r="M13" s="29" t="s">
        <v>0</v>
      </c>
      <c r="N13" s="57" t="s">
        <v>26</v>
      </c>
      <c r="O13" s="9">
        <f>IF(M21="3000-4999",6%,IF(M21="5000-9999",4.75%,IF(M21="10000-14999",3.15%,IF(M21="15000-24999",2.5%,IF(M21="25000-34999",2.25%,IF(M21="35000-99999",2.15%))))))</f>
        <v>4.7500000000000001E-2</v>
      </c>
      <c r="Q13" s="2">
        <f>H7/12</f>
        <v>2194.2313312499996</v>
      </c>
      <c r="U13" s="9">
        <f>IF(M21="3000-4999",6%,IF(M21="5000-9999",3.25%,IF(M21="10000-14999",3%,IF(M21="15000-24999",2.25%,IF(M21="25000-34999",2.15%,IF(M21="35000-99999",1.99%))))))</f>
        <v>3.2500000000000001E-2</v>
      </c>
      <c r="Z13" s="99">
        <f>IF(M21="5000-9999",2.49%,IF(M21="10000-19999",2.19%,IF(M21="20000-34999",2.09%,IF(M21="35000-49999",1.89%,IF(M21="50000-99999",1.79%)))))</f>
        <v>2.4900000000000002E-2</v>
      </c>
      <c r="AA13" s="99">
        <f>IF(M21="5000-9999",2.59%,IF(M21="10000-19999",2.29%,IF(M21="20000-34999",2.19%,IF(M21="35000-49999",1.99%,IF(M21="50000-99999",1.89%)))))</f>
        <v>2.5899999999999999E-2</v>
      </c>
    </row>
    <row r="14" spans="1:27" ht="24.6" x14ac:dyDescent="0.4">
      <c r="A14" s="10" t="s">
        <v>27</v>
      </c>
      <c r="B14" s="37" t="s">
        <v>24</v>
      </c>
      <c r="C14" s="20" t="s">
        <v>19</v>
      </c>
      <c r="D14" s="50">
        <f>IF(C14="YES",U19*3.15*1.05/100,IF(C14="NO",U19*0/100))</f>
        <v>4073.6823749999999</v>
      </c>
      <c r="E14" s="48"/>
      <c r="F14" s="48" t="s">
        <v>24</v>
      </c>
      <c r="G14" s="51" t="s">
        <v>17</v>
      </c>
      <c r="H14" s="39">
        <f>IF(G14="YES",U19*3.15*1.05/100,IF(G14="NO",U19*0/100))</f>
        <v>0</v>
      </c>
      <c r="I14" s="33"/>
      <c r="J14" s="44" t="s">
        <v>55</v>
      </c>
      <c r="K14" s="44">
        <f>(H8*K12+H8)/3</f>
        <v>8776.9253249999983</v>
      </c>
      <c r="L14" s="44">
        <f>(H8*L12+H8)/12</f>
        <v>2309.4284761406248</v>
      </c>
      <c r="M14" s="44">
        <f>(H8*M12+H8)/24</f>
        <v>1235.3522394937497</v>
      </c>
      <c r="N14" s="200">
        <f>(H7*N12+H7)/60</f>
        <v>554.04341114062493</v>
      </c>
      <c r="O14" s="9">
        <f>IF(M21="3000-4999",3.89%,IF(M21="5000-9999",3.89%,IF(M21="10000-14999",3.89%,IF(M21="15000-24999",2.69%,IF(M21="25000-34999",2.69%,IF(M21="35000-99999",2.39%,IF(M21="76000-99999",2.5%)))))))</f>
        <v>3.8900000000000004E-2</v>
      </c>
    </row>
    <row r="15" spans="1:27" ht="24.6" x14ac:dyDescent="0.4">
      <c r="A15" s="11">
        <f>(B7*3%)+10+120</f>
        <v>3307</v>
      </c>
      <c r="B15" s="37" t="s">
        <v>28</v>
      </c>
      <c r="C15" s="20" t="s">
        <v>19</v>
      </c>
      <c r="D15" s="29">
        <f>IF(C15="YES",O10,IF(C15="NO",0))</f>
        <v>4415.1975000000002</v>
      </c>
      <c r="E15" s="48"/>
      <c r="F15" s="48" t="s">
        <v>53</v>
      </c>
      <c r="G15" s="51" t="s">
        <v>17</v>
      </c>
      <c r="H15" s="39">
        <f>IF(G15="YES",O10,IF(G15="NO",0))</f>
        <v>0</v>
      </c>
      <c r="I15" s="33"/>
      <c r="J15" s="44"/>
      <c r="K15" s="44"/>
      <c r="L15" s="44"/>
      <c r="M15" s="44"/>
      <c r="N15" s="198"/>
      <c r="O15" s="9" t="b">
        <f>IF(M21="3000-4999",4.99%, IF(M21="5000-11999",2.75%,IF(M21="12000-19999",2.75%,IF(M21="20000-39999",2.25%,IF(M21="40000-69999",2.25%,IF(M21="70000-99999",2.25%))))))</f>
        <v>0</v>
      </c>
      <c r="P15" s="191"/>
    </row>
    <row r="16" spans="1:27" ht="24.6" x14ac:dyDescent="0.4">
      <c r="A16" s="11">
        <f>((B7-B8)*3%+10+120)</f>
        <v>130</v>
      </c>
      <c r="B16" s="37" t="s">
        <v>78</v>
      </c>
      <c r="C16" s="20" t="s">
        <v>19</v>
      </c>
      <c r="D16" s="29">
        <f>IF(C16="YES",O16,IF(C16="NO",0))</f>
        <v>6700</v>
      </c>
      <c r="E16" s="47"/>
      <c r="F16" s="47" t="s">
        <v>74</v>
      </c>
      <c r="G16" s="54"/>
      <c r="H16" s="33">
        <f>I7*1.05%</f>
        <v>1105.8925909499999</v>
      </c>
      <c r="I16" s="33"/>
      <c r="J16" s="44" t="s">
        <v>16</v>
      </c>
      <c r="K16" s="44">
        <f>(K14*3)-H8</f>
        <v>0</v>
      </c>
      <c r="L16" s="44">
        <f>(L14*12)-H8</f>
        <v>1382.3657386874984</v>
      </c>
      <c r="M16" s="44">
        <f>(M14*24)-H8</f>
        <v>3317.6777728499947</v>
      </c>
      <c r="N16" s="198"/>
      <c r="O16" s="147">
        <f>IF(B16="RMC-10-70KMS",O11,IF(B16="RMC-10-100000KMS",V11,IF(B16="RMC-40-70KMS",U11, IF(B16="RMC-10-40KMS",X11, IF(B16="RMC-10-60KMS",Y11, IF(B16="RMC-40-100000KMS",W11,0))))))</f>
        <v>6700</v>
      </c>
    </row>
    <row r="17" spans="1:23" ht="24.6" x14ac:dyDescent="0.4">
      <c r="A17" s="11">
        <f>A15+A16</f>
        <v>3437</v>
      </c>
      <c r="B17" s="37"/>
      <c r="C17" s="20"/>
      <c r="D17" s="29">
        <f>SUM(D10:D16)</f>
        <v>19888.879874999999</v>
      </c>
      <c r="E17" s="48"/>
      <c r="F17" s="48"/>
      <c r="G17" s="54"/>
      <c r="H17" s="33">
        <f>+SUM(H12:H16)+(H7)</f>
        <v>28351.668565949996</v>
      </c>
      <c r="I17" s="33"/>
      <c r="J17" s="20"/>
      <c r="K17" s="199"/>
      <c r="L17" s="199"/>
      <c r="M17" s="199"/>
      <c r="N17" s="198"/>
      <c r="O17" s="147">
        <f>IF(B11="FO Ceramic+ Intr&amp;Extr CeramicGold WdwTnt",2700,IF(B11="FO Mirror Camera Sensor",2000))</f>
        <v>2700</v>
      </c>
      <c r="T17" s="1">
        <f>19615-791</f>
        <v>18824</v>
      </c>
    </row>
    <row r="18" spans="1:23" ht="24.6" x14ac:dyDescent="0.4">
      <c r="A18" s="12" t="s">
        <v>29</v>
      </c>
      <c r="B18" s="55" t="s">
        <v>30</v>
      </c>
      <c r="C18" s="197"/>
      <c r="D18" s="57">
        <v>0</v>
      </c>
      <c r="E18" s="38"/>
      <c r="F18" s="20"/>
      <c r="G18" s="20"/>
      <c r="H18" s="37"/>
      <c r="I18" s="37"/>
      <c r="J18" s="37"/>
      <c r="K18" s="37"/>
      <c r="L18" s="37"/>
      <c r="M18" s="37"/>
      <c r="N18" s="37"/>
      <c r="O18" s="9" t="b">
        <f>IF(M21="5000-99999",1.99%)</f>
        <v>0</v>
      </c>
      <c r="U18" s="196" t="s">
        <v>52</v>
      </c>
      <c r="V18" s="196" t="s">
        <v>52</v>
      </c>
    </row>
    <row r="19" spans="1:23" ht="24.6" x14ac:dyDescent="0.4">
      <c r="A19" s="11">
        <f>B8*3.15%</f>
        <v>3335.85</v>
      </c>
      <c r="B19" s="58" t="s">
        <v>31</v>
      </c>
      <c r="C19" s="59"/>
      <c r="D19" s="60">
        <f>IF(K21="DIB EXPAT",O13,IF(K21="DIB LOCAL GVH",U13,IF(K21="Emirates NBD",O14,IF(K21="ADCB",O15,IF(K21="ADCB PAY IN 2027",O19,IF(K21="Ajman Bank",O18,IF(K21="SIB STL",Z13,IF(K21="SIB NON STL",AA13,))))))))</f>
        <v>3.8900000000000004E-2</v>
      </c>
      <c r="E19" s="20"/>
      <c r="F19" s="195"/>
      <c r="G19" s="141" t="s">
        <v>73</v>
      </c>
      <c r="H19" s="142"/>
      <c r="I19" s="143"/>
      <c r="J19" s="109">
        <f>(U19*20/100)/365</f>
        <v>67.487671232876707</v>
      </c>
      <c r="K19" s="37"/>
      <c r="L19" s="37"/>
      <c r="M19" s="37"/>
      <c r="N19" s="34">
        <f>D7</f>
        <v>111195</v>
      </c>
      <c r="O19" s="194" t="b">
        <f>IF(M21="5000-11999",3.35%,IF(M21="12000-19999",3.35%,IF(M21="20000-39999",2.85%,IF(M21="40000-69999",2.85%,IF(M21="70000-99999",2.85%)))))</f>
        <v>0</v>
      </c>
      <c r="P19" s="2">
        <f>81400-2500</f>
        <v>78900</v>
      </c>
      <c r="U19" s="193">
        <f>V19</f>
        <v>123165</v>
      </c>
      <c r="V19" s="192">
        <f>(B7+D10+D11+D12+D13+D16)*1.05</f>
        <v>123165</v>
      </c>
    </row>
    <row r="20" spans="1:23" ht="24.6" x14ac:dyDescent="0.4">
      <c r="A20" s="11"/>
      <c r="B20" s="58" t="s">
        <v>32</v>
      </c>
      <c r="C20" s="59"/>
      <c r="D20" s="63">
        <v>0.2</v>
      </c>
      <c r="E20" s="37"/>
      <c r="F20" s="37"/>
      <c r="G20" s="38"/>
      <c r="H20" s="38"/>
      <c r="I20" s="38"/>
      <c r="J20" s="103"/>
      <c r="K20" s="104" t="s">
        <v>33</v>
      </c>
      <c r="L20" s="104" t="s">
        <v>17</v>
      </c>
      <c r="M20" s="104">
        <f>IF(L20="YES",O12,IF(L20="NO",0))</f>
        <v>0</v>
      </c>
      <c r="N20" s="34">
        <f>B8-M20</f>
        <v>105900</v>
      </c>
      <c r="O20" s="187"/>
      <c r="P20" s="191"/>
      <c r="T20" s="1">
        <f>1992+1084</f>
        <v>3076</v>
      </c>
      <c r="U20" s="186"/>
      <c r="V20" s="2"/>
    </row>
    <row r="21" spans="1:23" ht="24.6" x14ac:dyDescent="0.4">
      <c r="A21" s="13">
        <f>A19+A20</f>
        <v>3335.85</v>
      </c>
      <c r="B21" s="37"/>
      <c r="C21" s="20"/>
      <c r="D21" s="37"/>
      <c r="E21" s="37"/>
      <c r="F21" s="37"/>
      <c r="G21" s="37"/>
      <c r="H21" s="37"/>
      <c r="I21" s="37"/>
      <c r="J21" s="190" t="s">
        <v>34</v>
      </c>
      <c r="K21" s="16" t="s">
        <v>139</v>
      </c>
      <c r="L21" s="16" t="s">
        <v>35</v>
      </c>
      <c r="M21" s="189" t="s">
        <v>80</v>
      </c>
      <c r="N21" s="188"/>
      <c r="O21" s="187"/>
      <c r="T21" s="1">
        <f>25973-12973</f>
        <v>13000</v>
      </c>
      <c r="U21" s="186">
        <f>M14+N7</f>
        <v>3332.1596996362496</v>
      </c>
    </row>
    <row r="22" spans="1:23" s="179" customFormat="1" ht="24.6" x14ac:dyDescent="0.4">
      <c r="A22" s="185"/>
      <c r="B22" s="184" t="s">
        <v>51</v>
      </c>
      <c r="C22" s="183"/>
      <c r="D22" s="183"/>
      <c r="E22" s="183"/>
      <c r="F22" s="183"/>
      <c r="G22" s="183"/>
      <c r="H22" s="183"/>
      <c r="I22" s="183"/>
      <c r="J22" s="183"/>
      <c r="K22" s="183"/>
      <c r="L22" s="183"/>
      <c r="M22" s="183"/>
      <c r="N22" s="182"/>
      <c r="O22" s="181"/>
      <c r="P22" s="180"/>
    </row>
    <row r="23" spans="1:23" s="168" customFormat="1" ht="26.4" x14ac:dyDescent="0.5">
      <c r="A23" s="175" t="s">
        <v>36</v>
      </c>
      <c r="B23" s="172" t="s">
        <v>138</v>
      </c>
      <c r="C23" s="169"/>
      <c r="D23" s="169"/>
      <c r="E23" s="169"/>
      <c r="F23" s="169"/>
      <c r="G23" s="169"/>
      <c r="H23" s="176"/>
      <c r="I23" s="176"/>
      <c r="J23" s="169"/>
      <c r="K23" s="169"/>
      <c r="L23" s="169"/>
      <c r="M23" s="169"/>
      <c r="N23" s="178"/>
      <c r="O23" s="170"/>
      <c r="P23" s="169"/>
    </row>
    <row r="24" spans="1:23" s="168" customFormat="1" ht="26.4" x14ac:dyDescent="0.5">
      <c r="A24" s="175" t="s">
        <v>36</v>
      </c>
      <c r="B24" s="172" t="s">
        <v>137</v>
      </c>
      <c r="C24" s="169"/>
      <c r="D24" s="169"/>
      <c r="E24" s="169"/>
      <c r="F24" s="169"/>
      <c r="G24" s="169"/>
      <c r="H24" s="177">
        <f>H7/365</f>
        <v>72.139112260273961</v>
      </c>
      <c r="I24" s="177">
        <f>H7+H12+H16</f>
        <v>28036.668565949996</v>
      </c>
      <c r="J24" s="169"/>
      <c r="K24" s="169"/>
      <c r="L24" s="169"/>
      <c r="M24" s="169"/>
      <c r="N24" s="173"/>
      <c r="O24" s="170"/>
      <c r="P24" s="169">
        <f>1232+480</f>
        <v>1712</v>
      </c>
      <c r="T24" s="168">
        <f>88704/1.05</f>
        <v>84480</v>
      </c>
    </row>
    <row r="25" spans="1:23" s="168" customFormat="1" ht="26.4" x14ac:dyDescent="0.5">
      <c r="A25" s="175" t="s">
        <v>36</v>
      </c>
      <c r="B25" s="172" t="s">
        <v>136</v>
      </c>
      <c r="C25" s="169"/>
      <c r="D25" s="169"/>
      <c r="E25" s="169"/>
      <c r="F25" s="169"/>
      <c r="G25" s="169"/>
      <c r="H25" s="176"/>
      <c r="I25" s="176"/>
      <c r="J25" s="169"/>
      <c r="K25" s="169"/>
      <c r="L25" s="169"/>
      <c r="M25" s="169"/>
      <c r="N25" s="173"/>
      <c r="O25" s="170"/>
      <c r="P25" s="169"/>
      <c r="Q25" s="168">
        <f>79400-5233.33</f>
        <v>74166.67</v>
      </c>
      <c r="R25" s="168">
        <f>Q25*1.05</f>
        <v>77875.003500000006</v>
      </c>
      <c r="W25" s="168">
        <f>1999+1224</f>
        <v>3223</v>
      </c>
    </row>
    <row r="26" spans="1:23" s="168" customFormat="1" ht="26.4" x14ac:dyDescent="0.5">
      <c r="A26" s="175" t="s">
        <v>36</v>
      </c>
      <c r="B26" s="172" t="s">
        <v>135</v>
      </c>
      <c r="C26" s="169"/>
      <c r="D26" s="169"/>
      <c r="E26" s="169"/>
      <c r="F26" s="169"/>
      <c r="G26" s="169"/>
      <c r="H26" s="169"/>
      <c r="I26" s="169"/>
      <c r="J26" s="169"/>
      <c r="K26" s="169"/>
      <c r="L26" s="169"/>
      <c r="M26" s="169"/>
      <c r="N26" s="173"/>
      <c r="O26" s="170" t="s">
        <v>37</v>
      </c>
      <c r="P26" s="169"/>
      <c r="R26" s="168">
        <f>R25+2469</f>
        <v>80344.003500000006</v>
      </c>
    </row>
    <row r="27" spans="1:23" s="168" customFormat="1" ht="26.4" x14ac:dyDescent="0.5">
      <c r="A27" s="175" t="s">
        <v>36</v>
      </c>
      <c r="B27" s="172" t="s">
        <v>134</v>
      </c>
      <c r="C27" s="169"/>
      <c r="D27" s="169"/>
      <c r="E27" s="169"/>
      <c r="F27" s="169"/>
      <c r="G27" s="169"/>
      <c r="H27" s="169"/>
      <c r="I27" s="169"/>
      <c r="J27" s="169"/>
      <c r="K27" s="169"/>
      <c r="L27" s="169"/>
      <c r="M27" s="169"/>
      <c r="N27" s="173"/>
      <c r="O27" s="170">
        <f>129500-110900</f>
        <v>18600</v>
      </c>
      <c r="P27" s="169"/>
      <c r="W27" s="174">
        <f>N7+L14</f>
        <v>4406.2359362831248</v>
      </c>
    </row>
    <row r="28" spans="1:23" s="168" customFormat="1" ht="26.4" x14ac:dyDescent="0.5">
      <c r="B28" s="172" t="s">
        <v>133</v>
      </c>
      <c r="C28" s="169"/>
      <c r="D28" s="169"/>
      <c r="E28" s="169"/>
      <c r="F28" s="169"/>
      <c r="G28" s="169"/>
      <c r="H28" s="169"/>
      <c r="I28" s="169"/>
      <c r="J28" s="169"/>
      <c r="K28" s="169"/>
      <c r="L28" s="169"/>
      <c r="M28" s="169"/>
      <c r="N28" s="173"/>
      <c r="O28" s="170">
        <f>85000-69900</f>
        <v>15100</v>
      </c>
      <c r="P28" s="169"/>
    </row>
    <row r="29" spans="1:23" s="168" customFormat="1" ht="26.4" x14ac:dyDescent="0.5">
      <c r="B29" s="172" t="s">
        <v>132</v>
      </c>
      <c r="C29" s="169"/>
      <c r="D29" s="169"/>
      <c r="E29" s="169"/>
      <c r="F29" s="169"/>
      <c r="G29" s="169"/>
      <c r="H29" s="169"/>
      <c r="I29" s="169"/>
      <c r="J29" s="169"/>
      <c r="K29" s="169"/>
      <c r="L29" s="169"/>
      <c r="M29" s="169"/>
      <c r="N29" s="171"/>
      <c r="O29" s="170"/>
      <c r="P29" s="169"/>
    </row>
    <row r="30" spans="1:23" x14ac:dyDescent="0.3">
      <c r="B30" s="167" t="s">
        <v>38</v>
      </c>
      <c r="C30" s="166"/>
      <c r="D30" s="166"/>
      <c r="E30" s="166"/>
      <c r="F30" s="166"/>
      <c r="G30" s="166"/>
      <c r="H30" s="166"/>
      <c r="I30" s="166"/>
      <c r="J30" s="166"/>
      <c r="K30" s="166"/>
      <c r="L30" s="166"/>
      <c r="M30" s="166"/>
      <c r="N30" s="165"/>
      <c r="O30" s="147"/>
    </row>
    <row r="31" spans="1:23" x14ac:dyDescent="0.3">
      <c r="B31" s="146"/>
      <c r="C31" s="145"/>
      <c r="D31" s="145"/>
      <c r="E31" s="145"/>
      <c r="F31" s="145"/>
      <c r="G31" s="145"/>
      <c r="H31" s="145"/>
      <c r="I31" s="145"/>
      <c r="J31" s="145"/>
      <c r="K31" s="145"/>
      <c r="L31" s="145"/>
      <c r="M31" s="145"/>
      <c r="N31" s="144"/>
      <c r="O31" s="147"/>
    </row>
    <row r="32" spans="1:23" s="86" customFormat="1" ht="20.399999999999999" x14ac:dyDescent="0.35">
      <c r="B32" s="118" t="s">
        <v>39</v>
      </c>
      <c r="C32" s="119"/>
      <c r="D32" s="119"/>
      <c r="E32" s="119"/>
      <c r="F32" s="119"/>
      <c r="G32" s="119"/>
      <c r="H32" s="119"/>
      <c r="I32" s="119"/>
      <c r="J32" s="119"/>
      <c r="K32" s="119"/>
      <c r="L32" s="119"/>
      <c r="M32" s="119"/>
      <c r="N32" s="120"/>
      <c r="O32" s="92"/>
      <c r="P32" s="83"/>
    </row>
    <row r="33" spans="2:16" s="86" customFormat="1" ht="20.399999999999999" x14ac:dyDescent="0.35">
      <c r="B33" s="118" t="s">
        <v>40</v>
      </c>
      <c r="C33" s="119"/>
      <c r="D33" s="119"/>
      <c r="E33" s="119"/>
      <c r="F33" s="119"/>
      <c r="G33" s="119"/>
      <c r="H33" s="119"/>
      <c r="I33" s="119"/>
      <c r="J33" s="119"/>
      <c r="K33" s="119"/>
      <c r="L33" s="119"/>
      <c r="M33" s="119"/>
      <c r="N33" s="120"/>
      <c r="O33" s="92"/>
      <c r="P33" s="83"/>
    </row>
    <row r="34" spans="2:16" s="86" customFormat="1" ht="20.399999999999999" x14ac:dyDescent="0.35">
      <c r="B34" s="107" t="s">
        <v>131</v>
      </c>
      <c r="C34" s="108"/>
      <c r="D34" s="108"/>
      <c r="E34" s="108"/>
      <c r="F34" s="108"/>
      <c r="G34" s="164" t="s">
        <v>130</v>
      </c>
      <c r="H34" s="164"/>
      <c r="I34" s="163"/>
      <c r="J34" s="163"/>
      <c r="K34" s="163"/>
      <c r="L34" s="163"/>
      <c r="M34" s="162" t="s">
        <v>129</v>
      </c>
      <c r="N34" s="161"/>
      <c r="O34" s="83"/>
      <c r="P34" s="83"/>
    </row>
    <row r="35" spans="2:16" x14ac:dyDescent="0.3">
      <c r="B35" s="160"/>
      <c r="C35" s="159"/>
      <c r="D35" s="159"/>
      <c r="E35" s="159"/>
      <c r="F35" s="159"/>
      <c r="G35" s="159"/>
      <c r="H35" s="159"/>
      <c r="I35" s="159"/>
      <c r="J35" s="159"/>
      <c r="K35" s="159"/>
      <c r="L35" s="159"/>
      <c r="M35" s="159"/>
      <c r="N35" s="158"/>
    </row>
    <row r="36" spans="2:16" x14ac:dyDescent="0.3">
      <c r="B36" s="160"/>
      <c r="C36" s="159"/>
      <c r="D36" s="159"/>
      <c r="E36" s="159"/>
      <c r="F36" s="159"/>
      <c r="G36" s="159"/>
      <c r="H36" s="159"/>
      <c r="I36" s="159"/>
      <c r="J36" s="159"/>
      <c r="K36" s="159"/>
      <c r="L36" s="159"/>
      <c r="M36" s="159"/>
      <c r="N36" s="158"/>
    </row>
    <row r="37" spans="2:16" x14ac:dyDescent="0.3">
      <c r="B37" s="160"/>
      <c r="C37" s="159"/>
      <c r="D37" s="159"/>
      <c r="E37" s="159"/>
      <c r="F37" s="159"/>
      <c r="G37" s="159"/>
      <c r="H37" s="159"/>
      <c r="I37" s="159"/>
      <c r="J37" s="159"/>
      <c r="K37" s="159"/>
      <c r="L37" s="159"/>
      <c r="M37" s="159"/>
      <c r="N37" s="158"/>
    </row>
    <row r="38" spans="2:16" ht="16.8" x14ac:dyDescent="0.3">
      <c r="B38" s="149" t="s">
        <v>128</v>
      </c>
      <c r="C38" s="157"/>
      <c r="D38" s="154"/>
      <c r="E38" s="151"/>
      <c r="F38" s="151"/>
      <c r="G38" s="151"/>
      <c r="H38" s="151"/>
      <c r="I38" s="151"/>
      <c r="J38" s="152"/>
      <c r="K38" s="151"/>
      <c r="L38" s="151"/>
      <c r="M38" s="151"/>
      <c r="N38" s="156"/>
    </row>
    <row r="39" spans="2:16" ht="16.8" x14ac:dyDescent="0.3">
      <c r="B39" s="149" t="s">
        <v>127</v>
      </c>
      <c r="C39" s="155"/>
      <c r="D39" s="154"/>
      <c r="E39" s="151"/>
      <c r="F39" s="151"/>
      <c r="G39" s="151"/>
      <c r="H39" s="151"/>
      <c r="I39" s="151"/>
      <c r="J39" s="152"/>
      <c r="K39" s="151"/>
      <c r="L39" s="151"/>
      <c r="M39" s="151"/>
      <c r="N39" s="150"/>
    </row>
    <row r="40" spans="2:16" ht="16.8" x14ac:dyDescent="0.3">
      <c r="B40" s="149" t="s">
        <v>126</v>
      </c>
      <c r="C40" s="153"/>
      <c r="D40" s="151"/>
      <c r="E40" s="151"/>
      <c r="F40" s="151"/>
      <c r="G40" s="151"/>
      <c r="H40" s="151"/>
      <c r="I40" s="151"/>
      <c r="J40" s="152"/>
      <c r="K40" s="151"/>
      <c r="L40" s="151"/>
      <c r="M40" s="151"/>
      <c r="N40" s="150"/>
    </row>
    <row r="41" spans="2:16" ht="16.8" x14ac:dyDescent="0.3">
      <c r="B41" s="149" t="s">
        <v>125</v>
      </c>
      <c r="N41" s="148"/>
    </row>
    <row r="42" spans="2:16" ht="16.8" x14ac:dyDescent="0.3">
      <c r="B42" s="149" t="s">
        <v>124</v>
      </c>
      <c r="N42" s="148"/>
    </row>
    <row r="43" spans="2:16" ht="16.8" x14ac:dyDescent="0.3">
      <c r="B43" s="149" t="s">
        <v>123</v>
      </c>
      <c r="N43" s="148"/>
    </row>
    <row r="44" spans="2:16" ht="16.8" x14ac:dyDescent="0.3">
      <c r="B44" s="149" t="s">
        <v>122</v>
      </c>
      <c r="N44" s="148"/>
    </row>
    <row r="45" spans="2:16" ht="16.8" x14ac:dyDescent="0.3">
      <c r="B45" s="149" t="s">
        <v>121</v>
      </c>
      <c r="N45" s="148"/>
    </row>
    <row r="46" spans="2:16" ht="16.8" x14ac:dyDescent="0.3">
      <c r="B46" s="149" t="s">
        <v>120</v>
      </c>
      <c r="N46" s="148"/>
    </row>
    <row r="47" spans="2:16" x14ac:dyDescent="0.3">
      <c r="B47" s="146" t="s">
        <v>39</v>
      </c>
      <c r="C47" s="145"/>
      <c r="D47" s="145"/>
      <c r="E47" s="145"/>
      <c r="F47" s="145"/>
      <c r="G47" s="145"/>
      <c r="H47" s="145"/>
      <c r="I47" s="145"/>
      <c r="J47" s="145"/>
      <c r="K47" s="145"/>
      <c r="L47" s="145"/>
      <c r="M47" s="145"/>
      <c r="N47" s="144"/>
      <c r="O47" s="147"/>
    </row>
    <row r="48" spans="2:16" x14ac:dyDescent="0.3">
      <c r="B48" s="146" t="s">
        <v>40</v>
      </c>
      <c r="C48" s="145"/>
      <c r="D48" s="145"/>
      <c r="E48" s="145"/>
      <c r="F48" s="145"/>
      <c r="G48" s="145"/>
      <c r="H48" s="145"/>
      <c r="I48" s="145"/>
      <c r="J48" s="145"/>
      <c r="K48" s="145"/>
      <c r="L48" s="145"/>
      <c r="M48" s="145"/>
      <c r="N48" s="144"/>
      <c r="O48" s="147"/>
    </row>
    <row r="49" spans="2:14" x14ac:dyDescent="0.3">
      <c r="B49" s="146" t="s">
        <v>119</v>
      </c>
      <c r="C49" s="145"/>
      <c r="D49" s="145"/>
      <c r="E49" s="145"/>
      <c r="F49" s="145"/>
      <c r="G49" s="145"/>
      <c r="H49" s="145"/>
      <c r="I49" s="145"/>
      <c r="J49" s="145"/>
      <c r="K49" s="145"/>
      <c r="L49" s="145"/>
      <c r="M49" s="145"/>
      <c r="N49" s="144"/>
    </row>
    <row r="50" spans="2:14" ht="25.8" x14ac:dyDescent="0.3">
      <c r="C50" s="15" t="s">
        <v>41</v>
      </c>
    </row>
    <row r="51" spans="2:14" ht="25.8" x14ac:dyDescent="0.3">
      <c r="C51" s="15" t="s">
        <v>42</v>
      </c>
    </row>
    <row r="52" spans="2:14" ht="25.8" x14ac:dyDescent="0.3">
      <c r="C52" s="15" t="s">
        <v>43</v>
      </c>
    </row>
    <row r="53" spans="2:14" ht="25.8" x14ac:dyDescent="0.3">
      <c r="C53" s="15" t="s">
        <v>44</v>
      </c>
    </row>
    <row r="54" spans="2:14" ht="25.8" x14ac:dyDescent="0.3">
      <c r="C54" s="15" t="s">
        <v>45</v>
      </c>
    </row>
  </sheetData>
  <dataConsolidate/>
  <mergeCells count="11">
    <mergeCell ref="F8:G8"/>
    <mergeCell ref="F9:G9"/>
    <mergeCell ref="G19:I19"/>
    <mergeCell ref="B22:N22"/>
    <mergeCell ref="B30:N30"/>
    <mergeCell ref="B32:N32"/>
    <mergeCell ref="B33:N33"/>
    <mergeCell ref="B47:N47"/>
    <mergeCell ref="B48:N48"/>
    <mergeCell ref="B49:N49"/>
    <mergeCell ref="B31:N31"/>
  </mergeCells>
  <dataValidations count="11">
    <dataValidation type="list" allowBlank="1" showInputMessage="1" showErrorMessage="1" sqref="H34" xr:uid="{2A6AE3C3-9EDF-48C6-AF7E-89B5AC8F6248}">
      <formula1>"ALAA HAMMAD,KHALED QASSEM,RAMY RAOUF,SIMON LOBO,MHAREN CLEMENTE GARADO"</formula1>
    </dataValidation>
    <dataValidation type="list" allowBlank="1" showInputMessage="1" showErrorMessage="1" sqref="M34" xr:uid="{4C7FFD9B-03B6-49E1-AAC9-47A6517B330A}">
      <formula1>"Alaa Hammad,Bachir Ibrahim Mourad,Khaled Qassem,Ramy Raoof,Simon Lobo,Mharen Clemente Garado,Ranjith"</formula1>
    </dataValidation>
    <dataValidation type="list" allowBlank="1" showInputMessage="1" showErrorMessage="1" sqref="B11" xr:uid="{545FAAF2-919C-4454-B939-F934D7C54676}">
      <formula1>"FO Ceramic+ Intr&amp;Extr CeramicGold WdwTnt,FO Mirror Camera Sensor"</formula1>
    </dataValidation>
    <dataValidation type="list" allowBlank="1" showInputMessage="1" showErrorMessage="1" sqref="B12" xr:uid="{EC0B4809-4FE0-4AFE-AF3F-5B99B26780E0}">
      <formula1>"FO Exterior ceramic All Cars SCOTCHGUARD,FO Mirror Camera Sensor,FO PPF Gold Package "</formula1>
    </dataValidation>
    <dataValidation type="list" allowBlank="1" showInputMessage="1" showErrorMessage="1" sqref="K20" xr:uid="{4D0941CE-C203-465A-B712-7FED104728B8}">
      <formula1>"Esaad,Emirates Platinum,Fazaa,Humat Alwatan,Permissible,ASX,XPMLP,XP,MON,MON G57,OUT,F08,P08,F06,P06,F03,F03-1,P03,EC,G37,G38,G40,G43"</formula1>
    </dataValidation>
    <dataValidation type="list" allowBlank="1" showInputMessage="1" showErrorMessage="1" sqref="B16" xr:uid="{CED1AECD-9507-42D1-8F3C-6DEF456025B4}">
      <formula1>"RMC-10-40KMS,RMC-10-60KMS,RMC-10-70KMS,RMC-10-100000KMS,RMC-40-70KMS,RMC-40-100000KMS"</formula1>
    </dataValidation>
    <dataValidation type="list" allowBlank="1" showInputMessage="1" showErrorMessage="1" sqref="K24" xr:uid="{FAF691B7-9865-4DB7-ACCE-E8EA50E910F3}">
      <formula1>"RMC-10-70K,RMC-10-100000K,RMC-40-70K"</formula1>
    </dataValidation>
    <dataValidation type="list" allowBlank="1" showInputMessage="1" showErrorMessage="1" sqref="D5" xr:uid="{7BEB89EC-5F38-411A-976C-C1ED11AF7D14}">
      <formula1>"MIG09,MIG10,H16,P16,H17,H48,H43,H40,H42,H44,H45,H38,H37,EH40,EH43,ML,HL,PR, MLP,HLP,PRP,XPML,XPHL,XPMLP, XPMLP-01,XC, G10,P10, G03, P03, G06,P06,G12,P12,G05,P05,G08,P08,G09,P09,H57,P57,H64,H59,P59,H61,P61"</formula1>
    </dataValidation>
    <dataValidation type="list" allowBlank="1" showInputMessage="1" showErrorMessage="1" sqref="M21" xr:uid="{84FAC19D-DA24-4389-AFB8-A9D89D863F29}">
      <formula1>"3000-4999,5000-9999,5000-99999,10000-14999,15000-24999,25000-34999,35000-99999,5000-11999,12000-19999,20000-39999,40000-69999,70000-99999"</formula1>
    </dataValidation>
    <dataValidation type="list" allowBlank="1" showInputMessage="1" showErrorMessage="1" sqref="C10:C16 L20 L24:L25 G14:G15 J10" xr:uid="{082A4005-2B30-43B4-AEC7-C39BF88DFBE1}">
      <formula1>"YES,NO"</formula1>
    </dataValidation>
    <dataValidation type="list" allowBlank="1" showInputMessage="1" showErrorMessage="1" sqref="K21" xr:uid="{C11D8296-B2E8-4C18-A2CD-B7330C4F735B}">
      <formula1>"ADCB,ADCB PAY IN 2027,Ajman Bank,ADIB,DIB EXPAT,DIB LOCAL GVH,Emirates NBD,EIB,FAB,RAK,SIB STL,SIB NON STL"</formula1>
    </dataValidation>
  </dataValidations>
  <pageMargins left="0.23622047244094491" right="0.23622047244094491" top="0.74803149606299213" bottom="0.74803149606299213" header="0.31496062992125984" footer="0.31496062992125984"/>
  <pageSetup paperSize="9" scale="40" orientation="landscape" horizontalDpi="4294967295" verticalDpi="4294967295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88A1B7-55F9-4420-89D8-F76F9B9A301B}">
  <sheetPr>
    <pageSetUpPr fitToPage="1"/>
  </sheetPr>
  <dimension ref="A1:AA54"/>
  <sheetViews>
    <sheetView topLeftCell="B1" zoomScaleNormal="100" workbookViewId="0">
      <selection activeCell="D5" sqref="D5"/>
    </sheetView>
  </sheetViews>
  <sheetFormatPr defaultColWidth="9.109375" defaultRowHeight="15.6" x14ac:dyDescent="0.3"/>
  <cols>
    <col min="1" max="1" width="16" style="1" hidden="1" customWidth="1"/>
    <col min="2" max="2" width="75.109375" style="2" customWidth="1"/>
    <col min="3" max="3" width="26.88671875" style="3" customWidth="1"/>
    <col min="4" max="4" width="23.88671875" style="2" customWidth="1"/>
    <col min="5" max="5" width="23.33203125" style="2" customWidth="1"/>
    <col min="6" max="6" width="19.88671875" style="2" customWidth="1"/>
    <col min="7" max="7" width="23.33203125" style="2" customWidth="1"/>
    <col min="8" max="8" width="24.44140625" style="2" customWidth="1"/>
    <col min="9" max="9" width="27.109375" style="2" customWidth="1"/>
    <col min="10" max="10" width="26.6640625" style="2" customWidth="1"/>
    <col min="11" max="11" width="25.44140625" style="2" customWidth="1"/>
    <col min="12" max="12" width="20.5546875" style="2" customWidth="1"/>
    <col min="13" max="13" width="20.109375" style="2" customWidth="1"/>
    <col min="14" max="14" width="19.5546875" style="2" customWidth="1"/>
    <col min="15" max="15" width="15.109375" style="2" bestFit="1" customWidth="1"/>
    <col min="16" max="16" width="12.6640625" style="2" hidden="1" customWidth="1"/>
    <col min="17" max="17" width="12.6640625" style="1" hidden="1" customWidth="1"/>
    <col min="18" max="18" width="15.6640625" style="1" hidden="1" customWidth="1"/>
    <col min="19" max="19" width="13" style="1" hidden="1" customWidth="1"/>
    <col min="20" max="20" width="17.109375" style="1" hidden="1" customWidth="1"/>
    <col min="21" max="21" width="14.5546875" style="1" bestFit="1" customWidth="1"/>
    <col min="22" max="22" width="19" style="1" customWidth="1"/>
    <col min="23" max="23" width="22.5546875" style="1" bestFit="1" customWidth="1"/>
    <col min="24" max="25" width="9.109375" style="1"/>
    <col min="26" max="26" width="14" style="1" bestFit="1" customWidth="1"/>
    <col min="27" max="27" width="22.33203125" style="1" bestFit="1" customWidth="1"/>
    <col min="28" max="16384" width="9.109375" style="1"/>
  </cols>
  <sheetData>
    <row r="1" spans="1:27" ht="15.75" customHeight="1" x14ac:dyDescent="0.3">
      <c r="B1" s="222" t="s">
        <v>148</v>
      </c>
      <c r="C1" s="221"/>
      <c r="D1" s="221"/>
      <c r="E1" s="221"/>
      <c r="F1" s="221"/>
      <c r="G1" s="221"/>
      <c r="H1" s="221"/>
      <c r="I1" s="221"/>
      <c r="J1" s="221"/>
      <c r="K1" s="221"/>
      <c r="L1" s="221"/>
      <c r="M1" s="221"/>
      <c r="N1" s="220"/>
    </row>
    <row r="2" spans="1:27" ht="15.75" customHeight="1" x14ac:dyDescent="0.3">
      <c r="B2" s="219" t="s">
        <v>147</v>
      </c>
      <c r="C2" s="218"/>
      <c r="D2" s="218"/>
      <c r="E2" s="218"/>
      <c r="F2" s="218"/>
      <c r="G2" s="218"/>
      <c r="H2" s="218"/>
      <c r="I2" s="218"/>
      <c r="J2" s="218"/>
      <c r="K2" s="218"/>
      <c r="L2" s="218"/>
      <c r="M2" s="218"/>
      <c r="N2" s="217"/>
      <c r="Q2" s="2"/>
      <c r="S2" s="186"/>
    </row>
    <row r="3" spans="1:27" ht="15.75" customHeight="1" x14ac:dyDescent="0.3">
      <c r="B3" s="219" t="s">
        <v>146</v>
      </c>
      <c r="C3" s="218"/>
      <c r="D3" s="218"/>
      <c r="E3" s="218"/>
      <c r="F3" s="218"/>
      <c r="G3" s="218"/>
      <c r="H3" s="218"/>
      <c r="I3" s="218"/>
      <c r="J3" s="218"/>
      <c r="K3" s="218"/>
      <c r="L3" s="218"/>
      <c r="M3" s="218"/>
      <c r="N3" s="217"/>
      <c r="O3" s="3"/>
      <c r="P3" s="3"/>
      <c r="Q3" s="153"/>
      <c r="R3" s="153"/>
      <c r="S3" s="216" t="e">
        <f>N7+J14</f>
        <v>#VALUE!</v>
      </c>
      <c r="T3" s="216"/>
      <c r="U3" s="153"/>
      <c r="V3" s="153"/>
      <c r="W3" s="153"/>
      <c r="AA3" s="1">
        <f>273000/5</f>
        <v>54600</v>
      </c>
    </row>
    <row r="4" spans="1:27" ht="15.75" customHeight="1" x14ac:dyDescent="0.3">
      <c r="B4" s="215"/>
      <c r="C4" s="214"/>
      <c r="D4" s="214"/>
      <c r="E4" s="214"/>
      <c r="F4" s="214"/>
      <c r="G4" s="214"/>
      <c r="H4" s="214"/>
      <c r="I4" s="214"/>
      <c r="J4" s="214"/>
      <c r="K4" s="214"/>
      <c r="L4" s="214"/>
      <c r="M4" s="214"/>
      <c r="N4" s="213"/>
      <c r="O4" s="212" t="s">
        <v>0</v>
      </c>
      <c r="P4" s="212"/>
      <c r="Q4" s="210"/>
      <c r="R4" s="210"/>
      <c r="S4" s="211"/>
      <c r="T4" s="211"/>
      <c r="U4" s="210" t="s">
        <v>1</v>
      </c>
      <c r="V4" s="210" t="s">
        <v>2</v>
      </c>
      <c r="W4" s="210" t="s">
        <v>3</v>
      </c>
    </row>
    <row r="5" spans="1:27" ht="25.2" thickBot="1" x14ac:dyDescent="0.45">
      <c r="B5" s="17"/>
      <c r="C5" s="18" t="str">
        <f>IF(D5="MIG09","Mirage G09",IF(D5="MIG10","MirageG10",IF(D5="H16","Attrage H16",IF(D5="P16","Attrage P16",IF(D5="H17","Attrage H17",IF(D5="H48","ASX H48",IF(D5="H43","ASX H43",IF(D5="H40","ASX H40",IF(D5="H42","ASX H42",IF(D5="H44","ASX H44",IF(D5="H45","ASX H45",IF(D5="H38","Eclipse H38",IF(D5="H37","Eclipse H37",IF(D5="EH40","Eclipse H40",IF(D5="EH43","Eclipse H43",IF(D5="XPML","Xpander ML",IF(D5="ML","Destinator ML",IF(D5="HL","Destinator HL",IF(D5="PR","Destinator PR",IF(D5="MLP","Destinator MLP",IF(D5="HLP","Destinator HLP",IF(D5="PRP","Destinator PRP",IF(D5="XPHL","Xpander HL",IF(D5="XPMLP","Xpander ML P",IF(D5="XPMLP-01","Xpander ML P-01",IF(D5="XC","Xpander Cross",IF(D5="G03","Outlander G03",IF(D5="P03","Outlander P03",IF(D5="G06","Outlander G06",IF(D5="P06","Outlander P06",IF(D5="OTP06-01","Outlander P06-01",IF(D5="G08","Outlander G08",IF(D5="P08","Outlander P08",IF(D5="H57","Montero H57",IF(D5="P57","Montero P57",IF(D5="H64","Montero G64",IF(D5="H59","Montero G59",IF(D5="P59","Montero G59 P",IF(D5="H61","Montero G61",IF(D5="P61","Montero P61",IF(D5="G10","Outlander G10",IF(D5="P10","Outlander P10",IF(D5="G12","Outlander G12",IF(D5="P12","Outlander P12",IF(D5="G05","Outlander G05",IF(D5="P05","Outlander P05",IF(D5="G09","Outlander G09",IF(D5="P09","Outlander P09",))))))))))))))))))))))))))))))))))))))))))))))))</f>
        <v>Outlander G05</v>
      </c>
      <c r="D5" s="19" t="s">
        <v>164</v>
      </c>
      <c r="E5" s="20" t="s">
        <v>145</v>
      </c>
      <c r="F5" s="37"/>
      <c r="G5" s="37"/>
      <c r="H5" s="37"/>
      <c r="I5" s="20"/>
      <c r="J5" s="34"/>
      <c r="K5" s="209">
        <v>0</v>
      </c>
      <c r="L5" s="208">
        <v>3.39E-2</v>
      </c>
      <c r="M5" s="208">
        <v>6.7799999999999999E-2</v>
      </c>
      <c r="N5" s="208">
        <v>0.1017</v>
      </c>
      <c r="O5" s="147">
        <f>K7+K14</f>
        <v>13392.1311699175</v>
      </c>
      <c r="S5" s="186"/>
      <c r="U5" s="186">
        <f>L7+L14</f>
        <v>5529.1455844435422</v>
      </c>
      <c r="V5" s="186">
        <f>M7+M14</f>
        <v>3738.9883404737502</v>
      </c>
      <c r="W5" s="186">
        <f>N7+N14</f>
        <v>2628.3438927768752</v>
      </c>
    </row>
    <row r="6" spans="1:27" s="5" customFormat="1" ht="99" thickBot="1" x14ac:dyDescent="0.35">
      <c r="A6" s="4" t="s">
        <v>4</v>
      </c>
      <c r="B6" s="26" t="s">
        <v>5</v>
      </c>
      <c r="C6" s="27" t="s">
        <v>6</v>
      </c>
      <c r="D6" s="27" t="s">
        <v>144</v>
      </c>
      <c r="E6" s="27" t="s">
        <v>7</v>
      </c>
      <c r="F6" s="27" t="s">
        <v>8</v>
      </c>
      <c r="G6" s="28" t="s">
        <v>9</v>
      </c>
      <c r="H6" s="28" t="s">
        <v>143</v>
      </c>
      <c r="I6" s="28" t="s">
        <v>10</v>
      </c>
      <c r="J6" s="28" t="s">
        <v>142</v>
      </c>
      <c r="K6" s="28" t="s">
        <v>11</v>
      </c>
      <c r="L6" s="28" t="s">
        <v>12</v>
      </c>
      <c r="M6" s="28" t="s">
        <v>13</v>
      </c>
      <c r="N6" s="28" t="s">
        <v>14</v>
      </c>
      <c r="O6" s="207"/>
      <c r="P6" s="206"/>
      <c r="T6" s="205"/>
      <c r="U6" s="205">
        <f>N7+L14</f>
        <v>4368.8249077768751</v>
      </c>
      <c r="V6" s="205">
        <f>N7+K14</f>
        <v>10781.4096474175</v>
      </c>
      <c r="W6" s="205" t="e">
        <f>N7+J14</f>
        <v>#VALUE!</v>
      </c>
    </row>
    <row r="7" spans="1:27" ht="25.2" thickBot="1" x14ac:dyDescent="0.45">
      <c r="A7" s="6">
        <f>B8</f>
        <v>104900</v>
      </c>
      <c r="B7" s="29">
        <f>IF(L20="YES",C8*1,IF(L20="NO",B8*1))</f>
        <v>104900</v>
      </c>
      <c r="C7" s="29">
        <f>B7*5/100</f>
        <v>5245</v>
      </c>
      <c r="D7" s="203">
        <f>B7+C7</f>
        <v>110145</v>
      </c>
      <c r="E7" s="29">
        <f>D17</f>
        <v>19821.076125</v>
      </c>
      <c r="F7" s="29">
        <f>(C7)+(D10+D11+D12+D13+D16)*5/100</f>
        <v>5815</v>
      </c>
      <c r="G7" s="30">
        <f>B7+E7+F7</f>
        <v>130536.07612499999</v>
      </c>
      <c r="H7" s="29">
        <f>G7*D20</f>
        <v>26107.215225</v>
      </c>
      <c r="I7" s="30">
        <f>(G7-H7)</f>
        <v>104428.8609</v>
      </c>
      <c r="J7" s="30">
        <f>(((I7*D19)*1)+I7)/12</f>
        <v>9040.9286324174991</v>
      </c>
      <c r="K7" s="30">
        <f>(((I7*D19)*2)+I7)/24</f>
        <v>4689.7260949174997</v>
      </c>
      <c r="L7" s="30">
        <f>(((I7*D19)*3)+I7)/36</f>
        <v>3239.3252490841669</v>
      </c>
      <c r="M7" s="30">
        <f>(((I7*D19)*4)+I7)/48</f>
        <v>2514.1248261675</v>
      </c>
      <c r="N7" s="30">
        <f>((((I7*D19)*5)+I7)/60)</f>
        <v>2079.0045724175002</v>
      </c>
      <c r="O7" s="147"/>
      <c r="P7" s="2">
        <f>H7+H16</f>
        <v>27203.718264449999</v>
      </c>
      <c r="T7" s="186">
        <f>25973/2</f>
        <v>12986.5</v>
      </c>
    </row>
    <row r="8" spans="1:27" ht="24.6" x14ac:dyDescent="0.4">
      <c r="A8" s="7">
        <v>0.2</v>
      </c>
      <c r="B8" s="31">
        <f>IF(D5="MIG09",39900,IF(D5="MIG10",41900,IF(D5="H16",41900,IF(D5="P16",47400,IF(D5="H17",47900,IF(D5="H48",67900,IF(D5="H43",70900,IF(D5="H40",72900,IF(D5="H42",74900,IF(D5="H44",73900,IF(D5="H45",79900,IF(D5="H38",86900,IF(D5="H37",79900,IF(D5="EH40",99900,IF(D5="EH43",106900,IF(D5="ML",71900,IF(D5="HL",83900,IF(D5="PR",95900,IF(D5="MLP",80900,IF(D5="HLP",91900,IF(D5="PRP",102900,IF(D5="XPML",69900,IF(D5="XPHL",71000,IF(D5="XPMLP",75900,IF(D5="XPMLP-01",77800,IF(D5="XC",84900,IF(D5="G10",81900,IF(D5="P10",93900,IF(D5="G12",97900,IF(D5="P12",105900,IF(D5="G05",104900,IF(D5="P05",105900,IF(D5="G03",92900,IF(D5="P03",100900,IF(D5="G06",109900,IF(D5="P06",114900,IF(D5="OTP06-01",118900,IF(D5="G08",125900,IF(D5="P08",132900,IF(D5="OTP06-01",109900,IF(D5="G09",129900,IF(D5="P09",134900,IF(D5="H57",105900,IF(D5="P57",113900,IF(D5="H64",116900,IF(D5="H59",127900,IF(D5="P59",134900,IF(D5="H61",134900,IF(D5="P61",138900)))))))))))))))))))))))))))))))))))))))))))))))))</f>
        <v>104900</v>
      </c>
      <c r="C8" s="32">
        <f>IF(L20="YES",N20,IF(L20="NO",N20))</f>
        <v>104900</v>
      </c>
      <c r="D8" s="29">
        <v>0</v>
      </c>
      <c r="E8" s="33"/>
      <c r="F8" s="139"/>
      <c r="G8" s="140"/>
      <c r="H8" s="110">
        <f>G7*20/100</f>
        <v>26107.215225</v>
      </c>
      <c r="I8" s="34"/>
      <c r="J8" s="34" t="s">
        <v>15</v>
      </c>
      <c r="K8" s="34">
        <f>(I7*K5+I7)/24</f>
        <v>4351.2025375000003</v>
      </c>
      <c r="L8" s="34">
        <f>(I7*L5+I7)/36</f>
        <v>2999.1388690141666</v>
      </c>
      <c r="M8" s="34">
        <f>(I7*M5+I7)/48</f>
        <v>2323.1070347712498</v>
      </c>
      <c r="N8" s="34">
        <f>(I7*N5+I7)/60</f>
        <v>1917.4879342255001</v>
      </c>
      <c r="O8" s="147">
        <v>0</v>
      </c>
      <c r="P8" s="2">
        <f>P7/12</f>
        <v>2266.9765220374998</v>
      </c>
      <c r="T8" s="1">
        <f>25973-12973</f>
        <v>13000</v>
      </c>
    </row>
    <row r="9" spans="1:27" ht="24.6" x14ac:dyDescent="0.4">
      <c r="A9" s="8">
        <f>B8/(100%-A8)</f>
        <v>131125</v>
      </c>
      <c r="B9" s="109">
        <f>B7-B8</f>
        <v>0</v>
      </c>
      <c r="C9" s="109"/>
      <c r="D9" s="36"/>
      <c r="E9" s="33"/>
      <c r="F9" s="139"/>
      <c r="G9" s="140"/>
      <c r="H9" s="33"/>
      <c r="I9" s="37" t="s">
        <v>16</v>
      </c>
      <c r="J9" s="38">
        <f>(J7*12)-I7</f>
        <v>4062.2826890099968</v>
      </c>
      <c r="K9" s="38">
        <f>(K7*24)-I7</f>
        <v>8124.5653780199937</v>
      </c>
      <c r="L9" s="38">
        <f>(L7*36)-I7</f>
        <v>12186.848067030005</v>
      </c>
      <c r="M9" s="38">
        <f>(M7*48)-I7</f>
        <v>16249.130756040002</v>
      </c>
      <c r="N9" s="38">
        <f>(N7*60)-I7</f>
        <v>20311.413445050013</v>
      </c>
      <c r="O9" s="147"/>
      <c r="T9" s="1">
        <f>T8/12</f>
        <v>1083.3333333333333</v>
      </c>
      <c r="Z9" s="1" t="s">
        <v>86</v>
      </c>
    </row>
    <row r="10" spans="1:27" ht="24.6" x14ac:dyDescent="0.4">
      <c r="A10" s="8"/>
      <c r="B10" s="37" t="s">
        <v>141</v>
      </c>
      <c r="C10" s="20" t="s">
        <v>17</v>
      </c>
      <c r="D10" s="36">
        <f>IF(C10="YES",700,IF(C10="NO",0))</f>
        <v>0</v>
      </c>
      <c r="E10" s="39"/>
      <c r="F10" s="40"/>
      <c r="G10" s="40"/>
      <c r="H10" s="33"/>
      <c r="I10" s="44" t="s">
        <v>85</v>
      </c>
      <c r="J10" s="117" t="s">
        <v>19</v>
      </c>
      <c r="K10" s="117">
        <f>IF(J10="YES",Z10,IF(J10="NO",0))</f>
        <v>1000</v>
      </c>
      <c r="L10" s="41">
        <f>(L8*36)-I7</f>
        <v>3540.1383845100063</v>
      </c>
      <c r="M10" s="41">
        <f>(M8*48)-I7</f>
        <v>7080.2767690199835</v>
      </c>
      <c r="N10" s="41">
        <f>(N8*60)-I7</f>
        <v>10620.415153530004</v>
      </c>
      <c r="O10" s="147">
        <f>IF(D5="XC",3690,IF(D5="XPML",3690,IF(D5="XPHL",3690,IF(D5="XPMLP",3690,IF(D5="XPMLP-01",3690,IF(D5="Xpander P",3690,IF(D5="ML",3690,IF(D5="HL",3690,IF(D5="PR",(U19*3/100+510)*1.05,IF(D5="MLP",3690,IF(D5="HLP",(U19*3/100+510)*1.05,IF(D5="PRP",(U19*3/100+510)*1.05,IF(D5="H57",(U19*2.75/100+510)*1.05,IF(D5="P57",(U19*2.75/100+510)*1.05,IF(D5="H64",(U19*2.75/100+510)*1.05,IF(D5="H59",(U19*2.75/100+510)*1.05,IF(D5="P59",(U19*2.75/100+510)*1.05,IF(D5="H61",(U19*2.75/100+510)*1.05,IF(D5="P61",(U19*2.75/100+510)*1.05,IF(D5="G03",(U19*3/100+510)*1.05,IF(D5="G10",(U19*3/100+510)*1.05,IF(D5="P10",(U19*3/100+510)*1.05,IF(D5="G12",(U19*3/100+510)*1.05,IF(D5="P12",(U19*3/100+510)*1.05,IF(D5="G05",(U19*3/100+510)*1.05,IF(D5="P05",(U19*3/100+510)*1.05,IF(D5="P03",(U19*3/100+510)*1.05,IF(D5="G06",(U19*3/100+510)*1.05,IF(D5="P06",(U19*3/100+510)*1.05,IF(D5="OTP06-01",(U19*3/100+510)*1.05,IF(D5="G08",(U19*3/100+510)*1.05,IF(D5="P08",(U19*3/100+510)*1.05,IF(D5="G09",(U19*3/100+510)*1.05,IF(D5="P09",(U19*3/100+510)*1.05,IF(D5="H38",3625,IF(D5="H37",3625,IF(D5="EH40",(U19*3/100+450)*1.05,IF(D5="EH43",(U19*3/100+450)*1.05,IF(D5="H48",3625,IF(D5="H43",3625,IF(D5="H40",3625,IF(D5="H42",3625,IF(D5="H44",3625,IF(D5="H45",3625,IF(D5="ASX HL 4WD",3625,IF(D5="H16",3625,IF(D5="H17",3625,IF(D5="P16",3625,IF(D5="Attrage S",3625,IF(D5="MIG09",3625,IF(D5="MIG10",3625,IF(D5="Xpander HL",3690))))))))))))))))))))))))))))))))))))))))))))))))))))</f>
        <v>4382.1225000000004</v>
      </c>
      <c r="P10" s="204"/>
      <c r="Q10" s="204">
        <f>5.25*3</f>
        <v>15.75</v>
      </c>
      <c r="Z10" s="1">
        <f>IF(D5="MIG09",1000,IF(D5="MIG10",1000,IF(D5="H16",1000,IF(D5="P16",1000,IF(D5="H17",1000,IF(D5="H48",1000,IF(D5="H43",1000,IF(D5="H40",1000,IF(D5="H42",1000,IF(D5="H44",1000,IF(D5="H45",1000,IF(D5="H38",1000,IF(D5="H37",1000,IF(D5="EH40",1000,IF(D5="EH43",1000,IF(D5="ML",1000,IF(D5="HL",1000,IF(D5="PR",1000,IF(D5="MLP",1000,IF(D5="HLP",1000,IF(D5="PRP",1000,IF(D5="XPML",1000,IF(D5="XPHL",1000,IF(D5="XPMLP",1000,IF(D5="XPMLP-01",1000,IF(D5="XC",1000,IF(D5="G10",1000,IF(D5="P10",1000,IF(D5="G12",1000,IF(D5="P12",1000,IF(D5="G05",1000,IF(D5="P05",1000,IF(D5="G03",1000,IF(D5="P03",1000,IF(D5="G06",1000,IF(D5="P06",1000,IF(D5="OTP06-01",1000,IF(D5="G08",1000,IF(D5="P08",1000,IF(D5="OTP06-01",1000,IF(D5="G09",1000,IF(D5="P09",1000,IF(D5="H57",1000,IF(D5="P57",1000,IF(D5="H64",1000,IF(D5="H59",1000,IF(D5="P59",1000,IF(D5="H61",1000,IF(D5="P61",1000)))))))))))))))))))))))))))))))))))))))))))))))))</f>
        <v>1000</v>
      </c>
    </row>
    <row r="11" spans="1:27" ht="24.6" x14ac:dyDescent="0.4">
      <c r="A11" s="8"/>
      <c r="B11" s="37" t="s">
        <v>18</v>
      </c>
      <c r="C11" s="20" t="s">
        <v>19</v>
      </c>
      <c r="D11" s="203">
        <f>IF(C11="YES",O17,IF(C11="NO",0))</f>
        <v>2700</v>
      </c>
      <c r="E11" s="39"/>
      <c r="F11" s="40"/>
      <c r="G11" s="40"/>
      <c r="H11" s="33"/>
      <c r="I11" s="33"/>
      <c r="J11" s="44" t="s">
        <v>76</v>
      </c>
      <c r="K11" s="44">
        <f>H8-K10</f>
        <v>25107.215225</v>
      </c>
      <c r="L11" s="37"/>
      <c r="M11" s="37"/>
      <c r="N11" s="38"/>
      <c r="O11" s="147">
        <f>IF(D5="XC",6100,IF(D5="XPML",6100,IF(D5="XPHL",6100,IF(D5="XPMLP",6100,IF(D5="XPMLP-01",6100,IF(D5="Xpander P",6100,IF(D5="ML",6600,IF(D5="HL",6600,IF(D5="PR",6600,IF(D5="MLP",6600,IF(D5="HLP",6600,IF(D5="PRP",6600,IF(D5="H57",5900,IF(D5="P57",5900,IF(D5="H64",5900,IF(D5="H59",5900,IF(D5="P59",5900,IF(D5="H61",5900,IF(D5="P61",5900,IF(D5="G03",6700,IF(D5="G10",6700,IF(D5="P10",6700,IF(D5="G12",6700,IF(D5="P12",6700,IF(D5="G05",6700,IF(D5="P05",6700,IF(D5="P03",6700,IF(D5="G06",6700,IF(D5="P06",6700,IF(D5="OTP06-01",6700,IF(D5="G08",6700,IF(D5="G09",6700,IF(D5="G08",6700,IF(D5="P08",6700,IF(D5="P09",6700,IF(D5="H37",6400,IF(D5="H38",6400,IF(D5="EH40",6400,IF(D5="EH43",6400,IF(D5="H48",6600,IF(D5="H43",6600,IF(D5="H40",6600,IF(D5="H42",6600,IF(D5="H44",6600,IF(D5="H45",6600,IF(D5="ASX HL 4WD",6600,IF(D5="H16",5400,IF(D5="H17",5400,IF(D5="P16",5400,IF(D5="Attrage S",5400,IF(D5="MIG09",5400,IF(D5="MIG10",5400,IF(D5="Xpander HL",6000)))))))))))))))))))))))))))))))))))))))))))))))))))))</f>
        <v>6700</v>
      </c>
      <c r="P11" s="147"/>
      <c r="Q11" s="147"/>
      <c r="R11" s="147"/>
      <c r="S11" s="147"/>
      <c r="T11" s="147"/>
      <c r="U11" s="147">
        <f>IF(D5="XC",4900,IF(D5="XPML",4900,IF(D5="XPHL",4900,IF(D5="XPMLP",4900,IF(D5="XPMLP-01",4900,IF(D5="Xpander P",4900,IF(D5="ML",5400,IF(D5="HL",5400,IF(D5="PR",5400,IF(D5="MLP",5400,IF(D5="HLP",5400,IF(D5="PRP",5400,IF(D5="H57",4600,IF(D5="P57",4600,IF(D5="MOG64",4600,IF(D5="H59",4600,IF(D5="P59",4600,IF(D5="H61",4600,IF(D5="P61",4600,IF(D5="G03",5500,IF(D5="P03",5500,IF(D5="G10",5500,IF(D5="P10",5500,IF(D5="G12",5500,IF(D5="P12",5500,IF(D5="G05",5500,IF(D5="P05",5500,IF(D5="G06",5500,IF(D5="P06",5500,IF(D5="OTP06-01",5500,IF(D5="F08",5500,IF(D5="P08",5500,IF(D5="G09",5500,IF(D5="P09",5500,IF(D5="H38",5200,IF(D5="H37",5200,IF(D5="EH40",5200,IF(D5="EH43",5200,IF(D5="H48",5300,IF(D5="H43",5300,IF(D5="H40",5300,IF(D5="H42",5300,IF(D5="H44",5300,IF(D5="H45",5300,IF(D5="ASX HL",5300,IF(D5="ASX P",5300,IF(D5="ASX HL 4WD",5300,IF(D5="H16",4200,IF(D5="H17",4200,IF(D5="P16",4200,IF(D5="Attrage S",4200,IF(D5="MIG09",4200,IF(D5="MIG10",4200,IF(D5="Xpander HL",4900))))))))))))))))))))))))))))))))))))))))))))))))))))))</f>
        <v>5500</v>
      </c>
      <c r="V11" s="147">
        <f>IF(D5="XC",9700,IF(D5="XPML",9700,IF(D5="XPHL",9700,IF(D5="XPMLP",9700,IF(D5="XPMLP-01",9700,IF(D5="XPMLP-01",9700,IF(D5="Xpander P",9700,IF(D5="ML",10800,IF(D5="HL",10800,IF(D5="PR",10800,IF(D5="MLP",10800,IF(D5="HLP",10800,IF(D5="PRP",10800,IF(D5="H57",9300,IF(D5="P57",9300,IF(D5="MG64",9300,IF(D5="H59",9300,IF(D5="P59",9300,IF(D5="H61",9300,IF(D5="P61",9300,IF(D5="G03",11000,IF(D5="G10",11000,IF(D5="P10",11000,IF(D5="G12",11000,IF(D5="P12",11000,IF(D5="G05",11000,IF(D5="P05",11000,IF(D5="P03",11000,IF(D5="G06",11000,IF(D5="P06",11000,IF(D5="OTP06-01",11000,IF(D5="G08",11000,IF(D5="P08",11000,IF(D5="G09",11000,IF(D5="P09",11000,IF(D5="H38",10400,IF(D5="H37",10400,IF(D5="EH40",10400,IF(D5="EH43",10400,IF(D5="H48",10700,IF(D5="H43",10700,IF(D5="H40",10700,IF(D5="H42",10700,IF(D5="H44",10800,IF(D5="H45",10800,IF(D5="ASX HL",12200,IF(D5="ASX P",12200,IF(D5="ASX HL 4WD",12200,IF(D5="H16",8500,IF(D5="H17",8500,IF(D5="P16",8500,IF(D5="Attrage S",9600,IF(D5="MIG09",8500,IF(D5="MIG10",8500,IF(D5="Xpander HL",11300)))))))))))))))))))))))))))))))))))))))))))))))))))))))</f>
        <v>11000</v>
      </c>
      <c r="W11" s="147">
        <f>IF(D5="XC",9200,IF(D5="XPML",9200,IF(D5="XPHL",9200,IF(D5="XPMLP",9200,IF(D5="XPMLP-01",9200,IF(D5="Xpander P",9200,IF(D5="ML",10000,IF(D5="HL",10000,IF(D5="PR",10000,IF(D5="MLP",10000,IF(D5="HLP",10000,IF(D5="PRP",10000,IF(D5="H57",8700,IF(D5="P57",8700,IF(D5="H64",8700,IF(D5="H59",8700,IF(D5="P59",8700,IF(D5="H61",8700,IF(D5="P61",8700,IF(D5="G03",10400,IF(D5="P03",10400,IF(D5="G10",10400,IF(D5="P10",10400,IF(D5="G12",10400,IF(D5="P12",10400,IF(D5="G05",10400,IF(D5="P05",10400,IF(D5="G06",10400,IF(D5="P06",10400,IF(D5="OTP06-01",10400,IF(D5="G08",10400,IF(D5="P08",10400,IF(D5="G09",10400,IF(D5="P09",10400,IF(D5="H38",9800,IF(D5="H37",9800,IF(D5="EH40",9800,IF(D5="EH43",9800,IF(D5="H48",10100,IF(D5="H43",10100,IF(D5="H40",10100,IF(D5="H42",10100,IF(D5="H44",10100,IF(D5="H45",10100,IF(D5="ASX HL",10100,IF(D5="ASX P",10100,IF(D5="ASX HL 4WD",10100,IF(D5="H16",7900,IF(D5="H17",7900,IF(D5="P16",7900,IF(D5="Attrage S",7900,IF(D5="MIG09",7900,IF(D5="MIG10",7900,IF(D5="Xpander HL",9200))))))))))))))))))))))))))))))))))))))))))))))))))))))</f>
        <v>10400</v>
      </c>
      <c r="X11" s="147">
        <f>IF(D5="XC",4500,IF(D5="XPML",4500,IF(D5="XPHL",4500,IF(D5="XPMLP",4500,IF(D5="XPMLP-01",4500,IF(D5="Xpander P",4500,IF(D5="ML",5000,IF(D5="HL",5000,IF(D5="PR",5000,IF(D5="MLP",5000,IF(D5="HLP",5000,IF(D5="PRP",5000,IF(D5="H57",8700,IF(D5="P57",8700,IF(D5="MOG64",4300,IF(D5="H59",4300,IF(D5="P59",4300,IF(D5="H61",4300,IF(D5="P61",4300,IF(D5="G03",5000,IF(D5="P03",5000,IF(D5="G10",5000,IF(D5="P10",5000,IF(D5="G12",5000,IF(D5="P12",5000,IF(D5="G05",5000,IF(D5="P05",5000,IF(D5="G06",5000,IF(D5="P06",5000,IF(D5="OTP06-01",5000,IF(D5="G08",5000,IF(D5="P08",5000,IF(D5="G09",5000,IF(D5="P09",5000,IF(D5="H38",4900,IF(D5="H37",4900,IF(D5="EH40",4900,IF(D5="EH43",4900,IF(D5="H48",4900,IF(D5="H43",4900,IF(D5="H40",4900,IF(D5="H42",4900,IF(D5="H44",4900,IF(D5="H45",4900,IF(D5="ASX HL",4900,IF(D5="ASX P",4900,IF(D5="ASX HL 4WD",4900,IF(D5="H16",3700,IF(D5="H17",3700,IF(D5="P16",3700,IF(D5="Attrage S",3700,IF(D5="MIG09",3700,IF(D5="MIG10",3700,IF(D5="Xpander HL",4500))))))))))))))))))))))))))))))))))))))))))))))))))))))</f>
        <v>5000</v>
      </c>
      <c r="Y11" s="147">
        <f>IF(D5="XC",5400,IF(D5="XPML ",5400,IF(D5="XPHL",5400,IF(D5="XPMLP",5400,IF(D5="XPMLP-01",5400,IF(D5="Xpander P",5400,IF(D5="ML",6000,IF(D5="HL",6000,IF(D5="PR",6000,IF(D5="MLP",6000,IF(D5="HLP",6000,IF(D5="PRP",6000,IF(D5="H57",5200,IF(D5="57",5200,IF(D5="H64",5200,IF(D5="H59",5200,IF(D5="P59",5200,IF(D5="H61",5200,IF(D5="P61",5200,IF(D5="G03",6000,IF(D5="P03",6000,IF(D5="G10",6000,IF(D5="P10",6000,IF(D5="G12",6000,IF(D5="P12",6000,IF(D5="G05",6000,IF(D5="P05",6000,IF(D5="G06",6000,IF(D5="P06",6000,IF(D5="OTP06-01",6000,IF(D5="G08",6000,IF(D5="P08",6000,IF(D5="G09",6000,IF(D5="P09",6000,IF(D5="H38",5700,IF(D5="H37",5700,IF(D5="EH40",5700,IF(D5="EH43",5700,IF(D5="H48",5900,IF(D5="H43",5900,IF(D5="H40",5900,IF(D5="H42",5900,IF(D5="H44",5900,IF(D5="H45",5900,IF(D5="ASX HL",5900,IF(D5="ASX P",5900,IF(D5="ASX HL 4WD",5900,IF(D5="H16",4500,IF(D5="H17",4500,IF(D5="P16",4500,IF(D5="Attrage S",4500,IF(D5="MIG09",4500,IF(D5="MIG10",4500,IF(D5="Xpander HL",5400))))))))))))))))))))))))))))))))))))))))))))))))))))))</f>
        <v>6000</v>
      </c>
    </row>
    <row r="12" spans="1:27" ht="24.6" x14ac:dyDescent="0.4">
      <c r="A12" s="8"/>
      <c r="B12" s="37" t="s">
        <v>20</v>
      </c>
      <c r="C12" s="20" t="s">
        <v>17</v>
      </c>
      <c r="D12" s="36">
        <f>IF(C12="YES",2000,IF(C12="NO",0))</f>
        <v>0</v>
      </c>
      <c r="E12" s="43"/>
      <c r="F12" s="43" t="s">
        <v>21</v>
      </c>
      <c r="G12" s="40"/>
      <c r="H12" s="33">
        <v>600</v>
      </c>
      <c r="I12" s="33"/>
      <c r="J12" s="202" t="s">
        <v>140</v>
      </c>
      <c r="K12" s="45">
        <v>0</v>
      </c>
      <c r="L12" s="45">
        <v>5.2499999999999998E-2</v>
      </c>
      <c r="M12" s="45">
        <v>0.126</v>
      </c>
      <c r="N12" s="201">
        <v>0.26250000000000001</v>
      </c>
      <c r="O12" s="147">
        <f>IF(K20="Esaad",B8*3/100,IF(K20="Emirates Platinum",B8*3/100,IF(K20="Fazaa",B8*3/100,IF(K20="Humat Alwatan",B8*3/100,IF(K20="Permissible",2000,IF(K20="ASX",8400,IF(K20="XPMLP",15100,IF(K20="XP",7200,IF(K20="G43",11000,IF(K20="EC",17000,IF(K20="G37",17000,IF(K20="G38",15000,IF(K20="G40",11000,IF(K20="OUT",3000,IF(K20="F08",14400,IF(K20="P08",11100,IF(K20="F06",13100,IF(K20="P06",13400,IF(K20="F03",3500,IF(K20="F03-1",13500,IF(K20="P03",13100,IF(K20="MON",10000,IF(K20="MON G57",9000,0)))))))))))))))))))))))</f>
        <v>2000</v>
      </c>
      <c r="Z12" s="86" t="s">
        <v>83</v>
      </c>
      <c r="AA12" s="86" t="s">
        <v>84</v>
      </c>
    </row>
    <row r="13" spans="1:27" ht="24.6" x14ac:dyDescent="0.4">
      <c r="A13" s="8">
        <f>B8*1.26582</f>
        <v>132784.51799999998</v>
      </c>
      <c r="B13" s="37" t="s">
        <v>23</v>
      </c>
      <c r="C13" s="20" t="s">
        <v>19</v>
      </c>
      <c r="D13" s="36">
        <f>IF(C13="YES",2000,IF(C13="NO",0))</f>
        <v>2000</v>
      </c>
      <c r="E13" s="47"/>
      <c r="F13" s="47" t="s">
        <v>75</v>
      </c>
      <c r="G13" s="51"/>
      <c r="H13" s="39">
        <v>315</v>
      </c>
      <c r="I13" s="33"/>
      <c r="J13" s="44" t="s">
        <v>54</v>
      </c>
      <c r="K13" s="29" t="s">
        <v>79</v>
      </c>
      <c r="L13" s="29" t="s">
        <v>25</v>
      </c>
      <c r="M13" s="29" t="s">
        <v>0</v>
      </c>
      <c r="N13" s="57" t="s">
        <v>26</v>
      </c>
      <c r="O13" s="9">
        <f>IF(M21="3000-4999",6%,IF(M21="5000-9999",4.75%,IF(M21="10000-14999",3.15%,IF(M21="15000-24999",2.5%,IF(M21="25000-34999",2.25%,IF(M21="35000-99999",2.15%))))))</f>
        <v>4.7500000000000001E-2</v>
      </c>
      <c r="Q13" s="2">
        <f>H7/12</f>
        <v>2175.6012687500001</v>
      </c>
      <c r="U13" s="9">
        <f>IF(M21="3000-4999",6%,IF(M21="5000-9999",3.25%,IF(M21="10000-14999",3%,IF(M21="15000-24999",2.25%,IF(M21="25000-34999",2.15%,IF(M21="35000-99999",1.99%))))))</f>
        <v>3.2500000000000001E-2</v>
      </c>
      <c r="Z13" s="99">
        <f>IF(M21="5000-9999",2.49%,IF(M21="10000-19999",2.19%,IF(M21="20000-34999",2.09%,IF(M21="35000-49999",1.89%,IF(M21="50000-99999",1.79%)))))</f>
        <v>2.4900000000000002E-2</v>
      </c>
      <c r="AA13" s="99">
        <f>IF(M21="5000-9999",2.59%,IF(M21="10000-19999",2.29%,IF(M21="20000-34999",2.19%,IF(M21="35000-49999",1.99%,IF(M21="50000-99999",1.89%)))))</f>
        <v>2.5899999999999999E-2</v>
      </c>
    </row>
    <row r="14" spans="1:27" ht="24.6" x14ac:dyDescent="0.4">
      <c r="A14" s="10" t="s">
        <v>27</v>
      </c>
      <c r="B14" s="37" t="s">
        <v>24</v>
      </c>
      <c r="C14" s="20" t="s">
        <v>19</v>
      </c>
      <c r="D14" s="50">
        <f>IF(C14="YES",U19*3.15*1.05/100,IF(C14="NO",U19*0/100))</f>
        <v>4038.9536250000001</v>
      </c>
      <c r="E14" s="48"/>
      <c r="F14" s="48" t="s">
        <v>24</v>
      </c>
      <c r="G14" s="51" t="s">
        <v>17</v>
      </c>
      <c r="H14" s="39">
        <f>IF(G14="YES",U19*3.15*1.05/100,IF(G14="NO",U19*0/100))</f>
        <v>0</v>
      </c>
      <c r="I14" s="33"/>
      <c r="J14" s="44" t="s">
        <v>55</v>
      </c>
      <c r="K14" s="44">
        <f>(H8*K12+H8)/3</f>
        <v>8702.4050750000006</v>
      </c>
      <c r="L14" s="44">
        <f>(H8*L12+H8)/12</f>
        <v>2289.8203353593749</v>
      </c>
      <c r="M14" s="44">
        <f>(H8*M12+H8)/24</f>
        <v>1224.86351430625</v>
      </c>
      <c r="N14" s="200">
        <f>(H7*N12+H7)/60</f>
        <v>549.33932035937505</v>
      </c>
      <c r="O14" s="9">
        <f>IF(M21="3000-4999",3.89%,IF(M21="5000-9999",3.89%,IF(M21="10000-14999",3.89%,IF(M21="15000-24999",2.69%,IF(M21="25000-34999",2.69%,IF(M21="35000-99999",2.39%,IF(M21="76000-99999",2.5%)))))))</f>
        <v>3.8900000000000004E-2</v>
      </c>
    </row>
    <row r="15" spans="1:27" ht="24.6" x14ac:dyDescent="0.4">
      <c r="A15" s="11">
        <f>(B7*3%)+10+120</f>
        <v>3277</v>
      </c>
      <c r="B15" s="37" t="s">
        <v>28</v>
      </c>
      <c r="C15" s="20" t="s">
        <v>19</v>
      </c>
      <c r="D15" s="29">
        <f>IF(C15="YES",O10,IF(C15="NO",0))</f>
        <v>4382.1225000000004</v>
      </c>
      <c r="E15" s="48"/>
      <c r="F15" s="48" t="s">
        <v>53</v>
      </c>
      <c r="G15" s="51" t="s">
        <v>17</v>
      </c>
      <c r="H15" s="39">
        <f>IF(G15="YES",O10,IF(G15="NO",0))</f>
        <v>0</v>
      </c>
      <c r="I15" s="33"/>
      <c r="J15" s="44"/>
      <c r="K15" s="44"/>
      <c r="L15" s="44"/>
      <c r="M15" s="44"/>
      <c r="N15" s="198"/>
      <c r="O15" s="9" t="b">
        <f>IF(M21="3000-4999",4.99%, IF(M21="5000-11999",2.75%,IF(M21="12000-19999",2.75%,IF(M21="20000-39999",2.25%,IF(M21="40000-69999",2.25%,IF(M21="70000-99999",2.25%))))))</f>
        <v>0</v>
      </c>
      <c r="P15" s="191"/>
    </row>
    <row r="16" spans="1:27" ht="24.6" x14ac:dyDescent="0.4">
      <c r="A16" s="11">
        <f>((B7-B8)*3%+10+120)</f>
        <v>130</v>
      </c>
      <c r="B16" s="37" t="s">
        <v>78</v>
      </c>
      <c r="C16" s="20" t="s">
        <v>19</v>
      </c>
      <c r="D16" s="29">
        <f>IF(C16="YES",O16,IF(C16="NO",0))</f>
        <v>6700</v>
      </c>
      <c r="E16" s="47"/>
      <c r="F16" s="47" t="s">
        <v>74</v>
      </c>
      <c r="G16" s="54"/>
      <c r="H16" s="33">
        <f>I7*1.05%</f>
        <v>1096.50303945</v>
      </c>
      <c r="I16" s="33"/>
      <c r="J16" s="44" t="s">
        <v>16</v>
      </c>
      <c r="K16" s="44">
        <f>(K14*3)-H8</f>
        <v>0</v>
      </c>
      <c r="L16" s="44">
        <f>(L14*12)-H8</f>
        <v>1370.6287993125006</v>
      </c>
      <c r="M16" s="44">
        <f>(M14*24)-H8</f>
        <v>3289.5091183499972</v>
      </c>
      <c r="N16" s="198"/>
      <c r="O16" s="147">
        <f>IF(B16="RMC-10-70KMS",O11,IF(B16="RMC-10-100000KMS",V11,IF(B16="RMC-40-70KMS",U11, IF(B16="RMC-10-40KMS",X11, IF(B16="RMC-10-60KMS",Y11, IF(B16="RMC-40-100000KMS",W11,0))))))</f>
        <v>6700</v>
      </c>
    </row>
    <row r="17" spans="1:23" ht="24.6" x14ac:dyDescent="0.4">
      <c r="A17" s="11">
        <f>A15+A16</f>
        <v>3407</v>
      </c>
      <c r="B17" s="37"/>
      <c r="C17" s="20"/>
      <c r="D17" s="29">
        <f>SUM(D10:D16)</f>
        <v>19821.076125</v>
      </c>
      <c r="E17" s="48"/>
      <c r="F17" s="48"/>
      <c r="G17" s="54"/>
      <c r="H17" s="33">
        <f>+SUM(H12:H16)+(H7)</f>
        <v>28118.718264449999</v>
      </c>
      <c r="I17" s="33"/>
      <c r="J17" s="20"/>
      <c r="K17" s="199"/>
      <c r="L17" s="199"/>
      <c r="M17" s="199"/>
      <c r="N17" s="198"/>
      <c r="O17" s="147">
        <f>IF(B11="FO Ceramic+ Intr&amp;Extr CeramicGold WdwTnt",2700,IF(B11="FO Mirror Camera Sensor",2000))</f>
        <v>2700</v>
      </c>
      <c r="T17" s="1">
        <f>19615-791</f>
        <v>18824</v>
      </c>
    </row>
    <row r="18" spans="1:23" ht="24.6" x14ac:dyDescent="0.4">
      <c r="A18" s="12" t="s">
        <v>29</v>
      </c>
      <c r="B18" s="55" t="s">
        <v>30</v>
      </c>
      <c r="C18" s="197"/>
      <c r="D18" s="57">
        <v>0</v>
      </c>
      <c r="E18" s="38"/>
      <c r="F18" s="20"/>
      <c r="G18" s="20"/>
      <c r="H18" s="37"/>
      <c r="I18" s="37"/>
      <c r="J18" s="37"/>
      <c r="K18" s="37"/>
      <c r="L18" s="37"/>
      <c r="M18" s="37"/>
      <c r="N18" s="37"/>
      <c r="O18" s="9" t="b">
        <f>IF(M21="5000-99999",1.99%)</f>
        <v>0</v>
      </c>
      <c r="U18" s="196" t="s">
        <v>52</v>
      </c>
      <c r="V18" s="196" t="s">
        <v>52</v>
      </c>
    </row>
    <row r="19" spans="1:23" ht="24.6" x14ac:dyDescent="0.4">
      <c r="A19" s="11">
        <f>B8*3.15%</f>
        <v>3304.35</v>
      </c>
      <c r="B19" s="58" t="s">
        <v>31</v>
      </c>
      <c r="C19" s="59"/>
      <c r="D19" s="60">
        <f>IF(K21="DIB EXPAT",O13,IF(K21="DIB LOCAL GVH",U13,IF(K21="Emirates NBD",O14,IF(K21="ADCB",O15,IF(K21="ADCB PAY IN 2027",O19,IF(K21="Ajman Bank",O18,IF(K21="SIB STL",Z13,IF(K21="SIB NON STL",AA13,))))))))</f>
        <v>3.8900000000000004E-2</v>
      </c>
      <c r="E19" s="20"/>
      <c r="F19" s="195"/>
      <c r="G19" s="141" t="s">
        <v>73</v>
      </c>
      <c r="H19" s="142"/>
      <c r="I19" s="143"/>
      <c r="J19" s="109">
        <f>(U19*20/100)/365</f>
        <v>66.912328767123284</v>
      </c>
      <c r="K19" s="37"/>
      <c r="L19" s="37"/>
      <c r="M19" s="37"/>
      <c r="N19" s="34">
        <f>D7</f>
        <v>110145</v>
      </c>
      <c r="O19" s="194" t="b">
        <f>IF(M21="5000-11999",3.35%,IF(M21="12000-19999",3.35%,IF(M21="20000-39999",2.85%,IF(M21="40000-69999",2.85%,IF(M21="70000-99999",2.85%)))))</f>
        <v>0</v>
      </c>
      <c r="P19" s="2">
        <f>81400-2500</f>
        <v>78900</v>
      </c>
      <c r="U19" s="193">
        <f>V19</f>
        <v>122115</v>
      </c>
      <c r="V19" s="192">
        <f>(B7+D10+D11+D12+D13+D16)*1.05</f>
        <v>122115</v>
      </c>
    </row>
    <row r="20" spans="1:23" ht="24.6" x14ac:dyDescent="0.4">
      <c r="A20" s="11"/>
      <c r="B20" s="58" t="s">
        <v>32</v>
      </c>
      <c r="C20" s="59"/>
      <c r="D20" s="63">
        <v>0.2</v>
      </c>
      <c r="E20" s="37"/>
      <c r="F20" s="37"/>
      <c r="G20" s="38"/>
      <c r="H20" s="38"/>
      <c r="I20" s="38"/>
      <c r="J20" s="103"/>
      <c r="K20" s="104" t="s">
        <v>33</v>
      </c>
      <c r="L20" s="104" t="s">
        <v>17</v>
      </c>
      <c r="M20" s="104">
        <f>IF(L20="YES",O12,IF(L20="NO",0))</f>
        <v>0</v>
      </c>
      <c r="N20" s="34">
        <f>B8-M20</f>
        <v>104900</v>
      </c>
      <c r="O20" s="187"/>
      <c r="P20" s="191"/>
      <c r="T20" s="1">
        <f>1992+1084</f>
        <v>3076</v>
      </c>
      <c r="U20" s="186"/>
      <c r="V20" s="2"/>
    </row>
    <row r="21" spans="1:23" ht="24.6" x14ac:dyDescent="0.4">
      <c r="A21" s="13">
        <f>A19+A20</f>
        <v>3304.35</v>
      </c>
      <c r="B21" s="37"/>
      <c r="C21" s="20"/>
      <c r="D21" s="37"/>
      <c r="E21" s="37"/>
      <c r="F21" s="37"/>
      <c r="G21" s="37"/>
      <c r="H21" s="37"/>
      <c r="I21" s="37"/>
      <c r="J21" s="190" t="s">
        <v>34</v>
      </c>
      <c r="K21" s="16" t="s">
        <v>139</v>
      </c>
      <c r="L21" s="16" t="s">
        <v>35</v>
      </c>
      <c r="M21" s="189" t="s">
        <v>80</v>
      </c>
      <c r="N21" s="188"/>
      <c r="O21" s="187"/>
      <c r="T21" s="1">
        <f>25973-12973</f>
        <v>13000</v>
      </c>
      <c r="U21" s="186">
        <f>M14+N7</f>
        <v>3303.8680867237499</v>
      </c>
    </row>
    <row r="22" spans="1:23" s="179" customFormat="1" ht="24.6" x14ac:dyDescent="0.4">
      <c r="A22" s="185"/>
      <c r="B22" s="184" t="s">
        <v>51</v>
      </c>
      <c r="C22" s="183"/>
      <c r="D22" s="183"/>
      <c r="E22" s="183"/>
      <c r="F22" s="183"/>
      <c r="G22" s="183"/>
      <c r="H22" s="183"/>
      <c r="I22" s="183"/>
      <c r="J22" s="183"/>
      <c r="K22" s="183"/>
      <c r="L22" s="183"/>
      <c r="M22" s="183"/>
      <c r="N22" s="182"/>
      <c r="O22" s="181"/>
      <c r="P22" s="180"/>
    </row>
    <row r="23" spans="1:23" s="168" customFormat="1" ht="26.4" x14ac:dyDescent="0.5">
      <c r="A23" s="175" t="s">
        <v>36</v>
      </c>
      <c r="B23" s="172" t="s">
        <v>138</v>
      </c>
      <c r="C23" s="169"/>
      <c r="D23" s="169"/>
      <c r="E23" s="169"/>
      <c r="F23" s="169"/>
      <c r="G23" s="169"/>
      <c r="H23" s="176"/>
      <c r="I23" s="176"/>
      <c r="J23" s="169"/>
      <c r="K23" s="169"/>
      <c r="L23" s="169"/>
      <c r="M23" s="169"/>
      <c r="N23" s="178"/>
      <c r="O23" s="170"/>
      <c r="P23" s="169"/>
    </row>
    <row r="24" spans="1:23" s="168" customFormat="1" ht="26.4" x14ac:dyDescent="0.5">
      <c r="A24" s="175" t="s">
        <v>36</v>
      </c>
      <c r="B24" s="172" t="s">
        <v>137</v>
      </c>
      <c r="C24" s="169"/>
      <c r="D24" s="169"/>
      <c r="E24" s="169"/>
      <c r="F24" s="169"/>
      <c r="G24" s="169"/>
      <c r="H24" s="177">
        <f>H7/365</f>
        <v>71.526617054794514</v>
      </c>
      <c r="I24" s="177">
        <f>H7+H12+H16</f>
        <v>27803.718264449999</v>
      </c>
      <c r="J24" s="169"/>
      <c r="K24" s="169"/>
      <c r="L24" s="169"/>
      <c r="M24" s="169"/>
      <c r="N24" s="173"/>
      <c r="O24" s="170"/>
      <c r="P24" s="169">
        <f>1232+480</f>
        <v>1712</v>
      </c>
      <c r="T24" s="168">
        <f>88704/1.05</f>
        <v>84480</v>
      </c>
    </row>
    <row r="25" spans="1:23" s="168" customFormat="1" ht="26.4" x14ac:dyDescent="0.5">
      <c r="A25" s="175" t="s">
        <v>36</v>
      </c>
      <c r="B25" s="172" t="s">
        <v>136</v>
      </c>
      <c r="C25" s="169"/>
      <c r="D25" s="169"/>
      <c r="E25" s="169"/>
      <c r="F25" s="169"/>
      <c r="G25" s="169"/>
      <c r="H25" s="176"/>
      <c r="I25" s="176"/>
      <c r="J25" s="169"/>
      <c r="K25" s="169"/>
      <c r="L25" s="169"/>
      <c r="M25" s="169"/>
      <c r="N25" s="173"/>
      <c r="O25" s="170"/>
      <c r="P25" s="169"/>
      <c r="Q25" s="168">
        <f>79400-5233.33</f>
        <v>74166.67</v>
      </c>
      <c r="R25" s="168">
        <f>Q25*1.05</f>
        <v>77875.003500000006</v>
      </c>
      <c r="W25" s="168">
        <f>1999+1224</f>
        <v>3223</v>
      </c>
    </row>
    <row r="26" spans="1:23" s="168" customFormat="1" ht="26.4" x14ac:dyDescent="0.5">
      <c r="A26" s="175" t="s">
        <v>36</v>
      </c>
      <c r="B26" s="172" t="s">
        <v>135</v>
      </c>
      <c r="C26" s="169"/>
      <c r="D26" s="169"/>
      <c r="E26" s="169"/>
      <c r="F26" s="169"/>
      <c r="G26" s="169"/>
      <c r="H26" s="169"/>
      <c r="I26" s="169"/>
      <c r="J26" s="169"/>
      <c r="K26" s="169"/>
      <c r="L26" s="169"/>
      <c r="M26" s="169"/>
      <c r="N26" s="173"/>
      <c r="O26" s="170" t="s">
        <v>37</v>
      </c>
      <c r="P26" s="169"/>
      <c r="R26" s="168">
        <f>R25+2469</f>
        <v>80344.003500000006</v>
      </c>
    </row>
    <row r="27" spans="1:23" s="168" customFormat="1" ht="26.4" x14ac:dyDescent="0.5">
      <c r="A27" s="175" t="s">
        <v>36</v>
      </c>
      <c r="B27" s="172" t="s">
        <v>134</v>
      </c>
      <c r="C27" s="169"/>
      <c r="D27" s="169"/>
      <c r="E27" s="169"/>
      <c r="F27" s="169"/>
      <c r="G27" s="169"/>
      <c r="H27" s="169"/>
      <c r="I27" s="169"/>
      <c r="J27" s="169"/>
      <c r="K27" s="169"/>
      <c r="L27" s="169"/>
      <c r="M27" s="169"/>
      <c r="N27" s="173"/>
      <c r="O27" s="170">
        <f>129500-110900</f>
        <v>18600</v>
      </c>
      <c r="P27" s="169"/>
      <c r="W27" s="174">
        <f>N7+L14</f>
        <v>4368.8249077768751</v>
      </c>
    </row>
    <row r="28" spans="1:23" s="168" customFormat="1" ht="26.4" x14ac:dyDescent="0.5">
      <c r="B28" s="172" t="s">
        <v>133</v>
      </c>
      <c r="C28" s="169"/>
      <c r="D28" s="169"/>
      <c r="E28" s="169"/>
      <c r="F28" s="169"/>
      <c r="G28" s="169"/>
      <c r="H28" s="169"/>
      <c r="I28" s="169"/>
      <c r="J28" s="169"/>
      <c r="K28" s="169"/>
      <c r="L28" s="169"/>
      <c r="M28" s="169"/>
      <c r="N28" s="173"/>
      <c r="O28" s="170">
        <f>85000-69900</f>
        <v>15100</v>
      </c>
      <c r="P28" s="169"/>
    </row>
    <row r="29" spans="1:23" s="168" customFormat="1" ht="26.4" x14ac:dyDescent="0.5">
      <c r="B29" s="172" t="s">
        <v>132</v>
      </c>
      <c r="C29" s="169"/>
      <c r="D29" s="169"/>
      <c r="E29" s="169"/>
      <c r="F29" s="169"/>
      <c r="G29" s="169"/>
      <c r="H29" s="169"/>
      <c r="I29" s="169"/>
      <c r="J29" s="169"/>
      <c r="K29" s="169"/>
      <c r="L29" s="169"/>
      <c r="M29" s="169"/>
      <c r="N29" s="171"/>
      <c r="O29" s="170"/>
      <c r="P29" s="169"/>
    </row>
    <row r="30" spans="1:23" x14ac:dyDescent="0.3">
      <c r="B30" s="167" t="s">
        <v>38</v>
      </c>
      <c r="C30" s="166"/>
      <c r="D30" s="166"/>
      <c r="E30" s="166"/>
      <c r="F30" s="166"/>
      <c r="G30" s="166"/>
      <c r="H30" s="166"/>
      <c r="I30" s="166"/>
      <c r="J30" s="166"/>
      <c r="K30" s="166"/>
      <c r="L30" s="166"/>
      <c r="M30" s="166"/>
      <c r="N30" s="165"/>
      <c r="O30" s="147"/>
    </row>
    <row r="31" spans="1:23" x14ac:dyDescent="0.3">
      <c r="B31" s="146"/>
      <c r="C31" s="145"/>
      <c r="D31" s="145"/>
      <c r="E31" s="145"/>
      <c r="F31" s="145"/>
      <c r="G31" s="145"/>
      <c r="H31" s="145"/>
      <c r="I31" s="145"/>
      <c r="J31" s="145"/>
      <c r="K31" s="145"/>
      <c r="L31" s="145"/>
      <c r="M31" s="145"/>
      <c r="N31" s="144"/>
      <c r="O31" s="147"/>
    </row>
    <row r="32" spans="1:23" s="86" customFormat="1" ht="20.399999999999999" x14ac:dyDescent="0.35">
      <c r="B32" s="118" t="s">
        <v>39</v>
      </c>
      <c r="C32" s="119"/>
      <c r="D32" s="119"/>
      <c r="E32" s="119"/>
      <c r="F32" s="119"/>
      <c r="G32" s="119"/>
      <c r="H32" s="119"/>
      <c r="I32" s="119"/>
      <c r="J32" s="119"/>
      <c r="K32" s="119"/>
      <c r="L32" s="119"/>
      <c r="M32" s="119"/>
      <c r="N32" s="120"/>
      <c r="O32" s="92"/>
      <c r="P32" s="83"/>
    </row>
    <row r="33" spans="2:16" s="86" customFormat="1" ht="20.399999999999999" x14ac:dyDescent="0.35">
      <c r="B33" s="118" t="s">
        <v>40</v>
      </c>
      <c r="C33" s="119"/>
      <c r="D33" s="119"/>
      <c r="E33" s="119"/>
      <c r="F33" s="119"/>
      <c r="G33" s="119"/>
      <c r="H33" s="119"/>
      <c r="I33" s="119"/>
      <c r="J33" s="119"/>
      <c r="K33" s="119"/>
      <c r="L33" s="119"/>
      <c r="M33" s="119"/>
      <c r="N33" s="120"/>
      <c r="O33" s="92"/>
      <c r="P33" s="83"/>
    </row>
    <row r="34" spans="2:16" s="86" customFormat="1" ht="20.399999999999999" x14ac:dyDescent="0.35">
      <c r="B34" s="107" t="s">
        <v>131</v>
      </c>
      <c r="C34" s="108"/>
      <c r="D34" s="108"/>
      <c r="E34" s="108"/>
      <c r="F34" s="108"/>
      <c r="G34" s="164" t="s">
        <v>130</v>
      </c>
      <c r="H34" s="164"/>
      <c r="I34" s="163"/>
      <c r="J34" s="163"/>
      <c r="K34" s="163"/>
      <c r="L34" s="163"/>
      <c r="M34" s="162" t="s">
        <v>129</v>
      </c>
      <c r="N34" s="161"/>
      <c r="O34" s="83"/>
      <c r="P34" s="83"/>
    </row>
    <row r="35" spans="2:16" x14ac:dyDescent="0.3">
      <c r="B35" s="160"/>
      <c r="C35" s="159"/>
      <c r="D35" s="159"/>
      <c r="E35" s="159"/>
      <c r="F35" s="159"/>
      <c r="G35" s="159"/>
      <c r="H35" s="159"/>
      <c r="I35" s="159"/>
      <c r="J35" s="159"/>
      <c r="K35" s="159"/>
      <c r="L35" s="159"/>
      <c r="M35" s="159"/>
      <c r="N35" s="158"/>
    </row>
    <row r="36" spans="2:16" x14ac:dyDescent="0.3">
      <c r="B36" s="160"/>
      <c r="C36" s="159"/>
      <c r="D36" s="159"/>
      <c r="E36" s="159"/>
      <c r="F36" s="159"/>
      <c r="G36" s="159"/>
      <c r="H36" s="159"/>
      <c r="I36" s="159"/>
      <c r="J36" s="159"/>
      <c r="K36" s="159"/>
      <c r="L36" s="159"/>
      <c r="M36" s="159"/>
      <c r="N36" s="158"/>
    </row>
    <row r="37" spans="2:16" x14ac:dyDescent="0.3">
      <c r="B37" s="160"/>
      <c r="C37" s="159"/>
      <c r="D37" s="159"/>
      <c r="E37" s="159"/>
      <c r="F37" s="159"/>
      <c r="G37" s="159"/>
      <c r="H37" s="159"/>
      <c r="I37" s="159"/>
      <c r="J37" s="159"/>
      <c r="K37" s="159"/>
      <c r="L37" s="159"/>
      <c r="M37" s="159"/>
      <c r="N37" s="158"/>
    </row>
    <row r="38" spans="2:16" ht="16.8" x14ac:dyDescent="0.3">
      <c r="B38" s="149" t="s">
        <v>128</v>
      </c>
      <c r="C38" s="157"/>
      <c r="D38" s="154"/>
      <c r="E38" s="151"/>
      <c r="F38" s="151"/>
      <c r="G38" s="151"/>
      <c r="H38" s="151"/>
      <c r="I38" s="151"/>
      <c r="J38" s="152"/>
      <c r="K38" s="151"/>
      <c r="L38" s="151"/>
      <c r="M38" s="151"/>
      <c r="N38" s="156"/>
    </row>
    <row r="39" spans="2:16" ht="16.8" x14ac:dyDescent="0.3">
      <c r="B39" s="149" t="s">
        <v>127</v>
      </c>
      <c r="C39" s="155"/>
      <c r="D39" s="154"/>
      <c r="E39" s="151"/>
      <c r="F39" s="151"/>
      <c r="G39" s="151"/>
      <c r="H39" s="151"/>
      <c r="I39" s="151"/>
      <c r="J39" s="152"/>
      <c r="K39" s="151"/>
      <c r="L39" s="151"/>
      <c r="M39" s="151"/>
      <c r="N39" s="150"/>
    </row>
    <row r="40" spans="2:16" ht="16.8" x14ac:dyDescent="0.3">
      <c r="B40" s="149" t="s">
        <v>126</v>
      </c>
      <c r="C40" s="153"/>
      <c r="D40" s="151"/>
      <c r="E40" s="151"/>
      <c r="F40" s="151"/>
      <c r="G40" s="151"/>
      <c r="H40" s="151"/>
      <c r="I40" s="151"/>
      <c r="J40" s="152"/>
      <c r="K40" s="151"/>
      <c r="L40" s="151"/>
      <c r="M40" s="151"/>
      <c r="N40" s="150"/>
    </row>
    <row r="41" spans="2:16" ht="16.8" x14ac:dyDescent="0.3">
      <c r="B41" s="149" t="s">
        <v>125</v>
      </c>
      <c r="N41" s="148"/>
    </row>
    <row r="42" spans="2:16" ht="16.8" x14ac:dyDescent="0.3">
      <c r="B42" s="149" t="s">
        <v>124</v>
      </c>
      <c r="N42" s="148"/>
    </row>
    <row r="43" spans="2:16" ht="16.8" x14ac:dyDescent="0.3">
      <c r="B43" s="149" t="s">
        <v>123</v>
      </c>
      <c r="N43" s="148"/>
    </row>
    <row r="44" spans="2:16" ht="16.8" x14ac:dyDescent="0.3">
      <c r="B44" s="149" t="s">
        <v>122</v>
      </c>
      <c r="N44" s="148"/>
    </row>
    <row r="45" spans="2:16" ht="16.8" x14ac:dyDescent="0.3">
      <c r="B45" s="149" t="s">
        <v>121</v>
      </c>
      <c r="N45" s="148"/>
    </row>
    <row r="46" spans="2:16" ht="16.8" x14ac:dyDescent="0.3">
      <c r="B46" s="149" t="s">
        <v>120</v>
      </c>
      <c r="N46" s="148"/>
    </row>
    <row r="47" spans="2:16" x14ac:dyDescent="0.3">
      <c r="B47" s="146" t="s">
        <v>39</v>
      </c>
      <c r="C47" s="145"/>
      <c r="D47" s="145"/>
      <c r="E47" s="145"/>
      <c r="F47" s="145"/>
      <c r="G47" s="145"/>
      <c r="H47" s="145"/>
      <c r="I47" s="145"/>
      <c r="J47" s="145"/>
      <c r="K47" s="145"/>
      <c r="L47" s="145"/>
      <c r="M47" s="145"/>
      <c r="N47" s="144"/>
      <c r="O47" s="147"/>
    </row>
    <row r="48" spans="2:16" x14ac:dyDescent="0.3">
      <c r="B48" s="146" t="s">
        <v>40</v>
      </c>
      <c r="C48" s="145"/>
      <c r="D48" s="145"/>
      <c r="E48" s="145"/>
      <c r="F48" s="145"/>
      <c r="G48" s="145"/>
      <c r="H48" s="145"/>
      <c r="I48" s="145"/>
      <c r="J48" s="145"/>
      <c r="K48" s="145"/>
      <c r="L48" s="145"/>
      <c r="M48" s="145"/>
      <c r="N48" s="144"/>
      <c r="O48" s="147"/>
    </row>
    <row r="49" spans="2:14" x14ac:dyDescent="0.3">
      <c r="B49" s="146" t="s">
        <v>119</v>
      </c>
      <c r="C49" s="145"/>
      <c r="D49" s="145"/>
      <c r="E49" s="145"/>
      <c r="F49" s="145"/>
      <c r="G49" s="145"/>
      <c r="H49" s="145"/>
      <c r="I49" s="145"/>
      <c r="J49" s="145"/>
      <c r="K49" s="145"/>
      <c r="L49" s="145"/>
      <c r="M49" s="145"/>
      <c r="N49" s="144"/>
    </row>
    <row r="50" spans="2:14" ht="25.8" x14ac:dyDescent="0.3">
      <c r="C50" s="15" t="s">
        <v>41</v>
      </c>
    </row>
    <row r="51" spans="2:14" ht="25.8" x14ac:dyDescent="0.3">
      <c r="C51" s="15" t="s">
        <v>42</v>
      </c>
    </row>
    <row r="52" spans="2:14" ht="25.8" x14ac:dyDescent="0.3">
      <c r="C52" s="15" t="s">
        <v>43</v>
      </c>
    </row>
    <row r="53" spans="2:14" ht="25.8" x14ac:dyDescent="0.3">
      <c r="C53" s="15" t="s">
        <v>44</v>
      </c>
    </row>
    <row r="54" spans="2:14" ht="25.8" x14ac:dyDescent="0.3">
      <c r="C54" s="15" t="s">
        <v>45</v>
      </c>
    </row>
  </sheetData>
  <dataConsolidate/>
  <mergeCells count="11">
    <mergeCell ref="F8:G8"/>
    <mergeCell ref="F9:G9"/>
    <mergeCell ref="G19:I19"/>
    <mergeCell ref="B22:N22"/>
    <mergeCell ref="B30:N30"/>
    <mergeCell ref="B32:N32"/>
    <mergeCell ref="B33:N33"/>
    <mergeCell ref="B47:N47"/>
    <mergeCell ref="B48:N48"/>
    <mergeCell ref="B49:N49"/>
    <mergeCell ref="B31:N31"/>
  </mergeCells>
  <dataValidations count="11">
    <dataValidation type="list" allowBlank="1" showInputMessage="1" showErrorMessage="1" sqref="H34" xr:uid="{9076D2A4-4AA9-4813-9984-CB3AFCEC9F9D}">
      <formula1>"ALAA HAMMAD,KHALED QASSEM,RAMY RAOUF,SIMON LOBO,MHAREN CLEMENTE GARADO"</formula1>
    </dataValidation>
    <dataValidation type="list" allowBlank="1" showInputMessage="1" showErrorMessage="1" sqref="M34" xr:uid="{F2940753-F3A3-4BC5-AC2B-C9844A218C5C}">
      <formula1>"Alaa Hammad,Bachir Ibrahim Mourad,Khaled Qassem,Ramy Raoof,Simon Lobo,Mharen Clemente Garado,Ranjith"</formula1>
    </dataValidation>
    <dataValidation type="list" allowBlank="1" showInputMessage="1" showErrorMessage="1" sqref="B11" xr:uid="{7E375EC1-3683-42FB-98AB-31CF7F2E4F58}">
      <formula1>"FO Ceramic+ Intr&amp;Extr CeramicGold WdwTnt,FO Mirror Camera Sensor"</formula1>
    </dataValidation>
    <dataValidation type="list" allowBlank="1" showInputMessage="1" showErrorMessage="1" sqref="B12" xr:uid="{D9BB9AFF-6427-4D73-9B1A-A248A7E04374}">
      <formula1>"FO Exterior ceramic All Cars SCOTCHGUARD,FO Mirror Camera Sensor,FO PPF Gold Package "</formula1>
    </dataValidation>
    <dataValidation type="list" allowBlank="1" showInputMessage="1" showErrorMessage="1" sqref="K20" xr:uid="{669049D5-07F4-4054-98B6-65B714D6AC8E}">
      <formula1>"Esaad,Emirates Platinum,Fazaa,Humat Alwatan,Permissible,ASX,XPMLP,XP,MON,MON G57,OUT,F08,P08,F06,P06,F03,F03-1,P03,EC,G37,G38,G40,G43"</formula1>
    </dataValidation>
    <dataValidation type="list" allowBlank="1" showInputMessage="1" showErrorMessage="1" sqref="B16" xr:uid="{0C5171A5-473A-4CA6-81BB-D082690BC4CF}">
      <formula1>"RMC-10-40KMS,RMC-10-60KMS,RMC-10-70KMS,RMC-10-100000KMS,RMC-40-70KMS,RMC-40-100000KMS"</formula1>
    </dataValidation>
    <dataValidation type="list" allowBlank="1" showInputMessage="1" showErrorMessage="1" sqref="K24" xr:uid="{28121404-6226-47EE-8FC2-B5A31EE5BE5F}">
      <formula1>"RMC-10-70K,RMC-10-100000K,RMC-40-70K"</formula1>
    </dataValidation>
    <dataValidation type="list" allowBlank="1" showInputMessage="1" showErrorMessage="1" sqref="D5" xr:uid="{E112C4D5-65EC-4AB6-8A5A-162C582FD47E}">
      <formula1>"MIG09,MIG10,H16,P16,H17,H48,H43,H40,H42,H44,H45,H38,H37,EH40,EH43,ML,HL,PR, MLP,HLP,PRP,XPML,XPHL,XPMLP, XPMLP-01,XC, G10,P10, G03, P03, G06,P06,G12,P12,G05,P05,G08,P08,G09,P09,H57,P57,H64,H59,P59,H61,P61"</formula1>
    </dataValidation>
    <dataValidation type="list" allowBlank="1" showInputMessage="1" showErrorMessage="1" sqref="M21" xr:uid="{6C04E880-252E-409F-8FE9-13D3FBF81B25}">
      <formula1>"3000-4999,5000-9999,5000-99999,10000-14999,15000-24999,25000-34999,35000-99999,5000-11999,12000-19999,20000-39999,40000-69999,70000-99999"</formula1>
    </dataValidation>
    <dataValidation type="list" allowBlank="1" showInputMessage="1" showErrorMessage="1" sqref="C10:C16 L20 L24:L25 G14:G15 J10" xr:uid="{F0F38508-9C75-43C9-8321-561C02671E96}">
      <formula1>"YES,NO"</formula1>
    </dataValidation>
    <dataValidation type="list" allowBlank="1" showInputMessage="1" showErrorMessage="1" sqref="K21" xr:uid="{D85800E3-1155-4104-867E-0286A04206EF}">
      <formula1>"ADCB,ADCB PAY IN 2027,Ajman Bank,ADIB,DIB EXPAT,DIB LOCAL GVH,Emirates NBD,EIB,FAB,RAK,SIB STL,SIB NON STL"</formula1>
    </dataValidation>
  </dataValidations>
  <pageMargins left="0.23622047244094491" right="0.23622047244094491" top="0.74803149606299213" bottom="0.74803149606299213" header="0.31496062992125984" footer="0.31496062992125984"/>
  <pageSetup paperSize="9" scale="40" orientation="landscape" horizontalDpi="4294967295" verticalDpi="4294967295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BB2CCF-BE43-4998-9696-E5749DC0234C}">
  <sheetPr>
    <pageSetUpPr fitToPage="1"/>
  </sheetPr>
  <dimension ref="A1:AA54"/>
  <sheetViews>
    <sheetView topLeftCell="B1" zoomScaleNormal="100" workbookViewId="0">
      <selection activeCell="D5" sqref="D5"/>
    </sheetView>
  </sheetViews>
  <sheetFormatPr defaultColWidth="9.109375" defaultRowHeight="15.6" x14ac:dyDescent="0.3"/>
  <cols>
    <col min="1" max="1" width="16" style="1" hidden="1" customWidth="1"/>
    <col min="2" max="2" width="75.109375" style="2" customWidth="1"/>
    <col min="3" max="3" width="26.88671875" style="3" customWidth="1"/>
    <col min="4" max="4" width="23.88671875" style="2" customWidth="1"/>
    <col min="5" max="5" width="23.33203125" style="2" customWidth="1"/>
    <col min="6" max="6" width="19.88671875" style="2" customWidth="1"/>
    <col min="7" max="7" width="23.33203125" style="2" customWidth="1"/>
    <col min="8" max="8" width="24.44140625" style="2" customWidth="1"/>
    <col min="9" max="9" width="27.109375" style="2" customWidth="1"/>
    <col min="10" max="10" width="26.6640625" style="2" customWidth="1"/>
    <col min="11" max="11" width="25.44140625" style="2" customWidth="1"/>
    <col min="12" max="12" width="20.5546875" style="2" customWidth="1"/>
    <col min="13" max="13" width="20.109375" style="2" customWidth="1"/>
    <col min="14" max="14" width="19.5546875" style="2" customWidth="1"/>
    <col min="15" max="15" width="15.109375" style="2" bestFit="1" customWidth="1"/>
    <col min="16" max="16" width="12.6640625" style="2" hidden="1" customWidth="1"/>
    <col min="17" max="17" width="12.6640625" style="1" hidden="1" customWidth="1"/>
    <col min="18" max="18" width="15.6640625" style="1" hidden="1" customWidth="1"/>
    <col min="19" max="19" width="13" style="1" hidden="1" customWidth="1"/>
    <col min="20" max="20" width="17.109375" style="1" hidden="1" customWidth="1"/>
    <col min="21" max="21" width="14.5546875" style="1" bestFit="1" customWidth="1"/>
    <col min="22" max="22" width="19" style="1" customWidth="1"/>
    <col min="23" max="23" width="22.5546875" style="1" bestFit="1" customWidth="1"/>
    <col min="24" max="25" width="9.109375" style="1"/>
    <col min="26" max="26" width="14" style="1" bestFit="1" customWidth="1"/>
    <col min="27" max="27" width="22.33203125" style="1" bestFit="1" customWidth="1"/>
    <col min="28" max="16384" width="9.109375" style="1"/>
  </cols>
  <sheetData>
    <row r="1" spans="1:27" ht="15.75" customHeight="1" x14ac:dyDescent="0.3">
      <c r="B1" s="222" t="s">
        <v>148</v>
      </c>
      <c r="C1" s="221"/>
      <c r="D1" s="221"/>
      <c r="E1" s="221"/>
      <c r="F1" s="221"/>
      <c r="G1" s="221"/>
      <c r="H1" s="221"/>
      <c r="I1" s="221"/>
      <c r="J1" s="221"/>
      <c r="K1" s="221"/>
      <c r="L1" s="221"/>
      <c r="M1" s="221"/>
      <c r="N1" s="220"/>
    </row>
    <row r="2" spans="1:27" ht="15.75" customHeight="1" x14ac:dyDescent="0.3">
      <c r="B2" s="219" t="s">
        <v>147</v>
      </c>
      <c r="C2" s="218"/>
      <c r="D2" s="218"/>
      <c r="E2" s="218"/>
      <c r="F2" s="218"/>
      <c r="G2" s="218"/>
      <c r="H2" s="218"/>
      <c r="I2" s="218"/>
      <c r="J2" s="218"/>
      <c r="K2" s="218"/>
      <c r="L2" s="218"/>
      <c r="M2" s="218"/>
      <c r="N2" s="217"/>
      <c r="Q2" s="2"/>
      <c r="S2" s="186"/>
    </row>
    <row r="3" spans="1:27" ht="15.75" customHeight="1" x14ac:dyDescent="0.3">
      <c r="B3" s="219" t="s">
        <v>146</v>
      </c>
      <c r="C3" s="218"/>
      <c r="D3" s="218"/>
      <c r="E3" s="218"/>
      <c r="F3" s="218"/>
      <c r="G3" s="218"/>
      <c r="H3" s="218"/>
      <c r="I3" s="218"/>
      <c r="J3" s="218"/>
      <c r="K3" s="218"/>
      <c r="L3" s="218"/>
      <c r="M3" s="218"/>
      <c r="N3" s="217"/>
      <c r="O3" s="3"/>
      <c r="P3" s="3"/>
      <c r="Q3" s="153"/>
      <c r="R3" s="153"/>
      <c r="S3" s="216" t="e">
        <f>N7+J14</f>
        <v>#VALUE!</v>
      </c>
      <c r="T3" s="216"/>
      <c r="U3" s="153"/>
      <c r="V3" s="153"/>
      <c r="W3" s="153"/>
      <c r="AA3" s="1">
        <f>273000/5</f>
        <v>54600</v>
      </c>
    </row>
    <row r="4" spans="1:27" ht="15.75" customHeight="1" x14ac:dyDescent="0.3">
      <c r="B4" s="215"/>
      <c r="C4" s="214"/>
      <c r="D4" s="214"/>
      <c r="E4" s="214"/>
      <c r="F4" s="214"/>
      <c r="G4" s="214"/>
      <c r="H4" s="214"/>
      <c r="I4" s="214"/>
      <c r="J4" s="214"/>
      <c r="K4" s="214"/>
      <c r="L4" s="214"/>
      <c r="M4" s="214"/>
      <c r="N4" s="213"/>
      <c r="O4" s="212" t="s">
        <v>0</v>
      </c>
      <c r="P4" s="212"/>
      <c r="Q4" s="210"/>
      <c r="R4" s="210"/>
      <c r="S4" s="211"/>
      <c r="T4" s="211"/>
      <c r="U4" s="210" t="s">
        <v>1</v>
      </c>
      <c r="V4" s="210" t="s">
        <v>2</v>
      </c>
      <c r="W4" s="210" t="s">
        <v>3</v>
      </c>
    </row>
    <row r="5" spans="1:27" ht="25.2" thickBot="1" x14ac:dyDescent="0.45">
      <c r="B5" s="17"/>
      <c r="C5" s="18" t="str">
        <f>IF(D5="MIG09","Mirage G09",IF(D5="MIG10","MirageG10",IF(D5="H16","Attrage H16",IF(D5="P16","Attrage P16",IF(D5="H17","Attrage H17",IF(D5="H48","ASX H48",IF(D5="H43","ASX H43",IF(D5="H40","ASX H40",IF(D5="H42","ASX H42",IF(D5="H44","ASX H44",IF(D5="H45","ASX H45",IF(D5="H38","Eclipse H38",IF(D5="H37","Eclipse H37",IF(D5="EH40","Eclipse H40",IF(D5="EH43","Eclipse H43",IF(D5="XPML","Xpander ML",IF(D5="ML","Destinator ML",IF(D5="HL","Destinator HL",IF(D5="PR","Destinator PR",IF(D5="MLP","Destinator MLP",IF(D5="HLP","Destinator HLP",IF(D5="PRP","Destinator PRP",IF(D5="XPHL","Xpander HL",IF(D5="XPMLP","Xpander ML P",IF(D5="XPMLP-01","Xpander ML P-01",IF(D5="XC","Xpander Cross",IF(D5="G03","Outlander G03",IF(D5="P03","Outlander P03",IF(D5="G06","Outlander G06",IF(D5="P06","Outlander P06",IF(D5="OTP06-01","Outlander P06-01",IF(D5="G08","Outlander G08",IF(D5="P08","Outlander P08",IF(D5="H57","Montero H57",IF(D5="P57","Montero P57",IF(D5="H64","Montero G64",IF(D5="H59","Montero G59",IF(D5="P59","Montero G59 P",IF(D5="H61","Montero G61",IF(D5="P61","Montero P61",IF(D5="G10","Outlander G10",IF(D5="P10","Outlander P10",IF(D5="G12","Outlander G12",IF(D5="P12","Outlander P12",IF(D5="G05","Outlander G05",IF(D5="P05","Outlander P05",IF(D5="G09","Outlander G09",IF(D5="P09","Outlander P09",))))))))))))))))))))))))))))))))))))))))))))))))</f>
        <v>Outlander G08</v>
      </c>
      <c r="D5" s="19" t="s">
        <v>163</v>
      </c>
      <c r="E5" s="20" t="s">
        <v>145</v>
      </c>
      <c r="F5" s="37"/>
      <c r="G5" s="37"/>
      <c r="H5" s="37"/>
      <c r="I5" s="20"/>
      <c r="J5" s="34"/>
      <c r="K5" s="209">
        <v>0</v>
      </c>
      <c r="L5" s="208">
        <v>3.39E-2</v>
      </c>
      <c r="M5" s="208">
        <v>6.7799999999999999E-2</v>
      </c>
      <c r="N5" s="208">
        <v>0.1017</v>
      </c>
      <c r="O5" s="147">
        <f>K7+K14</f>
        <v>15800.394637142501</v>
      </c>
      <c r="S5" s="186"/>
      <c r="U5" s="186">
        <f>L7+L14</f>
        <v>6523.4338830747911</v>
      </c>
      <c r="V5" s="186">
        <f>M7+M14</f>
        <v>4411.3584741362502</v>
      </c>
      <c r="W5" s="186">
        <f>N7+N14</f>
        <v>3100.9904414081252</v>
      </c>
    </row>
    <row r="6" spans="1:27" s="5" customFormat="1" ht="99" thickBot="1" x14ac:dyDescent="0.35">
      <c r="A6" s="4" t="s">
        <v>4</v>
      </c>
      <c r="B6" s="26" t="s">
        <v>5</v>
      </c>
      <c r="C6" s="27" t="s">
        <v>6</v>
      </c>
      <c r="D6" s="27" t="s">
        <v>144</v>
      </c>
      <c r="E6" s="27" t="s">
        <v>7</v>
      </c>
      <c r="F6" s="27" t="s">
        <v>8</v>
      </c>
      <c r="G6" s="28" t="s">
        <v>9</v>
      </c>
      <c r="H6" s="28" t="s">
        <v>143</v>
      </c>
      <c r="I6" s="28" t="s">
        <v>10</v>
      </c>
      <c r="J6" s="28" t="s">
        <v>142</v>
      </c>
      <c r="K6" s="28" t="s">
        <v>11</v>
      </c>
      <c r="L6" s="28" t="s">
        <v>12</v>
      </c>
      <c r="M6" s="28" t="s">
        <v>13</v>
      </c>
      <c r="N6" s="28" t="s">
        <v>14</v>
      </c>
      <c r="O6" s="207"/>
      <c r="P6" s="206"/>
      <c r="T6" s="205"/>
      <c r="U6" s="205">
        <f>N7+L14</f>
        <v>5154.4565064081253</v>
      </c>
      <c r="V6" s="205">
        <f>N7+K14</f>
        <v>12720.1955396425</v>
      </c>
      <c r="W6" s="205" t="e">
        <f>N7+J14</f>
        <v>#VALUE!</v>
      </c>
    </row>
    <row r="7" spans="1:27" ht="25.2" thickBot="1" x14ac:dyDescent="0.45">
      <c r="A7" s="6">
        <f>B8</f>
        <v>125900</v>
      </c>
      <c r="B7" s="29">
        <f>IF(L20="YES",C8*1,IF(L20="NO",B8*1))</f>
        <v>125900</v>
      </c>
      <c r="C7" s="29">
        <f>B7*5/100</f>
        <v>6295</v>
      </c>
      <c r="D7" s="203">
        <f>B7+C7</f>
        <v>132195</v>
      </c>
      <c r="E7" s="29">
        <f>D17</f>
        <v>21244.954875000003</v>
      </c>
      <c r="F7" s="29">
        <f>(C7)+(D10+D11+D12+D13+D16)*5/100</f>
        <v>6865</v>
      </c>
      <c r="G7" s="30">
        <f>B7+E7+F7</f>
        <v>154009.954875</v>
      </c>
      <c r="H7" s="29">
        <f>G7*D20</f>
        <v>30801.990975000001</v>
      </c>
      <c r="I7" s="30">
        <f>(G7-H7)</f>
        <v>123207.9639</v>
      </c>
      <c r="J7" s="30">
        <f>(((I7*D19)*1)+I7)/12</f>
        <v>10666.729474642501</v>
      </c>
      <c r="K7" s="30">
        <f>(((I7*D19)*2)+I7)/24</f>
        <v>5533.064312142501</v>
      </c>
      <c r="L7" s="30">
        <f>(((I7*D19)*3)+I7)/36</f>
        <v>3821.8425913091664</v>
      </c>
      <c r="M7" s="30">
        <f>(((I7*D19)*4)+I7)/48</f>
        <v>2966.2317308924999</v>
      </c>
      <c r="N7" s="30">
        <f>((((I7*D19)*5)+I7)/60)</f>
        <v>2452.8652146425002</v>
      </c>
      <c r="O7" s="147"/>
      <c r="P7" s="2">
        <f>H7+H16</f>
        <v>32095.67459595</v>
      </c>
      <c r="T7" s="186">
        <f>25973/2</f>
        <v>12986.5</v>
      </c>
    </row>
    <row r="8" spans="1:27" ht="24.6" x14ac:dyDescent="0.4">
      <c r="A8" s="7">
        <v>0.2</v>
      </c>
      <c r="B8" s="31">
        <f>IF(D5="MIG09",39900,IF(D5="MIG10",41900,IF(D5="H16",41900,IF(D5="P16",47400,IF(D5="H17",47900,IF(D5="H48",67900,IF(D5="H43",70900,IF(D5="H40",72900,IF(D5="H42",74900,IF(D5="H44",73900,IF(D5="H45",79900,IF(D5="H38",86900,IF(D5="H37",79900,IF(D5="EH40",99900,IF(D5="EH43",106900,IF(D5="ML",71900,IF(D5="HL",83900,IF(D5="PR",95900,IF(D5="MLP",80900,IF(D5="HLP",91900,IF(D5="PRP",102900,IF(D5="XPML",69900,IF(D5="XPHL",71000,IF(D5="XPMLP",75900,IF(D5="XPMLP-01",77800,IF(D5="XC",84900,IF(D5="G10",81900,IF(D5="P10",93900,IF(D5="G12",97900,IF(D5="P12",105900,IF(D5="G05",104900,IF(D5="P05",105900,IF(D5="G03",92900,IF(D5="P03",100900,IF(D5="G06",109900,IF(D5="P06",114900,IF(D5="OTP06-01",118900,IF(D5="G08",125900,IF(D5="P08",132900,IF(D5="OTP06-01",109900,IF(D5="G09",129900,IF(D5="P09",134900,IF(D5="H57",105900,IF(D5="P57",113900,IF(D5="H64",116900,IF(D5="H59",127900,IF(D5="P59",134900,IF(D5="H61",134900,IF(D5="P61",138900)))))))))))))))))))))))))))))))))))))))))))))))))</f>
        <v>125900</v>
      </c>
      <c r="C8" s="32">
        <f>IF(L20="YES",N20,IF(L20="NO",N20))</f>
        <v>125900</v>
      </c>
      <c r="D8" s="29">
        <v>0</v>
      </c>
      <c r="E8" s="33"/>
      <c r="F8" s="139"/>
      <c r="G8" s="140"/>
      <c r="H8" s="110">
        <f>G7*20/100</f>
        <v>30801.990975000001</v>
      </c>
      <c r="I8" s="34"/>
      <c r="J8" s="34" t="s">
        <v>15</v>
      </c>
      <c r="K8" s="34">
        <f>(I7*K5+I7)/24</f>
        <v>5133.6651625000004</v>
      </c>
      <c r="L8" s="34">
        <f>(I7*L5+I7)/36</f>
        <v>3538.4642743391669</v>
      </c>
      <c r="M8" s="34">
        <f>(I7*M5+I7)/48</f>
        <v>2740.8638302587501</v>
      </c>
      <c r="N8" s="34">
        <f>(I7*N5+I7)/60</f>
        <v>2262.3035638104998</v>
      </c>
      <c r="O8" s="147">
        <v>0</v>
      </c>
      <c r="P8" s="2">
        <f>P7/12</f>
        <v>2674.6395496625</v>
      </c>
      <c r="T8" s="1">
        <f>25973-12973</f>
        <v>13000</v>
      </c>
    </row>
    <row r="9" spans="1:27" ht="24.6" x14ac:dyDescent="0.4">
      <c r="A9" s="8">
        <f>B8/(100%-A8)</f>
        <v>157375</v>
      </c>
      <c r="B9" s="109">
        <f>B7-B8</f>
        <v>0</v>
      </c>
      <c r="C9" s="109"/>
      <c r="D9" s="36"/>
      <c r="E9" s="33"/>
      <c r="F9" s="139"/>
      <c r="G9" s="140"/>
      <c r="H9" s="33"/>
      <c r="I9" s="37" t="s">
        <v>16</v>
      </c>
      <c r="J9" s="38">
        <f>(J7*12)-I7</f>
        <v>4792.7897957100067</v>
      </c>
      <c r="K9" s="38">
        <f>(K7*24)-I7</f>
        <v>9585.5795914200135</v>
      </c>
      <c r="L9" s="38">
        <f>(L7*36)-I7</f>
        <v>14378.369387129991</v>
      </c>
      <c r="M9" s="38">
        <f>(M7*48)-I7</f>
        <v>19171.159182839998</v>
      </c>
      <c r="N9" s="38">
        <f>(N7*60)-I7</f>
        <v>23963.948978550005</v>
      </c>
      <c r="O9" s="147"/>
      <c r="T9" s="1">
        <f>T8/12</f>
        <v>1083.3333333333333</v>
      </c>
      <c r="Z9" s="1" t="s">
        <v>86</v>
      </c>
    </row>
    <row r="10" spans="1:27" ht="24.6" x14ac:dyDescent="0.4">
      <c r="A10" s="8"/>
      <c r="B10" s="37" t="s">
        <v>141</v>
      </c>
      <c r="C10" s="20" t="s">
        <v>17</v>
      </c>
      <c r="D10" s="36">
        <f>IF(C10="YES",700,IF(C10="NO",0))</f>
        <v>0</v>
      </c>
      <c r="E10" s="39"/>
      <c r="F10" s="40"/>
      <c r="G10" s="40"/>
      <c r="H10" s="33"/>
      <c r="I10" s="44" t="s">
        <v>85</v>
      </c>
      <c r="J10" s="117" t="s">
        <v>19</v>
      </c>
      <c r="K10" s="117">
        <f>IF(J10="YES",Z10,IF(J10="NO",0))</f>
        <v>1000</v>
      </c>
      <c r="L10" s="41">
        <f>(L8*36)-I7</f>
        <v>4176.7499762100051</v>
      </c>
      <c r="M10" s="41">
        <f>(M8*48)-I7</f>
        <v>8353.4999524200102</v>
      </c>
      <c r="N10" s="41">
        <f>(N8*60)-I7</f>
        <v>12530.249928629986</v>
      </c>
      <c r="O10" s="147">
        <f>IF(D5="XC",3690,IF(D5="XPML",3690,IF(D5="XPHL",3690,IF(D5="XPMLP",3690,IF(D5="XPMLP-01",3690,IF(D5="Xpander P",3690,IF(D5="ML",3690,IF(D5="HL",3690,IF(D5="PR",(U19*3/100+510)*1.05,IF(D5="MLP",3690,IF(D5="HLP",(U19*3/100+510)*1.05,IF(D5="PRP",(U19*3/100+510)*1.05,IF(D5="H57",(U19*2.75/100+510)*1.05,IF(D5="P57",(U19*2.75/100+510)*1.05,IF(D5="H64",(U19*2.75/100+510)*1.05,IF(D5="H59",(U19*2.75/100+510)*1.05,IF(D5="P59",(U19*2.75/100+510)*1.05,IF(D5="H61",(U19*2.75/100+510)*1.05,IF(D5="P61",(U19*2.75/100+510)*1.05,IF(D5="G03",(U19*3/100+510)*1.05,IF(D5="G10",(U19*3/100+510)*1.05,IF(D5="P10",(U19*3/100+510)*1.05,IF(D5="G12",(U19*3/100+510)*1.05,IF(D5="P12",(U19*3/100+510)*1.05,IF(D5="G05",(U19*3/100+510)*1.05,IF(D5="P05",(U19*3/100+510)*1.05,IF(D5="P03",(U19*3/100+510)*1.05,IF(D5="G06",(U19*3/100+510)*1.05,IF(D5="P06",(U19*3/100+510)*1.05,IF(D5="OTP06-01",(U19*3/100+510)*1.05,IF(D5="G08",(U19*3/100+510)*1.05,IF(D5="P08",(U19*3/100+510)*1.05,IF(D5="G09",(U19*3/100+510)*1.05,IF(D5="P09",(U19*3/100+510)*1.05,IF(D5="H38",3625,IF(D5="H37",3625,IF(D5="EH40",(U19*3/100+450)*1.05,IF(D5="EH43",(U19*3/100+450)*1.05,IF(D5="H48",3625,IF(D5="H43",3625,IF(D5="H40",3625,IF(D5="H42",3625,IF(D5="H44",3625,IF(D5="H45",3625,IF(D5="ASX HL 4WD",3625,IF(D5="H16",3625,IF(D5="H17",3625,IF(D5="P16",3625,IF(D5="Attrage S",3625,IF(D5="MIG09",3625,IF(D5="MIG10",3625,IF(D5="Xpander HL",3690))))))))))))))))))))))))))))))))))))))))))))))))))))</f>
        <v>5076.6975000000002</v>
      </c>
      <c r="P10" s="204"/>
      <c r="Q10" s="204">
        <f>5.25*3</f>
        <v>15.75</v>
      </c>
      <c r="Z10" s="1">
        <f>IF(D5="MIG09",1000,IF(D5="MIG10",1000,IF(D5="H16",1000,IF(D5="P16",1000,IF(D5="H17",1000,IF(D5="H48",1000,IF(D5="H43",1000,IF(D5="H40",1000,IF(D5="H42",1000,IF(D5="H44",1000,IF(D5="H45",1000,IF(D5="H38",1000,IF(D5="H37",1000,IF(D5="EH40",1000,IF(D5="EH43",1000,IF(D5="ML",1000,IF(D5="HL",1000,IF(D5="PR",1000,IF(D5="MLP",1000,IF(D5="HLP",1000,IF(D5="PRP",1000,IF(D5="XPML",1000,IF(D5="XPHL",1000,IF(D5="XPMLP",1000,IF(D5="XPMLP-01",1000,IF(D5="XC",1000,IF(D5="G10",1000,IF(D5="P10",1000,IF(D5="G12",1000,IF(D5="P12",1000,IF(D5="G05",1000,IF(D5="P05",1000,IF(D5="G03",1000,IF(D5="P03",1000,IF(D5="G06",1000,IF(D5="P06",1000,IF(D5="OTP06-01",1000,IF(D5="G08",1000,IF(D5="P08",1000,IF(D5="OTP06-01",1000,IF(D5="G09",1000,IF(D5="P09",1000,IF(D5="H57",1000,IF(D5="P57",1000,IF(D5="H64",1000,IF(D5="H59",1000,IF(D5="P59",1000,IF(D5="H61",1000,IF(D5="P61",1000)))))))))))))))))))))))))))))))))))))))))))))))))</f>
        <v>1000</v>
      </c>
    </row>
    <row r="11" spans="1:27" ht="24.6" x14ac:dyDescent="0.4">
      <c r="A11" s="8"/>
      <c r="B11" s="37" t="s">
        <v>18</v>
      </c>
      <c r="C11" s="20" t="s">
        <v>19</v>
      </c>
      <c r="D11" s="203">
        <f>IF(C11="YES",O17,IF(C11="NO",0))</f>
        <v>2700</v>
      </c>
      <c r="E11" s="39"/>
      <c r="F11" s="40"/>
      <c r="G11" s="40"/>
      <c r="H11" s="33"/>
      <c r="I11" s="33"/>
      <c r="J11" s="44" t="s">
        <v>76</v>
      </c>
      <c r="K11" s="44">
        <f>H8-K10</f>
        <v>29801.990975000001</v>
      </c>
      <c r="L11" s="37"/>
      <c r="M11" s="37"/>
      <c r="N11" s="38"/>
      <c r="O11" s="147">
        <f>IF(D5="XC",6100,IF(D5="XPML",6100,IF(D5="XPHL",6100,IF(D5="XPMLP",6100,IF(D5="XPMLP-01",6100,IF(D5="Xpander P",6100,IF(D5="ML",6600,IF(D5="HL",6600,IF(D5="PR",6600,IF(D5="MLP",6600,IF(D5="HLP",6600,IF(D5="PRP",6600,IF(D5="H57",5900,IF(D5="P57",5900,IF(D5="H64",5900,IF(D5="H59",5900,IF(D5="P59",5900,IF(D5="H61",5900,IF(D5="P61",5900,IF(D5="G03",6700,IF(D5="G10",6700,IF(D5="P10",6700,IF(D5="G12",6700,IF(D5="P12",6700,IF(D5="G05",6700,IF(D5="P05",6700,IF(D5="P03",6700,IF(D5="G06",6700,IF(D5="P06",6700,IF(D5="OTP06-01",6700,IF(D5="G08",6700,IF(D5="G09",6700,IF(D5="G08",6700,IF(D5="P08",6700,IF(D5="P09",6700,IF(D5="H37",6400,IF(D5="H38",6400,IF(D5="EH40",6400,IF(D5="EH43",6400,IF(D5="H48",6600,IF(D5="H43",6600,IF(D5="H40",6600,IF(D5="H42",6600,IF(D5="H44",6600,IF(D5="H45",6600,IF(D5="ASX HL 4WD",6600,IF(D5="H16",5400,IF(D5="H17",5400,IF(D5="P16",5400,IF(D5="Attrage S",5400,IF(D5="MIG09",5400,IF(D5="MIG10",5400,IF(D5="Xpander HL",6000)))))))))))))))))))))))))))))))))))))))))))))))))))))</f>
        <v>6700</v>
      </c>
      <c r="P11" s="147"/>
      <c r="Q11" s="147"/>
      <c r="R11" s="147"/>
      <c r="S11" s="147"/>
      <c r="T11" s="147"/>
      <c r="U11" s="147" t="b">
        <f>IF(D5="XC",4900,IF(D5="XPML",4900,IF(D5="XPHL",4900,IF(D5="XPMLP",4900,IF(D5="XPMLP-01",4900,IF(D5="Xpander P",4900,IF(D5="ML",5400,IF(D5="HL",5400,IF(D5="PR",5400,IF(D5="MLP",5400,IF(D5="HLP",5400,IF(D5="PRP",5400,IF(D5="H57",4600,IF(D5="P57",4600,IF(D5="MOG64",4600,IF(D5="H59",4600,IF(D5="P59",4600,IF(D5="H61",4600,IF(D5="P61",4600,IF(D5="G03",5500,IF(D5="P03",5500,IF(D5="G10",5500,IF(D5="P10",5500,IF(D5="G12",5500,IF(D5="P12",5500,IF(D5="G05",5500,IF(D5="P05",5500,IF(D5="G06",5500,IF(D5="P06",5500,IF(D5="OTP06-01",5500,IF(D5="F08",5500,IF(D5="P08",5500,IF(D5="G09",5500,IF(D5="P09",5500,IF(D5="H38",5200,IF(D5="H37",5200,IF(D5="EH40",5200,IF(D5="EH43",5200,IF(D5="H48",5300,IF(D5="H43",5300,IF(D5="H40",5300,IF(D5="H42",5300,IF(D5="H44",5300,IF(D5="H45",5300,IF(D5="ASX HL",5300,IF(D5="ASX P",5300,IF(D5="ASX HL 4WD",5300,IF(D5="H16",4200,IF(D5="H17",4200,IF(D5="P16",4200,IF(D5="Attrage S",4200,IF(D5="MIG09",4200,IF(D5="MIG10",4200,IF(D5="Xpander HL",4900))))))))))))))))))))))))))))))))))))))))))))))))))))))</f>
        <v>0</v>
      </c>
      <c r="V11" s="147">
        <f>IF(D5="XC",9700,IF(D5="XPML",9700,IF(D5="XPHL",9700,IF(D5="XPMLP",9700,IF(D5="XPMLP-01",9700,IF(D5="XPMLP-01",9700,IF(D5="Xpander P",9700,IF(D5="ML",10800,IF(D5="HL",10800,IF(D5="PR",10800,IF(D5="MLP",10800,IF(D5="HLP",10800,IF(D5="PRP",10800,IF(D5="H57",9300,IF(D5="P57",9300,IF(D5="MG64",9300,IF(D5="H59",9300,IF(D5="P59",9300,IF(D5="H61",9300,IF(D5="P61",9300,IF(D5="G03",11000,IF(D5="G10",11000,IF(D5="P10",11000,IF(D5="G12",11000,IF(D5="P12",11000,IF(D5="G05",11000,IF(D5="P05",11000,IF(D5="P03",11000,IF(D5="G06",11000,IF(D5="P06",11000,IF(D5="OTP06-01",11000,IF(D5="G08",11000,IF(D5="P08",11000,IF(D5="G09",11000,IF(D5="P09",11000,IF(D5="H38",10400,IF(D5="H37",10400,IF(D5="EH40",10400,IF(D5="EH43",10400,IF(D5="H48",10700,IF(D5="H43",10700,IF(D5="H40",10700,IF(D5="H42",10700,IF(D5="H44",10800,IF(D5="H45",10800,IF(D5="ASX HL",12200,IF(D5="ASX P",12200,IF(D5="ASX HL 4WD",12200,IF(D5="H16",8500,IF(D5="H17",8500,IF(D5="P16",8500,IF(D5="Attrage S",9600,IF(D5="MIG09",8500,IF(D5="MIG10",8500,IF(D5="Xpander HL",11300)))))))))))))))))))))))))))))))))))))))))))))))))))))))</f>
        <v>11000</v>
      </c>
      <c r="W11" s="147">
        <f>IF(D5="XC",9200,IF(D5="XPML",9200,IF(D5="XPHL",9200,IF(D5="XPMLP",9200,IF(D5="XPMLP-01",9200,IF(D5="Xpander P",9200,IF(D5="ML",10000,IF(D5="HL",10000,IF(D5="PR",10000,IF(D5="MLP",10000,IF(D5="HLP",10000,IF(D5="PRP",10000,IF(D5="H57",8700,IF(D5="P57",8700,IF(D5="H64",8700,IF(D5="H59",8700,IF(D5="P59",8700,IF(D5="H61",8700,IF(D5="P61",8700,IF(D5="G03",10400,IF(D5="P03",10400,IF(D5="G10",10400,IF(D5="P10",10400,IF(D5="G12",10400,IF(D5="P12",10400,IF(D5="G05",10400,IF(D5="P05",10400,IF(D5="G06",10400,IF(D5="P06",10400,IF(D5="OTP06-01",10400,IF(D5="G08",10400,IF(D5="P08",10400,IF(D5="G09",10400,IF(D5="P09",10400,IF(D5="H38",9800,IF(D5="H37",9800,IF(D5="EH40",9800,IF(D5="EH43",9800,IF(D5="H48",10100,IF(D5="H43",10100,IF(D5="H40",10100,IF(D5="H42",10100,IF(D5="H44",10100,IF(D5="H45",10100,IF(D5="ASX HL",10100,IF(D5="ASX P",10100,IF(D5="ASX HL 4WD",10100,IF(D5="H16",7900,IF(D5="H17",7900,IF(D5="P16",7900,IF(D5="Attrage S",7900,IF(D5="MIG09",7900,IF(D5="MIG10",7900,IF(D5="Xpander HL",9200))))))))))))))))))))))))))))))))))))))))))))))))))))))</f>
        <v>10400</v>
      </c>
      <c r="X11" s="147">
        <f>IF(D5="XC",4500,IF(D5="XPML",4500,IF(D5="XPHL",4500,IF(D5="XPMLP",4500,IF(D5="XPMLP-01",4500,IF(D5="Xpander P",4500,IF(D5="ML",5000,IF(D5="HL",5000,IF(D5="PR",5000,IF(D5="MLP",5000,IF(D5="HLP",5000,IF(D5="PRP",5000,IF(D5="H57",8700,IF(D5="P57",8700,IF(D5="MOG64",4300,IF(D5="H59",4300,IF(D5="P59",4300,IF(D5="H61",4300,IF(D5="P61",4300,IF(D5="G03",5000,IF(D5="P03",5000,IF(D5="G10",5000,IF(D5="P10",5000,IF(D5="G12",5000,IF(D5="P12",5000,IF(D5="G05",5000,IF(D5="P05",5000,IF(D5="G06",5000,IF(D5="P06",5000,IF(D5="OTP06-01",5000,IF(D5="G08",5000,IF(D5="P08",5000,IF(D5="G09",5000,IF(D5="P09",5000,IF(D5="H38",4900,IF(D5="H37",4900,IF(D5="EH40",4900,IF(D5="EH43",4900,IF(D5="H48",4900,IF(D5="H43",4900,IF(D5="H40",4900,IF(D5="H42",4900,IF(D5="H44",4900,IF(D5="H45",4900,IF(D5="ASX HL",4900,IF(D5="ASX P",4900,IF(D5="ASX HL 4WD",4900,IF(D5="H16",3700,IF(D5="H17",3700,IF(D5="P16",3700,IF(D5="Attrage S",3700,IF(D5="MIG09",3700,IF(D5="MIG10",3700,IF(D5="Xpander HL",4500))))))))))))))))))))))))))))))))))))))))))))))))))))))</f>
        <v>5000</v>
      </c>
      <c r="Y11" s="147">
        <f>IF(D5="XC",5400,IF(D5="XPML ",5400,IF(D5="XPHL",5400,IF(D5="XPMLP",5400,IF(D5="XPMLP-01",5400,IF(D5="Xpander P",5400,IF(D5="ML",6000,IF(D5="HL",6000,IF(D5="PR",6000,IF(D5="MLP",6000,IF(D5="HLP",6000,IF(D5="PRP",6000,IF(D5="H57",5200,IF(D5="57",5200,IF(D5="H64",5200,IF(D5="H59",5200,IF(D5="P59",5200,IF(D5="H61",5200,IF(D5="P61",5200,IF(D5="G03",6000,IF(D5="P03",6000,IF(D5="G10",6000,IF(D5="P10",6000,IF(D5="G12",6000,IF(D5="P12",6000,IF(D5="G05",6000,IF(D5="P05",6000,IF(D5="G06",6000,IF(D5="P06",6000,IF(D5="OTP06-01",6000,IF(D5="G08",6000,IF(D5="P08",6000,IF(D5="G09",6000,IF(D5="P09",6000,IF(D5="H38",5700,IF(D5="H37",5700,IF(D5="EH40",5700,IF(D5="EH43",5700,IF(D5="H48",5900,IF(D5="H43",5900,IF(D5="H40",5900,IF(D5="H42",5900,IF(D5="H44",5900,IF(D5="H45",5900,IF(D5="ASX HL",5900,IF(D5="ASX P",5900,IF(D5="ASX HL 4WD",5900,IF(D5="H16",4500,IF(D5="H17",4500,IF(D5="P16",4500,IF(D5="Attrage S",4500,IF(D5="MIG09",4500,IF(D5="MIG10",4500,IF(D5="Xpander HL",5400))))))))))))))))))))))))))))))))))))))))))))))))))))))</f>
        <v>6000</v>
      </c>
    </row>
    <row r="12" spans="1:27" ht="24.6" x14ac:dyDescent="0.4">
      <c r="A12" s="8"/>
      <c r="B12" s="37" t="s">
        <v>20</v>
      </c>
      <c r="C12" s="20" t="s">
        <v>17</v>
      </c>
      <c r="D12" s="36">
        <f>IF(C12="YES",2000,IF(C12="NO",0))</f>
        <v>0</v>
      </c>
      <c r="E12" s="43"/>
      <c r="F12" s="43" t="s">
        <v>21</v>
      </c>
      <c r="G12" s="40"/>
      <c r="H12" s="33">
        <v>600</v>
      </c>
      <c r="I12" s="33"/>
      <c r="J12" s="202" t="s">
        <v>140</v>
      </c>
      <c r="K12" s="45">
        <v>0</v>
      </c>
      <c r="L12" s="45">
        <v>5.2499999999999998E-2</v>
      </c>
      <c r="M12" s="45">
        <v>0.126</v>
      </c>
      <c r="N12" s="201">
        <v>0.26250000000000001</v>
      </c>
      <c r="O12" s="147">
        <f>IF(K20="Esaad",B8*3/100,IF(K20="Emirates Platinum",B8*3/100,IF(K20="Fazaa",B8*3/100,IF(K20="Humat Alwatan",B8*3/100,IF(K20="Permissible",2000,IF(K20="ASX",8400,IF(K20="XPMLP",15100,IF(K20="XP",7200,IF(K20="G43",11000,IF(K20="EC",17000,IF(K20="G37",17000,IF(K20="G38",15000,IF(K20="G40",11000,IF(K20="OUT",3000,IF(K20="F08",14400,IF(K20="P08",11100,IF(K20="F06",13100,IF(K20="P06",13400,IF(K20="F03",3500,IF(K20="F03-1",13500,IF(K20="P03",13100,IF(K20="MON",10000,IF(K20="MON G57",9000,0)))))))))))))))))))))))</f>
        <v>2000</v>
      </c>
      <c r="Z12" s="86" t="s">
        <v>83</v>
      </c>
      <c r="AA12" s="86" t="s">
        <v>84</v>
      </c>
    </row>
    <row r="13" spans="1:27" ht="24.6" x14ac:dyDescent="0.4">
      <c r="A13" s="8">
        <f>B8*1.26582</f>
        <v>159366.73799999998</v>
      </c>
      <c r="B13" s="37" t="s">
        <v>23</v>
      </c>
      <c r="C13" s="20" t="s">
        <v>19</v>
      </c>
      <c r="D13" s="36">
        <f>IF(C13="YES",2000,IF(C13="NO",0))</f>
        <v>2000</v>
      </c>
      <c r="E13" s="47"/>
      <c r="F13" s="47" t="s">
        <v>75</v>
      </c>
      <c r="G13" s="51"/>
      <c r="H13" s="39">
        <v>315</v>
      </c>
      <c r="I13" s="33"/>
      <c r="J13" s="44" t="s">
        <v>54</v>
      </c>
      <c r="K13" s="29" t="s">
        <v>79</v>
      </c>
      <c r="L13" s="29" t="s">
        <v>25</v>
      </c>
      <c r="M13" s="29" t="s">
        <v>0</v>
      </c>
      <c r="N13" s="57" t="s">
        <v>26</v>
      </c>
      <c r="O13" s="9">
        <f>IF(M21="3000-4999",6%,IF(M21="5000-9999",4.75%,IF(M21="10000-14999",3.15%,IF(M21="15000-24999",2.5%,IF(M21="25000-34999",2.25%,IF(M21="35000-99999",2.15%))))))</f>
        <v>4.7500000000000001E-2</v>
      </c>
      <c r="Q13" s="2">
        <f>H7/12</f>
        <v>2566.8325812500002</v>
      </c>
      <c r="U13" s="9">
        <f>IF(M21="3000-4999",6%,IF(M21="5000-9999",3.25%,IF(M21="10000-14999",3%,IF(M21="15000-24999",2.25%,IF(M21="25000-34999",2.15%,IF(M21="35000-99999",1.99%))))))</f>
        <v>3.2500000000000001E-2</v>
      </c>
      <c r="Z13" s="99">
        <f>IF(M21="5000-9999",2.49%,IF(M21="10000-19999",2.19%,IF(M21="20000-34999",2.09%,IF(M21="35000-49999",1.89%,IF(M21="50000-99999",1.79%)))))</f>
        <v>2.4900000000000002E-2</v>
      </c>
      <c r="AA13" s="99">
        <f>IF(M21="5000-9999",2.59%,IF(M21="10000-19999",2.29%,IF(M21="20000-34999",2.19%,IF(M21="35000-49999",1.99%,IF(M21="50000-99999",1.89%)))))</f>
        <v>2.5899999999999999E-2</v>
      </c>
    </row>
    <row r="14" spans="1:27" ht="24.6" x14ac:dyDescent="0.4">
      <c r="A14" s="10" t="s">
        <v>27</v>
      </c>
      <c r="B14" s="37" t="s">
        <v>24</v>
      </c>
      <c r="C14" s="20" t="s">
        <v>19</v>
      </c>
      <c r="D14" s="50">
        <f>IF(C14="YES",U19*3.15*1.05/100,IF(C14="NO",U19*0/100))</f>
        <v>4768.2573750000001</v>
      </c>
      <c r="E14" s="48"/>
      <c r="F14" s="48" t="s">
        <v>24</v>
      </c>
      <c r="G14" s="51" t="s">
        <v>17</v>
      </c>
      <c r="H14" s="39">
        <f>IF(G14="YES",U19*3.15*1.05/100,IF(G14="NO",U19*0/100))</f>
        <v>0</v>
      </c>
      <c r="I14" s="33"/>
      <c r="J14" s="44" t="s">
        <v>55</v>
      </c>
      <c r="K14" s="44">
        <f>(H8*K12+H8)/3</f>
        <v>10267.330325000001</v>
      </c>
      <c r="L14" s="44">
        <f>(H8*L12+H8)/12</f>
        <v>2701.5912917656251</v>
      </c>
      <c r="M14" s="44">
        <f>(H8*M12+H8)/24</f>
        <v>1445.1267432437501</v>
      </c>
      <c r="N14" s="200">
        <f>(H7*N12+H7)/60</f>
        <v>648.12522676562503</v>
      </c>
      <c r="O14" s="9">
        <f>IF(M21="3000-4999",3.89%,IF(M21="5000-9999",3.89%,IF(M21="10000-14999",3.89%,IF(M21="15000-24999",2.69%,IF(M21="25000-34999",2.69%,IF(M21="35000-99999",2.39%,IF(M21="76000-99999",2.5%)))))))</f>
        <v>3.8900000000000004E-2</v>
      </c>
    </row>
    <row r="15" spans="1:27" ht="24.6" x14ac:dyDescent="0.4">
      <c r="A15" s="11">
        <f>(B7*3%)+10+120</f>
        <v>3907</v>
      </c>
      <c r="B15" s="37" t="s">
        <v>28</v>
      </c>
      <c r="C15" s="20" t="s">
        <v>19</v>
      </c>
      <c r="D15" s="29">
        <f>IF(C15="YES",O10,IF(C15="NO",0))</f>
        <v>5076.6975000000002</v>
      </c>
      <c r="E15" s="48"/>
      <c r="F15" s="48" t="s">
        <v>53</v>
      </c>
      <c r="G15" s="51" t="s">
        <v>17</v>
      </c>
      <c r="H15" s="39">
        <f>IF(G15="YES",O10,IF(G15="NO",0))</f>
        <v>0</v>
      </c>
      <c r="I15" s="33"/>
      <c r="J15" s="44"/>
      <c r="K15" s="44"/>
      <c r="L15" s="44"/>
      <c r="M15" s="44"/>
      <c r="N15" s="198"/>
      <c r="O15" s="9" t="b">
        <f>IF(M21="3000-4999",4.99%, IF(M21="5000-11999",2.75%,IF(M21="12000-19999",2.75%,IF(M21="20000-39999",2.25%,IF(M21="40000-69999",2.25%,IF(M21="70000-99999",2.25%))))))</f>
        <v>0</v>
      </c>
      <c r="P15" s="191"/>
    </row>
    <row r="16" spans="1:27" ht="24.6" x14ac:dyDescent="0.4">
      <c r="A16" s="11">
        <f>((B7-B8)*3%+10+120)</f>
        <v>130</v>
      </c>
      <c r="B16" s="37" t="s">
        <v>78</v>
      </c>
      <c r="C16" s="20" t="s">
        <v>19</v>
      </c>
      <c r="D16" s="29">
        <f>IF(C16="YES",O16,IF(C16="NO",0))</f>
        <v>6700</v>
      </c>
      <c r="E16" s="47"/>
      <c r="F16" s="47" t="s">
        <v>74</v>
      </c>
      <c r="G16" s="54"/>
      <c r="H16" s="33">
        <f>I7*1.05%</f>
        <v>1293.6836209500002</v>
      </c>
      <c r="I16" s="33"/>
      <c r="J16" s="44" t="s">
        <v>16</v>
      </c>
      <c r="K16" s="44">
        <f>(K14*3)-H8</f>
        <v>0</v>
      </c>
      <c r="L16" s="44">
        <f>(L14*12)-H8</f>
        <v>1617.1045261875006</v>
      </c>
      <c r="M16" s="44">
        <f>(M14*24)-H8</f>
        <v>3881.0508628500029</v>
      </c>
      <c r="N16" s="198"/>
      <c r="O16" s="147">
        <f>IF(B16="RMC-10-70KMS",O11,IF(B16="RMC-10-100000KMS",V11,IF(B16="RMC-40-70KMS",U11, IF(B16="RMC-10-40KMS",X11, IF(B16="RMC-10-60KMS",Y11, IF(B16="RMC-40-100000KMS",W11,0))))))</f>
        <v>6700</v>
      </c>
    </row>
    <row r="17" spans="1:23" ht="24.6" x14ac:dyDescent="0.4">
      <c r="A17" s="11">
        <f>A15+A16</f>
        <v>4037</v>
      </c>
      <c r="B17" s="37"/>
      <c r="C17" s="20"/>
      <c r="D17" s="29">
        <f>SUM(D10:D16)</f>
        <v>21244.954875000003</v>
      </c>
      <c r="E17" s="48"/>
      <c r="F17" s="48"/>
      <c r="G17" s="54"/>
      <c r="H17" s="33">
        <f>+SUM(H12:H16)+(H7)</f>
        <v>33010.674595950004</v>
      </c>
      <c r="I17" s="33"/>
      <c r="J17" s="20"/>
      <c r="K17" s="199"/>
      <c r="L17" s="199"/>
      <c r="M17" s="199"/>
      <c r="N17" s="198"/>
      <c r="O17" s="147">
        <f>IF(B11="FO Ceramic+ Intr&amp;Extr CeramicGold WdwTnt",2700,IF(B11="FO Mirror Camera Sensor",2000))</f>
        <v>2700</v>
      </c>
      <c r="T17" s="1">
        <f>19615-791</f>
        <v>18824</v>
      </c>
    </row>
    <row r="18" spans="1:23" ht="24.6" x14ac:dyDescent="0.4">
      <c r="A18" s="12" t="s">
        <v>29</v>
      </c>
      <c r="B18" s="55" t="s">
        <v>30</v>
      </c>
      <c r="C18" s="197"/>
      <c r="D18" s="57">
        <v>0</v>
      </c>
      <c r="E18" s="38"/>
      <c r="F18" s="20"/>
      <c r="G18" s="20"/>
      <c r="H18" s="37"/>
      <c r="I18" s="37"/>
      <c r="J18" s="37"/>
      <c r="K18" s="37"/>
      <c r="L18" s="37"/>
      <c r="M18" s="37"/>
      <c r="N18" s="37"/>
      <c r="O18" s="9" t="b">
        <f>IF(M21="5000-99999",1.99%)</f>
        <v>0</v>
      </c>
      <c r="U18" s="196" t="s">
        <v>52</v>
      </c>
      <c r="V18" s="196" t="s">
        <v>52</v>
      </c>
    </row>
    <row r="19" spans="1:23" ht="24.6" x14ac:dyDescent="0.4">
      <c r="A19" s="11">
        <f>B8*3.15%</f>
        <v>3965.85</v>
      </c>
      <c r="B19" s="58" t="s">
        <v>31</v>
      </c>
      <c r="C19" s="59"/>
      <c r="D19" s="60">
        <f>IF(K21="DIB EXPAT",O13,IF(K21="DIB LOCAL GVH",U13,IF(K21="Emirates NBD",O14,IF(K21="ADCB",O15,IF(K21="ADCB PAY IN 2027",O19,IF(K21="Ajman Bank",O18,IF(K21="SIB STL",Z13,IF(K21="SIB NON STL",AA13,))))))))</f>
        <v>3.8900000000000004E-2</v>
      </c>
      <c r="E19" s="20"/>
      <c r="F19" s="195"/>
      <c r="G19" s="141" t="s">
        <v>73</v>
      </c>
      <c r="H19" s="142"/>
      <c r="I19" s="143"/>
      <c r="J19" s="109">
        <f>(U19*20/100)/365</f>
        <v>78.9945205479452</v>
      </c>
      <c r="K19" s="37"/>
      <c r="L19" s="37"/>
      <c r="M19" s="37"/>
      <c r="N19" s="34">
        <f>D7</f>
        <v>132195</v>
      </c>
      <c r="O19" s="194" t="b">
        <f>IF(M21="5000-11999",3.35%,IF(M21="12000-19999",3.35%,IF(M21="20000-39999",2.85%,IF(M21="40000-69999",2.85%,IF(M21="70000-99999",2.85%)))))</f>
        <v>0</v>
      </c>
      <c r="P19" s="2">
        <f>81400-2500</f>
        <v>78900</v>
      </c>
      <c r="U19" s="193">
        <f>V19</f>
        <v>144165</v>
      </c>
      <c r="V19" s="192">
        <f>(B7+D10+D11+D12+D13+D16)*1.05</f>
        <v>144165</v>
      </c>
    </row>
    <row r="20" spans="1:23" ht="24.6" x14ac:dyDescent="0.4">
      <c r="A20" s="11"/>
      <c r="B20" s="58" t="s">
        <v>32</v>
      </c>
      <c r="C20" s="59"/>
      <c r="D20" s="63">
        <v>0.2</v>
      </c>
      <c r="E20" s="37"/>
      <c r="F20" s="37"/>
      <c r="G20" s="38"/>
      <c r="H20" s="38"/>
      <c r="I20" s="38"/>
      <c r="J20" s="103"/>
      <c r="K20" s="104" t="s">
        <v>33</v>
      </c>
      <c r="L20" s="104" t="s">
        <v>17</v>
      </c>
      <c r="M20" s="104">
        <f>IF(L20="YES",O12,IF(L20="NO",0))</f>
        <v>0</v>
      </c>
      <c r="N20" s="34">
        <f>B8-M20</f>
        <v>125900</v>
      </c>
      <c r="O20" s="187"/>
      <c r="P20" s="191"/>
      <c r="T20" s="1">
        <f>1992+1084</f>
        <v>3076</v>
      </c>
      <c r="U20" s="186"/>
      <c r="V20" s="2"/>
    </row>
    <row r="21" spans="1:23" ht="24.6" x14ac:dyDescent="0.4">
      <c r="A21" s="13">
        <f>A19+A20</f>
        <v>3965.85</v>
      </c>
      <c r="B21" s="37"/>
      <c r="C21" s="20"/>
      <c r="D21" s="37"/>
      <c r="E21" s="37"/>
      <c r="F21" s="37"/>
      <c r="G21" s="37"/>
      <c r="H21" s="37"/>
      <c r="I21" s="37"/>
      <c r="J21" s="190" t="s">
        <v>34</v>
      </c>
      <c r="K21" s="16" t="s">
        <v>139</v>
      </c>
      <c r="L21" s="16" t="s">
        <v>35</v>
      </c>
      <c r="M21" s="189" t="s">
        <v>80</v>
      </c>
      <c r="N21" s="188"/>
      <c r="O21" s="187"/>
      <c r="T21" s="1">
        <f>25973-12973</f>
        <v>13000</v>
      </c>
      <c r="U21" s="186">
        <f>M14+N7</f>
        <v>3897.99195788625</v>
      </c>
    </row>
    <row r="22" spans="1:23" s="179" customFormat="1" ht="24.6" x14ac:dyDescent="0.4">
      <c r="A22" s="185"/>
      <c r="B22" s="184" t="s">
        <v>51</v>
      </c>
      <c r="C22" s="183"/>
      <c r="D22" s="183"/>
      <c r="E22" s="183"/>
      <c r="F22" s="183"/>
      <c r="G22" s="183"/>
      <c r="H22" s="183"/>
      <c r="I22" s="183"/>
      <c r="J22" s="183"/>
      <c r="K22" s="183"/>
      <c r="L22" s="183"/>
      <c r="M22" s="183"/>
      <c r="N22" s="182"/>
      <c r="O22" s="181"/>
      <c r="P22" s="180"/>
    </row>
    <row r="23" spans="1:23" s="168" customFormat="1" ht="26.4" x14ac:dyDescent="0.5">
      <c r="A23" s="175" t="s">
        <v>36</v>
      </c>
      <c r="B23" s="172" t="s">
        <v>138</v>
      </c>
      <c r="C23" s="169"/>
      <c r="D23" s="169"/>
      <c r="E23" s="169"/>
      <c r="F23" s="169"/>
      <c r="G23" s="169"/>
      <c r="H23" s="176"/>
      <c r="I23" s="176"/>
      <c r="J23" s="169"/>
      <c r="K23" s="169"/>
      <c r="L23" s="169"/>
      <c r="M23" s="169"/>
      <c r="N23" s="178"/>
      <c r="O23" s="170"/>
      <c r="P23" s="169"/>
    </row>
    <row r="24" spans="1:23" s="168" customFormat="1" ht="26.4" x14ac:dyDescent="0.5">
      <c r="A24" s="175" t="s">
        <v>36</v>
      </c>
      <c r="B24" s="172" t="s">
        <v>137</v>
      </c>
      <c r="C24" s="169"/>
      <c r="D24" s="169"/>
      <c r="E24" s="169"/>
      <c r="F24" s="169"/>
      <c r="G24" s="169"/>
      <c r="H24" s="177">
        <f>H7/365</f>
        <v>84.389016369863015</v>
      </c>
      <c r="I24" s="177">
        <f>H7+H12+H16</f>
        <v>32695.67459595</v>
      </c>
      <c r="J24" s="169"/>
      <c r="K24" s="169"/>
      <c r="L24" s="169"/>
      <c r="M24" s="169"/>
      <c r="N24" s="173"/>
      <c r="O24" s="170"/>
      <c r="P24" s="169">
        <f>1232+480</f>
        <v>1712</v>
      </c>
      <c r="T24" s="168">
        <f>88704/1.05</f>
        <v>84480</v>
      </c>
    </row>
    <row r="25" spans="1:23" s="168" customFormat="1" ht="26.4" x14ac:dyDescent="0.5">
      <c r="A25" s="175" t="s">
        <v>36</v>
      </c>
      <c r="B25" s="172" t="s">
        <v>136</v>
      </c>
      <c r="C25" s="169"/>
      <c r="D25" s="169"/>
      <c r="E25" s="169"/>
      <c r="F25" s="169"/>
      <c r="G25" s="169"/>
      <c r="H25" s="176"/>
      <c r="I25" s="176"/>
      <c r="J25" s="169"/>
      <c r="K25" s="169"/>
      <c r="L25" s="169"/>
      <c r="M25" s="169"/>
      <c r="N25" s="173"/>
      <c r="O25" s="170"/>
      <c r="P25" s="169"/>
      <c r="Q25" s="168">
        <f>79400-5233.33</f>
        <v>74166.67</v>
      </c>
      <c r="R25" s="168">
        <f>Q25*1.05</f>
        <v>77875.003500000006</v>
      </c>
      <c r="W25" s="168">
        <f>1999+1224</f>
        <v>3223</v>
      </c>
    </row>
    <row r="26" spans="1:23" s="168" customFormat="1" ht="26.4" x14ac:dyDescent="0.5">
      <c r="A26" s="175" t="s">
        <v>36</v>
      </c>
      <c r="B26" s="172" t="s">
        <v>135</v>
      </c>
      <c r="C26" s="169"/>
      <c r="D26" s="169"/>
      <c r="E26" s="169"/>
      <c r="F26" s="169"/>
      <c r="G26" s="169"/>
      <c r="H26" s="169"/>
      <c r="I26" s="169"/>
      <c r="J26" s="169"/>
      <c r="K26" s="169"/>
      <c r="L26" s="169"/>
      <c r="M26" s="169"/>
      <c r="N26" s="173"/>
      <c r="O26" s="170" t="s">
        <v>37</v>
      </c>
      <c r="P26" s="169"/>
      <c r="R26" s="168">
        <f>R25+2469</f>
        <v>80344.003500000006</v>
      </c>
    </row>
    <row r="27" spans="1:23" s="168" customFormat="1" ht="26.4" x14ac:dyDescent="0.5">
      <c r="A27" s="175" t="s">
        <v>36</v>
      </c>
      <c r="B27" s="172" t="s">
        <v>134</v>
      </c>
      <c r="C27" s="169"/>
      <c r="D27" s="169"/>
      <c r="E27" s="169"/>
      <c r="F27" s="169"/>
      <c r="G27" s="169"/>
      <c r="H27" s="169"/>
      <c r="I27" s="169"/>
      <c r="J27" s="169"/>
      <c r="K27" s="169"/>
      <c r="L27" s="169"/>
      <c r="M27" s="169"/>
      <c r="N27" s="173"/>
      <c r="O27" s="170">
        <f>129500-110900</f>
        <v>18600</v>
      </c>
      <c r="P27" s="169"/>
      <c r="W27" s="174">
        <f>N7+L14</f>
        <v>5154.4565064081253</v>
      </c>
    </row>
    <row r="28" spans="1:23" s="168" customFormat="1" ht="26.4" x14ac:dyDescent="0.5">
      <c r="B28" s="172" t="s">
        <v>133</v>
      </c>
      <c r="C28" s="169"/>
      <c r="D28" s="169"/>
      <c r="E28" s="169"/>
      <c r="F28" s="169"/>
      <c r="G28" s="169"/>
      <c r="H28" s="169"/>
      <c r="I28" s="169"/>
      <c r="J28" s="169"/>
      <c r="K28" s="169"/>
      <c r="L28" s="169"/>
      <c r="M28" s="169"/>
      <c r="N28" s="173"/>
      <c r="O28" s="170">
        <f>85000-69900</f>
        <v>15100</v>
      </c>
      <c r="P28" s="169"/>
    </row>
    <row r="29" spans="1:23" s="168" customFormat="1" ht="26.4" x14ac:dyDescent="0.5">
      <c r="B29" s="172" t="s">
        <v>132</v>
      </c>
      <c r="C29" s="169"/>
      <c r="D29" s="169"/>
      <c r="E29" s="169"/>
      <c r="F29" s="169"/>
      <c r="G29" s="169"/>
      <c r="H29" s="169"/>
      <c r="I29" s="169"/>
      <c r="J29" s="169"/>
      <c r="K29" s="169"/>
      <c r="L29" s="169"/>
      <c r="M29" s="169"/>
      <c r="N29" s="171"/>
      <c r="O29" s="170"/>
      <c r="P29" s="169"/>
    </row>
    <row r="30" spans="1:23" x14ac:dyDescent="0.3">
      <c r="B30" s="167" t="s">
        <v>38</v>
      </c>
      <c r="C30" s="166"/>
      <c r="D30" s="166"/>
      <c r="E30" s="166"/>
      <c r="F30" s="166"/>
      <c r="G30" s="166"/>
      <c r="H30" s="166"/>
      <c r="I30" s="166"/>
      <c r="J30" s="166"/>
      <c r="K30" s="166"/>
      <c r="L30" s="166"/>
      <c r="M30" s="166"/>
      <c r="N30" s="165"/>
      <c r="O30" s="147"/>
    </row>
    <row r="31" spans="1:23" x14ac:dyDescent="0.3">
      <c r="B31" s="146"/>
      <c r="C31" s="145"/>
      <c r="D31" s="145"/>
      <c r="E31" s="145"/>
      <c r="F31" s="145"/>
      <c r="G31" s="145"/>
      <c r="H31" s="145"/>
      <c r="I31" s="145"/>
      <c r="J31" s="145"/>
      <c r="K31" s="145"/>
      <c r="L31" s="145"/>
      <c r="M31" s="145"/>
      <c r="N31" s="144"/>
      <c r="O31" s="147"/>
    </row>
    <row r="32" spans="1:23" s="86" customFormat="1" ht="20.399999999999999" x14ac:dyDescent="0.35">
      <c r="B32" s="118" t="s">
        <v>39</v>
      </c>
      <c r="C32" s="119"/>
      <c r="D32" s="119"/>
      <c r="E32" s="119"/>
      <c r="F32" s="119"/>
      <c r="G32" s="119"/>
      <c r="H32" s="119"/>
      <c r="I32" s="119"/>
      <c r="J32" s="119"/>
      <c r="K32" s="119"/>
      <c r="L32" s="119"/>
      <c r="M32" s="119"/>
      <c r="N32" s="120"/>
      <c r="O32" s="92"/>
      <c r="P32" s="83"/>
    </row>
    <row r="33" spans="2:16" s="86" customFormat="1" ht="20.399999999999999" x14ac:dyDescent="0.35">
      <c r="B33" s="118" t="s">
        <v>40</v>
      </c>
      <c r="C33" s="119"/>
      <c r="D33" s="119"/>
      <c r="E33" s="119"/>
      <c r="F33" s="119"/>
      <c r="G33" s="119"/>
      <c r="H33" s="119"/>
      <c r="I33" s="119"/>
      <c r="J33" s="119"/>
      <c r="K33" s="119"/>
      <c r="L33" s="119"/>
      <c r="M33" s="119"/>
      <c r="N33" s="120"/>
      <c r="O33" s="92"/>
      <c r="P33" s="83"/>
    </row>
    <row r="34" spans="2:16" s="86" customFormat="1" ht="20.399999999999999" x14ac:dyDescent="0.35">
      <c r="B34" s="107" t="s">
        <v>131</v>
      </c>
      <c r="C34" s="108"/>
      <c r="D34" s="108"/>
      <c r="E34" s="108"/>
      <c r="F34" s="108"/>
      <c r="G34" s="164" t="s">
        <v>130</v>
      </c>
      <c r="H34" s="164"/>
      <c r="I34" s="163"/>
      <c r="J34" s="163"/>
      <c r="K34" s="163"/>
      <c r="L34" s="163"/>
      <c r="M34" s="162" t="s">
        <v>129</v>
      </c>
      <c r="N34" s="161"/>
      <c r="O34" s="83"/>
      <c r="P34" s="83"/>
    </row>
    <row r="35" spans="2:16" x14ac:dyDescent="0.3">
      <c r="B35" s="160"/>
      <c r="C35" s="159"/>
      <c r="D35" s="159"/>
      <c r="E35" s="159"/>
      <c r="F35" s="159"/>
      <c r="G35" s="159"/>
      <c r="H35" s="159"/>
      <c r="I35" s="159"/>
      <c r="J35" s="159"/>
      <c r="K35" s="159"/>
      <c r="L35" s="159"/>
      <c r="M35" s="159"/>
      <c r="N35" s="158"/>
    </row>
    <row r="36" spans="2:16" x14ac:dyDescent="0.3">
      <c r="B36" s="160"/>
      <c r="C36" s="159"/>
      <c r="D36" s="159"/>
      <c r="E36" s="159"/>
      <c r="F36" s="159"/>
      <c r="G36" s="159"/>
      <c r="H36" s="159"/>
      <c r="I36" s="159"/>
      <c r="J36" s="159"/>
      <c r="K36" s="159"/>
      <c r="L36" s="159"/>
      <c r="M36" s="159"/>
      <c r="N36" s="158"/>
    </row>
    <row r="37" spans="2:16" x14ac:dyDescent="0.3">
      <c r="B37" s="160"/>
      <c r="C37" s="159"/>
      <c r="D37" s="159"/>
      <c r="E37" s="159"/>
      <c r="F37" s="159"/>
      <c r="G37" s="159"/>
      <c r="H37" s="159"/>
      <c r="I37" s="159"/>
      <c r="J37" s="159"/>
      <c r="K37" s="159"/>
      <c r="L37" s="159"/>
      <c r="M37" s="159"/>
      <c r="N37" s="158"/>
    </row>
    <row r="38" spans="2:16" ht="16.8" x14ac:dyDescent="0.3">
      <c r="B38" s="149" t="s">
        <v>128</v>
      </c>
      <c r="C38" s="157"/>
      <c r="D38" s="154"/>
      <c r="E38" s="151"/>
      <c r="F38" s="151"/>
      <c r="G38" s="151"/>
      <c r="H38" s="151"/>
      <c r="I38" s="151"/>
      <c r="J38" s="152"/>
      <c r="K38" s="151"/>
      <c r="L38" s="151"/>
      <c r="M38" s="151"/>
      <c r="N38" s="156"/>
    </row>
    <row r="39" spans="2:16" ht="16.8" x14ac:dyDescent="0.3">
      <c r="B39" s="149" t="s">
        <v>127</v>
      </c>
      <c r="C39" s="155"/>
      <c r="D39" s="154"/>
      <c r="E39" s="151"/>
      <c r="F39" s="151"/>
      <c r="G39" s="151"/>
      <c r="H39" s="151"/>
      <c r="I39" s="151"/>
      <c r="J39" s="152"/>
      <c r="K39" s="151"/>
      <c r="L39" s="151"/>
      <c r="M39" s="151"/>
      <c r="N39" s="150"/>
    </row>
    <row r="40" spans="2:16" ht="16.8" x14ac:dyDescent="0.3">
      <c r="B40" s="149" t="s">
        <v>126</v>
      </c>
      <c r="C40" s="153"/>
      <c r="D40" s="151"/>
      <c r="E40" s="151"/>
      <c r="F40" s="151"/>
      <c r="G40" s="151"/>
      <c r="H40" s="151"/>
      <c r="I40" s="151"/>
      <c r="J40" s="152"/>
      <c r="K40" s="151"/>
      <c r="L40" s="151"/>
      <c r="M40" s="151"/>
      <c r="N40" s="150"/>
    </row>
    <row r="41" spans="2:16" ht="16.8" x14ac:dyDescent="0.3">
      <c r="B41" s="149" t="s">
        <v>125</v>
      </c>
      <c r="N41" s="148"/>
    </row>
    <row r="42" spans="2:16" ht="16.8" x14ac:dyDescent="0.3">
      <c r="B42" s="149" t="s">
        <v>124</v>
      </c>
      <c r="N42" s="148"/>
    </row>
    <row r="43" spans="2:16" ht="16.8" x14ac:dyDescent="0.3">
      <c r="B43" s="149" t="s">
        <v>123</v>
      </c>
      <c r="N43" s="148"/>
    </row>
    <row r="44" spans="2:16" ht="16.8" x14ac:dyDescent="0.3">
      <c r="B44" s="149" t="s">
        <v>122</v>
      </c>
      <c r="N44" s="148"/>
    </row>
    <row r="45" spans="2:16" ht="16.8" x14ac:dyDescent="0.3">
      <c r="B45" s="149" t="s">
        <v>121</v>
      </c>
      <c r="N45" s="148"/>
    </row>
    <row r="46" spans="2:16" ht="16.8" x14ac:dyDescent="0.3">
      <c r="B46" s="149" t="s">
        <v>120</v>
      </c>
      <c r="N46" s="148"/>
    </row>
    <row r="47" spans="2:16" x14ac:dyDescent="0.3">
      <c r="B47" s="146" t="s">
        <v>39</v>
      </c>
      <c r="C47" s="145"/>
      <c r="D47" s="145"/>
      <c r="E47" s="145"/>
      <c r="F47" s="145"/>
      <c r="G47" s="145"/>
      <c r="H47" s="145"/>
      <c r="I47" s="145"/>
      <c r="J47" s="145"/>
      <c r="K47" s="145"/>
      <c r="L47" s="145"/>
      <c r="M47" s="145"/>
      <c r="N47" s="144"/>
      <c r="O47" s="147"/>
    </row>
    <row r="48" spans="2:16" x14ac:dyDescent="0.3">
      <c r="B48" s="146" t="s">
        <v>40</v>
      </c>
      <c r="C48" s="145"/>
      <c r="D48" s="145"/>
      <c r="E48" s="145"/>
      <c r="F48" s="145"/>
      <c r="G48" s="145"/>
      <c r="H48" s="145"/>
      <c r="I48" s="145"/>
      <c r="J48" s="145"/>
      <c r="K48" s="145"/>
      <c r="L48" s="145"/>
      <c r="M48" s="145"/>
      <c r="N48" s="144"/>
      <c r="O48" s="147"/>
    </row>
    <row r="49" spans="2:14" x14ac:dyDescent="0.3">
      <c r="B49" s="146" t="s">
        <v>119</v>
      </c>
      <c r="C49" s="145"/>
      <c r="D49" s="145"/>
      <c r="E49" s="145"/>
      <c r="F49" s="145"/>
      <c r="G49" s="145"/>
      <c r="H49" s="145"/>
      <c r="I49" s="145"/>
      <c r="J49" s="145"/>
      <c r="K49" s="145"/>
      <c r="L49" s="145"/>
      <c r="M49" s="145"/>
      <c r="N49" s="144"/>
    </row>
    <row r="50" spans="2:14" ht="25.8" x14ac:dyDescent="0.3">
      <c r="C50" s="15" t="s">
        <v>41</v>
      </c>
    </row>
    <row r="51" spans="2:14" ht="25.8" x14ac:dyDescent="0.3">
      <c r="C51" s="15" t="s">
        <v>42</v>
      </c>
    </row>
    <row r="52" spans="2:14" ht="25.8" x14ac:dyDescent="0.3">
      <c r="C52" s="15" t="s">
        <v>43</v>
      </c>
    </row>
    <row r="53" spans="2:14" ht="25.8" x14ac:dyDescent="0.3">
      <c r="C53" s="15" t="s">
        <v>44</v>
      </c>
    </row>
    <row r="54" spans="2:14" ht="25.8" x14ac:dyDescent="0.3">
      <c r="C54" s="15" t="s">
        <v>45</v>
      </c>
    </row>
  </sheetData>
  <dataConsolidate/>
  <mergeCells count="11">
    <mergeCell ref="F8:G8"/>
    <mergeCell ref="F9:G9"/>
    <mergeCell ref="G19:I19"/>
    <mergeCell ref="B22:N22"/>
    <mergeCell ref="B30:N30"/>
    <mergeCell ref="B32:N32"/>
    <mergeCell ref="B33:N33"/>
    <mergeCell ref="B47:N47"/>
    <mergeCell ref="B48:N48"/>
    <mergeCell ref="B49:N49"/>
    <mergeCell ref="B31:N31"/>
  </mergeCells>
  <dataValidations count="11">
    <dataValidation type="list" allowBlank="1" showInputMessage="1" showErrorMessage="1" sqref="H34" xr:uid="{B7155509-0944-47AF-9E7C-56413FA7455E}">
      <formula1>"ALAA HAMMAD,KHALED QASSEM,RAMY RAOUF,SIMON LOBO,MHAREN CLEMENTE GARADO"</formula1>
    </dataValidation>
    <dataValidation type="list" allowBlank="1" showInputMessage="1" showErrorMessage="1" sqref="M34" xr:uid="{A5ED1FAA-36FB-47EC-8146-47D2BF61FDEF}">
      <formula1>"Alaa Hammad,Bachir Ibrahim Mourad,Khaled Qassem,Ramy Raoof,Simon Lobo,Mharen Clemente Garado,Ranjith"</formula1>
    </dataValidation>
    <dataValidation type="list" allowBlank="1" showInputMessage="1" showErrorMessage="1" sqref="B11" xr:uid="{8FE55D5D-DFDE-4545-9F6D-FE35C68EA276}">
      <formula1>"FO Ceramic+ Intr&amp;Extr CeramicGold WdwTnt,FO Mirror Camera Sensor"</formula1>
    </dataValidation>
    <dataValidation type="list" allowBlank="1" showInputMessage="1" showErrorMessage="1" sqref="B12" xr:uid="{3EC8A6C2-A989-4F91-B1BB-46570B2B5240}">
      <formula1>"FO Exterior ceramic All Cars SCOTCHGUARD,FO Mirror Camera Sensor,FO PPF Gold Package "</formula1>
    </dataValidation>
    <dataValidation type="list" allowBlank="1" showInputMessage="1" showErrorMessage="1" sqref="K20" xr:uid="{90E1FE0E-AC77-47EA-A790-82CBA80C3726}">
      <formula1>"Esaad,Emirates Platinum,Fazaa,Humat Alwatan,Permissible,ASX,XPMLP,XP,MON,MON G57,OUT,F08,P08,F06,P06,F03,F03-1,P03,EC,G37,G38,G40,G43"</formula1>
    </dataValidation>
    <dataValidation type="list" allowBlank="1" showInputMessage="1" showErrorMessage="1" sqref="B16" xr:uid="{A8FC98BB-DAAB-4390-961C-6B0867C31E00}">
      <formula1>"RMC-10-40KMS,RMC-10-60KMS,RMC-10-70KMS,RMC-10-100000KMS,RMC-40-70KMS,RMC-40-100000KMS"</formula1>
    </dataValidation>
    <dataValidation type="list" allowBlank="1" showInputMessage="1" showErrorMessage="1" sqref="K24" xr:uid="{2064CD21-EA03-4FC0-B8C2-6D3430835625}">
      <formula1>"RMC-10-70K,RMC-10-100000K,RMC-40-70K"</formula1>
    </dataValidation>
    <dataValidation type="list" allowBlank="1" showInputMessage="1" showErrorMessage="1" sqref="D5" xr:uid="{14634930-DC2E-45D0-85E8-C983F893DBEA}">
      <formula1>"MIG09,MIG10,H16,P16,H17,H48,H43,H40,H42,H44,H45,H38,H37,EH40,EH43,ML,HL,PR, MLP,HLP,PRP,XPML,XPHL,XPMLP, XPMLP-01,XC, G10,P10, G03, P03, G06,P06,G12,P12,G05,P05,G08,P08,G09,P09,H57,P57,H64,H59,P59,H61,P61"</formula1>
    </dataValidation>
    <dataValidation type="list" allowBlank="1" showInputMessage="1" showErrorMessage="1" sqref="M21" xr:uid="{711A5AAF-F938-4C4C-8160-6BE4A6C7C28D}">
      <formula1>"3000-4999,5000-9999,5000-99999,10000-14999,15000-24999,25000-34999,35000-99999,5000-11999,12000-19999,20000-39999,40000-69999,70000-99999"</formula1>
    </dataValidation>
    <dataValidation type="list" allowBlank="1" showInputMessage="1" showErrorMessage="1" sqref="C10:C16 L20 L24:L25 G14:G15 J10" xr:uid="{B10CFBFF-273F-4DAE-91F3-AA13FF3C5540}">
      <formula1>"YES,NO"</formula1>
    </dataValidation>
    <dataValidation type="list" allowBlank="1" showInputMessage="1" showErrorMessage="1" sqref="K21" xr:uid="{AEB60F67-3EB9-4D2B-934B-F1848678C0E3}">
      <formula1>"ADCB,ADCB PAY IN 2027,Ajman Bank,ADIB,DIB EXPAT,DIB LOCAL GVH,Emirates NBD,EIB,FAB,RAK,SIB STL,SIB NON STL"</formula1>
    </dataValidation>
  </dataValidations>
  <pageMargins left="0.23622047244094491" right="0.23622047244094491" top="0.74803149606299213" bottom="0.74803149606299213" header="0.31496062992125984" footer="0.31496062992125984"/>
  <pageSetup paperSize="9" scale="40" orientation="landscape" horizontalDpi="4294967295" verticalDpi="4294967295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1FEEB8-E3FC-43A6-ADB3-D0A83B3F8078}">
  <sheetPr>
    <pageSetUpPr fitToPage="1"/>
  </sheetPr>
  <dimension ref="A1:AA54"/>
  <sheetViews>
    <sheetView topLeftCell="B1" zoomScaleNormal="100" workbookViewId="0">
      <selection activeCell="D5" sqref="D5"/>
    </sheetView>
  </sheetViews>
  <sheetFormatPr defaultColWidth="9.109375" defaultRowHeight="15.6" x14ac:dyDescent="0.3"/>
  <cols>
    <col min="1" max="1" width="16" style="1" hidden="1" customWidth="1"/>
    <col min="2" max="2" width="75.109375" style="2" customWidth="1"/>
    <col min="3" max="3" width="26.88671875" style="3" customWidth="1"/>
    <col min="4" max="4" width="23.88671875" style="2" customWidth="1"/>
    <col min="5" max="5" width="23.33203125" style="2" customWidth="1"/>
    <col min="6" max="6" width="19.88671875" style="2" customWidth="1"/>
    <col min="7" max="7" width="23.33203125" style="2" customWidth="1"/>
    <col min="8" max="8" width="24.44140625" style="2" customWidth="1"/>
    <col min="9" max="9" width="27.109375" style="2" customWidth="1"/>
    <col min="10" max="10" width="26.6640625" style="2" customWidth="1"/>
    <col min="11" max="11" width="25.44140625" style="2" customWidth="1"/>
    <col min="12" max="12" width="20.5546875" style="2" customWidth="1"/>
    <col min="13" max="13" width="20.109375" style="2" customWidth="1"/>
    <col min="14" max="14" width="19.5546875" style="2" customWidth="1"/>
    <col min="15" max="15" width="15.109375" style="2" bestFit="1" customWidth="1"/>
    <col min="16" max="16" width="12.6640625" style="2" hidden="1" customWidth="1"/>
    <col min="17" max="17" width="12.6640625" style="1" hidden="1" customWidth="1"/>
    <col min="18" max="18" width="15.6640625" style="1" hidden="1" customWidth="1"/>
    <col min="19" max="19" width="13" style="1" hidden="1" customWidth="1"/>
    <col min="20" max="20" width="17.109375" style="1" hidden="1" customWidth="1"/>
    <col min="21" max="21" width="14.5546875" style="1" bestFit="1" customWidth="1"/>
    <col min="22" max="22" width="19" style="1" customWidth="1"/>
    <col min="23" max="23" width="22.5546875" style="1" bestFit="1" customWidth="1"/>
    <col min="24" max="25" width="9.109375" style="1"/>
    <col min="26" max="26" width="14" style="1" bestFit="1" customWidth="1"/>
    <col min="27" max="27" width="22.33203125" style="1" bestFit="1" customWidth="1"/>
    <col min="28" max="16384" width="9.109375" style="1"/>
  </cols>
  <sheetData>
    <row r="1" spans="1:27" ht="15.75" customHeight="1" x14ac:dyDescent="0.3">
      <c r="B1" s="222" t="s">
        <v>148</v>
      </c>
      <c r="C1" s="221"/>
      <c r="D1" s="221"/>
      <c r="E1" s="221"/>
      <c r="F1" s="221"/>
      <c r="G1" s="221"/>
      <c r="H1" s="221"/>
      <c r="I1" s="221"/>
      <c r="J1" s="221"/>
      <c r="K1" s="221"/>
      <c r="L1" s="221"/>
      <c r="M1" s="221"/>
      <c r="N1" s="220"/>
    </row>
    <row r="2" spans="1:27" ht="15.75" customHeight="1" x14ac:dyDescent="0.3">
      <c r="B2" s="219" t="s">
        <v>147</v>
      </c>
      <c r="C2" s="218"/>
      <c r="D2" s="218"/>
      <c r="E2" s="218"/>
      <c r="F2" s="218"/>
      <c r="G2" s="218"/>
      <c r="H2" s="218"/>
      <c r="I2" s="218"/>
      <c r="J2" s="218"/>
      <c r="K2" s="218"/>
      <c r="L2" s="218"/>
      <c r="M2" s="218"/>
      <c r="N2" s="217"/>
      <c r="Q2" s="2"/>
      <c r="S2" s="186"/>
    </row>
    <row r="3" spans="1:27" ht="15.75" customHeight="1" x14ac:dyDescent="0.3">
      <c r="B3" s="219" t="s">
        <v>146</v>
      </c>
      <c r="C3" s="218"/>
      <c r="D3" s="218"/>
      <c r="E3" s="218"/>
      <c r="F3" s="218"/>
      <c r="G3" s="218"/>
      <c r="H3" s="218"/>
      <c r="I3" s="218"/>
      <c r="J3" s="218"/>
      <c r="K3" s="218"/>
      <c r="L3" s="218"/>
      <c r="M3" s="218"/>
      <c r="N3" s="217"/>
      <c r="O3" s="3"/>
      <c r="P3" s="3"/>
      <c r="Q3" s="153"/>
      <c r="R3" s="153"/>
      <c r="S3" s="216" t="e">
        <f>N7+J14</f>
        <v>#VALUE!</v>
      </c>
      <c r="T3" s="216"/>
      <c r="U3" s="153"/>
      <c r="V3" s="153"/>
      <c r="W3" s="153"/>
      <c r="AA3" s="1">
        <f>273000/5</f>
        <v>54600</v>
      </c>
    </row>
    <row r="4" spans="1:27" ht="15.75" customHeight="1" x14ac:dyDescent="0.3">
      <c r="B4" s="215"/>
      <c r="C4" s="214"/>
      <c r="D4" s="214"/>
      <c r="E4" s="214"/>
      <c r="F4" s="214"/>
      <c r="G4" s="214"/>
      <c r="H4" s="214"/>
      <c r="I4" s="214"/>
      <c r="J4" s="214"/>
      <c r="K4" s="214"/>
      <c r="L4" s="214"/>
      <c r="M4" s="214"/>
      <c r="N4" s="213"/>
      <c r="O4" s="212" t="s">
        <v>0</v>
      </c>
      <c r="P4" s="212"/>
      <c r="Q4" s="210"/>
      <c r="R4" s="210"/>
      <c r="S4" s="211"/>
      <c r="T4" s="211"/>
      <c r="U4" s="210" t="s">
        <v>1</v>
      </c>
      <c r="V4" s="210" t="s">
        <v>2</v>
      </c>
      <c r="W4" s="210" t="s">
        <v>3</v>
      </c>
    </row>
    <row r="5" spans="1:27" ht="25.2" thickBot="1" x14ac:dyDescent="0.45">
      <c r="B5" s="17"/>
      <c r="C5" s="18" t="str">
        <f>IF(D5="MIG09","Mirage G09",IF(D5="MIG10","MirageG10",IF(D5="H16","Attrage H16",IF(D5="P16","Attrage P16",IF(D5="H17","Attrage H17",IF(D5="H48","ASX H48",IF(D5="H43","ASX H43",IF(D5="H40","ASX H40",IF(D5="H42","ASX H42",IF(D5="H44","ASX H44",IF(D5="H45","ASX H45",IF(D5="H38","Eclipse H38",IF(D5="H37","Eclipse H37",IF(D5="EH40","Eclipse H40",IF(D5="EH43","Eclipse H43",IF(D5="XPML","Xpander ML",IF(D5="ML","Destinator ML",IF(D5="HL","Destinator HL",IF(D5="PR","Destinator PR",IF(D5="MLP","Destinator MLP",IF(D5="HLP","Destinator HLP",IF(D5="PRP","Destinator PRP",IF(D5="XPHL","Xpander HL",IF(D5="XPMLP","Xpander ML P",IF(D5="XPMLP-01","Xpander ML P-01",IF(D5="XC","Xpander Cross",IF(D5="G03","Outlander G03",IF(D5="P03","Outlander P03",IF(D5="G06","Outlander G06",IF(D5="P06","Outlander P06",IF(D5="OTP06-01","Outlander P06-01",IF(D5="G08","Outlander G08",IF(D5="P08","Outlander P08",IF(D5="H57","Montero H57",IF(D5="P57","Montero P57",IF(D5="H64","Montero G64",IF(D5="H59","Montero G59",IF(D5="P59","Montero G59 P",IF(D5="H61","Montero G61",IF(D5="P61","Montero P61",IF(D5="G10","Outlander G10",IF(D5="P10","Outlander P10",IF(D5="G12","Outlander G12",IF(D5="P12","Outlander P12",IF(D5="G05","Outlander G05",IF(D5="P05","Outlander P05",IF(D5="G09","Outlander G09",IF(D5="P09","Outlander P09",))))))))))))))))))))))))))))))))))))))))))))))))</f>
        <v>Outlander G09</v>
      </c>
      <c r="D5" s="19" t="s">
        <v>162</v>
      </c>
      <c r="E5" s="20" t="s">
        <v>145</v>
      </c>
      <c r="F5" s="37"/>
      <c r="G5" s="37"/>
      <c r="H5" s="37"/>
      <c r="I5" s="20"/>
      <c r="J5" s="34"/>
      <c r="K5" s="209">
        <v>0</v>
      </c>
      <c r="L5" s="208">
        <v>3.39E-2</v>
      </c>
      <c r="M5" s="208">
        <v>6.7799999999999999E-2</v>
      </c>
      <c r="N5" s="208">
        <v>0.1017</v>
      </c>
      <c r="O5" s="147">
        <f>K7+K14</f>
        <v>16259.111488042499</v>
      </c>
      <c r="S5" s="186"/>
      <c r="U5" s="186">
        <f>L7+L14</f>
        <v>6712.8221304331246</v>
      </c>
      <c r="V5" s="186">
        <f>M7+M14</f>
        <v>4539.4289757862498</v>
      </c>
      <c r="W5" s="186">
        <f>N7+N14</f>
        <v>3191.0183554331252</v>
      </c>
    </row>
    <row r="6" spans="1:27" s="5" customFormat="1" ht="99" thickBot="1" x14ac:dyDescent="0.35">
      <c r="A6" s="4" t="s">
        <v>4</v>
      </c>
      <c r="B6" s="26" t="s">
        <v>5</v>
      </c>
      <c r="C6" s="27" t="s">
        <v>6</v>
      </c>
      <c r="D6" s="27" t="s">
        <v>144</v>
      </c>
      <c r="E6" s="27" t="s">
        <v>7</v>
      </c>
      <c r="F6" s="27" t="s">
        <v>8</v>
      </c>
      <c r="G6" s="28" t="s">
        <v>9</v>
      </c>
      <c r="H6" s="28" t="s">
        <v>143</v>
      </c>
      <c r="I6" s="28" t="s">
        <v>10</v>
      </c>
      <c r="J6" s="28" t="s">
        <v>142</v>
      </c>
      <c r="K6" s="28" t="s">
        <v>11</v>
      </c>
      <c r="L6" s="28" t="s">
        <v>12</v>
      </c>
      <c r="M6" s="28" t="s">
        <v>13</v>
      </c>
      <c r="N6" s="28" t="s">
        <v>14</v>
      </c>
      <c r="O6" s="207"/>
      <c r="P6" s="206"/>
      <c r="T6" s="205"/>
      <c r="U6" s="205">
        <f>N7+L14</f>
        <v>5304.1006204331252</v>
      </c>
      <c r="V6" s="205">
        <f>N7+K14</f>
        <v>13089.4880905425</v>
      </c>
      <c r="W6" s="205" t="e">
        <f>N7+J14</f>
        <v>#VALUE!</v>
      </c>
    </row>
    <row r="7" spans="1:27" ht="25.2" thickBot="1" x14ac:dyDescent="0.45">
      <c r="A7" s="6">
        <f>B8</f>
        <v>129900</v>
      </c>
      <c r="B7" s="29">
        <f>IF(L20="YES",C8*1,IF(L20="NO",B8*1))</f>
        <v>129900</v>
      </c>
      <c r="C7" s="29">
        <f>B7*5/100</f>
        <v>6495</v>
      </c>
      <c r="D7" s="203">
        <f>B7+C7</f>
        <v>136395</v>
      </c>
      <c r="E7" s="29">
        <f>D17</f>
        <v>21516.169875</v>
      </c>
      <c r="F7" s="29">
        <f>(C7)+(D10+D11+D12+D13+D16)*5/100</f>
        <v>7065</v>
      </c>
      <c r="G7" s="30">
        <f>B7+E7+F7</f>
        <v>158481.16987499999</v>
      </c>
      <c r="H7" s="29">
        <f>G7*D20</f>
        <v>31696.233974999999</v>
      </c>
      <c r="I7" s="30">
        <f>(G7-H7)</f>
        <v>126784.9359</v>
      </c>
      <c r="J7" s="30">
        <f>(((I7*D19)*1)+I7)/12</f>
        <v>10976.405825542499</v>
      </c>
      <c r="K7" s="30">
        <f>(((I7*D19)*2)+I7)/24</f>
        <v>5693.7001630425002</v>
      </c>
      <c r="L7" s="30">
        <f>(((I7*D19)*3)+I7)/36</f>
        <v>3932.7982755424996</v>
      </c>
      <c r="M7" s="30">
        <f>(((I7*D19)*4)+I7)/48</f>
        <v>3052.3473317925</v>
      </c>
      <c r="N7" s="30">
        <f>((((I7*D19)*5)+I7)/60)</f>
        <v>2524.0767655425002</v>
      </c>
      <c r="O7" s="147"/>
      <c r="P7" s="2">
        <f>H7+H16</f>
        <v>33027.47580195</v>
      </c>
      <c r="T7" s="186">
        <f>25973/2</f>
        <v>12986.5</v>
      </c>
    </row>
    <row r="8" spans="1:27" ht="24.6" x14ac:dyDescent="0.4">
      <c r="A8" s="7">
        <v>0.2</v>
      </c>
      <c r="B8" s="31">
        <f>IF(D5="MIG09",39900,IF(D5="MIG10",41900,IF(D5="H16",41900,IF(D5="P16",47400,IF(D5="H17",47900,IF(D5="H48",67900,IF(D5="H43",70900,IF(D5="H40",72900,IF(D5="H42",74900,IF(D5="H44",73900,IF(D5="H45",79900,IF(D5="H38",86900,IF(D5="H37",79900,IF(D5="EH40",99900,IF(D5="EH43",106900,IF(D5="ML",71900,IF(D5="HL",83900,IF(D5="PR",95900,IF(D5="MLP",80900,IF(D5="HLP",91900,IF(D5="PRP",102900,IF(D5="XPML",69900,IF(D5="XPHL",71000,IF(D5="XPMLP",75900,IF(D5="XPMLP-01",77800,IF(D5="XC",84900,IF(D5="G10",81900,IF(D5="P10",93900,IF(D5="G12",97900,IF(D5="P12",105900,IF(D5="G05",104900,IF(D5="P05",105900,IF(D5="G03",92900,IF(D5="P03",100900,IF(D5="G06",109900,IF(D5="P06",114900,IF(D5="OTP06-01",118900,IF(D5="G08",125900,IF(D5="P08",132900,IF(D5="OTP06-01",109900,IF(D5="G09",129900,IF(D5="P09",134900,IF(D5="H57",105900,IF(D5="P57",113900,IF(D5="H64",116900,IF(D5="H59",127900,IF(D5="P59",134900,IF(D5="H61",134900,IF(D5="P61",138900)))))))))))))))))))))))))))))))))))))))))))))))))</f>
        <v>129900</v>
      </c>
      <c r="C8" s="32">
        <f>IF(L20="YES",N20,IF(L20="NO",N20))</f>
        <v>129900</v>
      </c>
      <c r="D8" s="29">
        <v>0</v>
      </c>
      <c r="E8" s="33"/>
      <c r="F8" s="139"/>
      <c r="G8" s="140"/>
      <c r="H8" s="110">
        <f>G7*20/100</f>
        <v>31696.233974999999</v>
      </c>
      <c r="I8" s="34"/>
      <c r="J8" s="34" t="s">
        <v>15</v>
      </c>
      <c r="K8" s="34">
        <f>(I7*K5+I7)/24</f>
        <v>5282.7056624999996</v>
      </c>
      <c r="L8" s="34">
        <f>(I7*L5+I7)/36</f>
        <v>3641.1929229725001</v>
      </c>
      <c r="M8" s="34">
        <f>(I7*M5+I7)/48</f>
        <v>2820.43655320875</v>
      </c>
      <c r="N8" s="34">
        <f>(I7*N5+I7)/60</f>
        <v>2327.9827313505002</v>
      </c>
      <c r="O8" s="147">
        <v>0</v>
      </c>
      <c r="P8" s="2">
        <f>P7/12</f>
        <v>2752.2896501625</v>
      </c>
      <c r="T8" s="1">
        <f>25973-12973</f>
        <v>13000</v>
      </c>
    </row>
    <row r="9" spans="1:27" ht="24.6" x14ac:dyDescent="0.4">
      <c r="A9" s="8">
        <f>B8/(100%-A8)</f>
        <v>162375</v>
      </c>
      <c r="B9" s="109">
        <f>B7-B8</f>
        <v>0</v>
      </c>
      <c r="C9" s="109"/>
      <c r="D9" s="36"/>
      <c r="E9" s="33"/>
      <c r="F9" s="139"/>
      <c r="G9" s="140"/>
      <c r="H9" s="33"/>
      <c r="I9" s="37" t="s">
        <v>16</v>
      </c>
      <c r="J9" s="38">
        <f>(J7*12)-I7</f>
        <v>4931.9340065099968</v>
      </c>
      <c r="K9" s="38">
        <f>(K7*24)-I7</f>
        <v>9863.8680130200082</v>
      </c>
      <c r="L9" s="38">
        <f>(L7*36)-I7</f>
        <v>14795.802019529991</v>
      </c>
      <c r="M9" s="38">
        <f>(M7*48)-I7</f>
        <v>19727.736026040002</v>
      </c>
      <c r="N9" s="38">
        <f>(N7*60)-I7</f>
        <v>24659.670032550013</v>
      </c>
      <c r="O9" s="147"/>
      <c r="T9" s="1">
        <f>T8/12</f>
        <v>1083.3333333333333</v>
      </c>
      <c r="Z9" s="1" t="s">
        <v>86</v>
      </c>
    </row>
    <row r="10" spans="1:27" ht="24.6" x14ac:dyDescent="0.4">
      <c r="A10" s="8"/>
      <c r="B10" s="37" t="s">
        <v>141</v>
      </c>
      <c r="C10" s="20" t="s">
        <v>17</v>
      </c>
      <c r="D10" s="36">
        <f>IF(C10="YES",700,IF(C10="NO",0))</f>
        <v>0</v>
      </c>
      <c r="E10" s="39"/>
      <c r="F10" s="40"/>
      <c r="G10" s="40"/>
      <c r="H10" s="33"/>
      <c r="I10" s="44" t="s">
        <v>85</v>
      </c>
      <c r="J10" s="117" t="s">
        <v>19</v>
      </c>
      <c r="K10" s="117">
        <f>IF(J10="YES",Z10,IF(J10="NO",0))</f>
        <v>1000</v>
      </c>
      <c r="L10" s="41">
        <f>(L8*36)-I7</f>
        <v>4298.0093270100042</v>
      </c>
      <c r="M10" s="41">
        <f>(M8*48)-I7</f>
        <v>8596.0186540199938</v>
      </c>
      <c r="N10" s="41">
        <f>(N8*60)-I7</f>
        <v>12894.027981030013</v>
      </c>
      <c r="O10" s="147">
        <f>IF(D5="XC",3690,IF(D5="XPML",3690,IF(D5="XPHL",3690,IF(D5="XPMLP",3690,IF(D5="XPMLP-01",3690,IF(D5="Xpander P",3690,IF(D5="ML",3690,IF(D5="HL",3690,IF(D5="PR",(U19*3/100+510)*1.05,IF(D5="MLP",3690,IF(D5="HLP",(U19*3/100+510)*1.05,IF(D5="PRP",(U19*3/100+510)*1.05,IF(D5="H57",(U19*2.75/100+510)*1.05,IF(D5="P57",(U19*2.75/100+510)*1.05,IF(D5="H64",(U19*2.75/100+510)*1.05,IF(D5="H59",(U19*2.75/100+510)*1.05,IF(D5="P59",(U19*2.75/100+510)*1.05,IF(D5="H61",(U19*2.75/100+510)*1.05,IF(D5="P61",(U19*2.75/100+510)*1.05,IF(D5="G03",(U19*3/100+510)*1.05,IF(D5="G10",(U19*3/100+510)*1.05,IF(D5="P10",(U19*3/100+510)*1.05,IF(D5="G12",(U19*3/100+510)*1.05,IF(D5="P12",(U19*3/100+510)*1.05,IF(D5="G05",(U19*3/100+510)*1.05,IF(D5="P05",(U19*3/100+510)*1.05,IF(D5="P03",(U19*3/100+510)*1.05,IF(D5="G06",(U19*3/100+510)*1.05,IF(D5="P06",(U19*3/100+510)*1.05,IF(D5="OTP06-01",(U19*3/100+510)*1.05,IF(D5="G08",(U19*3/100+510)*1.05,IF(D5="P08",(U19*3/100+510)*1.05,IF(D5="G09",(U19*3/100+510)*1.05,IF(D5="P09",(U19*3/100+510)*1.05,IF(D5="H38",3625,IF(D5="H37",3625,IF(D5="EH40",(U19*3/100+450)*1.05,IF(D5="EH43",(U19*3/100+450)*1.05,IF(D5="H48",3625,IF(D5="H43",3625,IF(D5="H40",3625,IF(D5="H42",3625,IF(D5="H44",3625,IF(D5="H45",3625,IF(D5="ASX HL 4WD",3625,IF(D5="H16",3625,IF(D5="H17",3625,IF(D5="P16",3625,IF(D5="Attrage S",3625,IF(D5="MIG09",3625,IF(D5="MIG10",3625,IF(D5="Xpander HL",3690))))))))))))))))))))))))))))))))))))))))))))))))))))</f>
        <v>5208.9975000000004</v>
      </c>
      <c r="P10" s="204"/>
      <c r="Q10" s="204">
        <f>5.25*3</f>
        <v>15.75</v>
      </c>
      <c r="Z10" s="1">
        <f>IF(D5="MIG09",1000,IF(D5="MIG10",1000,IF(D5="H16",1000,IF(D5="P16",1000,IF(D5="H17",1000,IF(D5="H48",1000,IF(D5="H43",1000,IF(D5="H40",1000,IF(D5="H42",1000,IF(D5="H44",1000,IF(D5="H45",1000,IF(D5="H38",1000,IF(D5="H37",1000,IF(D5="EH40",1000,IF(D5="EH43",1000,IF(D5="ML",1000,IF(D5="HL",1000,IF(D5="PR",1000,IF(D5="MLP",1000,IF(D5="HLP",1000,IF(D5="PRP",1000,IF(D5="XPML",1000,IF(D5="XPHL",1000,IF(D5="XPMLP",1000,IF(D5="XPMLP-01",1000,IF(D5="XC",1000,IF(D5="G10",1000,IF(D5="P10",1000,IF(D5="G12",1000,IF(D5="P12",1000,IF(D5="G05",1000,IF(D5="P05",1000,IF(D5="G03",1000,IF(D5="P03",1000,IF(D5="G06",1000,IF(D5="P06",1000,IF(D5="OTP06-01",1000,IF(D5="G08",1000,IF(D5="P08",1000,IF(D5="OTP06-01",1000,IF(D5="G09",1000,IF(D5="P09",1000,IF(D5="H57",1000,IF(D5="P57",1000,IF(D5="H64",1000,IF(D5="H59",1000,IF(D5="P59",1000,IF(D5="H61",1000,IF(D5="P61",1000)))))))))))))))))))))))))))))))))))))))))))))))))</f>
        <v>1000</v>
      </c>
    </row>
    <row r="11" spans="1:27" ht="24.6" x14ac:dyDescent="0.4">
      <c r="A11" s="8"/>
      <c r="B11" s="37" t="s">
        <v>18</v>
      </c>
      <c r="C11" s="20" t="s">
        <v>19</v>
      </c>
      <c r="D11" s="203">
        <f>IF(C11="YES",O17,IF(C11="NO",0))</f>
        <v>2700</v>
      </c>
      <c r="E11" s="39"/>
      <c r="F11" s="40"/>
      <c r="G11" s="40"/>
      <c r="H11" s="33"/>
      <c r="I11" s="33"/>
      <c r="J11" s="44" t="s">
        <v>76</v>
      </c>
      <c r="K11" s="44">
        <f>H8-K10</f>
        <v>30696.233974999999</v>
      </c>
      <c r="L11" s="37"/>
      <c r="M11" s="37"/>
      <c r="N11" s="38"/>
      <c r="O11" s="147">
        <f>IF(D5="XC",6100,IF(D5="XPML",6100,IF(D5="XPHL",6100,IF(D5="XPMLP",6100,IF(D5="XPMLP-01",6100,IF(D5="Xpander P",6100,IF(D5="ML",6600,IF(D5="HL",6600,IF(D5="PR",6600,IF(D5="MLP",6600,IF(D5="HLP",6600,IF(D5="PRP",6600,IF(D5="H57",5900,IF(D5="P57",5900,IF(D5="H64",5900,IF(D5="H59",5900,IF(D5="P59",5900,IF(D5="H61",5900,IF(D5="P61",5900,IF(D5="G03",6700,IF(D5="G10",6700,IF(D5="P10",6700,IF(D5="G12",6700,IF(D5="P12",6700,IF(D5="G05",6700,IF(D5="P05",6700,IF(D5="P03",6700,IF(D5="G06",6700,IF(D5="P06",6700,IF(D5="OTP06-01",6700,IF(D5="G08",6700,IF(D5="G09",6700,IF(D5="G08",6700,IF(D5="P08",6700,IF(D5="P09",6700,IF(D5="H37",6400,IF(D5="H38",6400,IF(D5="EH40",6400,IF(D5="EH43",6400,IF(D5="H48",6600,IF(D5="H43",6600,IF(D5="H40",6600,IF(D5="H42",6600,IF(D5="H44",6600,IF(D5="H45",6600,IF(D5="ASX HL 4WD",6600,IF(D5="H16",5400,IF(D5="H17",5400,IF(D5="P16",5400,IF(D5="Attrage S",5400,IF(D5="MIG09",5400,IF(D5="MIG10",5400,IF(D5="Xpander HL",6000)))))))))))))))))))))))))))))))))))))))))))))))))))))</f>
        <v>6700</v>
      </c>
      <c r="P11" s="147"/>
      <c r="Q11" s="147"/>
      <c r="R11" s="147"/>
      <c r="S11" s="147"/>
      <c r="T11" s="147"/>
      <c r="U11" s="147">
        <f>IF(D5="XC",4900,IF(D5="XPML",4900,IF(D5="XPHL",4900,IF(D5="XPMLP",4900,IF(D5="XPMLP-01",4900,IF(D5="Xpander P",4900,IF(D5="ML",5400,IF(D5="HL",5400,IF(D5="PR",5400,IF(D5="MLP",5400,IF(D5="HLP",5400,IF(D5="PRP",5400,IF(D5="H57",4600,IF(D5="P57",4600,IF(D5="MOG64",4600,IF(D5="H59",4600,IF(D5="P59",4600,IF(D5="H61",4600,IF(D5="P61",4600,IF(D5="G03",5500,IF(D5="P03",5500,IF(D5="G10",5500,IF(D5="P10",5500,IF(D5="G12",5500,IF(D5="P12",5500,IF(D5="G05",5500,IF(D5="P05",5500,IF(D5="G06",5500,IF(D5="P06",5500,IF(D5="OTP06-01",5500,IF(D5="F08",5500,IF(D5="P08",5500,IF(D5="G09",5500,IF(D5="P09",5500,IF(D5="H38",5200,IF(D5="H37",5200,IF(D5="EH40",5200,IF(D5="EH43",5200,IF(D5="H48",5300,IF(D5="H43",5300,IF(D5="H40",5300,IF(D5="H42",5300,IF(D5="H44",5300,IF(D5="H45",5300,IF(D5="ASX HL",5300,IF(D5="ASX P",5300,IF(D5="ASX HL 4WD",5300,IF(D5="H16",4200,IF(D5="H17",4200,IF(D5="P16",4200,IF(D5="Attrage S",4200,IF(D5="MIG09",4200,IF(D5="MIG10",4200,IF(D5="Xpander HL",4900))))))))))))))))))))))))))))))))))))))))))))))))))))))</f>
        <v>5500</v>
      </c>
      <c r="V11" s="147">
        <f>IF(D5="XC",9700,IF(D5="XPML",9700,IF(D5="XPHL",9700,IF(D5="XPMLP",9700,IF(D5="XPMLP-01",9700,IF(D5="XPMLP-01",9700,IF(D5="Xpander P",9700,IF(D5="ML",10800,IF(D5="HL",10800,IF(D5="PR",10800,IF(D5="MLP",10800,IF(D5="HLP",10800,IF(D5="PRP",10800,IF(D5="H57",9300,IF(D5="P57",9300,IF(D5="MG64",9300,IF(D5="H59",9300,IF(D5="P59",9300,IF(D5="H61",9300,IF(D5="P61",9300,IF(D5="G03",11000,IF(D5="G10",11000,IF(D5="P10",11000,IF(D5="G12",11000,IF(D5="P12",11000,IF(D5="G05",11000,IF(D5="P05",11000,IF(D5="P03",11000,IF(D5="G06",11000,IF(D5="P06",11000,IF(D5="OTP06-01",11000,IF(D5="G08",11000,IF(D5="P08",11000,IF(D5="G09",11000,IF(D5="P09",11000,IF(D5="H38",10400,IF(D5="H37",10400,IF(D5="EH40",10400,IF(D5="EH43",10400,IF(D5="H48",10700,IF(D5="H43",10700,IF(D5="H40",10700,IF(D5="H42",10700,IF(D5="H44",10800,IF(D5="H45",10800,IF(D5="ASX HL",12200,IF(D5="ASX P",12200,IF(D5="ASX HL 4WD",12200,IF(D5="H16",8500,IF(D5="H17",8500,IF(D5="P16",8500,IF(D5="Attrage S",9600,IF(D5="MIG09",8500,IF(D5="MIG10",8500,IF(D5="Xpander HL",11300)))))))))))))))))))))))))))))))))))))))))))))))))))))))</f>
        <v>11000</v>
      </c>
      <c r="W11" s="147">
        <f>IF(D5="XC",9200,IF(D5="XPML",9200,IF(D5="XPHL",9200,IF(D5="XPMLP",9200,IF(D5="XPMLP-01",9200,IF(D5="Xpander P",9200,IF(D5="ML",10000,IF(D5="HL",10000,IF(D5="PR",10000,IF(D5="MLP",10000,IF(D5="HLP",10000,IF(D5="PRP",10000,IF(D5="H57",8700,IF(D5="P57",8700,IF(D5="H64",8700,IF(D5="H59",8700,IF(D5="P59",8700,IF(D5="H61",8700,IF(D5="P61",8700,IF(D5="G03",10400,IF(D5="P03",10400,IF(D5="G10",10400,IF(D5="P10",10400,IF(D5="G12",10400,IF(D5="P12",10400,IF(D5="G05",10400,IF(D5="P05",10400,IF(D5="G06",10400,IF(D5="P06",10400,IF(D5="OTP06-01",10400,IF(D5="G08",10400,IF(D5="P08",10400,IF(D5="G09",10400,IF(D5="P09",10400,IF(D5="H38",9800,IF(D5="H37",9800,IF(D5="EH40",9800,IF(D5="EH43",9800,IF(D5="H48",10100,IF(D5="H43",10100,IF(D5="H40",10100,IF(D5="H42",10100,IF(D5="H44",10100,IF(D5="H45",10100,IF(D5="ASX HL",10100,IF(D5="ASX P",10100,IF(D5="ASX HL 4WD",10100,IF(D5="H16",7900,IF(D5="H17",7900,IF(D5="P16",7900,IF(D5="Attrage S",7900,IF(D5="MIG09",7900,IF(D5="MIG10",7900,IF(D5="Xpander HL",9200))))))))))))))))))))))))))))))))))))))))))))))))))))))</f>
        <v>10400</v>
      </c>
      <c r="X11" s="147">
        <f>IF(D5="XC",4500,IF(D5="XPML",4500,IF(D5="XPHL",4500,IF(D5="XPMLP",4500,IF(D5="XPMLP-01",4500,IF(D5="Xpander P",4500,IF(D5="ML",5000,IF(D5="HL",5000,IF(D5="PR",5000,IF(D5="MLP",5000,IF(D5="HLP",5000,IF(D5="PRP",5000,IF(D5="H57",8700,IF(D5="P57",8700,IF(D5="MOG64",4300,IF(D5="H59",4300,IF(D5="P59",4300,IF(D5="H61",4300,IF(D5="P61",4300,IF(D5="G03",5000,IF(D5="P03",5000,IF(D5="G10",5000,IF(D5="P10",5000,IF(D5="G12",5000,IF(D5="P12",5000,IF(D5="G05",5000,IF(D5="P05",5000,IF(D5="G06",5000,IF(D5="P06",5000,IF(D5="OTP06-01",5000,IF(D5="G08",5000,IF(D5="P08",5000,IF(D5="G09",5000,IF(D5="P09",5000,IF(D5="H38",4900,IF(D5="H37",4900,IF(D5="EH40",4900,IF(D5="EH43",4900,IF(D5="H48",4900,IF(D5="H43",4900,IF(D5="H40",4900,IF(D5="H42",4900,IF(D5="H44",4900,IF(D5="H45",4900,IF(D5="ASX HL",4900,IF(D5="ASX P",4900,IF(D5="ASX HL 4WD",4900,IF(D5="H16",3700,IF(D5="H17",3700,IF(D5="P16",3700,IF(D5="Attrage S",3700,IF(D5="MIG09",3700,IF(D5="MIG10",3700,IF(D5="Xpander HL",4500))))))))))))))))))))))))))))))))))))))))))))))))))))))</f>
        <v>5000</v>
      </c>
      <c r="Y11" s="147">
        <f>IF(D5="XC",5400,IF(D5="XPML ",5400,IF(D5="XPHL",5400,IF(D5="XPMLP",5400,IF(D5="XPMLP-01",5400,IF(D5="Xpander P",5400,IF(D5="ML",6000,IF(D5="HL",6000,IF(D5="PR",6000,IF(D5="MLP",6000,IF(D5="HLP",6000,IF(D5="PRP",6000,IF(D5="H57",5200,IF(D5="57",5200,IF(D5="H64",5200,IF(D5="H59",5200,IF(D5="P59",5200,IF(D5="H61",5200,IF(D5="P61",5200,IF(D5="G03",6000,IF(D5="P03",6000,IF(D5="G10",6000,IF(D5="P10",6000,IF(D5="G12",6000,IF(D5="P12",6000,IF(D5="G05",6000,IF(D5="P05",6000,IF(D5="G06",6000,IF(D5="P06",6000,IF(D5="OTP06-01",6000,IF(D5="G08",6000,IF(D5="P08",6000,IF(D5="G09",6000,IF(D5="P09",6000,IF(D5="H38",5700,IF(D5="H37",5700,IF(D5="EH40",5700,IF(D5="EH43",5700,IF(D5="H48",5900,IF(D5="H43",5900,IF(D5="H40",5900,IF(D5="H42",5900,IF(D5="H44",5900,IF(D5="H45",5900,IF(D5="ASX HL",5900,IF(D5="ASX P",5900,IF(D5="ASX HL 4WD",5900,IF(D5="H16",4500,IF(D5="H17",4500,IF(D5="P16",4500,IF(D5="Attrage S",4500,IF(D5="MIG09",4500,IF(D5="MIG10",4500,IF(D5="Xpander HL",5400))))))))))))))))))))))))))))))))))))))))))))))))))))))</f>
        <v>6000</v>
      </c>
    </row>
    <row r="12" spans="1:27" ht="24.6" x14ac:dyDescent="0.4">
      <c r="A12" s="8"/>
      <c r="B12" s="37" t="s">
        <v>20</v>
      </c>
      <c r="C12" s="20" t="s">
        <v>17</v>
      </c>
      <c r="D12" s="36">
        <f>IF(C12="YES",2000,IF(C12="NO",0))</f>
        <v>0</v>
      </c>
      <c r="E12" s="43"/>
      <c r="F12" s="43" t="s">
        <v>21</v>
      </c>
      <c r="G12" s="40"/>
      <c r="H12" s="33">
        <v>600</v>
      </c>
      <c r="I12" s="33"/>
      <c r="J12" s="202" t="s">
        <v>140</v>
      </c>
      <c r="K12" s="45">
        <v>0</v>
      </c>
      <c r="L12" s="45">
        <v>5.2499999999999998E-2</v>
      </c>
      <c r="M12" s="45">
        <v>0.126</v>
      </c>
      <c r="N12" s="201">
        <v>0.26250000000000001</v>
      </c>
      <c r="O12" s="147">
        <f>IF(K20="Esaad",B8*3/100,IF(K20="Emirates Platinum",B8*3/100,IF(K20="Fazaa",B8*3/100,IF(K20="Humat Alwatan",B8*3/100,IF(K20="Permissible",2000,IF(K20="ASX",8400,IF(K20="XPMLP",15100,IF(K20="XP",7200,IF(K20="G43",11000,IF(K20="EC",17000,IF(K20="G37",17000,IF(K20="G38",15000,IF(K20="G40",11000,IF(K20="OUT",3000,IF(K20="F08",14400,IF(K20="P08",11100,IF(K20="F06",13100,IF(K20="P06",13400,IF(K20="F03",3500,IF(K20="F03-1",13500,IF(K20="P03",13100,IF(K20="MON",10000,IF(K20="MON G57",9000,0)))))))))))))))))))))))</f>
        <v>2000</v>
      </c>
      <c r="Z12" s="86" t="s">
        <v>83</v>
      </c>
      <c r="AA12" s="86" t="s">
        <v>84</v>
      </c>
    </row>
    <row r="13" spans="1:27" ht="24.6" x14ac:dyDescent="0.4">
      <c r="A13" s="8">
        <f>B8*1.26582</f>
        <v>164430.01799999998</v>
      </c>
      <c r="B13" s="37" t="s">
        <v>23</v>
      </c>
      <c r="C13" s="20" t="s">
        <v>19</v>
      </c>
      <c r="D13" s="36">
        <f>IF(C13="YES",2000,IF(C13="NO",0))</f>
        <v>2000</v>
      </c>
      <c r="E13" s="47"/>
      <c r="F13" s="47" t="s">
        <v>75</v>
      </c>
      <c r="G13" s="51"/>
      <c r="H13" s="39">
        <v>315</v>
      </c>
      <c r="I13" s="33"/>
      <c r="J13" s="44" t="s">
        <v>54</v>
      </c>
      <c r="K13" s="29" t="s">
        <v>79</v>
      </c>
      <c r="L13" s="29" t="s">
        <v>25</v>
      </c>
      <c r="M13" s="29" t="s">
        <v>0</v>
      </c>
      <c r="N13" s="57" t="s">
        <v>26</v>
      </c>
      <c r="O13" s="9">
        <f>IF(M21="3000-4999",6%,IF(M21="5000-9999",4.75%,IF(M21="10000-14999",3.15%,IF(M21="15000-24999",2.5%,IF(M21="25000-34999",2.25%,IF(M21="35000-99999",2.15%))))))</f>
        <v>4.7500000000000001E-2</v>
      </c>
      <c r="Q13" s="2">
        <f>H7/12</f>
        <v>2641.3528312499998</v>
      </c>
      <c r="U13" s="9">
        <f>IF(M21="3000-4999",6%,IF(M21="5000-9999",3.25%,IF(M21="10000-14999",3%,IF(M21="15000-24999",2.25%,IF(M21="25000-34999",2.15%,IF(M21="35000-99999",1.99%))))))</f>
        <v>3.2500000000000001E-2</v>
      </c>
      <c r="Z13" s="99">
        <f>IF(M21="5000-9999",2.49%,IF(M21="10000-19999",2.19%,IF(M21="20000-34999",2.09%,IF(M21="35000-49999",1.89%,IF(M21="50000-99999",1.79%)))))</f>
        <v>2.4900000000000002E-2</v>
      </c>
      <c r="AA13" s="99">
        <f>IF(M21="5000-9999",2.59%,IF(M21="10000-19999",2.29%,IF(M21="20000-34999",2.19%,IF(M21="35000-49999",1.99%,IF(M21="50000-99999",1.89%)))))</f>
        <v>2.5899999999999999E-2</v>
      </c>
    </row>
    <row r="14" spans="1:27" ht="24.6" x14ac:dyDescent="0.4">
      <c r="A14" s="10" t="s">
        <v>27</v>
      </c>
      <c r="B14" s="37" t="s">
        <v>24</v>
      </c>
      <c r="C14" s="20" t="s">
        <v>19</v>
      </c>
      <c r="D14" s="50">
        <f>IF(C14="YES",U19*3.15*1.05/100,IF(C14="NO",U19*0/100))</f>
        <v>4907.1723750000001</v>
      </c>
      <c r="E14" s="48"/>
      <c r="F14" s="48" t="s">
        <v>24</v>
      </c>
      <c r="G14" s="51" t="s">
        <v>17</v>
      </c>
      <c r="H14" s="39">
        <f>IF(G14="YES",U19*3.15*1.05/100,IF(G14="NO",U19*0/100))</f>
        <v>0</v>
      </c>
      <c r="I14" s="33"/>
      <c r="J14" s="44" t="s">
        <v>55</v>
      </c>
      <c r="K14" s="44">
        <f>(H8*K12+H8)/3</f>
        <v>10565.411324999999</v>
      </c>
      <c r="L14" s="44">
        <f>(H8*L12+H8)/12</f>
        <v>2780.023854890625</v>
      </c>
      <c r="M14" s="44">
        <f>(H8*M12+H8)/24</f>
        <v>1487.0816439937498</v>
      </c>
      <c r="N14" s="200">
        <f>(H7*N12+H7)/60</f>
        <v>666.94158989062498</v>
      </c>
      <c r="O14" s="9">
        <f>IF(M21="3000-4999",3.89%,IF(M21="5000-9999",3.89%,IF(M21="10000-14999",3.89%,IF(M21="15000-24999",2.69%,IF(M21="25000-34999",2.69%,IF(M21="35000-99999",2.39%,IF(M21="76000-99999",2.5%)))))))</f>
        <v>3.8900000000000004E-2</v>
      </c>
    </row>
    <row r="15" spans="1:27" ht="24.6" x14ac:dyDescent="0.4">
      <c r="A15" s="11">
        <f>(B7*3%)+10+120</f>
        <v>4027</v>
      </c>
      <c r="B15" s="37" t="s">
        <v>28</v>
      </c>
      <c r="C15" s="20" t="s">
        <v>19</v>
      </c>
      <c r="D15" s="29">
        <f>IF(C15="YES",O10,IF(C15="NO",0))</f>
        <v>5208.9975000000004</v>
      </c>
      <c r="E15" s="48"/>
      <c r="F15" s="48" t="s">
        <v>53</v>
      </c>
      <c r="G15" s="51" t="s">
        <v>17</v>
      </c>
      <c r="H15" s="39">
        <f>IF(G15="YES",O10,IF(G15="NO",0))</f>
        <v>0</v>
      </c>
      <c r="I15" s="33"/>
      <c r="J15" s="44"/>
      <c r="K15" s="44"/>
      <c r="L15" s="44"/>
      <c r="M15" s="44"/>
      <c r="N15" s="198"/>
      <c r="O15" s="9" t="b">
        <f>IF(M21="3000-4999",4.99%, IF(M21="5000-11999",2.75%,IF(M21="12000-19999",2.75%,IF(M21="20000-39999",2.25%,IF(M21="40000-69999",2.25%,IF(M21="70000-99999",2.25%))))))</f>
        <v>0</v>
      </c>
      <c r="P15" s="191"/>
    </row>
    <row r="16" spans="1:27" ht="24.6" x14ac:dyDescent="0.4">
      <c r="A16" s="11">
        <f>((B7-B8)*3%+10+120)</f>
        <v>130</v>
      </c>
      <c r="B16" s="37" t="s">
        <v>78</v>
      </c>
      <c r="C16" s="20" t="s">
        <v>19</v>
      </c>
      <c r="D16" s="29">
        <f>IF(C16="YES",O16,IF(C16="NO",0))</f>
        <v>6700</v>
      </c>
      <c r="E16" s="47"/>
      <c r="F16" s="47" t="s">
        <v>74</v>
      </c>
      <c r="G16" s="54"/>
      <c r="H16" s="33">
        <f>I7*1.05%</f>
        <v>1331.2418269500001</v>
      </c>
      <c r="I16" s="33"/>
      <c r="J16" s="44" t="s">
        <v>16</v>
      </c>
      <c r="K16" s="44">
        <f>(K14*3)-H8</f>
        <v>0</v>
      </c>
      <c r="L16" s="44">
        <f>(L14*12)-H8</f>
        <v>1664.0522836874989</v>
      </c>
      <c r="M16" s="44">
        <f>(M14*24)-H8</f>
        <v>3993.7254808499965</v>
      </c>
      <c r="N16" s="198"/>
      <c r="O16" s="147">
        <f>IF(B16="RMC-10-70KMS",O11,IF(B16="RMC-10-100000KMS",V11,IF(B16="RMC-40-70KMS",U11, IF(B16="RMC-10-40KMS",X11, IF(B16="RMC-10-60KMS",Y11, IF(B16="RMC-40-100000KMS",W11,0))))))</f>
        <v>6700</v>
      </c>
    </row>
    <row r="17" spans="1:23" ht="24.6" x14ac:dyDescent="0.4">
      <c r="A17" s="11">
        <f>A15+A16</f>
        <v>4157</v>
      </c>
      <c r="B17" s="37"/>
      <c r="C17" s="20"/>
      <c r="D17" s="29">
        <f>SUM(D10:D16)</f>
        <v>21516.169875</v>
      </c>
      <c r="E17" s="48"/>
      <c r="F17" s="48"/>
      <c r="G17" s="54"/>
      <c r="H17" s="33">
        <f>+SUM(H12:H16)+(H7)</f>
        <v>33942.47580195</v>
      </c>
      <c r="I17" s="33"/>
      <c r="J17" s="20"/>
      <c r="K17" s="199"/>
      <c r="L17" s="199"/>
      <c r="M17" s="199"/>
      <c r="N17" s="198"/>
      <c r="O17" s="147">
        <f>IF(B11="FO Ceramic+ Intr&amp;Extr CeramicGold WdwTnt",2700,IF(B11="FO Mirror Camera Sensor",2000))</f>
        <v>2700</v>
      </c>
      <c r="T17" s="1">
        <f>19615-791</f>
        <v>18824</v>
      </c>
    </row>
    <row r="18" spans="1:23" ht="24.6" x14ac:dyDescent="0.4">
      <c r="A18" s="12" t="s">
        <v>29</v>
      </c>
      <c r="B18" s="55" t="s">
        <v>30</v>
      </c>
      <c r="C18" s="197"/>
      <c r="D18" s="57">
        <v>0</v>
      </c>
      <c r="E18" s="38"/>
      <c r="F18" s="20"/>
      <c r="G18" s="20"/>
      <c r="H18" s="37"/>
      <c r="I18" s="37"/>
      <c r="J18" s="37"/>
      <c r="K18" s="37"/>
      <c r="L18" s="37"/>
      <c r="M18" s="37"/>
      <c r="N18" s="37"/>
      <c r="O18" s="9" t="b">
        <f>IF(M21="5000-99999",1.99%)</f>
        <v>0</v>
      </c>
      <c r="U18" s="196" t="s">
        <v>52</v>
      </c>
      <c r="V18" s="196" t="s">
        <v>52</v>
      </c>
    </row>
    <row r="19" spans="1:23" ht="24.6" x14ac:dyDescent="0.4">
      <c r="A19" s="11">
        <f>B8*3.15%</f>
        <v>4091.85</v>
      </c>
      <c r="B19" s="58" t="s">
        <v>31</v>
      </c>
      <c r="C19" s="59"/>
      <c r="D19" s="60">
        <f>IF(K21="DIB EXPAT",O13,IF(K21="DIB LOCAL GVH",U13,IF(K21="Emirates NBD",O14,IF(K21="ADCB",O15,IF(K21="ADCB PAY IN 2027",O19,IF(K21="Ajman Bank",O18,IF(K21="SIB STL",Z13,IF(K21="SIB NON STL",AA13,))))))))</f>
        <v>3.8900000000000004E-2</v>
      </c>
      <c r="E19" s="20"/>
      <c r="F19" s="195"/>
      <c r="G19" s="141" t="s">
        <v>73</v>
      </c>
      <c r="H19" s="142"/>
      <c r="I19" s="143"/>
      <c r="J19" s="109">
        <f>(U19*20/100)/365</f>
        <v>81.295890410958904</v>
      </c>
      <c r="K19" s="37"/>
      <c r="L19" s="37"/>
      <c r="M19" s="37"/>
      <c r="N19" s="34">
        <f>D7</f>
        <v>136395</v>
      </c>
      <c r="O19" s="194" t="b">
        <f>IF(M21="5000-11999",3.35%,IF(M21="12000-19999",3.35%,IF(M21="20000-39999",2.85%,IF(M21="40000-69999",2.85%,IF(M21="70000-99999",2.85%)))))</f>
        <v>0</v>
      </c>
      <c r="P19" s="2">
        <f>81400-2500</f>
        <v>78900</v>
      </c>
      <c r="U19" s="193">
        <f>V19</f>
        <v>148365</v>
      </c>
      <c r="V19" s="192">
        <f>(B7+D10+D11+D12+D13+D16)*1.05</f>
        <v>148365</v>
      </c>
    </row>
    <row r="20" spans="1:23" ht="24.6" x14ac:dyDescent="0.4">
      <c r="A20" s="11"/>
      <c r="B20" s="58" t="s">
        <v>32</v>
      </c>
      <c r="C20" s="59"/>
      <c r="D20" s="63">
        <v>0.2</v>
      </c>
      <c r="E20" s="37"/>
      <c r="F20" s="37"/>
      <c r="G20" s="38"/>
      <c r="H20" s="38"/>
      <c r="I20" s="38"/>
      <c r="J20" s="103"/>
      <c r="K20" s="104" t="s">
        <v>33</v>
      </c>
      <c r="L20" s="104" t="s">
        <v>17</v>
      </c>
      <c r="M20" s="104">
        <f>IF(L20="YES",O12,IF(L20="NO",0))</f>
        <v>0</v>
      </c>
      <c r="N20" s="34">
        <f>B8-M20</f>
        <v>129900</v>
      </c>
      <c r="O20" s="187"/>
      <c r="P20" s="191"/>
      <c r="T20" s="1">
        <f>1992+1084</f>
        <v>3076</v>
      </c>
      <c r="U20" s="186"/>
      <c r="V20" s="2"/>
    </row>
    <row r="21" spans="1:23" ht="24.6" x14ac:dyDescent="0.4">
      <c r="A21" s="13">
        <f>A19+A20</f>
        <v>4091.85</v>
      </c>
      <c r="B21" s="37"/>
      <c r="C21" s="20"/>
      <c r="D21" s="37"/>
      <c r="E21" s="37"/>
      <c r="F21" s="37"/>
      <c r="G21" s="37"/>
      <c r="H21" s="37"/>
      <c r="I21" s="37"/>
      <c r="J21" s="190" t="s">
        <v>34</v>
      </c>
      <c r="K21" s="16" t="s">
        <v>139</v>
      </c>
      <c r="L21" s="16" t="s">
        <v>35</v>
      </c>
      <c r="M21" s="189" t="s">
        <v>80</v>
      </c>
      <c r="N21" s="188"/>
      <c r="O21" s="187"/>
      <c r="T21" s="1">
        <f>25973-12973</f>
        <v>13000</v>
      </c>
      <c r="U21" s="186">
        <f>M14+N7</f>
        <v>4011.15840953625</v>
      </c>
    </row>
    <row r="22" spans="1:23" s="179" customFormat="1" ht="24.6" x14ac:dyDescent="0.4">
      <c r="A22" s="185"/>
      <c r="B22" s="184" t="s">
        <v>51</v>
      </c>
      <c r="C22" s="183"/>
      <c r="D22" s="183"/>
      <c r="E22" s="183"/>
      <c r="F22" s="183"/>
      <c r="G22" s="183"/>
      <c r="H22" s="183"/>
      <c r="I22" s="183"/>
      <c r="J22" s="183"/>
      <c r="K22" s="183"/>
      <c r="L22" s="183"/>
      <c r="M22" s="183"/>
      <c r="N22" s="182"/>
      <c r="O22" s="181"/>
      <c r="P22" s="180"/>
    </row>
    <row r="23" spans="1:23" s="168" customFormat="1" ht="26.4" x14ac:dyDescent="0.5">
      <c r="A23" s="175" t="s">
        <v>36</v>
      </c>
      <c r="B23" s="172" t="s">
        <v>138</v>
      </c>
      <c r="C23" s="169"/>
      <c r="D23" s="169"/>
      <c r="E23" s="169"/>
      <c r="F23" s="169"/>
      <c r="G23" s="169"/>
      <c r="H23" s="176"/>
      <c r="I23" s="176"/>
      <c r="J23" s="169"/>
      <c r="K23" s="169"/>
      <c r="L23" s="169"/>
      <c r="M23" s="169"/>
      <c r="N23" s="178"/>
      <c r="O23" s="170"/>
      <c r="P23" s="169"/>
    </row>
    <row r="24" spans="1:23" s="168" customFormat="1" ht="26.4" x14ac:dyDescent="0.5">
      <c r="A24" s="175" t="s">
        <v>36</v>
      </c>
      <c r="B24" s="172" t="s">
        <v>137</v>
      </c>
      <c r="C24" s="169"/>
      <c r="D24" s="169"/>
      <c r="E24" s="169"/>
      <c r="F24" s="169"/>
      <c r="G24" s="169"/>
      <c r="H24" s="177">
        <f>H7/365</f>
        <v>86.83899719178082</v>
      </c>
      <c r="I24" s="177">
        <f>H7+H12+H16</f>
        <v>33627.47580195</v>
      </c>
      <c r="J24" s="169"/>
      <c r="K24" s="169"/>
      <c r="L24" s="169"/>
      <c r="M24" s="169"/>
      <c r="N24" s="173"/>
      <c r="O24" s="170"/>
      <c r="P24" s="169">
        <f>1232+480</f>
        <v>1712</v>
      </c>
      <c r="T24" s="168">
        <f>88704/1.05</f>
        <v>84480</v>
      </c>
    </row>
    <row r="25" spans="1:23" s="168" customFormat="1" ht="26.4" x14ac:dyDescent="0.5">
      <c r="A25" s="175" t="s">
        <v>36</v>
      </c>
      <c r="B25" s="172" t="s">
        <v>136</v>
      </c>
      <c r="C25" s="169"/>
      <c r="D25" s="169"/>
      <c r="E25" s="169"/>
      <c r="F25" s="169"/>
      <c r="G25" s="169"/>
      <c r="H25" s="176"/>
      <c r="I25" s="176"/>
      <c r="J25" s="169"/>
      <c r="K25" s="169"/>
      <c r="L25" s="169"/>
      <c r="M25" s="169"/>
      <c r="N25" s="173"/>
      <c r="O25" s="170"/>
      <c r="P25" s="169"/>
      <c r="Q25" s="168">
        <f>79400-5233.33</f>
        <v>74166.67</v>
      </c>
      <c r="R25" s="168">
        <f>Q25*1.05</f>
        <v>77875.003500000006</v>
      </c>
      <c r="W25" s="168">
        <f>1999+1224</f>
        <v>3223</v>
      </c>
    </row>
    <row r="26" spans="1:23" s="168" customFormat="1" ht="26.4" x14ac:dyDescent="0.5">
      <c r="A26" s="175" t="s">
        <v>36</v>
      </c>
      <c r="B26" s="172" t="s">
        <v>135</v>
      </c>
      <c r="C26" s="169"/>
      <c r="D26" s="169"/>
      <c r="E26" s="169"/>
      <c r="F26" s="169"/>
      <c r="G26" s="169"/>
      <c r="H26" s="169"/>
      <c r="I26" s="169"/>
      <c r="J26" s="169"/>
      <c r="K26" s="169"/>
      <c r="L26" s="169"/>
      <c r="M26" s="169"/>
      <c r="N26" s="173"/>
      <c r="O26" s="170" t="s">
        <v>37</v>
      </c>
      <c r="P26" s="169"/>
      <c r="R26" s="168">
        <f>R25+2469</f>
        <v>80344.003500000006</v>
      </c>
    </row>
    <row r="27" spans="1:23" s="168" customFormat="1" ht="26.4" x14ac:dyDescent="0.5">
      <c r="A27" s="175" t="s">
        <v>36</v>
      </c>
      <c r="B27" s="172" t="s">
        <v>134</v>
      </c>
      <c r="C27" s="169"/>
      <c r="D27" s="169"/>
      <c r="E27" s="169"/>
      <c r="F27" s="169"/>
      <c r="G27" s="169"/>
      <c r="H27" s="169"/>
      <c r="I27" s="169"/>
      <c r="J27" s="169"/>
      <c r="K27" s="169"/>
      <c r="L27" s="169"/>
      <c r="M27" s="169"/>
      <c r="N27" s="173"/>
      <c r="O27" s="170">
        <f>129500-110900</f>
        <v>18600</v>
      </c>
      <c r="P27" s="169"/>
      <c r="W27" s="174">
        <f>N7+L14</f>
        <v>5304.1006204331252</v>
      </c>
    </row>
    <row r="28" spans="1:23" s="168" customFormat="1" ht="26.4" x14ac:dyDescent="0.5">
      <c r="B28" s="172" t="s">
        <v>133</v>
      </c>
      <c r="C28" s="169"/>
      <c r="D28" s="169"/>
      <c r="E28" s="169"/>
      <c r="F28" s="169"/>
      <c r="G28" s="169"/>
      <c r="H28" s="169"/>
      <c r="I28" s="169"/>
      <c r="J28" s="169"/>
      <c r="K28" s="169"/>
      <c r="L28" s="169"/>
      <c r="M28" s="169"/>
      <c r="N28" s="173"/>
      <c r="O28" s="170">
        <f>85000-69900</f>
        <v>15100</v>
      </c>
      <c r="P28" s="169"/>
    </row>
    <row r="29" spans="1:23" s="168" customFormat="1" ht="26.4" x14ac:dyDescent="0.5">
      <c r="B29" s="172" t="s">
        <v>132</v>
      </c>
      <c r="C29" s="169"/>
      <c r="D29" s="169"/>
      <c r="E29" s="169"/>
      <c r="F29" s="169"/>
      <c r="G29" s="169"/>
      <c r="H29" s="169"/>
      <c r="I29" s="169"/>
      <c r="J29" s="169"/>
      <c r="K29" s="169"/>
      <c r="L29" s="169"/>
      <c r="M29" s="169"/>
      <c r="N29" s="171"/>
      <c r="O29" s="170"/>
      <c r="P29" s="169"/>
    </row>
    <row r="30" spans="1:23" x14ac:dyDescent="0.3">
      <c r="B30" s="167" t="s">
        <v>38</v>
      </c>
      <c r="C30" s="166"/>
      <c r="D30" s="166"/>
      <c r="E30" s="166"/>
      <c r="F30" s="166"/>
      <c r="G30" s="166"/>
      <c r="H30" s="166"/>
      <c r="I30" s="166"/>
      <c r="J30" s="166"/>
      <c r="K30" s="166"/>
      <c r="L30" s="166"/>
      <c r="M30" s="166"/>
      <c r="N30" s="165"/>
      <c r="O30" s="147"/>
    </row>
    <row r="31" spans="1:23" x14ac:dyDescent="0.3">
      <c r="B31" s="146"/>
      <c r="C31" s="145"/>
      <c r="D31" s="145"/>
      <c r="E31" s="145"/>
      <c r="F31" s="145"/>
      <c r="G31" s="145"/>
      <c r="H31" s="145"/>
      <c r="I31" s="145"/>
      <c r="J31" s="145"/>
      <c r="K31" s="145"/>
      <c r="L31" s="145"/>
      <c r="M31" s="145"/>
      <c r="N31" s="144"/>
      <c r="O31" s="147"/>
    </row>
    <row r="32" spans="1:23" s="86" customFormat="1" ht="20.399999999999999" x14ac:dyDescent="0.35">
      <c r="B32" s="118" t="s">
        <v>39</v>
      </c>
      <c r="C32" s="119"/>
      <c r="D32" s="119"/>
      <c r="E32" s="119"/>
      <c r="F32" s="119"/>
      <c r="G32" s="119"/>
      <c r="H32" s="119"/>
      <c r="I32" s="119"/>
      <c r="J32" s="119"/>
      <c r="K32" s="119"/>
      <c r="L32" s="119"/>
      <c r="M32" s="119"/>
      <c r="N32" s="120"/>
      <c r="O32" s="92"/>
      <c r="P32" s="83"/>
    </row>
    <row r="33" spans="2:16" s="86" customFormat="1" ht="20.399999999999999" x14ac:dyDescent="0.35">
      <c r="B33" s="118" t="s">
        <v>40</v>
      </c>
      <c r="C33" s="119"/>
      <c r="D33" s="119"/>
      <c r="E33" s="119"/>
      <c r="F33" s="119"/>
      <c r="G33" s="119"/>
      <c r="H33" s="119"/>
      <c r="I33" s="119"/>
      <c r="J33" s="119"/>
      <c r="K33" s="119"/>
      <c r="L33" s="119"/>
      <c r="M33" s="119"/>
      <c r="N33" s="120"/>
      <c r="O33" s="92"/>
      <c r="P33" s="83"/>
    </row>
    <row r="34" spans="2:16" s="86" customFormat="1" ht="20.399999999999999" x14ac:dyDescent="0.35">
      <c r="B34" s="107" t="s">
        <v>131</v>
      </c>
      <c r="C34" s="108"/>
      <c r="D34" s="108"/>
      <c r="E34" s="108"/>
      <c r="F34" s="108"/>
      <c r="G34" s="164" t="s">
        <v>130</v>
      </c>
      <c r="H34" s="164"/>
      <c r="I34" s="163"/>
      <c r="J34" s="163"/>
      <c r="K34" s="163"/>
      <c r="L34" s="163"/>
      <c r="M34" s="162" t="s">
        <v>129</v>
      </c>
      <c r="N34" s="161"/>
      <c r="O34" s="83"/>
      <c r="P34" s="83"/>
    </row>
    <row r="35" spans="2:16" x14ac:dyDescent="0.3">
      <c r="B35" s="160"/>
      <c r="C35" s="159"/>
      <c r="D35" s="159"/>
      <c r="E35" s="159"/>
      <c r="F35" s="159"/>
      <c r="G35" s="159"/>
      <c r="H35" s="159"/>
      <c r="I35" s="159"/>
      <c r="J35" s="159"/>
      <c r="K35" s="159"/>
      <c r="L35" s="159"/>
      <c r="M35" s="159"/>
      <c r="N35" s="158"/>
    </row>
    <row r="36" spans="2:16" x14ac:dyDescent="0.3">
      <c r="B36" s="160"/>
      <c r="C36" s="159"/>
      <c r="D36" s="159"/>
      <c r="E36" s="159"/>
      <c r="F36" s="159"/>
      <c r="G36" s="159"/>
      <c r="H36" s="159"/>
      <c r="I36" s="159"/>
      <c r="J36" s="159"/>
      <c r="K36" s="159"/>
      <c r="L36" s="159"/>
      <c r="M36" s="159"/>
      <c r="N36" s="158"/>
    </row>
    <row r="37" spans="2:16" x14ac:dyDescent="0.3">
      <c r="B37" s="160"/>
      <c r="C37" s="159"/>
      <c r="D37" s="159"/>
      <c r="E37" s="159"/>
      <c r="F37" s="159"/>
      <c r="G37" s="159"/>
      <c r="H37" s="159"/>
      <c r="I37" s="159"/>
      <c r="J37" s="159"/>
      <c r="K37" s="159"/>
      <c r="L37" s="159"/>
      <c r="M37" s="159"/>
      <c r="N37" s="158"/>
    </row>
    <row r="38" spans="2:16" ht="16.8" x14ac:dyDescent="0.3">
      <c r="B38" s="149" t="s">
        <v>128</v>
      </c>
      <c r="C38" s="157"/>
      <c r="D38" s="154"/>
      <c r="E38" s="151"/>
      <c r="F38" s="151"/>
      <c r="G38" s="151"/>
      <c r="H38" s="151"/>
      <c r="I38" s="151"/>
      <c r="J38" s="152"/>
      <c r="K38" s="151"/>
      <c r="L38" s="151"/>
      <c r="M38" s="151"/>
      <c r="N38" s="156"/>
    </row>
    <row r="39" spans="2:16" ht="16.8" x14ac:dyDescent="0.3">
      <c r="B39" s="149" t="s">
        <v>127</v>
      </c>
      <c r="C39" s="155"/>
      <c r="D39" s="154"/>
      <c r="E39" s="151"/>
      <c r="F39" s="151"/>
      <c r="G39" s="151"/>
      <c r="H39" s="151"/>
      <c r="I39" s="151"/>
      <c r="J39" s="152"/>
      <c r="K39" s="151"/>
      <c r="L39" s="151"/>
      <c r="M39" s="151"/>
      <c r="N39" s="150"/>
    </row>
    <row r="40" spans="2:16" ht="16.8" x14ac:dyDescent="0.3">
      <c r="B40" s="149" t="s">
        <v>126</v>
      </c>
      <c r="C40" s="153"/>
      <c r="D40" s="151"/>
      <c r="E40" s="151"/>
      <c r="F40" s="151"/>
      <c r="G40" s="151"/>
      <c r="H40" s="151"/>
      <c r="I40" s="151"/>
      <c r="J40" s="152"/>
      <c r="K40" s="151"/>
      <c r="L40" s="151"/>
      <c r="M40" s="151"/>
      <c r="N40" s="150"/>
    </row>
    <row r="41" spans="2:16" ht="16.8" x14ac:dyDescent="0.3">
      <c r="B41" s="149" t="s">
        <v>125</v>
      </c>
      <c r="N41" s="148"/>
    </row>
    <row r="42" spans="2:16" ht="16.8" x14ac:dyDescent="0.3">
      <c r="B42" s="149" t="s">
        <v>124</v>
      </c>
      <c r="N42" s="148"/>
    </row>
    <row r="43" spans="2:16" ht="16.8" x14ac:dyDescent="0.3">
      <c r="B43" s="149" t="s">
        <v>123</v>
      </c>
      <c r="N43" s="148"/>
    </row>
    <row r="44" spans="2:16" ht="16.8" x14ac:dyDescent="0.3">
      <c r="B44" s="149" t="s">
        <v>122</v>
      </c>
      <c r="N44" s="148"/>
    </row>
    <row r="45" spans="2:16" ht="16.8" x14ac:dyDescent="0.3">
      <c r="B45" s="149" t="s">
        <v>121</v>
      </c>
      <c r="N45" s="148"/>
    </row>
    <row r="46" spans="2:16" ht="16.8" x14ac:dyDescent="0.3">
      <c r="B46" s="149" t="s">
        <v>120</v>
      </c>
      <c r="N46" s="148"/>
    </row>
    <row r="47" spans="2:16" x14ac:dyDescent="0.3">
      <c r="B47" s="146" t="s">
        <v>39</v>
      </c>
      <c r="C47" s="145"/>
      <c r="D47" s="145"/>
      <c r="E47" s="145"/>
      <c r="F47" s="145"/>
      <c r="G47" s="145"/>
      <c r="H47" s="145"/>
      <c r="I47" s="145"/>
      <c r="J47" s="145"/>
      <c r="K47" s="145"/>
      <c r="L47" s="145"/>
      <c r="M47" s="145"/>
      <c r="N47" s="144"/>
      <c r="O47" s="147"/>
    </row>
    <row r="48" spans="2:16" x14ac:dyDescent="0.3">
      <c r="B48" s="146" t="s">
        <v>40</v>
      </c>
      <c r="C48" s="145"/>
      <c r="D48" s="145"/>
      <c r="E48" s="145"/>
      <c r="F48" s="145"/>
      <c r="G48" s="145"/>
      <c r="H48" s="145"/>
      <c r="I48" s="145"/>
      <c r="J48" s="145"/>
      <c r="K48" s="145"/>
      <c r="L48" s="145"/>
      <c r="M48" s="145"/>
      <c r="N48" s="144"/>
      <c r="O48" s="147"/>
    </row>
    <row r="49" spans="2:14" x14ac:dyDescent="0.3">
      <c r="B49" s="146" t="s">
        <v>119</v>
      </c>
      <c r="C49" s="145"/>
      <c r="D49" s="145"/>
      <c r="E49" s="145"/>
      <c r="F49" s="145"/>
      <c r="G49" s="145"/>
      <c r="H49" s="145"/>
      <c r="I49" s="145"/>
      <c r="J49" s="145"/>
      <c r="K49" s="145"/>
      <c r="L49" s="145"/>
      <c r="M49" s="145"/>
      <c r="N49" s="144"/>
    </row>
    <row r="50" spans="2:14" ht="25.8" x14ac:dyDescent="0.3">
      <c r="C50" s="15" t="s">
        <v>41</v>
      </c>
    </row>
    <row r="51" spans="2:14" ht="25.8" x14ac:dyDescent="0.3">
      <c r="C51" s="15" t="s">
        <v>42</v>
      </c>
    </row>
    <row r="52" spans="2:14" ht="25.8" x14ac:dyDescent="0.3">
      <c r="C52" s="15" t="s">
        <v>43</v>
      </c>
    </row>
    <row r="53" spans="2:14" ht="25.8" x14ac:dyDescent="0.3">
      <c r="C53" s="15" t="s">
        <v>44</v>
      </c>
    </row>
    <row r="54" spans="2:14" ht="25.8" x14ac:dyDescent="0.3">
      <c r="C54" s="15" t="s">
        <v>45</v>
      </c>
    </row>
  </sheetData>
  <dataConsolidate/>
  <mergeCells count="11">
    <mergeCell ref="F8:G8"/>
    <mergeCell ref="F9:G9"/>
    <mergeCell ref="G19:I19"/>
    <mergeCell ref="B22:N22"/>
    <mergeCell ref="B30:N30"/>
    <mergeCell ref="B32:N32"/>
    <mergeCell ref="B33:N33"/>
    <mergeCell ref="B47:N47"/>
    <mergeCell ref="B48:N48"/>
    <mergeCell ref="B49:N49"/>
    <mergeCell ref="B31:N31"/>
  </mergeCells>
  <dataValidations count="11">
    <dataValidation type="list" allowBlank="1" showInputMessage="1" showErrorMessage="1" sqref="H34" xr:uid="{EF51621B-5C2B-4C6D-8B5B-8B6FC1991209}">
      <formula1>"ALAA HAMMAD,KHALED QASSEM,RAMY RAOUF,SIMON LOBO,MHAREN CLEMENTE GARADO"</formula1>
    </dataValidation>
    <dataValidation type="list" allowBlank="1" showInputMessage="1" showErrorMessage="1" sqref="M34" xr:uid="{E33E273C-B5EA-4F01-9032-B7A2B3C228C1}">
      <formula1>"Alaa Hammad,Bachir Ibrahim Mourad,Khaled Qassem,Ramy Raoof,Simon Lobo,Mharen Clemente Garado,Ranjith"</formula1>
    </dataValidation>
    <dataValidation type="list" allowBlank="1" showInputMessage="1" showErrorMessage="1" sqref="B11" xr:uid="{EDE5FC06-B61D-46F7-8F0E-287EA7F4CD0B}">
      <formula1>"FO Ceramic+ Intr&amp;Extr CeramicGold WdwTnt,FO Mirror Camera Sensor"</formula1>
    </dataValidation>
    <dataValidation type="list" allowBlank="1" showInputMessage="1" showErrorMessage="1" sqref="B12" xr:uid="{AB2D5068-37A1-44D2-8D75-04AB01D2B6DD}">
      <formula1>"FO Exterior ceramic All Cars SCOTCHGUARD,FO Mirror Camera Sensor,FO PPF Gold Package "</formula1>
    </dataValidation>
    <dataValidation type="list" allowBlank="1" showInputMessage="1" showErrorMessage="1" sqref="K20" xr:uid="{36EEBA6C-294D-424C-9D66-A431B47B374F}">
      <formula1>"Esaad,Emirates Platinum,Fazaa,Humat Alwatan,Permissible,ASX,XPMLP,XP,MON,MON G57,OUT,F08,P08,F06,P06,F03,F03-1,P03,EC,G37,G38,G40,G43"</formula1>
    </dataValidation>
    <dataValidation type="list" allowBlank="1" showInputMessage="1" showErrorMessage="1" sqref="B16" xr:uid="{CBD53D7A-7B13-4FF0-BF1F-85C3C9C12E21}">
      <formula1>"RMC-10-40KMS,RMC-10-60KMS,RMC-10-70KMS,RMC-10-100000KMS,RMC-40-70KMS,RMC-40-100000KMS"</formula1>
    </dataValidation>
    <dataValidation type="list" allowBlank="1" showInputMessage="1" showErrorMessage="1" sqref="K24" xr:uid="{5BD1A757-7EFF-4DB1-A483-639DA4ABD964}">
      <formula1>"RMC-10-70K,RMC-10-100000K,RMC-40-70K"</formula1>
    </dataValidation>
    <dataValidation type="list" allowBlank="1" showInputMessage="1" showErrorMessage="1" sqref="D5" xr:uid="{B59026F8-F7B4-40C6-9F75-055BBB5E9015}">
      <formula1>"MIG09,MIG10,H16,P16,H17,H48,H43,H40,H42,H44,H45,H38,H37,EH40,EH43,ML,HL,PR, MLP,HLP,PRP,XPML,XPHL,XPMLP, XPMLP-01,XC, G10,P10, G03, P03, G06,P06,G12,P12,G05,P05,G08,P08,G09,P09,H57,P57,H64,H59,P59,H61,P61"</formula1>
    </dataValidation>
    <dataValidation type="list" allowBlank="1" showInputMessage="1" showErrorMessage="1" sqref="M21" xr:uid="{5BA6C9B5-5447-4A17-A684-B9077A2C6727}">
      <formula1>"3000-4999,5000-9999,5000-99999,10000-14999,15000-24999,25000-34999,35000-99999,5000-11999,12000-19999,20000-39999,40000-69999,70000-99999"</formula1>
    </dataValidation>
    <dataValidation type="list" allowBlank="1" showInputMessage="1" showErrorMessage="1" sqref="C10:C16 L20 L24:L25 G14:G15 J10" xr:uid="{BA0D8EA9-F85A-4FE7-A3F1-D73CEB6CDB4C}">
      <formula1>"YES,NO"</formula1>
    </dataValidation>
    <dataValidation type="list" allowBlank="1" showInputMessage="1" showErrorMessage="1" sqref="K21" xr:uid="{8EB102C4-C8AF-457E-A3E2-6A48893DDDA2}">
      <formula1>"ADCB,ADCB PAY IN 2027,Ajman Bank,ADIB,DIB EXPAT,DIB LOCAL GVH,Emirates NBD,EIB,FAB,RAK,SIB STL,SIB NON STL"</formula1>
    </dataValidation>
  </dataValidations>
  <pageMargins left="0.23622047244094491" right="0.23622047244094491" top="0.74803149606299213" bottom="0.74803149606299213" header="0.31496062992125984" footer="0.31496062992125984"/>
  <pageSetup paperSize="9" scale="40" orientation="landscape" horizontalDpi="4294967295" verticalDpi="4294967295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F72526-435A-4C29-92C0-766A44C76315}">
  <sheetPr>
    <pageSetUpPr fitToPage="1"/>
  </sheetPr>
  <dimension ref="A1:AA54"/>
  <sheetViews>
    <sheetView topLeftCell="B1" zoomScaleNormal="100" workbookViewId="0">
      <selection activeCell="D5" sqref="D5"/>
    </sheetView>
  </sheetViews>
  <sheetFormatPr defaultColWidth="9.109375" defaultRowHeight="15.6" x14ac:dyDescent="0.3"/>
  <cols>
    <col min="1" max="1" width="16" style="1" hidden="1" customWidth="1"/>
    <col min="2" max="2" width="75.109375" style="2" customWidth="1"/>
    <col min="3" max="3" width="26.88671875" style="3" customWidth="1"/>
    <col min="4" max="4" width="23.88671875" style="2" customWidth="1"/>
    <col min="5" max="5" width="23.33203125" style="2" customWidth="1"/>
    <col min="6" max="6" width="19.88671875" style="2" customWidth="1"/>
    <col min="7" max="7" width="23.33203125" style="2" customWidth="1"/>
    <col min="8" max="8" width="24.44140625" style="2" customWidth="1"/>
    <col min="9" max="9" width="27.109375" style="2" customWidth="1"/>
    <col min="10" max="10" width="26.6640625" style="2" customWidth="1"/>
    <col min="11" max="11" width="25.44140625" style="2" customWidth="1"/>
    <col min="12" max="12" width="20.5546875" style="2" customWidth="1"/>
    <col min="13" max="13" width="20.109375" style="2" customWidth="1"/>
    <col min="14" max="14" width="19.5546875" style="2" customWidth="1"/>
    <col min="15" max="15" width="15.109375" style="2" bestFit="1" customWidth="1"/>
    <col min="16" max="16" width="12.6640625" style="2" hidden="1" customWidth="1"/>
    <col min="17" max="17" width="12.6640625" style="1" hidden="1" customWidth="1"/>
    <col min="18" max="18" width="15.6640625" style="1" hidden="1" customWidth="1"/>
    <col min="19" max="19" width="13" style="1" hidden="1" customWidth="1"/>
    <col min="20" max="20" width="17.109375" style="1" hidden="1" customWidth="1"/>
    <col min="21" max="21" width="14.5546875" style="1" bestFit="1" customWidth="1"/>
    <col min="22" max="22" width="19" style="1" customWidth="1"/>
    <col min="23" max="23" width="22.5546875" style="1" bestFit="1" customWidth="1"/>
    <col min="24" max="25" width="9.109375" style="1"/>
    <col min="26" max="26" width="14" style="1" bestFit="1" customWidth="1"/>
    <col min="27" max="27" width="22.33203125" style="1" bestFit="1" customWidth="1"/>
    <col min="28" max="16384" width="9.109375" style="1"/>
  </cols>
  <sheetData>
    <row r="1" spans="1:27" ht="15.75" customHeight="1" x14ac:dyDescent="0.3">
      <c r="B1" s="222" t="s">
        <v>148</v>
      </c>
      <c r="C1" s="221"/>
      <c r="D1" s="221"/>
      <c r="E1" s="221"/>
      <c r="F1" s="221"/>
      <c r="G1" s="221"/>
      <c r="H1" s="221"/>
      <c r="I1" s="221"/>
      <c r="J1" s="221"/>
      <c r="K1" s="221"/>
      <c r="L1" s="221"/>
      <c r="M1" s="221"/>
      <c r="N1" s="220"/>
    </row>
    <row r="2" spans="1:27" ht="15.75" customHeight="1" x14ac:dyDescent="0.3">
      <c r="B2" s="219" t="s">
        <v>147</v>
      </c>
      <c r="C2" s="218"/>
      <c r="D2" s="218"/>
      <c r="E2" s="218"/>
      <c r="F2" s="218"/>
      <c r="G2" s="218"/>
      <c r="H2" s="218"/>
      <c r="I2" s="218"/>
      <c r="J2" s="218"/>
      <c r="K2" s="218"/>
      <c r="L2" s="218"/>
      <c r="M2" s="218"/>
      <c r="N2" s="217"/>
      <c r="Q2" s="2"/>
      <c r="S2" s="186"/>
    </row>
    <row r="3" spans="1:27" ht="15.75" customHeight="1" x14ac:dyDescent="0.3">
      <c r="B3" s="219" t="s">
        <v>146</v>
      </c>
      <c r="C3" s="218"/>
      <c r="D3" s="218"/>
      <c r="E3" s="218"/>
      <c r="F3" s="218"/>
      <c r="G3" s="218"/>
      <c r="H3" s="218"/>
      <c r="I3" s="218"/>
      <c r="J3" s="218"/>
      <c r="K3" s="218"/>
      <c r="L3" s="218"/>
      <c r="M3" s="218"/>
      <c r="N3" s="217"/>
      <c r="O3" s="3"/>
      <c r="P3" s="3"/>
      <c r="Q3" s="153"/>
      <c r="R3" s="153"/>
      <c r="S3" s="216" t="e">
        <f>N7+J14</f>
        <v>#VALUE!</v>
      </c>
      <c r="T3" s="216"/>
      <c r="U3" s="153"/>
      <c r="V3" s="153"/>
      <c r="W3" s="153"/>
      <c r="AA3" s="1">
        <f>273000/5</f>
        <v>54600</v>
      </c>
    </row>
    <row r="4" spans="1:27" ht="15.75" customHeight="1" x14ac:dyDescent="0.3">
      <c r="B4" s="215"/>
      <c r="C4" s="214"/>
      <c r="D4" s="214"/>
      <c r="E4" s="214"/>
      <c r="F4" s="214"/>
      <c r="G4" s="214"/>
      <c r="H4" s="214"/>
      <c r="I4" s="214"/>
      <c r="J4" s="214"/>
      <c r="K4" s="214"/>
      <c r="L4" s="214"/>
      <c r="M4" s="214"/>
      <c r="N4" s="213"/>
      <c r="O4" s="212" t="s">
        <v>0</v>
      </c>
      <c r="P4" s="212"/>
      <c r="Q4" s="210"/>
      <c r="R4" s="210"/>
      <c r="S4" s="211"/>
      <c r="T4" s="211"/>
      <c r="U4" s="210" t="s">
        <v>1</v>
      </c>
      <c r="V4" s="210" t="s">
        <v>2</v>
      </c>
      <c r="W4" s="210" t="s">
        <v>3</v>
      </c>
    </row>
    <row r="5" spans="1:27" ht="25.2" thickBot="1" x14ac:dyDescent="0.45">
      <c r="B5" s="17"/>
      <c r="C5" s="18" t="str">
        <f>IF(D5="MIG09","Mirage G09",IF(D5="MIG10","MirageG10",IF(D5="H16","Attrage H16",IF(D5="P16","Attrage P16",IF(D5="H17","Attrage H17",IF(D5="H48","ASX H48",IF(D5="H43","ASX H43",IF(D5="H40","ASX H40",IF(D5="H42","ASX H42",IF(D5="H44","ASX H44",IF(D5="H45","ASX H45",IF(D5="H38","Eclipse H38",IF(D5="H37","Eclipse H37",IF(D5="EH40","Eclipse H40",IF(D5="EH43","Eclipse H43",IF(D5="XPML","Xpander ML",IF(D5="ML","Destinator ML",IF(D5="HL","Destinator HL",IF(D5="PR","Destinator PR",IF(D5="MLP","Destinator MLP",IF(D5="HLP","Destinator HLP",IF(D5="PRP","Destinator PRP",IF(D5="XPHL","Xpander HL",IF(D5="XPMLP","Xpander ML P",IF(D5="XPMLP-01","Xpander ML P-01",IF(D5="XC","Xpander Cross",IF(D5="G03","Outlander G03",IF(D5="P03","Outlander P03",IF(D5="G06","Outlander G06",IF(D5="P06","Outlander P06",IF(D5="OTP06-01","Outlander P06-01",IF(D5="G08","Outlander G08",IF(D5="P08","Outlander P08",IF(D5="H57","Montero H57",IF(D5="P57","Montero P57",IF(D5="H64","Montero G64",IF(D5="H59","Montero G59",IF(D5="P59","Montero G59 P",IF(D5="H61","Montero G61",IF(D5="P61","Montero P61",IF(D5="G10","Outlander G10",IF(D5="P10","Outlander P10",IF(D5="G12","Outlander G12",IF(D5="P12","Outlander P12",IF(D5="G05","Outlander G05",IF(D5="P05","Outlander P05",IF(D5="G09","Outlander G09",IF(D5="P09","Outlander P09",))))))))))))))))))))))))))))))))))))))))))))))))</f>
        <v>Outlander P09</v>
      </c>
      <c r="D5" s="19" t="s">
        <v>161</v>
      </c>
      <c r="E5" s="20" t="s">
        <v>145</v>
      </c>
      <c r="F5" s="37"/>
      <c r="G5" s="37"/>
      <c r="H5" s="37"/>
      <c r="I5" s="20"/>
      <c r="J5" s="34"/>
      <c r="K5" s="209">
        <v>0</v>
      </c>
      <c r="L5" s="208">
        <v>3.39E-2</v>
      </c>
      <c r="M5" s="208">
        <v>6.7799999999999999E-2</v>
      </c>
      <c r="N5" s="208">
        <v>0.1017</v>
      </c>
      <c r="O5" s="147">
        <f>K7+K14</f>
        <v>16832.507551667502</v>
      </c>
      <c r="S5" s="186"/>
      <c r="U5" s="186">
        <f>L7+L14</f>
        <v>6949.5574396310421</v>
      </c>
      <c r="V5" s="186">
        <f>M7+M14</f>
        <v>4699.5171028487503</v>
      </c>
      <c r="W5" s="186">
        <f>N7+N14</f>
        <v>3303.5532479643757</v>
      </c>
    </row>
    <row r="6" spans="1:27" s="5" customFormat="1" ht="99" thickBot="1" x14ac:dyDescent="0.35">
      <c r="A6" s="4" t="s">
        <v>4</v>
      </c>
      <c r="B6" s="26" t="s">
        <v>5</v>
      </c>
      <c r="C6" s="27" t="s">
        <v>6</v>
      </c>
      <c r="D6" s="27" t="s">
        <v>144</v>
      </c>
      <c r="E6" s="27" t="s">
        <v>7</v>
      </c>
      <c r="F6" s="27" t="s">
        <v>8</v>
      </c>
      <c r="G6" s="28" t="s">
        <v>9</v>
      </c>
      <c r="H6" s="28" t="s">
        <v>143</v>
      </c>
      <c r="I6" s="28" t="s">
        <v>10</v>
      </c>
      <c r="J6" s="28" t="s">
        <v>142</v>
      </c>
      <c r="K6" s="28" t="s">
        <v>11</v>
      </c>
      <c r="L6" s="28" t="s">
        <v>12</v>
      </c>
      <c r="M6" s="28" t="s">
        <v>13</v>
      </c>
      <c r="N6" s="28" t="s">
        <v>14</v>
      </c>
      <c r="O6" s="207"/>
      <c r="P6" s="206"/>
      <c r="T6" s="205"/>
      <c r="U6" s="205">
        <f>N7+L14</f>
        <v>5491.1557629643758</v>
      </c>
      <c r="V6" s="205">
        <f>N7+K14</f>
        <v>13551.103779167501</v>
      </c>
      <c r="W6" s="205" t="e">
        <f>N7+J14</f>
        <v>#VALUE!</v>
      </c>
    </row>
    <row r="7" spans="1:27" ht="25.2" thickBot="1" x14ac:dyDescent="0.45">
      <c r="A7" s="6">
        <f>B8</f>
        <v>134900</v>
      </c>
      <c r="B7" s="29">
        <f>IF(L20="YES",C8*1,IF(L20="NO",B8*1))</f>
        <v>134900</v>
      </c>
      <c r="C7" s="29">
        <f>B7*5/100</f>
        <v>6745</v>
      </c>
      <c r="D7" s="203">
        <f>B7+C7</f>
        <v>141645</v>
      </c>
      <c r="E7" s="29">
        <f>D17</f>
        <v>21855.188625000003</v>
      </c>
      <c r="F7" s="29">
        <f>(C7)+(D10+D11+D12+D13+D16)*5/100</f>
        <v>7315</v>
      </c>
      <c r="G7" s="30">
        <f>B7+E7+F7</f>
        <v>164070.18862500001</v>
      </c>
      <c r="H7" s="29">
        <f>G7*D20</f>
        <v>32814.037725000002</v>
      </c>
      <c r="I7" s="30">
        <f>(G7-H7)</f>
        <v>131256.15090000001</v>
      </c>
      <c r="J7" s="30">
        <f>(((I7*D19)*1)+I7)/12</f>
        <v>11363.5012641675</v>
      </c>
      <c r="K7" s="30">
        <f>(((I7*D19)*2)+I7)/24</f>
        <v>5894.4949766675009</v>
      </c>
      <c r="L7" s="30">
        <f>(((I7*D19)*3)+I7)/36</f>
        <v>4071.492880834167</v>
      </c>
      <c r="M7" s="30">
        <f>(((I7*D19)*4)+I7)/48</f>
        <v>3159.9918329175002</v>
      </c>
      <c r="N7" s="30">
        <f>((((I7*D19)*5)+I7)/60)</f>
        <v>2613.0912041675006</v>
      </c>
      <c r="O7" s="147"/>
      <c r="P7" s="2">
        <f>H7+H16</f>
        <v>34192.227309450005</v>
      </c>
      <c r="T7" s="186">
        <f>25973/2</f>
        <v>12986.5</v>
      </c>
    </row>
    <row r="8" spans="1:27" ht="24.6" x14ac:dyDescent="0.4">
      <c r="A8" s="7">
        <v>0.2</v>
      </c>
      <c r="B8" s="31">
        <f>IF(D5="MIG09",39900,IF(D5="MIG10",41900,IF(D5="H16",41900,IF(D5="P16",47400,IF(D5="H17",47900,IF(D5="H48",67900,IF(D5="H43",70900,IF(D5="H40",72900,IF(D5="H42",74900,IF(D5="H44",73900,IF(D5="H45",79900,IF(D5="H38",86900,IF(D5="H37",79900,IF(D5="EH40",99900,IF(D5="EH43",106900,IF(D5="ML",71900,IF(D5="HL",83900,IF(D5="PR",95900,IF(D5="MLP",80900,IF(D5="HLP",91900,IF(D5="PRP",102900,IF(D5="XPML",69900,IF(D5="XPHL",71000,IF(D5="XPMLP",75900,IF(D5="XPMLP-01",77800,IF(D5="XC",84900,IF(D5="G10",81900,IF(D5="P10",93900,IF(D5="G12",97900,IF(D5="P12",105900,IF(D5="G05",104900,IF(D5="P05",105900,IF(D5="G03",92900,IF(D5="P03",100900,IF(D5="G06",109900,IF(D5="P06",114900,IF(D5="OTP06-01",118900,IF(D5="G08",125900,IF(D5="P08",132900,IF(D5="OTP06-01",109900,IF(D5="G09",129900,IF(D5="P09",134900,IF(D5="H57",105900,IF(D5="P57",113900,IF(D5="H64",116900,IF(D5="H59",127900,IF(D5="P59",134900,IF(D5="H61",134900,IF(D5="P61",138900)))))))))))))))))))))))))))))))))))))))))))))))))</f>
        <v>134900</v>
      </c>
      <c r="C8" s="32">
        <f>IF(L20="YES",N20,IF(L20="NO",N20))</f>
        <v>134900</v>
      </c>
      <c r="D8" s="29">
        <v>0</v>
      </c>
      <c r="E8" s="33"/>
      <c r="F8" s="139"/>
      <c r="G8" s="140"/>
      <c r="H8" s="110">
        <f>G7*20/100</f>
        <v>32814.037725000002</v>
      </c>
      <c r="I8" s="34"/>
      <c r="J8" s="34" t="s">
        <v>15</v>
      </c>
      <c r="K8" s="34">
        <f>(I7*K5+I7)/24</f>
        <v>5469.0062875000003</v>
      </c>
      <c r="L8" s="34">
        <f>(I7*L5+I7)/36</f>
        <v>3769.6037337641665</v>
      </c>
      <c r="M8" s="34">
        <f>(I7*M5+I7)/48</f>
        <v>2919.9024568962504</v>
      </c>
      <c r="N8" s="34">
        <f>(I7*N5+I7)/60</f>
        <v>2410.0816907755002</v>
      </c>
      <c r="O8" s="147">
        <v>0</v>
      </c>
      <c r="P8" s="2">
        <f>P7/12</f>
        <v>2849.3522757875003</v>
      </c>
      <c r="T8" s="1">
        <f>25973-12973</f>
        <v>13000</v>
      </c>
    </row>
    <row r="9" spans="1:27" ht="24.6" x14ac:dyDescent="0.4">
      <c r="A9" s="8">
        <f>B8/(100%-A8)</f>
        <v>168625</v>
      </c>
      <c r="B9" s="109">
        <f>B7-B8</f>
        <v>0</v>
      </c>
      <c r="C9" s="109"/>
      <c r="D9" s="36"/>
      <c r="E9" s="33"/>
      <c r="F9" s="139"/>
      <c r="G9" s="140"/>
      <c r="H9" s="33"/>
      <c r="I9" s="37" t="s">
        <v>16</v>
      </c>
      <c r="J9" s="38">
        <f>(J7*12)-I7</f>
        <v>5105.8642700100027</v>
      </c>
      <c r="K9" s="38">
        <f>(K7*24)-I7</f>
        <v>10211.728540020005</v>
      </c>
      <c r="L9" s="38">
        <f>(L7*36)-I7</f>
        <v>15317.592810030008</v>
      </c>
      <c r="M9" s="38">
        <f>(M7*48)-I7</f>
        <v>20423.457080040011</v>
      </c>
      <c r="N9" s="38">
        <f>(N7*60)-I7</f>
        <v>25529.321350050013</v>
      </c>
      <c r="O9" s="147"/>
      <c r="T9" s="1">
        <f>T8/12</f>
        <v>1083.3333333333333</v>
      </c>
      <c r="Z9" s="1" t="s">
        <v>86</v>
      </c>
    </row>
    <row r="10" spans="1:27" ht="24.6" x14ac:dyDescent="0.4">
      <c r="A10" s="8"/>
      <c r="B10" s="37" t="s">
        <v>141</v>
      </c>
      <c r="C10" s="20" t="s">
        <v>17</v>
      </c>
      <c r="D10" s="36">
        <f>IF(C10="YES",700,IF(C10="NO",0))</f>
        <v>0</v>
      </c>
      <c r="E10" s="39"/>
      <c r="F10" s="40"/>
      <c r="G10" s="40"/>
      <c r="H10" s="33"/>
      <c r="I10" s="44" t="s">
        <v>85</v>
      </c>
      <c r="J10" s="117" t="s">
        <v>19</v>
      </c>
      <c r="K10" s="117">
        <f>IF(J10="YES",Z10,IF(J10="NO",0))</f>
        <v>1000</v>
      </c>
      <c r="L10" s="41">
        <f>(L8*36)-I7</f>
        <v>4449.5835155099921</v>
      </c>
      <c r="M10" s="41">
        <f>(M8*48)-I7</f>
        <v>8899.1670310200134</v>
      </c>
      <c r="N10" s="41">
        <f>(N8*60)-I7</f>
        <v>13348.750546530006</v>
      </c>
      <c r="O10" s="147">
        <f>IF(D5="XC",3690,IF(D5="XPML",3690,IF(D5="XPHL",3690,IF(D5="XPMLP",3690,IF(D5="XPMLP-01",3690,IF(D5="Xpander P",3690,IF(D5="ML",3690,IF(D5="HL",3690,IF(D5="PR",(U19*3/100+510)*1.05,IF(D5="MLP",3690,IF(D5="HLP",(U19*3/100+510)*1.05,IF(D5="PRP",(U19*3/100+510)*1.05,IF(D5="H57",(U19*2.75/100+510)*1.05,IF(D5="P57",(U19*2.75/100+510)*1.05,IF(D5="H64",(U19*2.75/100+510)*1.05,IF(D5="H59",(U19*2.75/100+510)*1.05,IF(D5="P59",(U19*2.75/100+510)*1.05,IF(D5="H61",(U19*2.75/100+510)*1.05,IF(D5="P61",(U19*2.75/100+510)*1.05,IF(D5="G03",(U19*3/100+510)*1.05,IF(D5="G10",(U19*3/100+510)*1.05,IF(D5="P10",(U19*3/100+510)*1.05,IF(D5="G12",(U19*3/100+510)*1.05,IF(D5="P12",(U19*3/100+510)*1.05,IF(D5="G05",(U19*3/100+510)*1.05,IF(D5="P05",(U19*3/100+510)*1.05,IF(D5="P03",(U19*3/100+510)*1.05,IF(D5="G06",(U19*3/100+510)*1.05,IF(D5="P06",(U19*3/100+510)*1.05,IF(D5="OTP06-01",(U19*3/100+510)*1.05,IF(D5="G08",(U19*3/100+510)*1.05,IF(D5="P08",(U19*3/100+510)*1.05,IF(D5="G09",(U19*3/100+510)*1.05,IF(D5="P09",(U19*3/100+510)*1.05,IF(D5="H38",3625,IF(D5="H37",3625,IF(D5="EH40",(U19*3/100+450)*1.05,IF(D5="EH43",(U19*3/100+450)*1.05,IF(D5="H48",3625,IF(D5="H43",3625,IF(D5="H40",3625,IF(D5="H42",3625,IF(D5="H44",3625,IF(D5="H45",3625,IF(D5="ASX HL 4WD",3625,IF(D5="H16",3625,IF(D5="H17",3625,IF(D5="P16",3625,IF(D5="Attrage S",3625,IF(D5="MIG09",3625,IF(D5="MIG10",3625,IF(D5="Xpander HL",3690))))))))))))))))))))))))))))))))))))))))))))))))))))</f>
        <v>5374.3725000000004</v>
      </c>
      <c r="P10" s="204"/>
      <c r="Q10" s="204">
        <f>5.25*3</f>
        <v>15.75</v>
      </c>
      <c r="Z10" s="1">
        <f>IF(D5="MIG09",1000,IF(D5="MIG10",1000,IF(D5="H16",1000,IF(D5="P16",1000,IF(D5="H17",1000,IF(D5="H48",1000,IF(D5="H43",1000,IF(D5="H40",1000,IF(D5="H42",1000,IF(D5="H44",1000,IF(D5="H45",1000,IF(D5="H38",1000,IF(D5="H37",1000,IF(D5="EH40",1000,IF(D5="EH43",1000,IF(D5="ML",1000,IF(D5="HL",1000,IF(D5="PR",1000,IF(D5="MLP",1000,IF(D5="HLP",1000,IF(D5="PRP",1000,IF(D5="XPML",1000,IF(D5="XPHL",1000,IF(D5="XPMLP",1000,IF(D5="XPMLP-01",1000,IF(D5="XC",1000,IF(D5="G10",1000,IF(D5="P10",1000,IF(D5="G12",1000,IF(D5="P12",1000,IF(D5="G05",1000,IF(D5="P05",1000,IF(D5="G03",1000,IF(D5="P03",1000,IF(D5="G06",1000,IF(D5="P06",1000,IF(D5="OTP06-01",1000,IF(D5="G08",1000,IF(D5="P08",1000,IF(D5="OTP06-01",1000,IF(D5="G09",1000,IF(D5="P09",1000,IF(D5="H57",1000,IF(D5="P57",1000,IF(D5="H64",1000,IF(D5="H59",1000,IF(D5="P59",1000,IF(D5="H61",1000,IF(D5="P61",1000)))))))))))))))))))))))))))))))))))))))))))))))))</f>
        <v>1000</v>
      </c>
    </row>
    <row r="11" spans="1:27" ht="24.6" x14ac:dyDescent="0.4">
      <c r="A11" s="8"/>
      <c r="B11" s="37" t="s">
        <v>18</v>
      </c>
      <c r="C11" s="20" t="s">
        <v>19</v>
      </c>
      <c r="D11" s="203">
        <f>IF(C11="YES",O17,IF(C11="NO",0))</f>
        <v>2700</v>
      </c>
      <c r="E11" s="39"/>
      <c r="F11" s="40"/>
      <c r="G11" s="40"/>
      <c r="H11" s="33"/>
      <c r="I11" s="33"/>
      <c r="J11" s="44" t="s">
        <v>76</v>
      </c>
      <c r="K11" s="44">
        <f>H8-K10</f>
        <v>31814.037725000002</v>
      </c>
      <c r="L11" s="37"/>
      <c r="M11" s="37"/>
      <c r="N11" s="38"/>
      <c r="O11" s="147">
        <f>IF(D5="XC",6100,IF(D5="XPML",6100,IF(D5="XPHL",6100,IF(D5="XPMLP",6100,IF(D5="XPMLP-01",6100,IF(D5="Xpander P",6100,IF(D5="ML",6600,IF(D5="HL",6600,IF(D5="PR",6600,IF(D5="MLP",6600,IF(D5="HLP",6600,IF(D5="PRP",6600,IF(D5="H57",5900,IF(D5="P57",5900,IF(D5="H64",5900,IF(D5="H59",5900,IF(D5="P59",5900,IF(D5="H61",5900,IF(D5="P61",5900,IF(D5="G03",6700,IF(D5="G10",6700,IF(D5="P10",6700,IF(D5="G12",6700,IF(D5="P12",6700,IF(D5="G05",6700,IF(D5="P05",6700,IF(D5="P03",6700,IF(D5="G06",6700,IF(D5="P06",6700,IF(D5="OTP06-01",6700,IF(D5="G08",6700,IF(D5="G09",6700,IF(D5="G08",6700,IF(D5="P08",6700,IF(D5="P09",6700,IF(D5="H37",6400,IF(D5="H38",6400,IF(D5="EH40",6400,IF(D5="EH43",6400,IF(D5="H48",6600,IF(D5="H43",6600,IF(D5="H40",6600,IF(D5="H42",6600,IF(D5="H44",6600,IF(D5="H45",6600,IF(D5="ASX HL 4WD",6600,IF(D5="H16",5400,IF(D5="H17",5400,IF(D5="P16",5400,IF(D5="Attrage S",5400,IF(D5="MIG09",5400,IF(D5="MIG10",5400,IF(D5="Xpander HL",6000)))))))))))))))))))))))))))))))))))))))))))))))))))))</f>
        <v>6700</v>
      </c>
      <c r="P11" s="147"/>
      <c r="Q11" s="147"/>
      <c r="R11" s="147"/>
      <c r="S11" s="147"/>
      <c r="T11" s="147"/>
      <c r="U11" s="147">
        <f>IF(D5="XC",4900,IF(D5="XPML",4900,IF(D5="XPHL",4900,IF(D5="XPMLP",4900,IF(D5="XPMLP-01",4900,IF(D5="Xpander P",4900,IF(D5="ML",5400,IF(D5="HL",5400,IF(D5="PR",5400,IF(D5="MLP",5400,IF(D5="HLP",5400,IF(D5="PRP",5400,IF(D5="H57",4600,IF(D5="P57",4600,IF(D5="MOG64",4600,IF(D5="H59",4600,IF(D5="P59",4600,IF(D5="H61",4600,IF(D5="P61",4600,IF(D5="G03",5500,IF(D5="P03",5500,IF(D5="G10",5500,IF(D5="P10",5500,IF(D5="G12",5500,IF(D5="P12",5500,IF(D5="G05",5500,IF(D5="P05",5500,IF(D5="G06",5500,IF(D5="P06",5500,IF(D5="OTP06-01",5500,IF(D5="F08",5500,IF(D5="P08",5500,IF(D5="G09",5500,IF(D5="P09",5500,IF(D5="H38",5200,IF(D5="H37",5200,IF(D5="EH40",5200,IF(D5="EH43",5200,IF(D5="H48",5300,IF(D5="H43",5300,IF(D5="H40",5300,IF(D5="H42",5300,IF(D5="H44",5300,IF(D5="H45",5300,IF(D5="ASX HL",5300,IF(D5="ASX P",5300,IF(D5="ASX HL 4WD",5300,IF(D5="H16",4200,IF(D5="H17",4200,IF(D5="P16",4200,IF(D5="Attrage S",4200,IF(D5="MIG09",4200,IF(D5="MIG10",4200,IF(D5="Xpander HL",4900))))))))))))))))))))))))))))))))))))))))))))))))))))))</f>
        <v>5500</v>
      </c>
      <c r="V11" s="147">
        <f>IF(D5="XC",9700,IF(D5="XPML",9700,IF(D5="XPHL",9700,IF(D5="XPMLP",9700,IF(D5="XPMLP-01",9700,IF(D5="XPMLP-01",9700,IF(D5="Xpander P",9700,IF(D5="ML",10800,IF(D5="HL",10800,IF(D5="PR",10800,IF(D5="MLP",10800,IF(D5="HLP",10800,IF(D5="PRP",10800,IF(D5="H57",9300,IF(D5="P57",9300,IF(D5="MG64",9300,IF(D5="H59",9300,IF(D5="P59",9300,IF(D5="H61",9300,IF(D5="P61",9300,IF(D5="G03",11000,IF(D5="G10",11000,IF(D5="P10",11000,IF(D5="G12",11000,IF(D5="P12",11000,IF(D5="G05",11000,IF(D5="P05",11000,IF(D5="P03",11000,IF(D5="G06",11000,IF(D5="P06",11000,IF(D5="OTP06-01",11000,IF(D5="G08",11000,IF(D5="P08",11000,IF(D5="G09",11000,IF(D5="P09",11000,IF(D5="H38",10400,IF(D5="H37",10400,IF(D5="EH40",10400,IF(D5="EH43",10400,IF(D5="H48",10700,IF(D5="H43",10700,IF(D5="H40",10700,IF(D5="H42",10700,IF(D5="H44",10800,IF(D5="H45",10800,IF(D5="ASX HL",12200,IF(D5="ASX P",12200,IF(D5="ASX HL 4WD",12200,IF(D5="H16",8500,IF(D5="H17",8500,IF(D5="P16",8500,IF(D5="Attrage S",9600,IF(D5="MIG09",8500,IF(D5="MIG10",8500,IF(D5="Xpander HL",11300)))))))))))))))))))))))))))))))))))))))))))))))))))))))</f>
        <v>11000</v>
      </c>
      <c r="W11" s="147">
        <f>IF(D5="XC",9200,IF(D5="XPML",9200,IF(D5="XPHL",9200,IF(D5="XPMLP",9200,IF(D5="XPMLP-01",9200,IF(D5="Xpander P",9200,IF(D5="ML",10000,IF(D5="HL",10000,IF(D5="PR",10000,IF(D5="MLP",10000,IF(D5="HLP",10000,IF(D5="PRP",10000,IF(D5="H57",8700,IF(D5="P57",8700,IF(D5="H64",8700,IF(D5="H59",8700,IF(D5="P59",8700,IF(D5="H61",8700,IF(D5="P61",8700,IF(D5="G03",10400,IF(D5="P03",10400,IF(D5="G10",10400,IF(D5="P10",10400,IF(D5="G12",10400,IF(D5="P12",10400,IF(D5="G05",10400,IF(D5="P05",10400,IF(D5="G06",10400,IF(D5="P06",10400,IF(D5="OTP06-01",10400,IF(D5="G08",10400,IF(D5="P08",10400,IF(D5="G09",10400,IF(D5="P09",10400,IF(D5="H38",9800,IF(D5="H37",9800,IF(D5="EH40",9800,IF(D5="EH43",9800,IF(D5="H48",10100,IF(D5="H43",10100,IF(D5="H40",10100,IF(D5="H42",10100,IF(D5="H44",10100,IF(D5="H45",10100,IF(D5="ASX HL",10100,IF(D5="ASX P",10100,IF(D5="ASX HL 4WD",10100,IF(D5="H16",7900,IF(D5="H17",7900,IF(D5="P16",7900,IF(D5="Attrage S",7900,IF(D5="MIG09",7900,IF(D5="MIG10",7900,IF(D5="Xpander HL",9200))))))))))))))))))))))))))))))))))))))))))))))))))))))</f>
        <v>10400</v>
      </c>
      <c r="X11" s="147">
        <f>IF(D5="XC",4500,IF(D5="XPML",4500,IF(D5="XPHL",4500,IF(D5="XPMLP",4500,IF(D5="XPMLP-01",4500,IF(D5="Xpander P",4500,IF(D5="ML",5000,IF(D5="HL",5000,IF(D5="PR",5000,IF(D5="MLP",5000,IF(D5="HLP",5000,IF(D5="PRP",5000,IF(D5="H57",8700,IF(D5="P57",8700,IF(D5="MOG64",4300,IF(D5="H59",4300,IF(D5="P59",4300,IF(D5="H61",4300,IF(D5="P61",4300,IF(D5="G03",5000,IF(D5="P03",5000,IF(D5="G10",5000,IF(D5="P10",5000,IF(D5="G12",5000,IF(D5="P12",5000,IF(D5="G05",5000,IF(D5="P05",5000,IF(D5="G06",5000,IF(D5="P06",5000,IF(D5="OTP06-01",5000,IF(D5="G08",5000,IF(D5="P08",5000,IF(D5="G09",5000,IF(D5="P09",5000,IF(D5="H38",4900,IF(D5="H37",4900,IF(D5="EH40",4900,IF(D5="EH43",4900,IF(D5="H48",4900,IF(D5="H43",4900,IF(D5="H40",4900,IF(D5="H42",4900,IF(D5="H44",4900,IF(D5="H45",4900,IF(D5="ASX HL",4900,IF(D5="ASX P",4900,IF(D5="ASX HL 4WD",4900,IF(D5="H16",3700,IF(D5="H17",3700,IF(D5="P16",3700,IF(D5="Attrage S",3700,IF(D5="MIG09",3700,IF(D5="MIG10",3700,IF(D5="Xpander HL",4500))))))))))))))))))))))))))))))))))))))))))))))))))))))</f>
        <v>5000</v>
      </c>
      <c r="Y11" s="147">
        <f>IF(D5="XC",5400,IF(D5="XPML ",5400,IF(D5="XPHL",5400,IF(D5="XPMLP",5400,IF(D5="XPMLP-01",5400,IF(D5="Xpander P",5400,IF(D5="ML",6000,IF(D5="HL",6000,IF(D5="PR",6000,IF(D5="MLP",6000,IF(D5="HLP",6000,IF(D5="PRP",6000,IF(D5="H57",5200,IF(D5="57",5200,IF(D5="H64",5200,IF(D5="H59",5200,IF(D5="P59",5200,IF(D5="H61",5200,IF(D5="P61",5200,IF(D5="G03",6000,IF(D5="P03",6000,IF(D5="G10",6000,IF(D5="P10",6000,IF(D5="G12",6000,IF(D5="P12",6000,IF(D5="G05",6000,IF(D5="P05",6000,IF(D5="G06",6000,IF(D5="P06",6000,IF(D5="OTP06-01",6000,IF(D5="G08",6000,IF(D5="P08",6000,IF(D5="G09",6000,IF(D5="P09",6000,IF(D5="H38",5700,IF(D5="H37",5700,IF(D5="EH40",5700,IF(D5="EH43",5700,IF(D5="H48",5900,IF(D5="H43",5900,IF(D5="H40",5900,IF(D5="H42",5900,IF(D5="H44",5900,IF(D5="H45",5900,IF(D5="ASX HL",5900,IF(D5="ASX P",5900,IF(D5="ASX HL 4WD",5900,IF(D5="H16",4500,IF(D5="H17",4500,IF(D5="P16",4500,IF(D5="Attrage S",4500,IF(D5="MIG09",4500,IF(D5="MIG10",4500,IF(D5="Xpander HL",5400))))))))))))))))))))))))))))))))))))))))))))))))))))))</f>
        <v>6000</v>
      </c>
    </row>
    <row r="12" spans="1:27" ht="24.6" x14ac:dyDescent="0.4">
      <c r="A12" s="8"/>
      <c r="B12" s="37" t="s">
        <v>20</v>
      </c>
      <c r="C12" s="20" t="s">
        <v>17</v>
      </c>
      <c r="D12" s="36">
        <f>IF(C12="YES",2000,IF(C12="NO",0))</f>
        <v>0</v>
      </c>
      <c r="E12" s="43"/>
      <c r="F12" s="43" t="s">
        <v>21</v>
      </c>
      <c r="G12" s="40"/>
      <c r="H12" s="33">
        <v>600</v>
      </c>
      <c r="I12" s="33"/>
      <c r="J12" s="202" t="s">
        <v>140</v>
      </c>
      <c r="K12" s="45">
        <v>0</v>
      </c>
      <c r="L12" s="45">
        <v>5.2499999999999998E-2</v>
      </c>
      <c r="M12" s="45">
        <v>0.126</v>
      </c>
      <c r="N12" s="201">
        <v>0.26250000000000001</v>
      </c>
      <c r="O12" s="147">
        <f>IF(K20="Esaad",B8*3/100,IF(K20="Emirates Platinum",B8*3/100,IF(K20="Fazaa",B8*3/100,IF(K20="Humat Alwatan",B8*3/100,IF(K20="Permissible",2000,IF(K20="ASX",8400,IF(K20="XPMLP",15100,IF(K20="XP",7200,IF(K20="G43",11000,IF(K20="EC",17000,IF(K20="G37",17000,IF(K20="G38",15000,IF(K20="G40",11000,IF(K20="OUT",3000,IF(K20="F08",14400,IF(K20="P08",11100,IF(K20="F06",13100,IF(K20="P06",13400,IF(K20="F03",3500,IF(K20="F03-1",13500,IF(K20="P03",13100,IF(K20="MON",10000,IF(K20="MON G57",9000,0)))))))))))))))))))))))</f>
        <v>2000</v>
      </c>
      <c r="Z12" s="86" t="s">
        <v>83</v>
      </c>
      <c r="AA12" s="86" t="s">
        <v>84</v>
      </c>
    </row>
    <row r="13" spans="1:27" ht="24.6" x14ac:dyDescent="0.4">
      <c r="A13" s="8">
        <f>B8*1.26582</f>
        <v>170759.11799999999</v>
      </c>
      <c r="B13" s="37" t="s">
        <v>23</v>
      </c>
      <c r="C13" s="20" t="s">
        <v>19</v>
      </c>
      <c r="D13" s="36">
        <f>IF(C13="YES",2000,IF(C13="NO",0))</f>
        <v>2000</v>
      </c>
      <c r="E13" s="47"/>
      <c r="F13" s="47" t="s">
        <v>75</v>
      </c>
      <c r="G13" s="51"/>
      <c r="H13" s="39">
        <v>315</v>
      </c>
      <c r="I13" s="33"/>
      <c r="J13" s="44" t="s">
        <v>54</v>
      </c>
      <c r="K13" s="29" t="s">
        <v>79</v>
      </c>
      <c r="L13" s="29" t="s">
        <v>25</v>
      </c>
      <c r="M13" s="29" t="s">
        <v>0</v>
      </c>
      <c r="N13" s="57" t="s">
        <v>26</v>
      </c>
      <c r="O13" s="9">
        <f>IF(M21="3000-4999",6%,IF(M21="5000-9999",4.75%,IF(M21="10000-14999",3.15%,IF(M21="15000-24999",2.5%,IF(M21="25000-34999",2.25%,IF(M21="35000-99999",2.15%))))))</f>
        <v>4.7500000000000001E-2</v>
      </c>
      <c r="Q13" s="2">
        <f>H7/12</f>
        <v>2734.5031437500002</v>
      </c>
      <c r="U13" s="9">
        <f>IF(M21="3000-4999",6%,IF(M21="5000-9999",3.25%,IF(M21="10000-14999",3%,IF(M21="15000-24999",2.25%,IF(M21="25000-34999",2.15%,IF(M21="35000-99999",1.99%))))))</f>
        <v>3.2500000000000001E-2</v>
      </c>
      <c r="Z13" s="99">
        <f>IF(M21="5000-9999",2.49%,IF(M21="10000-19999",2.19%,IF(M21="20000-34999",2.09%,IF(M21="35000-49999",1.89%,IF(M21="50000-99999",1.79%)))))</f>
        <v>2.4900000000000002E-2</v>
      </c>
      <c r="AA13" s="99">
        <f>IF(M21="5000-9999",2.59%,IF(M21="10000-19999",2.29%,IF(M21="20000-34999",2.19%,IF(M21="35000-49999",1.99%,IF(M21="50000-99999",1.89%)))))</f>
        <v>2.5899999999999999E-2</v>
      </c>
    </row>
    <row r="14" spans="1:27" ht="24.6" x14ac:dyDescent="0.4">
      <c r="A14" s="10" t="s">
        <v>27</v>
      </c>
      <c r="B14" s="37" t="s">
        <v>24</v>
      </c>
      <c r="C14" s="20" t="s">
        <v>19</v>
      </c>
      <c r="D14" s="50">
        <f>IF(C14="YES",U19*3.15*1.05/100,IF(C14="NO",U19*0/100))</f>
        <v>5080.8161250000003</v>
      </c>
      <c r="E14" s="48"/>
      <c r="F14" s="48" t="s">
        <v>24</v>
      </c>
      <c r="G14" s="51" t="s">
        <v>17</v>
      </c>
      <c r="H14" s="39">
        <f>IF(G14="YES",U19*3.15*1.05/100,IF(G14="NO",U19*0/100))</f>
        <v>0</v>
      </c>
      <c r="I14" s="33"/>
      <c r="J14" s="44" t="s">
        <v>55</v>
      </c>
      <c r="K14" s="44">
        <f>(H8*K12+H8)/3</f>
        <v>10938.012575000001</v>
      </c>
      <c r="L14" s="44">
        <f>(H8*L12+H8)/12</f>
        <v>2878.0645587968752</v>
      </c>
      <c r="M14" s="44">
        <f>(H8*M12+H8)/24</f>
        <v>1539.5252699312503</v>
      </c>
      <c r="N14" s="200">
        <f>(H7*N12+H7)/60</f>
        <v>690.46204379687504</v>
      </c>
      <c r="O14" s="9">
        <f>IF(M21="3000-4999",3.89%,IF(M21="5000-9999",3.89%,IF(M21="10000-14999",3.89%,IF(M21="15000-24999",2.69%,IF(M21="25000-34999",2.69%,IF(M21="35000-99999",2.39%,IF(M21="76000-99999",2.5%)))))))</f>
        <v>3.8900000000000004E-2</v>
      </c>
    </row>
    <row r="15" spans="1:27" ht="24.6" x14ac:dyDescent="0.4">
      <c r="A15" s="11">
        <f>(B7*3%)+10+120</f>
        <v>4177</v>
      </c>
      <c r="B15" s="37" t="s">
        <v>28</v>
      </c>
      <c r="C15" s="20" t="s">
        <v>19</v>
      </c>
      <c r="D15" s="29">
        <f>IF(C15="YES",O10,IF(C15="NO",0))</f>
        <v>5374.3725000000004</v>
      </c>
      <c r="E15" s="48"/>
      <c r="F15" s="48" t="s">
        <v>53</v>
      </c>
      <c r="G15" s="51" t="s">
        <v>17</v>
      </c>
      <c r="H15" s="39">
        <f>IF(G15="YES",O10,IF(G15="NO",0))</f>
        <v>0</v>
      </c>
      <c r="I15" s="33"/>
      <c r="J15" s="44"/>
      <c r="K15" s="44"/>
      <c r="L15" s="44"/>
      <c r="M15" s="44"/>
      <c r="N15" s="198"/>
      <c r="O15" s="9" t="b">
        <f>IF(M21="3000-4999",4.99%, IF(M21="5000-11999",2.75%,IF(M21="12000-19999",2.75%,IF(M21="20000-39999",2.25%,IF(M21="40000-69999",2.25%,IF(M21="70000-99999",2.25%))))))</f>
        <v>0</v>
      </c>
      <c r="P15" s="191"/>
    </row>
    <row r="16" spans="1:27" ht="24.6" x14ac:dyDescent="0.4">
      <c r="A16" s="11">
        <f>((B7-B8)*3%+10+120)</f>
        <v>130</v>
      </c>
      <c r="B16" s="37" t="s">
        <v>78</v>
      </c>
      <c r="C16" s="20" t="s">
        <v>19</v>
      </c>
      <c r="D16" s="29">
        <f>IF(C16="YES",O16,IF(C16="NO",0))</f>
        <v>6700</v>
      </c>
      <c r="E16" s="47"/>
      <c r="F16" s="47" t="s">
        <v>74</v>
      </c>
      <c r="G16" s="54"/>
      <c r="H16" s="33">
        <f>I7*1.05%</f>
        <v>1378.1895844500002</v>
      </c>
      <c r="I16" s="33"/>
      <c r="J16" s="44" t="s">
        <v>16</v>
      </c>
      <c r="K16" s="44">
        <f>(K14*3)-H8</f>
        <v>0</v>
      </c>
      <c r="L16" s="44">
        <f>(L14*12)-H8</f>
        <v>1722.7369805624985</v>
      </c>
      <c r="M16" s="44">
        <f>(M14*24)-H8</f>
        <v>4134.5687533500022</v>
      </c>
      <c r="N16" s="198"/>
      <c r="O16" s="147">
        <f>IF(B16="RMC-10-70KMS",O11,IF(B16="RMC-10-100000KMS",V11,IF(B16="RMC-40-70KMS",U11, IF(B16="RMC-10-40KMS",X11, IF(B16="RMC-10-60KMS",Y11, IF(B16="RMC-40-100000KMS",W11,0))))))</f>
        <v>6700</v>
      </c>
    </row>
    <row r="17" spans="1:23" ht="24.6" x14ac:dyDescent="0.4">
      <c r="A17" s="11">
        <f>A15+A16</f>
        <v>4307</v>
      </c>
      <c r="B17" s="37"/>
      <c r="C17" s="20"/>
      <c r="D17" s="29">
        <f>SUM(D10:D16)</f>
        <v>21855.188625000003</v>
      </c>
      <c r="E17" s="48"/>
      <c r="F17" s="48"/>
      <c r="G17" s="54"/>
      <c r="H17" s="33">
        <f>+SUM(H12:H16)+(H7)</f>
        <v>35107.227309450005</v>
      </c>
      <c r="I17" s="33"/>
      <c r="J17" s="20"/>
      <c r="K17" s="199"/>
      <c r="L17" s="199"/>
      <c r="M17" s="199"/>
      <c r="N17" s="198"/>
      <c r="O17" s="147">
        <f>IF(B11="FO Ceramic+ Intr&amp;Extr CeramicGold WdwTnt",2700,IF(B11="FO Mirror Camera Sensor",2000))</f>
        <v>2700</v>
      </c>
      <c r="T17" s="1">
        <f>19615-791</f>
        <v>18824</v>
      </c>
    </row>
    <row r="18" spans="1:23" ht="24.6" x14ac:dyDescent="0.4">
      <c r="A18" s="12" t="s">
        <v>29</v>
      </c>
      <c r="B18" s="55" t="s">
        <v>30</v>
      </c>
      <c r="C18" s="197"/>
      <c r="D18" s="57">
        <v>0</v>
      </c>
      <c r="E18" s="38"/>
      <c r="F18" s="20"/>
      <c r="G18" s="20"/>
      <c r="H18" s="37"/>
      <c r="I18" s="37"/>
      <c r="J18" s="37"/>
      <c r="K18" s="37"/>
      <c r="L18" s="37"/>
      <c r="M18" s="37"/>
      <c r="N18" s="37"/>
      <c r="O18" s="9" t="b">
        <f>IF(M21="5000-99999",1.99%)</f>
        <v>0</v>
      </c>
      <c r="U18" s="196" t="s">
        <v>52</v>
      </c>
      <c r="V18" s="196" t="s">
        <v>52</v>
      </c>
    </row>
    <row r="19" spans="1:23" ht="24.6" x14ac:dyDescent="0.4">
      <c r="A19" s="11">
        <f>B8*3.15%</f>
        <v>4249.3500000000004</v>
      </c>
      <c r="B19" s="58" t="s">
        <v>31</v>
      </c>
      <c r="C19" s="59"/>
      <c r="D19" s="60">
        <f>IF(K21="DIB EXPAT",O13,IF(K21="DIB LOCAL GVH",U13,IF(K21="Emirates NBD",O14,IF(K21="ADCB",O15,IF(K21="ADCB PAY IN 2027",O19,IF(K21="Ajman Bank",O18,IF(K21="SIB STL",Z13,IF(K21="SIB NON STL",AA13,))))))))</f>
        <v>3.8900000000000004E-2</v>
      </c>
      <c r="E19" s="20"/>
      <c r="F19" s="195"/>
      <c r="G19" s="141" t="s">
        <v>73</v>
      </c>
      <c r="H19" s="142"/>
      <c r="I19" s="143"/>
      <c r="J19" s="109">
        <f>(U19*20/100)/365</f>
        <v>84.172602739726031</v>
      </c>
      <c r="K19" s="37"/>
      <c r="L19" s="37"/>
      <c r="M19" s="37"/>
      <c r="N19" s="34">
        <f>D7</f>
        <v>141645</v>
      </c>
      <c r="O19" s="194" t="b">
        <f>IF(M21="5000-11999",3.35%,IF(M21="12000-19999",3.35%,IF(M21="20000-39999",2.85%,IF(M21="40000-69999",2.85%,IF(M21="70000-99999",2.85%)))))</f>
        <v>0</v>
      </c>
      <c r="P19" s="2">
        <f>81400-2500</f>
        <v>78900</v>
      </c>
      <c r="U19" s="193">
        <f>V19</f>
        <v>153615</v>
      </c>
      <c r="V19" s="192">
        <f>(B7+D10+D11+D12+D13+D16)*1.05</f>
        <v>153615</v>
      </c>
    </row>
    <row r="20" spans="1:23" ht="24.6" x14ac:dyDescent="0.4">
      <c r="A20" s="11"/>
      <c r="B20" s="58" t="s">
        <v>32</v>
      </c>
      <c r="C20" s="59"/>
      <c r="D20" s="63">
        <v>0.2</v>
      </c>
      <c r="E20" s="37"/>
      <c r="F20" s="37"/>
      <c r="G20" s="38"/>
      <c r="H20" s="38"/>
      <c r="I20" s="38"/>
      <c r="J20" s="103"/>
      <c r="K20" s="104" t="s">
        <v>33</v>
      </c>
      <c r="L20" s="104" t="s">
        <v>17</v>
      </c>
      <c r="M20" s="104">
        <f>IF(L20="YES",O12,IF(L20="NO",0))</f>
        <v>0</v>
      </c>
      <c r="N20" s="34">
        <f>B8-M20</f>
        <v>134900</v>
      </c>
      <c r="O20" s="187"/>
      <c r="P20" s="191"/>
      <c r="T20" s="1">
        <f>1992+1084</f>
        <v>3076</v>
      </c>
      <c r="U20" s="186"/>
      <c r="V20" s="2"/>
    </row>
    <row r="21" spans="1:23" ht="24.6" x14ac:dyDescent="0.4">
      <c r="A21" s="13">
        <f>A19+A20</f>
        <v>4249.3500000000004</v>
      </c>
      <c r="B21" s="37"/>
      <c r="C21" s="20"/>
      <c r="D21" s="37"/>
      <c r="E21" s="37"/>
      <c r="F21" s="37"/>
      <c r="G21" s="37"/>
      <c r="H21" s="37"/>
      <c r="I21" s="37"/>
      <c r="J21" s="190" t="s">
        <v>34</v>
      </c>
      <c r="K21" s="16" t="s">
        <v>139</v>
      </c>
      <c r="L21" s="16" t="s">
        <v>35</v>
      </c>
      <c r="M21" s="189" t="s">
        <v>80</v>
      </c>
      <c r="N21" s="188"/>
      <c r="O21" s="187"/>
      <c r="T21" s="1">
        <f>25973-12973</f>
        <v>13000</v>
      </c>
      <c r="U21" s="186">
        <f>M14+N7</f>
        <v>4152.6164740987506</v>
      </c>
    </row>
    <row r="22" spans="1:23" s="179" customFormat="1" ht="24.6" x14ac:dyDescent="0.4">
      <c r="A22" s="185"/>
      <c r="B22" s="184" t="s">
        <v>51</v>
      </c>
      <c r="C22" s="183"/>
      <c r="D22" s="183"/>
      <c r="E22" s="183"/>
      <c r="F22" s="183"/>
      <c r="G22" s="183"/>
      <c r="H22" s="183"/>
      <c r="I22" s="183"/>
      <c r="J22" s="183"/>
      <c r="K22" s="183"/>
      <c r="L22" s="183"/>
      <c r="M22" s="183"/>
      <c r="N22" s="182"/>
      <c r="O22" s="181"/>
      <c r="P22" s="180"/>
    </row>
    <row r="23" spans="1:23" s="168" customFormat="1" ht="26.4" x14ac:dyDescent="0.5">
      <c r="A23" s="175" t="s">
        <v>36</v>
      </c>
      <c r="B23" s="172" t="s">
        <v>138</v>
      </c>
      <c r="C23" s="169"/>
      <c r="D23" s="169"/>
      <c r="E23" s="169"/>
      <c r="F23" s="169"/>
      <c r="G23" s="169"/>
      <c r="H23" s="176"/>
      <c r="I23" s="176"/>
      <c r="J23" s="169"/>
      <c r="K23" s="169"/>
      <c r="L23" s="169"/>
      <c r="M23" s="169"/>
      <c r="N23" s="178"/>
      <c r="O23" s="170"/>
      <c r="P23" s="169"/>
    </row>
    <row r="24" spans="1:23" s="168" customFormat="1" ht="26.4" x14ac:dyDescent="0.5">
      <c r="A24" s="175" t="s">
        <v>36</v>
      </c>
      <c r="B24" s="172" t="s">
        <v>137</v>
      </c>
      <c r="C24" s="169"/>
      <c r="D24" s="169"/>
      <c r="E24" s="169"/>
      <c r="F24" s="169"/>
      <c r="G24" s="169"/>
      <c r="H24" s="177">
        <f>H7/365</f>
        <v>89.901473219178087</v>
      </c>
      <c r="I24" s="177">
        <f>H7+H12+H16</f>
        <v>34792.227309450005</v>
      </c>
      <c r="J24" s="169"/>
      <c r="K24" s="169"/>
      <c r="L24" s="169"/>
      <c r="M24" s="169"/>
      <c r="N24" s="173"/>
      <c r="O24" s="170"/>
      <c r="P24" s="169">
        <f>1232+480</f>
        <v>1712</v>
      </c>
      <c r="T24" s="168">
        <f>88704/1.05</f>
        <v>84480</v>
      </c>
    </row>
    <row r="25" spans="1:23" s="168" customFormat="1" ht="26.4" x14ac:dyDescent="0.5">
      <c r="A25" s="175" t="s">
        <v>36</v>
      </c>
      <c r="B25" s="172" t="s">
        <v>136</v>
      </c>
      <c r="C25" s="169"/>
      <c r="D25" s="169"/>
      <c r="E25" s="169"/>
      <c r="F25" s="169"/>
      <c r="G25" s="169"/>
      <c r="H25" s="176"/>
      <c r="I25" s="176"/>
      <c r="J25" s="169"/>
      <c r="K25" s="169"/>
      <c r="L25" s="169"/>
      <c r="M25" s="169"/>
      <c r="N25" s="173"/>
      <c r="O25" s="170"/>
      <c r="P25" s="169"/>
      <c r="Q25" s="168">
        <f>79400-5233.33</f>
        <v>74166.67</v>
      </c>
      <c r="R25" s="168">
        <f>Q25*1.05</f>
        <v>77875.003500000006</v>
      </c>
      <c r="W25" s="168">
        <f>1999+1224</f>
        <v>3223</v>
      </c>
    </row>
    <row r="26" spans="1:23" s="168" customFormat="1" ht="26.4" x14ac:dyDescent="0.5">
      <c r="A26" s="175" t="s">
        <v>36</v>
      </c>
      <c r="B26" s="172" t="s">
        <v>135</v>
      </c>
      <c r="C26" s="169"/>
      <c r="D26" s="169"/>
      <c r="E26" s="169"/>
      <c r="F26" s="169"/>
      <c r="G26" s="169"/>
      <c r="H26" s="169"/>
      <c r="I26" s="169"/>
      <c r="J26" s="169"/>
      <c r="K26" s="169"/>
      <c r="L26" s="169"/>
      <c r="M26" s="169"/>
      <c r="N26" s="173"/>
      <c r="O26" s="170" t="s">
        <v>37</v>
      </c>
      <c r="P26" s="169"/>
      <c r="R26" s="168">
        <f>R25+2469</f>
        <v>80344.003500000006</v>
      </c>
    </row>
    <row r="27" spans="1:23" s="168" customFormat="1" ht="26.4" x14ac:dyDescent="0.5">
      <c r="A27" s="175" t="s">
        <v>36</v>
      </c>
      <c r="B27" s="172" t="s">
        <v>134</v>
      </c>
      <c r="C27" s="169"/>
      <c r="D27" s="169"/>
      <c r="E27" s="169"/>
      <c r="F27" s="169"/>
      <c r="G27" s="169"/>
      <c r="H27" s="169"/>
      <c r="I27" s="169"/>
      <c r="J27" s="169"/>
      <c r="K27" s="169"/>
      <c r="L27" s="169"/>
      <c r="M27" s="169"/>
      <c r="N27" s="173"/>
      <c r="O27" s="170">
        <f>129500-110900</f>
        <v>18600</v>
      </c>
      <c r="P27" s="169"/>
      <c r="W27" s="174">
        <f>N7+L14</f>
        <v>5491.1557629643758</v>
      </c>
    </row>
    <row r="28" spans="1:23" s="168" customFormat="1" ht="26.4" x14ac:dyDescent="0.5">
      <c r="B28" s="172" t="s">
        <v>133</v>
      </c>
      <c r="C28" s="169"/>
      <c r="D28" s="169"/>
      <c r="E28" s="169"/>
      <c r="F28" s="169"/>
      <c r="G28" s="169"/>
      <c r="H28" s="169"/>
      <c r="I28" s="169"/>
      <c r="J28" s="169"/>
      <c r="K28" s="169"/>
      <c r="L28" s="169"/>
      <c r="M28" s="169"/>
      <c r="N28" s="173"/>
      <c r="O28" s="170">
        <f>85000-69900</f>
        <v>15100</v>
      </c>
      <c r="P28" s="169"/>
    </row>
    <row r="29" spans="1:23" s="168" customFormat="1" ht="26.4" x14ac:dyDescent="0.5">
      <c r="B29" s="172" t="s">
        <v>132</v>
      </c>
      <c r="C29" s="169"/>
      <c r="D29" s="169"/>
      <c r="E29" s="169"/>
      <c r="F29" s="169"/>
      <c r="G29" s="169"/>
      <c r="H29" s="169"/>
      <c r="I29" s="169"/>
      <c r="J29" s="169"/>
      <c r="K29" s="169"/>
      <c r="L29" s="169"/>
      <c r="M29" s="169"/>
      <c r="N29" s="171"/>
      <c r="O29" s="170"/>
      <c r="P29" s="169"/>
    </row>
    <row r="30" spans="1:23" x14ac:dyDescent="0.3">
      <c r="B30" s="167" t="s">
        <v>38</v>
      </c>
      <c r="C30" s="166"/>
      <c r="D30" s="166"/>
      <c r="E30" s="166"/>
      <c r="F30" s="166"/>
      <c r="G30" s="166"/>
      <c r="H30" s="166"/>
      <c r="I30" s="166"/>
      <c r="J30" s="166"/>
      <c r="K30" s="166"/>
      <c r="L30" s="166"/>
      <c r="M30" s="166"/>
      <c r="N30" s="165"/>
      <c r="O30" s="147"/>
    </row>
    <row r="31" spans="1:23" x14ac:dyDescent="0.3">
      <c r="B31" s="146"/>
      <c r="C31" s="145"/>
      <c r="D31" s="145"/>
      <c r="E31" s="145"/>
      <c r="F31" s="145"/>
      <c r="G31" s="145"/>
      <c r="H31" s="145"/>
      <c r="I31" s="145"/>
      <c r="J31" s="145"/>
      <c r="K31" s="145"/>
      <c r="L31" s="145"/>
      <c r="M31" s="145"/>
      <c r="N31" s="144"/>
      <c r="O31" s="147"/>
    </row>
    <row r="32" spans="1:23" s="86" customFormat="1" ht="20.399999999999999" x14ac:dyDescent="0.35">
      <c r="B32" s="118" t="s">
        <v>39</v>
      </c>
      <c r="C32" s="119"/>
      <c r="D32" s="119"/>
      <c r="E32" s="119"/>
      <c r="F32" s="119"/>
      <c r="G32" s="119"/>
      <c r="H32" s="119"/>
      <c r="I32" s="119"/>
      <c r="J32" s="119"/>
      <c r="K32" s="119"/>
      <c r="L32" s="119"/>
      <c r="M32" s="119"/>
      <c r="N32" s="120"/>
      <c r="O32" s="92"/>
      <c r="P32" s="83"/>
    </row>
    <row r="33" spans="2:16" s="86" customFormat="1" ht="20.399999999999999" x14ac:dyDescent="0.35">
      <c r="B33" s="118" t="s">
        <v>40</v>
      </c>
      <c r="C33" s="119"/>
      <c r="D33" s="119"/>
      <c r="E33" s="119"/>
      <c r="F33" s="119"/>
      <c r="G33" s="119"/>
      <c r="H33" s="119"/>
      <c r="I33" s="119"/>
      <c r="J33" s="119"/>
      <c r="K33" s="119"/>
      <c r="L33" s="119"/>
      <c r="M33" s="119"/>
      <c r="N33" s="120"/>
      <c r="O33" s="92"/>
      <c r="P33" s="83"/>
    </row>
    <row r="34" spans="2:16" s="86" customFormat="1" ht="20.399999999999999" x14ac:dyDescent="0.35">
      <c r="B34" s="107" t="s">
        <v>131</v>
      </c>
      <c r="C34" s="108"/>
      <c r="D34" s="108"/>
      <c r="E34" s="108"/>
      <c r="F34" s="108"/>
      <c r="G34" s="164" t="s">
        <v>130</v>
      </c>
      <c r="H34" s="164"/>
      <c r="I34" s="163"/>
      <c r="J34" s="163"/>
      <c r="K34" s="163"/>
      <c r="L34" s="163"/>
      <c r="M34" s="162" t="s">
        <v>129</v>
      </c>
      <c r="N34" s="161"/>
      <c r="O34" s="83"/>
      <c r="P34" s="83"/>
    </row>
    <row r="35" spans="2:16" x14ac:dyDescent="0.3">
      <c r="B35" s="160"/>
      <c r="C35" s="159"/>
      <c r="D35" s="159"/>
      <c r="E35" s="159"/>
      <c r="F35" s="159"/>
      <c r="G35" s="159"/>
      <c r="H35" s="159"/>
      <c r="I35" s="159"/>
      <c r="J35" s="159"/>
      <c r="K35" s="159"/>
      <c r="L35" s="159"/>
      <c r="M35" s="159"/>
      <c r="N35" s="158"/>
    </row>
    <row r="36" spans="2:16" x14ac:dyDescent="0.3">
      <c r="B36" s="160"/>
      <c r="C36" s="159"/>
      <c r="D36" s="159"/>
      <c r="E36" s="159"/>
      <c r="F36" s="159"/>
      <c r="G36" s="159"/>
      <c r="H36" s="159"/>
      <c r="I36" s="159"/>
      <c r="J36" s="159"/>
      <c r="K36" s="159"/>
      <c r="L36" s="159"/>
      <c r="M36" s="159"/>
      <c r="N36" s="158"/>
    </row>
    <row r="37" spans="2:16" x14ac:dyDescent="0.3">
      <c r="B37" s="160"/>
      <c r="C37" s="159"/>
      <c r="D37" s="159"/>
      <c r="E37" s="159"/>
      <c r="F37" s="159"/>
      <c r="G37" s="159"/>
      <c r="H37" s="159"/>
      <c r="I37" s="159"/>
      <c r="J37" s="159"/>
      <c r="K37" s="159"/>
      <c r="L37" s="159"/>
      <c r="M37" s="159"/>
      <c r="N37" s="158"/>
    </row>
    <row r="38" spans="2:16" ht="16.8" x14ac:dyDescent="0.3">
      <c r="B38" s="149" t="s">
        <v>128</v>
      </c>
      <c r="C38" s="157"/>
      <c r="D38" s="154"/>
      <c r="E38" s="151"/>
      <c r="F38" s="151"/>
      <c r="G38" s="151"/>
      <c r="H38" s="151"/>
      <c r="I38" s="151"/>
      <c r="J38" s="152"/>
      <c r="K38" s="151"/>
      <c r="L38" s="151"/>
      <c r="M38" s="151"/>
      <c r="N38" s="156"/>
    </row>
    <row r="39" spans="2:16" ht="16.8" x14ac:dyDescent="0.3">
      <c r="B39" s="149" t="s">
        <v>127</v>
      </c>
      <c r="C39" s="155"/>
      <c r="D39" s="154"/>
      <c r="E39" s="151"/>
      <c r="F39" s="151"/>
      <c r="G39" s="151"/>
      <c r="H39" s="151"/>
      <c r="I39" s="151"/>
      <c r="J39" s="152"/>
      <c r="K39" s="151"/>
      <c r="L39" s="151"/>
      <c r="M39" s="151"/>
      <c r="N39" s="150"/>
    </row>
    <row r="40" spans="2:16" ht="16.8" x14ac:dyDescent="0.3">
      <c r="B40" s="149" t="s">
        <v>126</v>
      </c>
      <c r="C40" s="153"/>
      <c r="D40" s="151"/>
      <c r="E40" s="151"/>
      <c r="F40" s="151"/>
      <c r="G40" s="151"/>
      <c r="H40" s="151"/>
      <c r="I40" s="151"/>
      <c r="J40" s="152"/>
      <c r="K40" s="151"/>
      <c r="L40" s="151"/>
      <c r="M40" s="151"/>
      <c r="N40" s="150"/>
    </row>
    <row r="41" spans="2:16" ht="16.8" x14ac:dyDescent="0.3">
      <c r="B41" s="149" t="s">
        <v>125</v>
      </c>
      <c r="N41" s="148"/>
    </row>
    <row r="42" spans="2:16" ht="16.8" x14ac:dyDescent="0.3">
      <c r="B42" s="149" t="s">
        <v>124</v>
      </c>
      <c r="N42" s="148"/>
    </row>
    <row r="43" spans="2:16" ht="16.8" x14ac:dyDescent="0.3">
      <c r="B43" s="149" t="s">
        <v>123</v>
      </c>
      <c r="N43" s="148"/>
    </row>
    <row r="44" spans="2:16" ht="16.8" x14ac:dyDescent="0.3">
      <c r="B44" s="149" t="s">
        <v>122</v>
      </c>
      <c r="N44" s="148"/>
    </row>
    <row r="45" spans="2:16" ht="16.8" x14ac:dyDescent="0.3">
      <c r="B45" s="149" t="s">
        <v>121</v>
      </c>
      <c r="N45" s="148"/>
    </row>
    <row r="46" spans="2:16" ht="16.8" x14ac:dyDescent="0.3">
      <c r="B46" s="149" t="s">
        <v>120</v>
      </c>
      <c r="N46" s="148"/>
    </row>
    <row r="47" spans="2:16" x14ac:dyDescent="0.3">
      <c r="B47" s="146" t="s">
        <v>39</v>
      </c>
      <c r="C47" s="145"/>
      <c r="D47" s="145"/>
      <c r="E47" s="145"/>
      <c r="F47" s="145"/>
      <c r="G47" s="145"/>
      <c r="H47" s="145"/>
      <c r="I47" s="145"/>
      <c r="J47" s="145"/>
      <c r="K47" s="145"/>
      <c r="L47" s="145"/>
      <c r="M47" s="145"/>
      <c r="N47" s="144"/>
      <c r="O47" s="147"/>
    </row>
    <row r="48" spans="2:16" x14ac:dyDescent="0.3">
      <c r="B48" s="146" t="s">
        <v>40</v>
      </c>
      <c r="C48" s="145"/>
      <c r="D48" s="145"/>
      <c r="E48" s="145"/>
      <c r="F48" s="145"/>
      <c r="G48" s="145"/>
      <c r="H48" s="145"/>
      <c r="I48" s="145"/>
      <c r="J48" s="145"/>
      <c r="K48" s="145"/>
      <c r="L48" s="145"/>
      <c r="M48" s="145"/>
      <c r="N48" s="144"/>
      <c r="O48" s="147"/>
    </row>
    <row r="49" spans="2:14" x14ac:dyDescent="0.3">
      <c r="B49" s="146" t="s">
        <v>119</v>
      </c>
      <c r="C49" s="145"/>
      <c r="D49" s="145"/>
      <c r="E49" s="145"/>
      <c r="F49" s="145"/>
      <c r="G49" s="145"/>
      <c r="H49" s="145"/>
      <c r="I49" s="145"/>
      <c r="J49" s="145"/>
      <c r="K49" s="145"/>
      <c r="L49" s="145"/>
      <c r="M49" s="145"/>
      <c r="N49" s="144"/>
    </row>
    <row r="50" spans="2:14" ht="25.8" x14ac:dyDescent="0.3">
      <c r="C50" s="15" t="s">
        <v>41</v>
      </c>
    </row>
    <row r="51" spans="2:14" ht="25.8" x14ac:dyDescent="0.3">
      <c r="C51" s="15" t="s">
        <v>42</v>
      </c>
    </row>
    <row r="52" spans="2:14" ht="25.8" x14ac:dyDescent="0.3">
      <c r="C52" s="15" t="s">
        <v>43</v>
      </c>
    </row>
    <row r="53" spans="2:14" ht="25.8" x14ac:dyDescent="0.3">
      <c r="C53" s="15" t="s">
        <v>44</v>
      </c>
    </row>
    <row r="54" spans="2:14" ht="25.8" x14ac:dyDescent="0.3">
      <c r="C54" s="15" t="s">
        <v>45</v>
      </c>
    </row>
  </sheetData>
  <dataConsolidate/>
  <mergeCells count="11">
    <mergeCell ref="F8:G8"/>
    <mergeCell ref="F9:G9"/>
    <mergeCell ref="G19:I19"/>
    <mergeCell ref="B22:N22"/>
    <mergeCell ref="B30:N30"/>
    <mergeCell ref="B32:N32"/>
    <mergeCell ref="B33:N33"/>
    <mergeCell ref="B47:N47"/>
    <mergeCell ref="B48:N48"/>
    <mergeCell ref="B49:N49"/>
    <mergeCell ref="B31:N31"/>
  </mergeCells>
  <dataValidations count="11">
    <dataValidation type="list" allowBlank="1" showInputMessage="1" showErrorMessage="1" sqref="H34" xr:uid="{07CBBA65-69AD-42A9-8C89-CF7635A62E93}">
      <formula1>"ALAA HAMMAD,KHALED QASSEM,RAMY RAOUF,SIMON LOBO,MHAREN CLEMENTE GARADO"</formula1>
    </dataValidation>
    <dataValidation type="list" allowBlank="1" showInputMessage="1" showErrorMessage="1" sqref="M34" xr:uid="{138286CA-F7A6-4D9F-9157-713AFC40064F}">
      <formula1>"Alaa Hammad,Bachir Ibrahim Mourad,Khaled Qassem,Ramy Raoof,Simon Lobo,Mharen Clemente Garado,Ranjith"</formula1>
    </dataValidation>
    <dataValidation type="list" allowBlank="1" showInputMessage="1" showErrorMessage="1" sqref="B11" xr:uid="{19E7E8DA-2BAE-4D61-830D-32197A7AE7AD}">
      <formula1>"FO Ceramic+ Intr&amp;Extr CeramicGold WdwTnt,FO Mirror Camera Sensor"</formula1>
    </dataValidation>
    <dataValidation type="list" allowBlank="1" showInputMessage="1" showErrorMessage="1" sqref="B12" xr:uid="{EB24DAE2-61EF-4ACA-8878-63E9E68BD818}">
      <formula1>"FO Exterior ceramic All Cars SCOTCHGUARD,FO Mirror Camera Sensor,FO PPF Gold Package "</formula1>
    </dataValidation>
    <dataValidation type="list" allowBlank="1" showInputMessage="1" showErrorMessage="1" sqref="K20" xr:uid="{84102C81-DA75-4D27-B4A6-A9D25081D8E4}">
      <formula1>"Esaad,Emirates Platinum,Fazaa,Humat Alwatan,Permissible,ASX,XPMLP,XP,MON,MON G57,OUT,F08,P08,F06,P06,F03,F03-1,P03,EC,G37,G38,G40,G43"</formula1>
    </dataValidation>
    <dataValidation type="list" allowBlank="1" showInputMessage="1" showErrorMessage="1" sqref="B16" xr:uid="{FF9822D1-0971-464C-87F9-B76399CB3F8F}">
      <formula1>"RMC-10-40KMS,RMC-10-60KMS,RMC-10-70KMS,RMC-10-100000KMS,RMC-40-70KMS,RMC-40-100000KMS"</formula1>
    </dataValidation>
    <dataValidation type="list" allowBlank="1" showInputMessage="1" showErrorMessage="1" sqref="K24" xr:uid="{6D7B7922-E89D-422C-A453-75906EE0EF36}">
      <formula1>"RMC-10-70K,RMC-10-100000K,RMC-40-70K"</formula1>
    </dataValidation>
    <dataValidation type="list" allowBlank="1" showInputMessage="1" showErrorMessage="1" sqref="D5" xr:uid="{D52ABE84-5376-4A24-A5A6-1AA4178D7552}">
      <formula1>"MIG09,MIG10,H16,P16,H17,H48,H43,H40,H42,H44,H45,H38,H37,EH40,EH43,ML,HL,PR, MLP,HLP,PRP,XPML,XPHL,XPMLP, XPMLP-01,XC, G10,P10, G03, P03, G06,P06,G12,P12,G05,P05,G08,P08,G09,P09,H57,P57,H64,H59,P59,H61,P61"</formula1>
    </dataValidation>
    <dataValidation type="list" allowBlank="1" showInputMessage="1" showErrorMessage="1" sqref="M21" xr:uid="{32E3E2F5-D316-4C56-A6F5-ABB0C028D1AF}">
      <formula1>"3000-4999,5000-9999,5000-99999,10000-14999,15000-24999,25000-34999,35000-99999,5000-11999,12000-19999,20000-39999,40000-69999,70000-99999"</formula1>
    </dataValidation>
    <dataValidation type="list" allowBlank="1" showInputMessage="1" showErrorMessage="1" sqref="C10:C16 L20 L24:L25 G14:G15 J10" xr:uid="{F451262E-7060-4F7A-A7EC-583F2966155A}">
      <formula1>"YES,NO"</formula1>
    </dataValidation>
    <dataValidation type="list" allowBlank="1" showInputMessage="1" showErrorMessage="1" sqref="K21" xr:uid="{E07555C2-3FDF-4C10-9159-F55CDD512EE3}">
      <formula1>"ADCB,ADCB PAY IN 2027,Ajman Bank,ADIB,DIB EXPAT,DIB LOCAL GVH,Emirates NBD,EIB,FAB,RAK,SIB STL,SIB NON STL"</formula1>
    </dataValidation>
  </dataValidations>
  <pageMargins left="0.23622047244094491" right="0.23622047244094491" top="0.74803149606299213" bottom="0.74803149606299213" header="0.31496062992125984" footer="0.31496062992125984"/>
  <pageSetup paperSize="9" scale="40" orientation="landscape" horizontalDpi="4294967295" verticalDpi="4294967295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11DDF4-4650-4BE7-A9DD-B3A079B98A07}">
  <sheetPr>
    <pageSetUpPr fitToPage="1"/>
  </sheetPr>
  <dimension ref="A1:AA54"/>
  <sheetViews>
    <sheetView topLeftCell="B1" zoomScaleNormal="100" workbookViewId="0">
      <selection activeCell="D5" sqref="D5"/>
    </sheetView>
  </sheetViews>
  <sheetFormatPr defaultColWidth="9.109375" defaultRowHeight="15.6" x14ac:dyDescent="0.3"/>
  <cols>
    <col min="1" max="1" width="16" style="1" hidden="1" customWidth="1"/>
    <col min="2" max="2" width="75.109375" style="2" customWidth="1"/>
    <col min="3" max="3" width="26.88671875" style="3" customWidth="1"/>
    <col min="4" max="4" width="23.88671875" style="2" customWidth="1"/>
    <col min="5" max="5" width="23.33203125" style="2" customWidth="1"/>
    <col min="6" max="6" width="19.88671875" style="2" customWidth="1"/>
    <col min="7" max="7" width="23.33203125" style="2" customWidth="1"/>
    <col min="8" max="8" width="24.44140625" style="2" customWidth="1"/>
    <col min="9" max="9" width="27.109375" style="2" customWidth="1"/>
    <col min="10" max="10" width="26.6640625" style="2" customWidth="1"/>
    <col min="11" max="11" width="25.44140625" style="2" customWidth="1"/>
    <col min="12" max="12" width="20.5546875" style="2" customWidth="1"/>
    <col min="13" max="13" width="20.109375" style="2" customWidth="1"/>
    <col min="14" max="14" width="19.5546875" style="2" customWidth="1"/>
    <col min="15" max="15" width="15.109375" style="2" bestFit="1" customWidth="1"/>
    <col min="16" max="16" width="12.6640625" style="2" hidden="1" customWidth="1"/>
    <col min="17" max="17" width="12.6640625" style="1" hidden="1" customWidth="1"/>
    <col min="18" max="18" width="15.6640625" style="1" hidden="1" customWidth="1"/>
    <col min="19" max="19" width="13" style="1" hidden="1" customWidth="1"/>
    <col min="20" max="20" width="17.109375" style="1" hidden="1" customWidth="1"/>
    <col min="21" max="21" width="14.5546875" style="1" bestFit="1" customWidth="1"/>
    <col min="22" max="22" width="19" style="1" customWidth="1"/>
    <col min="23" max="23" width="22.5546875" style="1" bestFit="1" customWidth="1"/>
    <col min="24" max="25" width="9.109375" style="1"/>
    <col min="26" max="26" width="14" style="1" bestFit="1" customWidth="1"/>
    <col min="27" max="27" width="22.33203125" style="1" bestFit="1" customWidth="1"/>
    <col min="28" max="16384" width="9.109375" style="1"/>
  </cols>
  <sheetData>
    <row r="1" spans="1:27" ht="15.75" customHeight="1" x14ac:dyDescent="0.3">
      <c r="B1" s="222" t="s">
        <v>148</v>
      </c>
      <c r="C1" s="221"/>
      <c r="D1" s="221"/>
      <c r="E1" s="221"/>
      <c r="F1" s="221"/>
      <c r="G1" s="221"/>
      <c r="H1" s="221"/>
      <c r="I1" s="221"/>
      <c r="J1" s="221"/>
      <c r="K1" s="221"/>
      <c r="L1" s="221"/>
      <c r="M1" s="221"/>
      <c r="N1" s="220"/>
    </row>
    <row r="2" spans="1:27" ht="15.75" customHeight="1" x14ac:dyDescent="0.3">
      <c r="B2" s="219" t="s">
        <v>147</v>
      </c>
      <c r="C2" s="218"/>
      <c r="D2" s="218"/>
      <c r="E2" s="218"/>
      <c r="F2" s="218"/>
      <c r="G2" s="218"/>
      <c r="H2" s="218"/>
      <c r="I2" s="218"/>
      <c r="J2" s="218"/>
      <c r="K2" s="218"/>
      <c r="L2" s="218"/>
      <c r="M2" s="218"/>
      <c r="N2" s="217"/>
      <c r="Q2" s="2"/>
      <c r="S2" s="186"/>
    </row>
    <row r="3" spans="1:27" ht="15.75" customHeight="1" x14ac:dyDescent="0.3">
      <c r="B3" s="219" t="s">
        <v>146</v>
      </c>
      <c r="C3" s="218"/>
      <c r="D3" s="218"/>
      <c r="E3" s="218"/>
      <c r="F3" s="218"/>
      <c r="G3" s="218"/>
      <c r="H3" s="218"/>
      <c r="I3" s="218"/>
      <c r="J3" s="218"/>
      <c r="K3" s="218"/>
      <c r="L3" s="218"/>
      <c r="M3" s="218"/>
      <c r="N3" s="217"/>
      <c r="O3" s="3"/>
      <c r="P3" s="3"/>
      <c r="Q3" s="153"/>
      <c r="R3" s="153"/>
      <c r="S3" s="216" t="e">
        <f>N7+J14</f>
        <v>#VALUE!</v>
      </c>
      <c r="T3" s="216"/>
      <c r="U3" s="153"/>
      <c r="V3" s="153"/>
      <c r="W3" s="153"/>
      <c r="AA3" s="1">
        <f>273000/5</f>
        <v>54600</v>
      </c>
    </row>
    <row r="4" spans="1:27" ht="15.75" customHeight="1" x14ac:dyDescent="0.3">
      <c r="B4" s="215"/>
      <c r="C4" s="214"/>
      <c r="D4" s="214"/>
      <c r="E4" s="214"/>
      <c r="F4" s="214"/>
      <c r="G4" s="214"/>
      <c r="H4" s="214"/>
      <c r="I4" s="214"/>
      <c r="J4" s="214"/>
      <c r="K4" s="214"/>
      <c r="L4" s="214"/>
      <c r="M4" s="214"/>
      <c r="N4" s="213"/>
      <c r="O4" s="212" t="s">
        <v>0</v>
      </c>
      <c r="P4" s="212"/>
      <c r="Q4" s="210"/>
      <c r="R4" s="210"/>
      <c r="S4" s="211"/>
      <c r="T4" s="211"/>
      <c r="U4" s="210" t="s">
        <v>1</v>
      </c>
      <c r="V4" s="210" t="s">
        <v>2</v>
      </c>
      <c r="W4" s="210" t="s">
        <v>3</v>
      </c>
    </row>
    <row r="5" spans="1:27" ht="25.2" thickBot="1" x14ac:dyDescent="0.45">
      <c r="B5" s="17"/>
      <c r="C5" s="18" t="str">
        <f>IF(D5="MIG09","Mirage G09",IF(D5="MIG10","MirageG10",IF(D5="H16","Attrage H16",IF(D5="P16","Attrage P16",IF(D5="H17","Attrage H17",IF(D5="H48","ASX H48",IF(D5="H43","ASX H43",IF(D5="H40","ASX H40",IF(D5="H42","ASX H42",IF(D5="H44","ASX H44",IF(D5="H45","ASX H45",IF(D5="H38","Eclipse H38",IF(D5="H37","Eclipse H37",IF(D5="EH40","Eclipse H40",IF(D5="EH43","Eclipse H43",IF(D5="XPML","Xpander ML",IF(D5="ML","Destinator ML",IF(D5="HL","Destinator HL",IF(D5="PR","Destinator PR",IF(D5="MLP","Destinator MLP",IF(D5="HLP","Destinator HLP",IF(D5="PRP","Destinator PRP",IF(D5="XPHL","Xpander HL",IF(D5="XPMLP","Xpander ML P",IF(D5="XPMLP-01","Xpander ML P-01",IF(D5="XC","Xpander Cross",IF(D5="G03","Outlander G03",IF(D5="P03","Outlander P03",IF(D5="G06","Outlander G06",IF(D5="P06","Outlander P06",IF(D5="OTP06-01","Outlander P06-01",IF(D5="G08","Outlander G08",IF(D5="P08","Outlander P08",IF(D5="H57","Montero H57",IF(D5="P57","Montero P57",IF(D5="H64","Montero G64",IF(D5="H59","Montero G59",IF(D5="P59","Montero G59 P",IF(D5="H61","Montero G61",IF(D5="P61","Montero P61",IF(D5="G10","Outlander G10",IF(D5="P10","Outlander P10",IF(D5="G12","Outlander G12",IF(D5="P12","Outlander P12",IF(D5="G05","Outlander G05",IF(D5="P05","Outlander P05",IF(D5="G09","Outlander G09",IF(D5="P09","Outlander P09",))))))))))))))))))))))))))))))))))))))))))))))))</f>
        <v>Montero H57</v>
      </c>
      <c r="D5" s="19" t="s">
        <v>160</v>
      </c>
      <c r="E5" s="20" t="s">
        <v>145</v>
      </c>
      <c r="F5" s="37"/>
      <c r="G5" s="37"/>
      <c r="H5" s="37"/>
      <c r="I5" s="20"/>
      <c r="J5" s="34"/>
      <c r="K5" s="209">
        <v>0</v>
      </c>
      <c r="L5" s="208">
        <v>3.39E-2</v>
      </c>
      <c r="M5" s="208">
        <v>6.7799999999999999E-2</v>
      </c>
      <c r="N5" s="208">
        <v>0.1017</v>
      </c>
      <c r="O5" s="147">
        <f>K7+K14</f>
        <v>13382.123972524998</v>
      </c>
      <c r="S5" s="186"/>
      <c r="U5" s="186">
        <f>L7+L14</f>
        <v>5525.0139603895832</v>
      </c>
      <c r="V5" s="186">
        <f>M7+M14</f>
        <v>3736.1944017125002</v>
      </c>
      <c r="W5" s="186">
        <f>N7+N14</f>
        <v>2626.3798770562498</v>
      </c>
    </row>
    <row r="6" spans="1:27" s="5" customFormat="1" ht="99" thickBot="1" x14ac:dyDescent="0.35">
      <c r="A6" s="4" t="s">
        <v>4</v>
      </c>
      <c r="B6" s="26" t="s">
        <v>5</v>
      </c>
      <c r="C6" s="27" t="s">
        <v>6</v>
      </c>
      <c r="D6" s="27" t="s">
        <v>144</v>
      </c>
      <c r="E6" s="27" t="s">
        <v>7</v>
      </c>
      <c r="F6" s="27" t="s">
        <v>8</v>
      </c>
      <c r="G6" s="28" t="s">
        <v>9</v>
      </c>
      <c r="H6" s="28" t="s">
        <v>143</v>
      </c>
      <c r="I6" s="28" t="s">
        <v>10</v>
      </c>
      <c r="J6" s="28" t="s">
        <v>142</v>
      </c>
      <c r="K6" s="28" t="s">
        <v>11</v>
      </c>
      <c r="L6" s="28" t="s">
        <v>12</v>
      </c>
      <c r="M6" s="28" t="s">
        <v>13</v>
      </c>
      <c r="N6" s="28" t="s">
        <v>14</v>
      </c>
      <c r="O6" s="207"/>
      <c r="P6" s="206"/>
      <c r="T6" s="205"/>
      <c r="U6" s="205">
        <f>N7+L14</f>
        <v>4365.5603270562497</v>
      </c>
      <c r="V6" s="205">
        <f>N7+K14</f>
        <v>10773.353297524998</v>
      </c>
      <c r="W6" s="205" t="e">
        <f>N7+J14</f>
        <v>#VALUE!</v>
      </c>
    </row>
    <row r="7" spans="1:27" ht="25.2" thickBot="1" x14ac:dyDescent="0.45">
      <c r="A7" s="6">
        <f>B8</f>
        <v>105900</v>
      </c>
      <c r="B7" s="29">
        <f>IF(L20="YES",C8*1,IF(L20="NO",B8*1))</f>
        <v>105900</v>
      </c>
      <c r="C7" s="29">
        <f>B7*5/100</f>
        <v>5295</v>
      </c>
      <c r="D7" s="203">
        <f>B7+C7</f>
        <v>111195</v>
      </c>
      <c r="E7" s="29">
        <f>D17</f>
        <v>18713.533750000002</v>
      </c>
      <c r="F7" s="29">
        <f>(C7)+(D10+D11+D12+D13+D16)*5/100</f>
        <v>5825</v>
      </c>
      <c r="G7" s="30">
        <f>B7+E7+F7</f>
        <v>130438.53375</v>
      </c>
      <c r="H7" s="29">
        <f>G7*D20</f>
        <v>26087.706750000001</v>
      </c>
      <c r="I7" s="30">
        <f>(G7-H7)</f>
        <v>104350.827</v>
      </c>
      <c r="J7" s="30">
        <f>(((I7*D19)*1)+I7)/12</f>
        <v>9034.1728475250002</v>
      </c>
      <c r="K7" s="30">
        <f>(((I7*D19)*2)+I7)/24</f>
        <v>4686.2217225249997</v>
      </c>
      <c r="L7" s="30">
        <f>(((I7*D19)*3)+I7)/36</f>
        <v>3236.9046808583334</v>
      </c>
      <c r="M7" s="30">
        <f>(((I7*D19)*4)+I7)/48</f>
        <v>2512.2461600250003</v>
      </c>
      <c r="N7" s="30">
        <f>((((I7*D19)*5)+I7)/60)</f>
        <v>2077.4510475249999</v>
      </c>
      <c r="O7" s="147"/>
      <c r="P7" s="2">
        <f>H7+H16</f>
        <v>27183.390433500001</v>
      </c>
      <c r="T7" s="186">
        <f>25973/2</f>
        <v>12986.5</v>
      </c>
    </row>
    <row r="8" spans="1:27" ht="24.6" x14ac:dyDescent="0.4">
      <c r="A8" s="7">
        <v>0.2</v>
      </c>
      <c r="B8" s="31">
        <f>IF(D5="MIG09",39900,IF(D5="MIG10",41900,IF(D5="H16",41900,IF(D5="P16",47400,IF(D5="H17",47900,IF(D5="H48",67900,IF(D5="H43",70900,IF(D5="H40",72900,IF(D5="H42",74900,IF(D5="H44",73900,IF(D5="H45",79900,IF(D5="H38",86900,IF(D5="H37",79900,IF(D5="EH40",99900,IF(D5="EH43",106900,IF(D5="ML",71900,IF(D5="HL",83900,IF(D5="PR",95900,IF(D5="MLP",80900,IF(D5="HLP",91900,IF(D5="PRP",102900,IF(D5="XPML",69900,IF(D5="XPHL",71000,IF(D5="XPMLP",75900,IF(D5="XPMLP-01",77800,IF(D5="XC",84900,IF(D5="G10",81900,IF(D5="P10",93900,IF(D5="G12",97900,IF(D5="P12",105900,IF(D5="G05",104900,IF(D5="P05",105900,IF(D5="G03",92900,IF(D5="P03",100900,IF(D5="G06",109900,IF(D5="P06",114900,IF(D5="OTP06-01",118900,IF(D5="G08",125900,IF(D5="P08",132900,IF(D5="OTP06-01",109900,IF(D5="G09",129900,IF(D5="P09",134900,IF(D5="H57",105900,IF(D5="P57",113900,IF(D5="H64",116900,IF(D5="H59",127900,IF(D5="P59",134900,IF(D5="H61",134900,IF(D5="P61",138900)))))))))))))))))))))))))))))))))))))))))))))))))</f>
        <v>105900</v>
      </c>
      <c r="C8" s="32">
        <f>IF(L20="YES",N20,IF(L20="NO",N20))</f>
        <v>105900</v>
      </c>
      <c r="D8" s="29">
        <v>0</v>
      </c>
      <c r="E8" s="33"/>
      <c r="F8" s="139"/>
      <c r="G8" s="140"/>
      <c r="H8" s="110">
        <f>G7*20/100</f>
        <v>26087.706749999998</v>
      </c>
      <c r="I8" s="34"/>
      <c r="J8" s="34" t="s">
        <v>15</v>
      </c>
      <c r="K8" s="34">
        <f>(I7*K5+I7)/24</f>
        <v>4347.9511250000005</v>
      </c>
      <c r="L8" s="34">
        <f>(I7*L5+I7)/36</f>
        <v>2996.8977787583335</v>
      </c>
      <c r="M8" s="34">
        <f>(I7*M5+I7)/48</f>
        <v>2321.3711056375</v>
      </c>
      <c r="N8" s="34">
        <f>(I7*N5+I7)/60</f>
        <v>1916.055101765</v>
      </c>
      <c r="O8" s="147">
        <v>0</v>
      </c>
      <c r="P8" s="2">
        <f>P7/12</f>
        <v>2265.2825361250002</v>
      </c>
      <c r="T8" s="1">
        <f>25973-12973</f>
        <v>13000</v>
      </c>
    </row>
    <row r="9" spans="1:27" ht="24.6" x14ac:dyDescent="0.4">
      <c r="A9" s="8">
        <f>B8/(100%-A8)</f>
        <v>132375</v>
      </c>
      <c r="B9" s="109">
        <f>B7-B8</f>
        <v>0</v>
      </c>
      <c r="C9" s="109"/>
      <c r="D9" s="36"/>
      <c r="E9" s="33"/>
      <c r="F9" s="139"/>
      <c r="G9" s="140"/>
      <c r="H9" s="33"/>
      <c r="I9" s="37" t="s">
        <v>16</v>
      </c>
      <c r="J9" s="38">
        <f>(J7*12)-I7</f>
        <v>4059.2471703000047</v>
      </c>
      <c r="K9" s="38">
        <f>(K7*24)-I7</f>
        <v>8118.4943405999948</v>
      </c>
      <c r="L9" s="38">
        <f>(L7*36)-I7</f>
        <v>12177.741510899999</v>
      </c>
      <c r="M9" s="38">
        <f>(M7*48)-I7</f>
        <v>16236.988681200004</v>
      </c>
      <c r="N9" s="38">
        <f>(N7*60)-I7</f>
        <v>20296.235851499994</v>
      </c>
      <c r="O9" s="147"/>
      <c r="T9" s="1">
        <f>T8/12</f>
        <v>1083.3333333333333</v>
      </c>
      <c r="Z9" s="1" t="s">
        <v>86</v>
      </c>
    </row>
    <row r="10" spans="1:27" ht="24.6" x14ac:dyDescent="0.4">
      <c r="A10" s="8"/>
      <c r="B10" s="37" t="s">
        <v>141</v>
      </c>
      <c r="C10" s="20" t="s">
        <v>17</v>
      </c>
      <c r="D10" s="36">
        <f>IF(C10="YES",700,IF(C10="NO",0))</f>
        <v>0</v>
      </c>
      <c r="E10" s="39"/>
      <c r="F10" s="40"/>
      <c r="G10" s="40"/>
      <c r="H10" s="33"/>
      <c r="I10" s="44" t="s">
        <v>85</v>
      </c>
      <c r="J10" s="117" t="s">
        <v>19</v>
      </c>
      <c r="K10" s="117">
        <f>IF(J10="YES",Z10,IF(J10="NO",0))</f>
        <v>1000</v>
      </c>
      <c r="L10" s="41">
        <f>(L8*36)-I7</f>
        <v>3537.4930353000091</v>
      </c>
      <c r="M10" s="41">
        <f>(M8*48)-I7</f>
        <v>7074.9860706000036</v>
      </c>
      <c r="N10" s="41">
        <f>(N8*60)-I7</f>
        <v>10612.479105899998</v>
      </c>
      <c r="O10" s="147">
        <f>IF(D5="XC",3690,IF(D5="XPML",3690,IF(D5="XPHL",3690,IF(D5="XPMLP",3690,IF(D5="XPMLP-01",3690,IF(D5="Xpander P",3690,IF(D5="ML",3690,IF(D5="HL",3690,IF(D5="PR",(U19*3/100+510)*1.05,IF(D5="MLP",3690,IF(D5="HLP",(U19*3/100+510)*1.05,IF(D5="PRP",(U19*3/100+510)*1.05,IF(D5="H57",(U19*2.75/100+510)*1.05,IF(D5="P57",(U19*2.75/100+510)*1.05,IF(D5="H64",(U19*2.75/100+510)*1.05,IF(D5="H59",(U19*2.75/100+510)*1.05,IF(D5="P59",(U19*2.75/100+510)*1.05,IF(D5="H61",(U19*2.75/100+510)*1.05,IF(D5="P61",(U19*2.75/100+510)*1.05,IF(D5="G03",(U19*3/100+510)*1.05,IF(D5="G10",(U19*3/100+510)*1.05,IF(D5="P10",(U19*3/100+510)*1.05,IF(D5="G12",(U19*3/100+510)*1.05,IF(D5="P12",(U19*3/100+510)*1.05,IF(D5="G05",(U19*3/100+510)*1.05,IF(D5="P05",(U19*3/100+510)*1.05,IF(D5="P03",(U19*3/100+510)*1.05,IF(D5="G06",(U19*3/100+510)*1.05,IF(D5="P06",(U19*3/100+510)*1.05,IF(D5="OTP06-01",(U19*3/100+510)*1.05,IF(D5="G08",(U19*3/100+510)*1.05,IF(D5="P08",(U19*3/100+510)*1.05,IF(D5="G09",(U19*3/100+510)*1.05,IF(D5="P09",(U19*3/100+510)*1.05,IF(D5="H38",3625,IF(D5="H37",3625,IF(D5="EH40",(U19*3/100+450)*1.05,IF(D5="EH43",(U19*3/100+450)*1.05,IF(D5="H48",3625,IF(D5="H43",3625,IF(D5="H40",3625,IF(D5="H42",3625,IF(D5="H44",3625,IF(D5="H45",3625,IF(D5="ASX HL 4WD",3625,IF(D5="H16",3625,IF(D5="H17",3625,IF(D5="P16",3625,IF(D5="Attrage S",3625,IF(D5="MIG09",3625,IF(D5="MIG10",3625,IF(D5="Xpander HL",3690))))))))))))))))))))))))))))))))))))))))))))))))))))</f>
        <v>4067.6343750000001</v>
      </c>
      <c r="P10" s="204"/>
      <c r="Q10" s="204">
        <f>5.25*3</f>
        <v>15.75</v>
      </c>
      <c r="Z10" s="1">
        <f>IF(D5="MIG09",1000,IF(D5="MIG10",1000,IF(D5="H16",1000,IF(D5="P16",1000,IF(D5="H17",1000,IF(D5="H48",1000,IF(D5="H43",1000,IF(D5="H40",1000,IF(D5="H42",1000,IF(D5="H44",1000,IF(D5="H45",1000,IF(D5="H38",1000,IF(D5="H37",1000,IF(D5="EH40",1000,IF(D5="EH43",1000,IF(D5="ML",1000,IF(D5="HL",1000,IF(D5="PR",1000,IF(D5="MLP",1000,IF(D5="HLP",1000,IF(D5="PRP",1000,IF(D5="XPML",1000,IF(D5="XPHL",1000,IF(D5="XPMLP",1000,IF(D5="XPMLP-01",1000,IF(D5="XC",1000,IF(D5="G10",1000,IF(D5="P10",1000,IF(D5="G12",1000,IF(D5="P12",1000,IF(D5="G05",1000,IF(D5="P05",1000,IF(D5="G03",1000,IF(D5="P03",1000,IF(D5="G06",1000,IF(D5="P06",1000,IF(D5="OTP06-01",1000,IF(D5="G08",1000,IF(D5="P08",1000,IF(D5="OTP06-01",1000,IF(D5="G09",1000,IF(D5="P09",1000,IF(D5="H57",1000,IF(D5="P57",1000,IF(D5="H64",1000,IF(D5="H59",1000,IF(D5="P59",1000,IF(D5="H61",1000,IF(D5="P61",1000)))))))))))))))))))))))))))))))))))))))))))))))))</f>
        <v>1000</v>
      </c>
    </row>
    <row r="11" spans="1:27" ht="24.6" x14ac:dyDescent="0.4">
      <c r="A11" s="8"/>
      <c r="B11" s="37" t="s">
        <v>18</v>
      </c>
      <c r="C11" s="20" t="s">
        <v>19</v>
      </c>
      <c r="D11" s="203">
        <f>IF(C11="YES",O17,IF(C11="NO",0))</f>
        <v>2700</v>
      </c>
      <c r="E11" s="39"/>
      <c r="F11" s="40"/>
      <c r="G11" s="40"/>
      <c r="H11" s="33"/>
      <c r="I11" s="33"/>
      <c r="J11" s="44" t="s">
        <v>76</v>
      </c>
      <c r="K11" s="44">
        <f>H8-K10</f>
        <v>25087.706749999998</v>
      </c>
      <c r="L11" s="37"/>
      <c r="M11" s="37"/>
      <c r="N11" s="38"/>
      <c r="O11" s="147">
        <f>IF(D5="XC",6100,IF(D5="XPML",6100,IF(D5="XPHL",6100,IF(D5="XPMLP",6100,IF(D5="XPMLP-01",6100,IF(D5="Xpander P",6100,IF(D5="ML",6600,IF(D5="HL",6600,IF(D5="PR",6600,IF(D5="MLP",6600,IF(D5="HLP",6600,IF(D5="PRP",6600,IF(D5="H57",5900,IF(D5="P57",5900,IF(D5="H64",5900,IF(D5="H59",5900,IF(D5="P59",5900,IF(D5="H61",5900,IF(D5="P61",5900,IF(D5="G03",6700,IF(D5="G10",6700,IF(D5="P10",6700,IF(D5="G12",6700,IF(D5="P12",6700,IF(D5="G05",6700,IF(D5="P05",6700,IF(D5="P03",6700,IF(D5="G06",6700,IF(D5="P06",6700,IF(D5="OTP06-01",6700,IF(D5="G08",6700,IF(D5="G09",6700,IF(D5="G08",6700,IF(D5="P08",6700,IF(D5="P09",6700,IF(D5="H37",6400,IF(D5="H38",6400,IF(D5="EH40",6400,IF(D5="EH43",6400,IF(D5="H48",6600,IF(D5="H43",6600,IF(D5="H40",6600,IF(D5="H42",6600,IF(D5="H44",6600,IF(D5="H45",6600,IF(D5="ASX HL 4WD",6600,IF(D5="H16",5400,IF(D5="H17",5400,IF(D5="P16",5400,IF(D5="Attrage S",5400,IF(D5="MIG09",5400,IF(D5="MIG10",5400,IF(D5="Xpander HL",6000)))))))))))))))))))))))))))))))))))))))))))))))))))))</f>
        <v>5900</v>
      </c>
      <c r="P11" s="147"/>
      <c r="Q11" s="147"/>
      <c r="R11" s="147"/>
      <c r="S11" s="147"/>
      <c r="T11" s="147"/>
      <c r="U11" s="147">
        <f>IF(D5="XC",4900,IF(D5="XPML",4900,IF(D5="XPHL",4900,IF(D5="XPMLP",4900,IF(D5="XPMLP-01",4900,IF(D5="Xpander P",4900,IF(D5="ML",5400,IF(D5="HL",5400,IF(D5="PR",5400,IF(D5="MLP",5400,IF(D5="HLP",5400,IF(D5="PRP",5400,IF(D5="H57",4600,IF(D5="P57",4600,IF(D5="MOG64",4600,IF(D5="H59",4600,IF(D5="P59",4600,IF(D5="H61",4600,IF(D5="P61",4600,IF(D5="G03",5500,IF(D5="P03",5500,IF(D5="G10",5500,IF(D5="P10",5500,IF(D5="G12",5500,IF(D5="P12",5500,IF(D5="G05",5500,IF(D5="P05",5500,IF(D5="G06",5500,IF(D5="P06",5500,IF(D5="OTP06-01",5500,IF(D5="F08",5500,IF(D5="P08",5500,IF(D5="G09",5500,IF(D5="P09",5500,IF(D5="H38",5200,IF(D5="H37",5200,IF(D5="EH40",5200,IF(D5="EH43",5200,IF(D5="H48",5300,IF(D5="H43",5300,IF(D5="H40",5300,IF(D5="H42",5300,IF(D5="H44",5300,IF(D5="H45",5300,IF(D5="ASX HL",5300,IF(D5="ASX P",5300,IF(D5="ASX HL 4WD",5300,IF(D5="H16",4200,IF(D5="H17",4200,IF(D5="P16",4200,IF(D5="Attrage S",4200,IF(D5="MIG09",4200,IF(D5="MIG10",4200,IF(D5="Xpander HL",4900))))))))))))))))))))))))))))))))))))))))))))))))))))))</f>
        <v>4600</v>
      </c>
      <c r="V11" s="147">
        <f>IF(D5="XC",9700,IF(D5="XPML",9700,IF(D5="XPHL",9700,IF(D5="XPMLP",9700,IF(D5="XPMLP-01",9700,IF(D5="XPMLP-01",9700,IF(D5="Xpander P",9700,IF(D5="ML",10800,IF(D5="HL",10800,IF(D5="PR",10800,IF(D5="MLP",10800,IF(D5="HLP",10800,IF(D5="PRP",10800,IF(D5="H57",9300,IF(D5="P57",9300,IF(D5="MG64",9300,IF(D5="H59",9300,IF(D5="P59",9300,IF(D5="H61",9300,IF(D5="P61",9300,IF(D5="G03",11000,IF(D5="G10",11000,IF(D5="P10",11000,IF(D5="G12",11000,IF(D5="P12",11000,IF(D5="G05",11000,IF(D5="P05",11000,IF(D5="P03",11000,IF(D5="G06",11000,IF(D5="P06",11000,IF(D5="OTP06-01",11000,IF(D5="G08",11000,IF(D5="P08",11000,IF(D5="G09",11000,IF(D5="P09",11000,IF(D5="H38",10400,IF(D5="H37",10400,IF(D5="EH40",10400,IF(D5="EH43",10400,IF(D5="H48",10700,IF(D5="H43",10700,IF(D5="H40",10700,IF(D5="H42",10700,IF(D5="H44",10800,IF(D5="H45",10800,IF(D5="ASX HL",12200,IF(D5="ASX P",12200,IF(D5="ASX HL 4WD",12200,IF(D5="H16",8500,IF(D5="H17",8500,IF(D5="P16",8500,IF(D5="Attrage S",9600,IF(D5="MIG09",8500,IF(D5="MIG10",8500,IF(D5="Xpander HL",11300)))))))))))))))))))))))))))))))))))))))))))))))))))))))</f>
        <v>9300</v>
      </c>
      <c r="W11" s="147">
        <f>IF(D5="XC",9200,IF(D5="XPML",9200,IF(D5="XPHL",9200,IF(D5="XPMLP",9200,IF(D5="XPMLP-01",9200,IF(D5="Xpander P",9200,IF(D5="ML",10000,IF(D5="HL",10000,IF(D5="PR",10000,IF(D5="MLP",10000,IF(D5="HLP",10000,IF(D5="PRP",10000,IF(D5="H57",8700,IF(D5="P57",8700,IF(D5="H64",8700,IF(D5="H59",8700,IF(D5="P59",8700,IF(D5="H61",8700,IF(D5="P61",8700,IF(D5="G03",10400,IF(D5="P03",10400,IF(D5="G10",10400,IF(D5="P10",10400,IF(D5="G12",10400,IF(D5="P12",10400,IF(D5="G05",10400,IF(D5="P05",10400,IF(D5="G06",10400,IF(D5="P06",10400,IF(D5="OTP06-01",10400,IF(D5="G08",10400,IF(D5="P08",10400,IF(D5="G09",10400,IF(D5="P09",10400,IF(D5="H38",9800,IF(D5="H37",9800,IF(D5="EH40",9800,IF(D5="EH43",9800,IF(D5="H48",10100,IF(D5="H43",10100,IF(D5="H40",10100,IF(D5="H42",10100,IF(D5="H44",10100,IF(D5="H45",10100,IF(D5="ASX HL",10100,IF(D5="ASX P",10100,IF(D5="ASX HL 4WD",10100,IF(D5="H16",7900,IF(D5="H17",7900,IF(D5="P16",7900,IF(D5="Attrage S",7900,IF(D5="MIG09",7900,IF(D5="MIG10",7900,IF(D5="Xpander HL",9200))))))))))))))))))))))))))))))))))))))))))))))))))))))</f>
        <v>8700</v>
      </c>
      <c r="X11" s="147">
        <f>IF(D5="XC",4500,IF(D5="XPML",4500,IF(D5="XPHL",4500,IF(D5="XPMLP",4500,IF(D5="XPMLP-01",4500,IF(D5="Xpander P",4500,IF(D5="ML",5000,IF(D5="HL",5000,IF(D5="PR",5000,IF(D5="MLP",5000,IF(D5="HLP",5000,IF(D5="PRP",5000,IF(D5="H57",8700,IF(D5="P57",8700,IF(D5="MOG64",4300,IF(D5="H59",4300,IF(D5="P59",4300,IF(D5="H61",4300,IF(D5="P61",4300,IF(D5="G03",5000,IF(D5="P03",5000,IF(D5="G10",5000,IF(D5="P10",5000,IF(D5="G12",5000,IF(D5="P12",5000,IF(D5="G05",5000,IF(D5="P05",5000,IF(D5="G06",5000,IF(D5="P06",5000,IF(D5="OTP06-01",5000,IF(D5="G08",5000,IF(D5="P08",5000,IF(D5="G09",5000,IF(D5="P09",5000,IF(D5="H38",4900,IF(D5="H37",4900,IF(D5="EH40",4900,IF(D5="EH43",4900,IF(D5="H48",4900,IF(D5="H43",4900,IF(D5="H40",4900,IF(D5="H42",4900,IF(D5="H44",4900,IF(D5="H45",4900,IF(D5="ASX HL",4900,IF(D5="ASX P",4900,IF(D5="ASX HL 4WD",4900,IF(D5="H16",3700,IF(D5="H17",3700,IF(D5="P16",3700,IF(D5="Attrage S",3700,IF(D5="MIG09",3700,IF(D5="MIG10",3700,IF(D5="Xpander HL",4500))))))))))))))))))))))))))))))))))))))))))))))))))))))</f>
        <v>8700</v>
      </c>
      <c r="Y11" s="147">
        <f>IF(D5="XC",5400,IF(D5="XPML ",5400,IF(D5="XPHL",5400,IF(D5="XPMLP",5400,IF(D5="XPMLP-01",5400,IF(D5="Xpander P",5400,IF(D5="ML",6000,IF(D5="HL",6000,IF(D5="PR",6000,IF(D5="MLP",6000,IF(D5="HLP",6000,IF(D5="PRP",6000,IF(D5="H57",5200,IF(D5="57",5200,IF(D5="H64",5200,IF(D5="H59",5200,IF(D5="P59",5200,IF(D5="H61",5200,IF(D5="P61",5200,IF(D5="G03",6000,IF(D5="P03",6000,IF(D5="G10",6000,IF(D5="P10",6000,IF(D5="G12",6000,IF(D5="P12",6000,IF(D5="G05",6000,IF(D5="P05",6000,IF(D5="G06",6000,IF(D5="P06",6000,IF(D5="OTP06-01",6000,IF(D5="G08",6000,IF(D5="P08",6000,IF(D5="G09",6000,IF(D5="P09",6000,IF(D5="H38",5700,IF(D5="H37",5700,IF(D5="EH40",5700,IF(D5="EH43",5700,IF(D5="H48",5900,IF(D5="H43",5900,IF(D5="H40",5900,IF(D5="H42",5900,IF(D5="H44",5900,IF(D5="H45",5900,IF(D5="ASX HL",5900,IF(D5="ASX P",5900,IF(D5="ASX HL 4WD",5900,IF(D5="H16",4500,IF(D5="H17",4500,IF(D5="P16",4500,IF(D5="Attrage S",4500,IF(D5="MIG09",4500,IF(D5="MIG10",4500,IF(D5="Xpander HL",5400))))))))))))))))))))))))))))))))))))))))))))))))))))))</f>
        <v>5200</v>
      </c>
    </row>
    <row r="12" spans="1:27" ht="24.6" x14ac:dyDescent="0.4">
      <c r="A12" s="8"/>
      <c r="B12" s="37" t="s">
        <v>20</v>
      </c>
      <c r="C12" s="20" t="s">
        <v>17</v>
      </c>
      <c r="D12" s="36">
        <f>IF(C12="YES",2000,IF(C12="NO",0))</f>
        <v>0</v>
      </c>
      <c r="E12" s="43"/>
      <c r="F12" s="43" t="s">
        <v>21</v>
      </c>
      <c r="G12" s="40"/>
      <c r="H12" s="33">
        <v>600</v>
      </c>
      <c r="I12" s="33"/>
      <c r="J12" s="202" t="s">
        <v>140</v>
      </c>
      <c r="K12" s="45">
        <v>0</v>
      </c>
      <c r="L12" s="45">
        <v>5.2499999999999998E-2</v>
      </c>
      <c r="M12" s="45">
        <v>0.126</v>
      </c>
      <c r="N12" s="201">
        <v>0.26250000000000001</v>
      </c>
      <c r="O12" s="147">
        <f>IF(K20="Esaad",B8*3/100,IF(K20="Emirates Platinum",B8*3/100,IF(K20="Fazaa",B8*3/100,IF(K20="Humat Alwatan",B8*3/100,IF(K20="Permissible",2000,IF(K20="ASX",8400,IF(K20="XPMLP",15100,IF(K20="XP",7200,IF(K20="G43",11000,IF(K20="EC",17000,IF(K20="G37",17000,IF(K20="G38",15000,IF(K20="G40",11000,IF(K20="OUT",3000,IF(K20="F08",14400,IF(K20="P08",11100,IF(K20="F06",13100,IF(K20="P06",13400,IF(K20="F03",3500,IF(K20="F03-1",13500,IF(K20="P03",13100,IF(K20="MON",10000,IF(K20="MON G57",9000,0)))))))))))))))))))))))</f>
        <v>2000</v>
      </c>
      <c r="Z12" s="86" t="s">
        <v>83</v>
      </c>
      <c r="AA12" s="86" t="s">
        <v>84</v>
      </c>
    </row>
    <row r="13" spans="1:27" ht="24.6" x14ac:dyDescent="0.4">
      <c r="A13" s="8">
        <f>B8*1.26582</f>
        <v>134050.33799999999</v>
      </c>
      <c r="B13" s="37" t="s">
        <v>23</v>
      </c>
      <c r="C13" s="20" t="s">
        <v>19</v>
      </c>
      <c r="D13" s="36">
        <f>IF(C13="YES",2000,IF(C13="NO",0))</f>
        <v>2000</v>
      </c>
      <c r="E13" s="47"/>
      <c r="F13" s="47" t="s">
        <v>75</v>
      </c>
      <c r="G13" s="51"/>
      <c r="H13" s="39">
        <v>315</v>
      </c>
      <c r="I13" s="33"/>
      <c r="J13" s="44" t="s">
        <v>54</v>
      </c>
      <c r="K13" s="29" t="s">
        <v>79</v>
      </c>
      <c r="L13" s="29" t="s">
        <v>25</v>
      </c>
      <c r="M13" s="29" t="s">
        <v>0</v>
      </c>
      <c r="N13" s="57" t="s">
        <v>26</v>
      </c>
      <c r="O13" s="9">
        <f>IF(M21="3000-4999",6%,IF(M21="5000-9999",4.75%,IF(M21="10000-14999",3.15%,IF(M21="15000-24999",2.5%,IF(M21="25000-34999",2.25%,IF(M21="35000-99999",2.15%))))))</f>
        <v>4.7500000000000001E-2</v>
      </c>
      <c r="Q13" s="2">
        <f>H7/12</f>
        <v>2173.9755625000003</v>
      </c>
      <c r="U13" s="9">
        <f>IF(M21="3000-4999",6%,IF(M21="5000-9999",3.25%,IF(M21="10000-14999",3%,IF(M21="15000-24999",2.25%,IF(M21="25000-34999",2.15%,IF(M21="35000-99999",1.99%))))))</f>
        <v>3.2500000000000001E-2</v>
      </c>
      <c r="Z13" s="99">
        <f>IF(M21="5000-9999",2.49%,IF(M21="10000-19999",2.19%,IF(M21="20000-34999",2.09%,IF(M21="35000-49999",1.89%,IF(M21="50000-99999",1.79%)))))</f>
        <v>2.4900000000000002E-2</v>
      </c>
      <c r="AA13" s="99">
        <f>IF(M21="5000-9999",2.59%,IF(M21="10000-19999",2.29%,IF(M21="20000-34999",2.19%,IF(M21="35000-49999",1.99%,IF(M21="50000-99999",1.89%)))))</f>
        <v>2.5899999999999999E-2</v>
      </c>
    </row>
    <row r="14" spans="1:27" ht="24.6" x14ac:dyDescent="0.4">
      <c r="A14" s="10" t="s">
        <v>27</v>
      </c>
      <c r="B14" s="37" t="s">
        <v>24</v>
      </c>
      <c r="C14" s="20" t="s">
        <v>19</v>
      </c>
      <c r="D14" s="50">
        <f>IF(C14="YES",U19*3.15*1.05/100,IF(C14="NO",U19*0/100))</f>
        <v>4045.899375</v>
      </c>
      <c r="E14" s="48"/>
      <c r="F14" s="48" t="s">
        <v>24</v>
      </c>
      <c r="G14" s="51" t="s">
        <v>17</v>
      </c>
      <c r="H14" s="39">
        <f>IF(G14="YES",U19*3.15*1.05/100,IF(G14="NO",U19*0/100))</f>
        <v>0</v>
      </c>
      <c r="I14" s="33"/>
      <c r="J14" s="44" t="s">
        <v>55</v>
      </c>
      <c r="K14" s="44">
        <f>(H8*K12+H8)/3</f>
        <v>8695.9022499999992</v>
      </c>
      <c r="L14" s="44">
        <f>(H8*L12+H8)/12</f>
        <v>2288.1092795312497</v>
      </c>
      <c r="M14" s="44">
        <f>(H8*M12+H8)/24</f>
        <v>1223.9482416874998</v>
      </c>
      <c r="N14" s="200">
        <f>(H7*N12+H7)/60</f>
        <v>548.92882953125013</v>
      </c>
      <c r="O14" s="9">
        <f>IF(M21="3000-4999",3.89%,IF(M21="5000-9999",3.89%,IF(M21="10000-14999",3.89%,IF(M21="15000-24999",2.69%,IF(M21="25000-34999",2.69%,IF(M21="35000-99999",2.39%,IF(M21="76000-99999",2.5%)))))))</f>
        <v>3.8900000000000004E-2</v>
      </c>
    </row>
    <row r="15" spans="1:27" ht="24.6" x14ac:dyDescent="0.4">
      <c r="A15" s="11">
        <f>(B7*3%)+10+120</f>
        <v>3307</v>
      </c>
      <c r="B15" s="37" t="s">
        <v>28</v>
      </c>
      <c r="C15" s="20" t="s">
        <v>19</v>
      </c>
      <c r="D15" s="29">
        <f>IF(C15="YES",O10,IF(C15="NO",0))</f>
        <v>4067.6343750000001</v>
      </c>
      <c r="E15" s="48"/>
      <c r="F15" s="48" t="s">
        <v>53</v>
      </c>
      <c r="G15" s="51" t="s">
        <v>17</v>
      </c>
      <c r="H15" s="39">
        <f>IF(G15="YES",O10,IF(G15="NO",0))</f>
        <v>0</v>
      </c>
      <c r="I15" s="33"/>
      <c r="J15" s="44"/>
      <c r="K15" s="44"/>
      <c r="L15" s="44"/>
      <c r="M15" s="44"/>
      <c r="N15" s="198"/>
      <c r="O15" s="9" t="b">
        <f>IF(M21="3000-4999",4.99%, IF(M21="5000-11999",2.75%,IF(M21="12000-19999",2.75%,IF(M21="20000-39999",2.25%,IF(M21="40000-69999",2.25%,IF(M21="70000-99999",2.25%))))))</f>
        <v>0</v>
      </c>
      <c r="P15" s="191"/>
    </row>
    <row r="16" spans="1:27" ht="24.6" x14ac:dyDescent="0.4">
      <c r="A16" s="11">
        <f>((B7-B8)*3%+10+120)</f>
        <v>130</v>
      </c>
      <c r="B16" s="37" t="s">
        <v>78</v>
      </c>
      <c r="C16" s="20" t="s">
        <v>19</v>
      </c>
      <c r="D16" s="29">
        <f>IF(C16="YES",O16,IF(C16="NO",0))</f>
        <v>5900</v>
      </c>
      <c r="E16" s="47"/>
      <c r="F16" s="47" t="s">
        <v>74</v>
      </c>
      <c r="G16" s="54"/>
      <c r="H16" s="33">
        <f>I7*1.05%</f>
        <v>1095.6836835000001</v>
      </c>
      <c r="I16" s="33"/>
      <c r="J16" s="44" t="s">
        <v>16</v>
      </c>
      <c r="K16" s="44">
        <f>(K14*3)-H8</f>
        <v>0</v>
      </c>
      <c r="L16" s="44">
        <f>(L14*12)-H8</f>
        <v>1369.6046043749993</v>
      </c>
      <c r="M16" s="44">
        <f>(M14*24)-H8</f>
        <v>3287.0510504999984</v>
      </c>
      <c r="N16" s="198"/>
      <c r="O16" s="147">
        <f>IF(B16="RMC-10-70KMS",O11,IF(B16="RMC-10-100000KMS",V11,IF(B16="RMC-40-70KMS",U11, IF(B16="RMC-10-40KMS",X11, IF(B16="RMC-10-60KMS",Y11, IF(B16="RMC-40-100000KMS",W11,0))))))</f>
        <v>5900</v>
      </c>
    </row>
    <row r="17" spans="1:23" ht="24.6" x14ac:dyDescent="0.4">
      <c r="A17" s="11">
        <f>A15+A16</f>
        <v>3437</v>
      </c>
      <c r="B17" s="37"/>
      <c r="C17" s="20"/>
      <c r="D17" s="29">
        <f>SUM(D10:D16)</f>
        <v>18713.533750000002</v>
      </c>
      <c r="E17" s="48"/>
      <c r="F17" s="48"/>
      <c r="G17" s="54"/>
      <c r="H17" s="33">
        <f>+SUM(H12:H16)+(H7)</f>
        <v>28098.390433500001</v>
      </c>
      <c r="I17" s="33"/>
      <c r="J17" s="20"/>
      <c r="K17" s="199"/>
      <c r="L17" s="199"/>
      <c r="M17" s="199"/>
      <c r="N17" s="198"/>
      <c r="O17" s="147">
        <f>IF(B11="FO Ceramic+ Intr&amp;Extr CeramicGold WdwTnt",2700,IF(B11="FO Mirror Camera Sensor",2000))</f>
        <v>2700</v>
      </c>
      <c r="T17" s="1">
        <f>19615-791</f>
        <v>18824</v>
      </c>
    </row>
    <row r="18" spans="1:23" ht="24.6" x14ac:dyDescent="0.4">
      <c r="A18" s="12" t="s">
        <v>29</v>
      </c>
      <c r="B18" s="55" t="s">
        <v>30</v>
      </c>
      <c r="C18" s="197"/>
      <c r="D18" s="57">
        <v>0</v>
      </c>
      <c r="E18" s="38"/>
      <c r="F18" s="20"/>
      <c r="G18" s="20"/>
      <c r="H18" s="37"/>
      <c r="I18" s="37"/>
      <c r="J18" s="37"/>
      <c r="K18" s="37"/>
      <c r="L18" s="37"/>
      <c r="M18" s="37"/>
      <c r="N18" s="37"/>
      <c r="O18" s="9" t="b">
        <f>IF(M21="5000-99999",1.99%)</f>
        <v>0</v>
      </c>
      <c r="U18" s="196" t="s">
        <v>52</v>
      </c>
      <c r="V18" s="196" t="s">
        <v>52</v>
      </c>
    </row>
    <row r="19" spans="1:23" ht="24.6" x14ac:dyDescent="0.4">
      <c r="A19" s="11">
        <f>B8*3.15%</f>
        <v>3335.85</v>
      </c>
      <c r="B19" s="58" t="s">
        <v>31</v>
      </c>
      <c r="C19" s="59"/>
      <c r="D19" s="60">
        <f>IF(K21="DIB EXPAT",O13,IF(K21="DIB LOCAL GVH",U13,IF(K21="Emirates NBD",O14,IF(K21="ADCB",O15,IF(K21="ADCB PAY IN 2027",O19,IF(K21="Ajman Bank",O18,IF(K21="SIB STL",Z13,IF(K21="SIB NON STL",AA13,))))))))</f>
        <v>3.8900000000000004E-2</v>
      </c>
      <c r="E19" s="20"/>
      <c r="F19" s="195"/>
      <c r="G19" s="141" t="s">
        <v>73</v>
      </c>
      <c r="H19" s="142"/>
      <c r="I19" s="143"/>
      <c r="J19" s="109">
        <f>(U19*20/100)/365</f>
        <v>67.027397260273972</v>
      </c>
      <c r="K19" s="37"/>
      <c r="L19" s="37"/>
      <c r="M19" s="37"/>
      <c r="N19" s="34">
        <f>D7</f>
        <v>111195</v>
      </c>
      <c r="O19" s="194" t="b">
        <f>IF(M21="5000-11999",3.35%,IF(M21="12000-19999",3.35%,IF(M21="20000-39999",2.85%,IF(M21="40000-69999",2.85%,IF(M21="70000-99999",2.85%)))))</f>
        <v>0</v>
      </c>
      <c r="P19" s="2">
        <f>81400-2500</f>
        <v>78900</v>
      </c>
      <c r="U19" s="193">
        <f>V19</f>
        <v>122325</v>
      </c>
      <c r="V19" s="192">
        <f>(B7+D10+D11+D12+D13+D16)*1.05</f>
        <v>122325</v>
      </c>
    </row>
    <row r="20" spans="1:23" ht="24.6" x14ac:dyDescent="0.4">
      <c r="A20" s="11"/>
      <c r="B20" s="58" t="s">
        <v>32</v>
      </c>
      <c r="C20" s="59"/>
      <c r="D20" s="63">
        <v>0.2</v>
      </c>
      <c r="E20" s="37"/>
      <c r="F20" s="37"/>
      <c r="G20" s="38"/>
      <c r="H20" s="38"/>
      <c r="I20" s="38"/>
      <c r="J20" s="103"/>
      <c r="K20" s="104" t="s">
        <v>33</v>
      </c>
      <c r="L20" s="104" t="s">
        <v>17</v>
      </c>
      <c r="M20" s="104">
        <f>IF(L20="YES",O12,IF(L20="NO",0))</f>
        <v>0</v>
      </c>
      <c r="N20" s="34">
        <f>B8-M20</f>
        <v>105900</v>
      </c>
      <c r="O20" s="187"/>
      <c r="P20" s="191"/>
      <c r="T20" s="1">
        <f>1992+1084</f>
        <v>3076</v>
      </c>
      <c r="U20" s="186"/>
      <c r="V20" s="2"/>
    </row>
    <row r="21" spans="1:23" ht="24.6" x14ac:dyDescent="0.4">
      <c r="A21" s="13">
        <f>A19+A20</f>
        <v>3335.85</v>
      </c>
      <c r="B21" s="37"/>
      <c r="C21" s="20"/>
      <c r="D21" s="37"/>
      <c r="E21" s="37"/>
      <c r="F21" s="37"/>
      <c r="G21" s="37"/>
      <c r="H21" s="37"/>
      <c r="I21" s="37"/>
      <c r="J21" s="190" t="s">
        <v>34</v>
      </c>
      <c r="K21" s="16" t="s">
        <v>139</v>
      </c>
      <c r="L21" s="16" t="s">
        <v>35</v>
      </c>
      <c r="M21" s="189" t="s">
        <v>80</v>
      </c>
      <c r="N21" s="188"/>
      <c r="O21" s="187"/>
      <c r="T21" s="1">
        <f>25973-12973</f>
        <v>13000</v>
      </c>
      <c r="U21" s="186">
        <f>M14+N7</f>
        <v>3301.3992892124998</v>
      </c>
    </row>
    <row r="22" spans="1:23" s="179" customFormat="1" ht="24.6" x14ac:dyDescent="0.4">
      <c r="A22" s="185"/>
      <c r="B22" s="184" t="s">
        <v>51</v>
      </c>
      <c r="C22" s="183"/>
      <c r="D22" s="183"/>
      <c r="E22" s="183"/>
      <c r="F22" s="183"/>
      <c r="G22" s="183"/>
      <c r="H22" s="183"/>
      <c r="I22" s="183"/>
      <c r="J22" s="183"/>
      <c r="K22" s="183"/>
      <c r="L22" s="183"/>
      <c r="M22" s="183"/>
      <c r="N22" s="182"/>
      <c r="O22" s="181"/>
      <c r="P22" s="180"/>
    </row>
    <row r="23" spans="1:23" s="168" customFormat="1" ht="26.4" x14ac:dyDescent="0.5">
      <c r="A23" s="175" t="s">
        <v>36</v>
      </c>
      <c r="B23" s="172" t="s">
        <v>138</v>
      </c>
      <c r="C23" s="169"/>
      <c r="D23" s="169"/>
      <c r="E23" s="169"/>
      <c r="F23" s="169"/>
      <c r="G23" s="169"/>
      <c r="H23" s="176"/>
      <c r="I23" s="176"/>
      <c r="J23" s="169"/>
      <c r="K23" s="169"/>
      <c r="L23" s="169"/>
      <c r="M23" s="169"/>
      <c r="N23" s="178"/>
      <c r="O23" s="170"/>
      <c r="P23" s="169"/>
    </row>
    <row r="24" spans="1:23" s="168" customFormat="1" ht="26.4" x14ac:dyDescent="0.5">
      <c r="A24" s="175" t="s">
        <v>36</v>
      </c>
      <c r="B24" s="172" t="s">
        <v>137</v>
      </c>
      <c r="C24" s="169"/>
      <c r="D24" s="169"/>
      <c r="E24" s="169"/>
      <c r="F24" s="169"/>
      <c r="G24" s="169"/>
      <c r="H24" s="177">
        <f>H7/365</f>
        <v>71.473169178082202</v>
      </c>
      <c r="I24" s="177">
        <f>H7+H12+H16</f>
        <v>27783.390433500001</v>
      </c>
      <c r="J24" s="169"/>
      <c r="K24" s="169"/>
      <c r="L24" s="169"/>
      <c r="M24" s="169"/>
      <c r="N24" s="173"/>
      <c r="O24" s="170"/>
      <c r="P24" s="169">
        <f>1232+480</f>
        <v>1712</v>
      </c>
      <c r="T24" s="168">
        <f>88704/1.05</f>
        <v>84480</v>
      </c>
    </row>
    <row r="25" spans="1:23" s="168" customFormat="1" ht="26.4" x14ac:dyDescent="0.5">
      <c r="A25" s="175" t="s">
        <v>36</v>
      </c>
      <c r="B25" s="172" t="s">
        <v>136</v>
      </c>
      <c r="C25" s="169"/>
      <c r="D25" s="169"/>
      <c r="E25" s="169"/>
      <c r="F25" s="169"/>
      <c r="G25" s="169"/>
      <c r="H25" s="176"/>
      <c r="I25" s="176"/>
      <c r="J25" s="169"/>
      <c r="K25" s="169"/>
      <c r="L25" s="169"/>
      <c r="M25" s="169"/>
      <c r="N25" s="173"/>
      <c r="O25" s="170"/>
      <c r="P25" s="169"/>
      <c r="Q25" s="168">
        <f>79400-5233.33</f>
        <v>74166.67</v>
      </c>
      <c r="R25" s="168">
        <f>Q25*1.05</f>
        <v>77875.003500000006</v>
      </c>
      <c r="W25" s="168">
        <f>1999+1224</f>
        <v>3223</v>
      </c>
    </row>
    <row r="26" spans="1:23" s="168" customFormat="1" ht="26.4" x14ac:dyDescent="0.5">
      <c r="A26" s="175" t="s">
        <v>36</v>
      </c>
      <c r="B26" s="172" t="s">
        <v>135</v>
      </c>
      <c r="C26" s="169"/>
      <c r="D26" s="169"/>
      <c r="E26" s="169"/>
      <c r="F26" s="169"/>
      <c r="G26" s="169"/>
      <c r="H26" s="169"/>
      <c r="I26" s="169"/>
      <c r="J26" s="169"/>
      <c r="K26" s="169"/>
      <c r="L26" s="169"/>
      <c r="M26" s="169"/>
      <c r="N26" s="173"/>
      <c r="O26" s="170" t="s">
        <v>37</v>
      </c>
      <c r="P26" s="169"/>
      <c r="R26" s="168">
        <f>R25+2469</f>
        <v>80344.003500000006</v>
      </c>
    </row>
    <row r="27" spans="1:23" s="168" customFormat="1" ht="26.4" x14ac:dyDescent="0.5">
      <c r="A27" s="175" t="s">
        <v>36</v>
      </c>
      <c r="B27" s="172" t="s">
        <v>134</v>
      </c>
      <c r="C27" s="169"/>
      <c r="D27" s="169"/>
      <c r="E27" s="169"/>
      <c r="F27" s="169"/>
      <c r="G27" s="169"/>
      <c r="H27" s="169"/>
      <c r="I27" s="169"/>
      <c r="J27" s="169"/>
      <c r="K27" s="169"/>
      <c r="L27" s="169"/>
      <c r="M27" s="169"/>
      <c r="N27" s="173"/>
      <c r="O27" s="170">
        <f>129500-110900</f>
        <v>18600</v>
      </c>
      <c r="P27" s="169"/>
      <c r="W27" s="174">
        <f>N7+L14</f>
        <v>4365.5603270562497</v>
      </c>
    </row>
    <row r="28" spans="1:23" s="168" customFormat="1" ht="26.4" x14ac:dyDescent="0.5">
      <c r="B28" s="172" t="s">
        <v>133</v>
      </c>
      <c r="C28" s="169"/>
      <c r="D28" s="169"/>
      <c r="E28" s="169"/>
      <c r="F28" s="169"/>
      <c r="G28" s="169"/>
      <c r="H28" s="169"/>
      <c r="I28" s="169"/>
      <c r="J28" s="169"/>
      <c r="K28" s="169"/>
      <c r="L28" s="169"/>
      <c r="M28" s="169"/>
      <c r="N28" s="173"/>
      <c r="O28" s="170">
        <f>85000-69900</f>
        <v>15100</v>
      </c>
      <c r="P28" s="169"/>
    </row>
    <row r="29" spans="1:23" s="168" customFormat="1" ht="26.4" x14ac:dyDescent="0.5">
      <c r="B29" s="172" t="s">
        <v>132</v>
      </c>
      <c r="C29" s="169"/>
      <c r="D29" s="169"/>
      <c r="E29" s="169"/>
      <c r="F29" s="169"/>
      <c r="G29" s="169"/>
      <c r="H29" s="169"/>
      <c r="I29" s="169"/>
      <c r="J29" s="169"/>
      <c r="K29" s="169"/>
      <c r="L29" s="169"/>
      <c r="M29" s="169"/>
      <c r="N29" s="171"/>
      <c r="O29" s="170"/>
      <c r="P29" s="169"/>
    </row>
    <row r="30" spans="1:23" x14ac:dyDescent="0.3">
      <c r="B30" s="167" t="s">
        <v>38</v>
      </c>
      <c r="C30" s="166"/>
      <c r="D30" s="166"/>
      <c r="E30" s="166"/>
      <c r="F30" s="166"/>
      <c r="G30" s="166"/>
      <c r="H30" s="166"/>
      <c r="I30" s="166"/>
      <c r="J30" s="166"/>
      <c r="K30" s="166"/>
      <c r="L30" s="166"/>
      <c r="M30" s="166"/>
      <c r="N30" s="165"/>
      <c r="O30" s="147"/>
    </row>
    <row r="31" spans="1:23" x14ac:dyDescent="0.3">
      <c r="B31" s="146"/>
      <c r="C31" s="145"/>
      <c r="D31" s="145"/>
      <c r="E31" s="145"/>
      <c r="F31" s="145"/>
      <c r="G31" s="145"/>
      <c r="H31" s="145"/>
      <c r="I31" s="145"/>
      <c r="J31" s="145"/>
      <c r="K31" s="145"/>
      <c r="L31" s="145"/>
      <c r="M31" s="145"/>
      <c r="N31" s="144"/>
      <c r="O31" s="147"/>
    </row>
    <row r="32" spans="1:23" s="86" customFormat="1" ht="20.399999999999999" x14ac:dyDescent="0.35">
      <c r="B32" s="118" t="s">
        <v>39</v>
      </c>
      <c r="C32" s="119"/>
      <c r="D32" s="119"/>
      <c r="E32" s="119"/>
      <c r="F32" s="119"/>
      <c r="G32" s="119"/>
      <c r="H32" s="119"/>
      <c r="I32" s="119"/>
      <c r="J32" s="119"/>
      <c r="K32" s="119"/>
      <c r="L32" s="119"/>
      <c r="M32" s="119"/>
      <c r="N32" s="120"/>
      <c r="O32" s="92"/>
      <c r="P32" s="83"/>
    </row>
    <row r="33" spans="2:16" s="86" customFormat="1" ht="20.399999999999999" x14ac:dyDescent="0.35">
      <c r="B33" s="118" t="s">
        <v>40</v>
      </c>
      <c r="C33" s="119"/>
      <c r="D33" s="119"/>
      <c r="E33" s="119"/>
      <c r="F33" s="119"/>
      <c r="G33" s="119"/>
      <c r="H33" s="119"/>
      <c r="I33" s="119"/>
      <c r="J33" s="119"/>
      <c r="K33" s="119"/>
      <c r="L33" s="119"/>
      <c r="M33" s="119"/>
      <c r="N33" s="120"/>
      <c r="O33" s="92"/>
      <c r="P33" s="83"/>
    </row>
    <row r="34" spans="2:16" s="86" customFormat="1" ht="20.399999999999999" x14ac:dyDescent="0.35">
      <c r="B34" s="107" t="s">
        <v>131</v>
      </c>
      <c r="C34" s="108"/>
      <c r="D34" s="108"/>
      <c r="E34" s="108"/>
      <c r="F34" s="108"/>
      <c r="G34" s="164" t="s">
        <v>130</v>
      </c>
      <c r="H34" s="164"/>
      <c r="I34" s="163"/>
      <c r="J34" s="163"/>
      <c r="K34" s="163"/>
      <c r="L34" s="163"/>
      <c r="M34" s="162" t="s">
        <v>129</v>
      </c>
      <c r="N34" s="161"/>
      <c r="O34" s="83"/>
      <c r="P34" s="83"/>
    </row>
    <row r="35" spans="2:16" x14ac:dyDescent="0.3">
      <c r="B35" s="160"/>
      <c r="C35" s="159"/>
      <c r="D35" s="159"/>
      <c r="E35" s="159"/>
      <c r="F35" s="159"/>
      <c r="G35" s="159"/>
      <c r="H35" s="159"/>
      <c r="I35" s="159"/>
      <c r="J35" s="159"/>
      <c r="K35" s="159"/>
      <c r="L35" s="159"/>
      <c r="M35" s="159"/>
      <c r="N35" s="158"/>
    </row>
    <row r="36" spans="2:16" x14ac:dyDescent="0.3">
      <c r="B36" s="160"/>
      <c r="C36" s="159"/>
      <c r="D36" s="159"/>
      <c r="E36" s="159"/>
      <c r="F36" s="159"/>
      <c r="G36" s="159"/>
      <c r="H36" s="159"/>
      <c r="I36" s="159"/>
      <c r="J36" s="159"/>
      <c r="K36" s="159"/>
      <c r="L36" s="159"/>
      <c r="M36" s="159"/>
      <c r="N36" s="158"/>
    </row>
    <row r="37" spans="2:16" x14ac:dyDescent="0.3">
      <c r="B37" s="160"/>
      <c r="C37" s="159"/>
      <c r="D37" s="159"/>
      <c r="E37" s="159"/>
      <c r="F37" s="159"/>
      <c r="G37" s="159"/>
      <c r="H37" s="159"/>
      <c r="I37" s="159"/>
      <c r="J37" s="159"/>
      <c r="K37" s="159"/>
      <c r="L37" s="159"/>
      <c r="M37" s="159"/>
      <c r="N37" s="158"/>
    </row>
    <row r="38" spans="2:16" ht="16.8" x14ac:dyDescent="0.3">
      <c r="B38" s="149" t="s">
        <v>128</v>
      </c>
      <c r="C38" s="157"/>
      <c r="D38" s="154"/>
      <c r="E38" s="151"/>
      <c r="F38" s="151"/>
      <c r="G38" s="151"/>
      <c r="H38" s="151"/>
      <c r="I38" s="151"/>
      <c r="J38" s="152"/>
      <c r="K38" s="151"/>
      <c r="L38" s="151"/>
      <c r="M38" s="151"/>
      <c r="N38" s="156"/>
    </row>
    <row r="39" spans="2:16" ht="16.8" x14ac:dyDescent="0.3">
      <c r="B39" s="149" t="s">
        <v>127</v>
      </c>
      <c r="C39" s="155"/>
      <c r="D39" s="154"/>
      <c r="E39" s="151"/>
      <c r="F39" s="151"/>
      <c r="G39" s="151"/>
      <c r="H39" s="151"/>
      <c r="I39" s="151"/>
      <c r="J39" s="152"/>
      <c r="K39" s="151"/>
      <c r="L39" s="151"/>
      <c r="M39" s="151"/>
      <c r="N39" s="150"/>
    </row>
    <row r="40" spans="2:16" ht="16.8" x14ac:dyDescent="0.3">
      <c r="B40" s="149" t="s">
        <v>126</v>
      </c>
      <c r="C40" s="153"/>
      <c r="D40" s="151"/>
      <c r="E40" s="151"/>
      <c r="F40" s="151"/>
      <c r="G40" s="151"/>
      <c r="H40" s="151"/>
      <c r="I40" s="151"/>
      <c r="J40" s="152"/>
      <c r="K40" s="151"/>
      <c r="L40" s="151"/>
      <c r="M40" s="151"/>
      <c r="N40" s="150"/>
    </row>
    <row r="41" spans="2:16" ht="16.8" x14ac:dyDescent="0.3">
      <c r="B41" s="149" t="s">
        <v>125</v>
      </c>
      <c r="N41" s="148"/>
    </row>
    <row r="42" spans="2:16" ht="16.8" x14ac:dyDescent="0.3">
      <c r="B42" s="149" t="s">
        <v>124</v>
      </c>
      <c r="N42" s="148"/>
    </row>
    <row r="43" spans="2:16" ht="16.8" x14ac:dyDescent="0.3">
      <c r="B43" s="149" t="s">
        <v>123</v>
      </c>
      <c r="N43" s="148"/>
    </row>
    <row r="44" spans="2:16" ht="16.8" x14ac:dyDescent="0.3">
      <c r="B44" s="149" t="s">
        <v>122</v>
      </c>
      <c r="N44" s="148"/>
    </row>
    <row r="45" spans="2:16" ht="16.8" x14ac:dyDescent="0.3">
      <c r="B45" s="149" t="s">
        <v>121</v>
      </c>
      <c r="N45" s="148"/>
    </row>
    <row r="46" spans="2:16" ht="16.8" x14ac:dyDescent="0.3">
      <c r="B46" s="149" t="s">
        <v>120</v>
      </c>
      <c r="N46" s="148"/>
    </row>
    <row r="47" spans="2:16" x14ac:dyDescent="0.3">
      <c r="B47" s="146" t="s">
        <v>39</v>
      </c>
      <c r="C47" s="145"/>
      <c r="D47" s="145"/>
      <c r="E47" s="145"/>
      <c r="F47" s="145"/>
      <c r="G47" s="145"/>
      <c r="H47" s="145"/>
      <c r="I47" s="145"/>
      <c r="J47" s="145"/>
      <c r="K47" s="145"/>
      <c r="L47" s="145"/>
      <c r="M47" s="145"/>
      <c r="N47" s="144"/>
      <c r="O47" s="147"/>
    </row>
    <row r="48" spans="2:16" x14ac:dyDescent="0.3">
      <c r="B48" s="146" t="s">
        <v>40</v>
      </c>
      <c r="C48" s="145"/>
      <c r="D48" s="145"/>
      <c r="E48" s="145"/>
      <c r="F48" s="145"/>
      <c r="G48" s="145"/>
      <c r="H48" s="145"/>
      <c r="I48" s="145"/>
      <c r="J48" s="145"/>
      <c r="K48" s="145"/>
      <c r="L48" s="145"/>
      <c r="M48" s="145"/>
      <c r="N48" s="144"/>
      <c r="O48" s="147"/>
    </row>
    <row r="49" spans="2:14" x14ac:dyDescent="0.3">
      <c r="B49" s="146" t="s">
        <v>119</v>
      </c>
      <c r="C49" s="145"/>
      <c r="D49" s="145"/>
      <c r="E49" s="145"/>
      <c r="F49" s="145"/>
      <c r="G49" s="145"/>
      <c r="H49" s="145"/>
      <c r="I49" s="145"/>
      <c r="J49" s="145"/>
      <c r="K49" s="145"/>
      <c r="L49" s="145"/>
      <c r="M49" s="145"/>
      <c r="N49" s="144"/>
    </row>
    <row r="50" spans="2:14" ht="25.8" x14ac:dyDescent="0.3">
      <c r="C50" s="15" t="s">
        <v>41</v>
      </c>
    </row>
    <row r="51" spans="2:14" ht="25.8" x14ac:dyDescent="0.3">
      <c r="C51" s="15" t="s">
        <v>42</v>
      </c>
    </row>
    <row r="52" spans="2:14" ht="25.8" x14ac:dyDescent="0.3">
      <c r="C52" s="15" t="s">
        <v>43</v>
      </c>
    </row>
    <row r="53" spans="2:14" ht="25.8" x14ac:dyDescent="0.3">
      <c r="C53" s="15" t="s">
        <v>44</v>
      </c>
    </row>
    <row r="54" spans="2:14" ht="25.8" x14ac:dyDescent="0.3">
      <c r="C54" s="15" t="s">
        <v>45</v>
      </c>
    </row>
  </sheetData>
  <dataConsolidate/>
  <mergeCells count="11">
    <mergeCell ref="F8:G8"/>
    <mergeCell ref="F9:G9"/>
    <mergeCell ref="G19:I19"/>
    <mergeCell ref="B22:N22"/>
    <mergeCell ref="B30:N30"/>
    <mergeCell ref="B32:N32"/>
    <mergeCell ref="B33:N33"/>
    <mergeCell ref="B47:N47"/>
    <mergeCell ref="B48:N48"/>
    <mergeCell ref="B49:N49"/>
    <mergeCell ref="B31:N31"/>
  </mergeCells>
  <dataValidations count="11">
    <dataValidation type="list" allowBlank="1" showInputMessage="1" showErrorMessage="1" sqref="H34" xr:uid="{765C303C-B054-42B9-A408-78CD8B1C2BFC}">
      <formula1>"ALAA HAMMAD,KHALED QASSEM,RAMY RAOUF,SIMON LOBO,MHAREN CLEMENTE GARADO"</formula1>
    </dataValidation>
    <dataValidation type="list" allowBlank="1" showInputMessage="1" showErrorMessage="1" sqref="M34" xr:uid="{F367F94F-6289-4669-929F-7AB91D05F4F0}">
      <formula1>"Alaa Hammad,Bachir Ibrahim Mourad,Khaled Qassem,Ramy Raoof,Simon Lobo,Mharen Clemente Garado,Ranjith"</formula1>
    </dataValidation>
    <dataValidation type="list" allowBlank="1" showInputMessage="1" showErrorMessage="1" sqref="B11" xr:uid="{96D61CB5-F9E0-4A78-B7F1-54B84A9F1299}">
      <formula1>"FO Ceramic+ Intr&amp;Extr CeramicGold WdwTnt,FO Mirror Camera Sensor"</formula1>
    </dataValidation>
    <dataValidation type="list" allowBlank="1" showInputMessage="1" showErrorMessage="1" sqref="B12" xr:uid="{9E67D8EA-39B8-444D-867B-9DEC6035434E}">
      <formula1>"FO Exterior ceramic All Cars SCOTCHGUARD,FO Mirror Camera Sensor,FO PPF Gold Package "</formula1>
    </dataValidation>
    <dataValidation type="list" allowBlank="1" showInputMessage="1" showErrorMessage="1" sqref="K20" xr:uid="{B0869AA7-5D74-4D0D-8DEE-3FBB999558E5}">
      <formula1>"Esaad,Emirates Platinum,Fazaa,Humat Alwatan,Permissible,ASX,XPMLP,XP,MON,MON G57,OUT,F08,P08,F06,P06,F03,F03-1,P03,EC,G37,G38,G40,G43"</formula1>
    </dataValidation>
    <dataValidation type="list" allowBlank="1" showInputMessage="1" showErrorMessage="1" sqref="B16" xr:uid="{D0EA97C6-9AB5-4D4E-88BA-668885E8DE3A}">
      <formula1>"RMC-10-40KMS,RMC-10-60KMS,RMC-10-70KMS,RMC-10-100000KMS,RMC-40-70KMS,RMC-40-100000KMS"</formula1>
    </dataValidation>
    <dataValidation type="list" allowBlank="1" showInputMessage="1" showErrorMessage="1" sqref="K24" xr:uid="{1036CE5F-79C9-48B8-A7F6-996EB5EF3525}">
      <formula1>"RMC-10-70K,RMC-10-100000K,RMC-40-70K"</formula1>
    </dataValidation>
    <dataValidation type="list" allowBlank="1" showInputMessage="1" showErrorMessage="1" sqref="D5" xr:uid="{FB6C8F84-0B12-4624-BD0F-B3DE60C45059}">
      <formula1>"MIG09,MIG10,H16,P16,H17,H48,H43,H40,H42,H44,H45,H38,H37,EH40,EH43,ML,HL,PR, MLP,HLP,PRP,XPML,XPHL,XPMLP, XPMLP-01,XC, G10,P10, G03, P03, G06,P06,G12,P12,G05,P05,G08,P08,G09,P09,H57,P57,H64,H59,P59,H61,P61"</formula1>
    </dataValidation>
    <dataValidation type="list" allowBlank="1" showInputMessage="1" showErrorMessage="1" sqref="M21" xr:uid="{452016C0-129C-437E-BB38-690F881A11FA}">
      <formula1>"3000-4999,5000-9999,5000-99999,10000-14999,15000-24999,25000-34999,35000-99999,5000-11999,12000-19999,20000-39999,40000-69999,70000-99999"</formula1>
    </dataValidation>
    <dataValidation type="list" allowBlank="1" showInputMessage="1" showErrorMessage="1" sqref="C10:C16 L20 L24:L25 G14:G15 J10" xr:uid="{93096AA6-DF5A-4A1E-A0EA-5D3D646776D6}">
      <formula1>"YES,NO"</formula1>
    </dataValidation>
    <dataValidation type="list" allowBlank="1" showInputMessage="1" showErrorMessage="1" sqref="K21" xr:uid="{FD71CCC2-FFCF-4DAD-B243-07B9F24D6AF2}">
      <formula1>"ADCB,ADCB PAY IN 2027,Ajman Bank,ADIB,DIB EXPAT,DIB LOCAL GVH,Emirates NBD,EIB,FAB,RAK,SIB STL,SIB NON STL"</formula1>
    </dataValidation>
  </dataValidations>
  <pageMargins left="0.23622047244094491" right="0.23622047244094491" top="0.74803149606299213" bottom="0.74803149606299213" header="0.31496062992125984" footer="0.31496062992125984"/>
  <pageSetup paperSize="9" scale="40" orientation="landscape" horizontalDpi="4294967295" verticalDpi="4294967295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D8AF28-456E-468A-B680-A423E5B1BAE3}">
  <sheetPr>
    <pageSetUpPr fitToPage="1"/>
  </sheetPr>
  <dimension ref="A1:AA54"/>
  <sheetViews>
    <sheetView topLeftCell="B1" zoomScaleNormal="100" workbookViewId="0">
      <selection activeCell="D5" sqref="D5"/>
    </sheetView>
  </sheetViews>
  <sheetFormatPr defaultColWidth="9.109375" defaultRowHeight="15.6" x14ac:dyDescent="0.3"/>
  <cols>
    <col min="1" max="1" width="16" style="1" hidden="1" customWidth="1"/>
    <col min="2" max="2" width="75.109375" style="2" customWidth="1"/>
    <col min="3" max="3" width="26.88671875" style="3" customWidth="1"/>
    <col min="4" max="4" width="23.88671875" style="2" customWidth="1"/>
    <col min="5" max="5" width="23.33203125" style="2" customWidth="1"/>
    <col min="6" max="6" width="19.88671875" style="2" customWidth="1"/>
    <col min="7" max="7" width="23.33203125" style="2" customWidth="1"/>
    <col min="8" max="8" width="24.44140625" style="2" customWidth="1"/>
    <col min="9" max="9" width="27.109375" style="2" customWidth="1"/>
    <col min="10" max="10" width="26.6640625" style="2" customWidth="1"/>
    <col min="11" max="11" width="25.44140625" style="2" customWidth="1"/>
    <col min="12" max="12" width="20.5546875" style="2" customWidth="1"/>
    <col min="13" max="13" width="20.109375" style="2" customWidth="1"/>
    <col min="14" max="14" width="19.5546875" style="2" customWidth="1"/>
    <col min="15" max="15" width="15.109375" style="2" bestFit="1" customWidth="1"/>
    <col min="16" max="16" width="12.6640625" style="2" hidden="1" customWidth="1"/>
    <col min="17" max="17" width="12.6640625" style="1" hidden="1" customWidth="1"/>
    <col min="18" max="18" width="15.6640625" style="1" hidden="1" customWidth="1"/>
    <col min="19" max="19" width="13" style="1" hidden="1" customWidth="1"/>
    <col min="20" max="20" width="17.109375" style="1" hidden="1" customWidth="1"/>
    <col min="21" max="21" width="14.5546875" style="1" bestFit="1" customWidth="1"/>
    <col min="22" max="22" width="19" style="1" customWidth="1"/>
    <col min="23" max="23" width="22.5546875" style="1" bestFit="1" customWidth="1"/>
    <col min="24" max="25" width="9.109375" style="1"/>
    <col min="26" max="26" width="14" style="1" bestFit="1" customWidth="1"/>
    <col min="27" max="27" width="22.33203125" style="1" bestFit="1" customWidth="1"/>
    <col min="28" max="16384" width="9.109375" style="1"/>
  </cols>
  <sheetData>
    <row r="1" spans="1:27" ht="15.75" customHeight="1" x14ac:dyDescent="0.3">
      <c r="B1" s="222" t="s">
        <v>148</v>
      </c>
      <c r="C1" s="221"/>
      <c r="D1" s="221"/>
      <c r="E1" s="221"/>
      <c r="F1" s="221"/>
      <c r="G1" s="221"/>
      <c r="H1" s="221"/>
      <c r="I1" s="221"/>
      <c r="J1" s="221"/>
      <c r="K1" s="221"/>
      <c r="L1" s="221"/>
      <c r="M1" s="221"/>
      <c r="N1" s="220"/>
    </row>
    <row r="2" spans="1:27" ht="15.75" customHeight="1" x14ac:dyDescent="0.3">
      <c r="B2" s="219" t="s">
        <v>147</v>
      </c>
      <c r="C2" s="218"/>
      <c r="D2" s="218"/>
      <c r="E2" s="218"/>
      <c r="F2" s="218"/>
      <c r="G2" s="218"/>
      <c r="H2" s="218"/>
      <c r="I2" s="218"/>
      <c r="J2" s="218"/>
      <c r="K2" s="218"/>
      <c r="L2" s="218"/>
      <c r="M2" s="218"/>
      <c r="N2" s="217"/>
      <c r="Q2" s="2"/>
      <c r="S2" s="186"/>
    </row>
    <row r="3" spans="1:27" ht="15.75" customHeight="1" x14ac:dyDescent="0.3">
      <c r="B3" s="219" t="s">
        <v>146</v>
      </c>
      <c r="C3" s="218"/>
      <c r="D3" s="218"/>
      <c r="E3" s="218"/>
      <c r="F3" s="218"/>
      <c r="G3" s="218"/>
      <c r="H3" s="218"/>
      <c r="I3" s="218"/>
      <c r="J3" s="218"/>
      <c r="K3" s="218"/>
      <c r="L3" s="218"/>
      <c r="M3" s="218"/>
      <c r="N3" s="217"/>
      <c r="O3" s="3"/>
      <c r="P3" s="3"/>
      <c r="Q3" s="153"/>
      <c r="R3" s="153"/>
      <c r="S3" s="216" t="e">
        <f>N7+J14</f>
        <v>#VALUE!</v>
      </c>
      <c r="T3" s="216"/>
      <c r="U3" s="153"/>
      <c r="V3" s="153"/>
      <c r="W3" s="153"/>
      <c r="AA3" s="1">
        <f>273000/5</f>
        <v>54600</v>
      </c>
    </row>
    <row r="4" spans="1:27" ht="15.75" customHeight="1" x14ac:dyDescent="0.3">
      <c r="B4" s="215"/>
      <c r="C4" s="214"/>
      <c r="D4" s="214"/>
      <c r="E4" s="214"/>
      <c r="F4" s="214"/>
      <c r="G4" s="214"/>
      <c r="H4" s="214"/>
      <c r="I4" s="214"/>
      <c r="J4" s="214"/>
      <c r="K4" s="214"/>
      <c r="L4" s="214"/>
      <c r="M4" s="214"/>
      <c r="N4" s="213"/>
      <c r="O4" s="212" t="s">
        <v>0</v>
      </c>
      <c r="P4" s="212"/>
      <c r="Q4" s="210"/>
      <c r="R4" s="210"/>
      <c r="S4" s="211"/>
      <c r="T4" s="211"/>
      <c r="U4" s="210" t="s">
        <v>1</v>
      </c>
      <c r="V4" s="210" t="s">
        <v>2</v>
      </c>
      <c r="W4" s="210" t="s">
        <v>3</v>
      </c>
    </row>
    <row r="5" spans="1:27" ht="25.2" thickBot="1" x14ac:dyDescent="0.45">
      <c r="B5" s="17"/>
      <c r="C5" s="18" t="str">
        <f>IF(D5="MIG09","Mirage G09",IF(D5="MIG10","MirageG10",IF(D5="H16","Attrage H16",IF(D5="P16","Attrage P16",IF(D5="H17","Attrage H17",IF(D5="H48","ASX H48",IF(D5="H43","ASX H43",IF(D5="H40","ASX H40",IF(D5="H42","ASX H42",IF(D5="H44","ASX H44",IF(D5="H45","ASX H45",IF(D5="H38","Eclipse H38",IF(D5="H37","Eclipse H37",IF(D5="EH40","Eclipse H40",IF(D5="EH43","Eclipse H43",IF(D5="XPML","Xpander ML",IF(D5="ML","Destinator ML",IF(D5="HL","Destinator HL",IF(D5="PR","Destinator PR",IF(D5="MLP","Destinator MLP",IF(D5="HLP","Destinator HLP",IF(D5="PRP","Destinator PRP",IF(D5="XPHL","Xpander HL",IF(D5="XPMLP","Xpander ML P",IF(D5="XPMLP-01","Xpander ML P-01",IF(D5="XC","Xpander Cross",IF(D5="G03","Outlander G03",IF(D5="P03","Outlander P03",IF(D5="G06","Outlander G06",IF(D5="P06","Outlander P06",IF(D5="OTP06-01","Outlander P06-01",IF(D5="G08","Outlander G08",IF(D5="P08","Outlander P08",IF(D5="H57","Montero H57",IF(D5="P57","Montero P57",IF(D5="H64","Montero G64",IF(D5="H59","Montero G59",IF(D5="P59","Montero G59 P",IF(D5="H61","Montero G61",IF(D5="P61","Montero P61",IF(D5="G10","Outlander G10",IF(D5="P10","Outlander P10",IF(D5="G12","Outlander G12",IF(D5="P12","Outlander P12",IF(D5="G05","Outlander G05",IF(D5="P05","Outlander P05",IF(D5="G09","Outlander G09",IF(D5="P09","Outlander P09",))))))))))))))))))))))))))))))))))))))))))))))))</f>
        <v>Outlander P08</v>
      </c>
      <c r="D5" s="19" t="s">
        <v>159</v>
      </c>
      <c r="E5" s="20" t="s">
        <v>145</v>
      </c>
      <c r="F5" s="37"/>
      <c r="G5" s="37"/>
      <c r="H5" s="37"/>
      <c r="I5" s="20"/>
      <c r="J5" s="34"/>
      <c r="K5" s="209">
        <v>0</v>
      </c>
      <c r="L5" s="208">
        <v>3.39E-2</v>
      </c>
      <c r="M5" s="208">
        <v>6.7799999999999999E-2</v>
      </c>
      <c r="N5" s="208">
        <v>0.1017</v>
      </c>
      <c r="O5" s="147">
        <f>K7+K14</f>
        <v>16603.1491262175</v>
      </c>
      <c r="S5" s="186"/>
      <c r="U5" s="186">
        <f>L7+L14</f>
        <v>6854.8633159518758</v>
      </c>
      <c r="V5" s="186">
        <f>M7+M14</f>
        <v>4635.4818520237495</v>
      </c>
      <c r="W5" s="186">
        <f>N7+N14</f>
        <v>3258.539290951875</v>
      </c>
    </row>
    <row r="6" spans="1:27" s="5" customFormat="1" ht="99" thickBot="1" x14ac:dyDescent="0.35">
      <c r="A6" s="4" t="s">
        <v>4</v>
      </c>
      <c r="B6" s="26" t="s">
        <v>5</v>
      </c>
      <c r="C6" s="27" t="s">
        <v>6</v>
      </c>
      <c r="D6" s="27" t="s">
        <v>144</v>
      </c>
      <c r="E6" s="27" t="s">
        <v>7</v>
      </c>
      <c r="F6" s="27" t="s">
        <v>8</v>
      </c>
      <c r="G6" s="28" t="s">
        <v>9</v>
      </c>
      <c r="H6" s="28" t="s">
        <v>143</v>
      </c>
      <c r="I6" s="28" t="s">
        <v>10</v>
      </c>
      <c r="J6" s="28" t="s">
        <v>142</v>
      </c>
      <c r="K6" s="28" t="s">
        <v>11</v>
      </c>
      <c r="L6" s="28" t="s">
        <v>12</v>
      </c>
      <c r="M6" s="28" t="s">
        <v>13</v>
      </c>
      <c r="N6" s="28" t="s">
        <v>14</v>
      </c>
      <c r="O6" s="207"/>
      <c r="P6" s="206"/>
      <c r="T6" s="205"/>
      <c r="U6" s="205">
        <f>N7+L14</f>
        <v>5416.3337059518753</v>
      </c>
      <c r="V6" s="205">
        <f>N7+K14</f>
        <v>13366.4575037175</v>
      </c>
      <c r="W6" s="205" t="e">
        <f>N7+J14</f>
        <v>#VALUE!</v>
      </c>
    </row>
    <row r="7" spans="1:27" ht="25.2" thickBot="1" x14ac:dyDescent="0.45">
      <c r="A7" s="6">
        <f>B8</f>
        <v>132900</v>
      </c>
      <c r="B7" s="29">
        <f>IF(L20="YES",C8*1,IF(L20="NO",B8*1))</f>
        <v>132900</v>
      </c>
      <c r="C7" s="29">
        <f>B7*5/100</f>
        <v>6645</v>
      </c>
      <c r="D7" s="203">
        <f>B7+C7</f>
        <v>139545</v>
      </c>
      <c r="E7" s="29">
        <f>D17</f>
        <v>21719.581125000001</v>
      </c>
      <c r="F7" s="29">
        <f>(C7)+(D10+D11+D12+D13+D16)*5/100</f>
        <v>7215</v>
      </c>
      <c r="G7" s="30">
        <f>B7+E7+F7</f>
        <v>161834.581125</v>
      </c>
      <c r="H7" s="29">
        <f>G7*D20</f>
        <v>32366.916225000001</v>
      </c>
      <c r="I7" s="30">
        <f>(G7-H7)</f>
        <v>129467.6649</v>
      </c>
      <c r="J7" s="30">
        <f>(((I7*D19)*1)+I7)/12</f>
        <v>11208.6630887175</v>
      </c>
      <c r="K7" s="30">
        <f>(((I7*D19)*2)+I7)/24</f>
        <v>5814.1770512174999</v>
      </c>
      <c r="L7" s="30">
        <f>(((I7*D19)*3)+I7)/36</f>
        <v>4016.0150387174999</v>
      </c>
      <c r="M7" s="30">
        <f>(((I7*D19)*4)+I7)/48</f>
        <v>3116.9340324674999</v>
      </c>
      <c r="N7" s="30">
        <f>((((I7*D19)*5)+I7)/60)</f>
        <v>2577.4854287174999</v>
      </c>
      <c r="O7" s="147"/>
      <c r="P7" s="2">
        <f>H7+H16</f>
        <v>33726.326706450003</v>
      </c>
      <c r="T7" s="186">
        <f>25973/2</f>
        <v>12986.5</v>
      </c>
    </row>
    <row r="8" spans="1:27" ht="24.6" x14ac:dyDescent="0.4">
      <c r="A8" s="7">
        <v>0.2</v>
      </c>
      <c r="B8" s="31">
        <f>IF(D5="MIG09",39900,IF(D5="MIG10",41900,IF(D5="H16",41900,IF(D5="P16",47400,IF(D5="H17",47900,IF(D5="H48",67900,IF(D5="H43",70900,IF(D5="H40",72900,IF(D5="H42",74900,IF(D5="H44",73900,IF(D5="H45",79900,IF(D5="H38",86900,IF(D5="H37",79900,IF(D5="EH40",99900,IF(D5="EH43",106900,IF(D5="ML",71900,IF(D5="HL",83900,IF(D5="PR",95900,IF(D5="MLP",80900,IF(D5="HLP",91900,IF(D5="PRP",102900,IF(D5="XPML",69900,IF(D5="XPHL",71000,IF(D5="XPMLP",75900,IF(D5="XPMLP-01",77800,IF(D5="XC",84900,IF(D5="G10",81900,IF(D5="P10",93900,IF(D5="G12",97900,IF(D5="P12",105900,IF(D5="G05",104900,IF(D5="P05",105900,IF(D5="G03",92900,IF(D5="P03",100900,IF(D5="G06",109900,IF(D5="P06",114900,IF(D5="OTP06-01",118900,IF(D5="G08",125900,IF(D5="P08",132900,IF(D5="OTP06-01",109900,IF(D5="G09",129900,IF(D5="P09",134900,IF(D5="H57",105900,IF(D5="P57",113900,IF(D5="H64",116900,IF(D5="H59",127900,IF(D5="P59",134900,IF(D5="H61",134900,IF(D5="P61",138900)))))))))))))))))))))))))))))))))))))))))))))))))</f>
        <v>132900</v>
      </c>
      <c r="C8" s="32">
        <f>IF(L20="YES",N20,IF(L20="NO",N20))</f>
        <v>132900</v>
      </c>
      <c r="D8" s="29">
        <v>0</v>
      </c>
      <c r="E8" s="33"/>
      <c r="F8" s="139"/>
      <c r="G8" s="140"/>
      <c r="H8" s="110">
        <f>G7*20/100</f>
        <v>32366.916225000001</v>
      </c>
      <c r="I8" s="34"/>
      <c r="J8" s="34" t="s">
        <v>15</v>
      </c>
      <c r="K8" s="34">
        <f>(I7*K5+I7)/24</f>
        <v>5394.4860374999998</v>
      </c>
      <c r="L8" s="34">
        <f>(I7*L5+I7)/36</f>
        <v>3718.2394094475003</v>
      </c>
      <c r="M8" s="34">
        <f>(I7*M5+I7)/48</f>
        <v>2880.1160954212501</v>
      </c>
      <c r="N8" s="34">
        <f>(I7*N5+I7)/60</f>
        <v>2377.2421070054997</v>
      </c>
      <c r="O8" s="147">
        <v>0</v>
      </c>
      <c r="P8" s="2">
        <f>P7/12</f>
        <v>2810.5272255375003</v>
      </c>
      <c r="T8" s="1">
        <f>25973-12973</f>
        <v>13000</v>
      </c>
    </row>
    <row r="9" spans="1:27" ht="24.6" x14ac:dyDescent="0.4">
      <c r="A9" s="8">
        <f>B8/(100%-A8)</f>
        <v>166125</v>
      </c>
      <c r="B9" s="109">
        <f>B7-B8</f>
        <v>0</v>
      </c>
      <c r="C9" s="109"/>
      <c r="D9" s="36"/>
      <c r="E9" s="33"/>
      <c r="F9" s="139"/>
      <c r="G9" s="140"/>
      <c r="H9" s="33"/>
      <c r="I9" s="37" t="s">
        <v>16</v>
      </c>
      <c r="J9" s="38">
        <f>(J7*12)-I7</f>
        <v>5036.2921646100003</v>
      </c>
      <c r="K9" s="38">
        <f>(K7*24)-I7</f>
        <v>10072.584329220001</v>
      </c>
      <c r="L9" s="38">
        <f>(L7*36)-I7</f>
        <v>15108.876493830001</v>
      </c>
      <c r="M9" s="38">
        <f>(M7*48)-I7</f>
        <v>20145.168658440001</v>
      </c>
      <c r="N9" s="38">
        <f>(N7*60)-I7</f>
        <v>25181.460823050002</v>
      </c>
      <c r="O9" s="147"/>
      <c r="T9" s="1">
        <f>T8/12</f>
        <v>1083.3333333333333</v>
      </c>
      <c r="Z9" s="1" t="s">
        <v>86</v>
      </c>
    </row>
    <row r="10" spans="1:27" ht="24.6" x14ac:dyDescent="0.4">
      <c r="A10" s="8"/>
      <c r="B10" s="37" t="s">
        <v>141</v>
      </c>
      <c r="C10" s="20" t="s">
        <v>17</v>
      </c>
      <c r="D10" s="36">
        <f>IF(C10="YES",700,IF(C10="NO",0))</f>
        <v>0</v>
      </c>
      <c r="E10" s="39"/>
      <c r="F10" s="40"/>
      <c r="G10" s="40"/>
      <c r="H10" s="33"/>
      <c r="I10" s="44" t="s">
        <v>85</v>
      </c>
      <c r="J10" s="117" t="s">
        <v>19</v>
      </c>
      <c r="K10" s="117">
        <f>IF(J10="YES",Z10,IF(J10="NO",0))</f>
        <v>1000</v>
      </c>
      <c r="L10" s="41">
        <f>(L8*36)-I7</f>
        <v>4388.9538401100144</v>
      </c>
      <c r="M10" s="41">
        <f>(M8*48)-I7</f>
        <v>8777.9076802199997</v>
      </c>
      <c r="N10" s="41">
        <f>(N8*60)-I7</f>
        <v>13166.861520329985</v>
      </c>
      <c r="O10" s="147">
        <f>IF(D5="XC",3690,IF(D5="XPML",3690,IF(D5="XPHL",3690,IF(D5="XPMLP",3690,IF(D5="XPMLP-01",3690,IF(D5="Xpander P",3690,IF(D5="ML",3690,IF(D5="HL",3690,IF(D5="PR",(U19*3/100+510)*1.05,IF(D5="MLP",3690,IF(D5="HLP",(U19*3/100+510)*1.05,IF(D5="PRP",(U19*3/100+510)*1.05,IF(D5="H57",(U19*2.75/100+510)*1.05,IF(D5="P57",(U19*2.75/100+510)*1.05,IF(D5="H64",(U19*2.75/100+510)*1.05,IF(D5="H59",(U19*2.75/100+510)*1.05,IF(D5="P59",(U19*2.75/100+510)*1.05,IF(D5="H61",(U19*2.75/100+510)*1.05,IF(D5="P61",(U19*2.75/100+510)*1.05,IF(D5="G03",(U19*3/100+510)*1.05,IF(D5="G10",(U19*3/100+510)*1.05,IF(D5="P10",(U19*3/100+510)*1.05,IF(D5="G12",(U19*3/100+510)*1.05,IF(D5="P12",(U19*3/100+510)*1.05,IF(D5="G05",(U19*3/100+510)*1.05,IF(D5="P05",(U19*3/100+510)*1.05,IF(D5="P03",(U19*3/100+510)*1.05,IF(D5="G06",(U19*3/100+510)*1.05,IF(D5="P06",(U19*3/100+510)*1.05,IF(D5="OTP06-01",(U19*3/100+510)*1.05,IF(D5="G08",(U19*3/100+510)*1.05,IF(D5="P08",(U19*3/100+510)*1.05,IF(D5="G09",(U19*3/100+510)*1.05,IF(D5="P09",(U19*3/100+510)*1.05,IF(D5="H38",3625,IF(D5="H37",3625,IF(D5="EH40",(U19*3/100+450)*1.05,IF(D5="EH43",(U19*3/100+450)*1.05,IF(D5="H48",3625,IF(D5="H43",3625,IF(D5="H40",3625,IF(D5="H42",3625,IF(D5="H44",3625,IF(D5="H45",3625,IF(D5="ASX HL 4WD",3625,IF(D5="H16",3625,IF(D5="H17",3625,IF(D5="P16",3625,IF(D5="Attrage S",3625,IF(D5="MIG09",3625,IF(D5="MIG10",3625,IF(D5="Xpander HL",3690))))))))))))))))))))))))))))))))))))))))))))))))))))</f>
        <v>5308.2224999999999</v>
      </c>
      <c r="P10" s="204"/>
      <c r="Q10" s="204">
        <f>5.25*3</f>
        <v>15.75</v>
      </c>
      <c r="Z10" s="1">
        <f>IF(D5="MIG09",1000,IF(D5="MIG10",1000,IF(D5="H16",1000,IF(D5="P16",1000,IF(D5="H17",1000,IF(D5="H48",1000,IF(D5="H43",1000,IF(D5="H40",1000,IF(D5="H42",1000,IF(D5="H44",1000,IF(D5="H45",1000,IF(D5="H38",1000,IF(D5="H37",1000,IF(D5="EH40",1000,IF(D5="EH43",1000,IF(D5="ML",1000,IF(D5="HL",1000,IF(D5="PR",1000,IF(D5="MLP",1000,IF(D5="HLP",1000,IF(D5="PRP",1000,IF(D5="XPML",1000,IF(D5="XPHL",1000,IF(D5="XPMLP",1000,IF(D5="XPMLP-01",1000,IF(D5="XC",1000,IF(D5="G10",1000,IF(D5="P10",1000,IF(D5="G12",1000,IF(D5="P12",1000,IF(D5="G05",1000,IF(D5="P05",1000,IF(D5="G03",1000,IF(D5="P03",1000,IF(D5="G06",1000,IF(D5="P06",1000,IF(D5="OTP06-01",1000,IF(D5="G08",1000,IF(D5="P08",1000,IF(D5="OTP06-01",1000,IF(D5="G09",1000,IF(D5="P09",1000,IF(D5="H57",1000,IF(D5="P57",1000,IF(D5="H64",1000,IF(D5="H59",1000,IF(D5="P59",1000,IF(D5="H61",1000,IF(D5="P61",1000)))))))))))))))))))))))))))))))))))))))))))))))))</f>
        <v>1000</v>
      </c>
    </row>
    <row r="11" spans="1:27" ht="24.6" x14ac:dyDescent="0.4">
      <c r="A11" s="8"/>
      <c r="B11" s="37" t="s">
        <v>18</v>
      </c>
      <c r="C11" s="20" t="s">
        <v>19</v>
      </c>
      <c r="D11" s="203">
        <f>IF(C11="YES",O17,IF(C11="NO",0))</f>
        <v>2700</v>
      </c>
      <c r="E11" s="39"/>
      <c r="F11" s="40"/>
      <c r="G11" s="40"/>
      <c r="H11" s="33"/>
      <c r="I11" s="33"/>
      <c r="J11" s="44" t="s">
        <v>76</v>
      </c>
      <c r="K11" s="44">
        <f>H8-K10</f>
        <v>31366.916225000001</v>
      </c>
      <c r="L11" s="37"/>
      <c r="M11" s="37"/>
      <c r="N11" s="38"/>
      <c r="O11" s="147">
        <f>IF(D5="XC",6100,IF(D5="XPML",6100,IF(D5="XPHL",6100,IF(D5="XPMLP",6100,IF(D5="XPMLP-01",6100,IF(D5="Xpander P",6100,IF(D5="ML",6600,IF(D5="HL",6600,IF(D5="PR",6600,IF(D5="MLP",6600,IF(D5="HLP",6600,IF(D5="PRP",6600,IF(D5="H57",5900,IF(D5="P57",5900,IF(D5="H64",5900,IF(D5="H59",5900,IF(D5="P59",5900,IF(D5="H61",5900,IF(D5="P61",5900,IF(D5="G03",6700,IF(D5="G10",6700,IF(D5="P10",6700,IF(D5="G12",6700,IF(D5="P12",6700,IF(D5="G05",6700,IF(D5="P05",6700,IF(D5="P03",6700,IF(D5="G06",6700,IF(D5="P06",6700,IF(D5="OTP06-01",6700,IF(D5="G08",6700,IF(D5="G09",6700,IF(D5="G08",6700,IF(D5="P08",6700,IF(D5="P09",6700,IF(D5="H37",6400,IF(D5="H38",6400,IF(D5="EH40",6400,IF(D5="EH43",6400,IF(D5="H48",6600,IF(D5="H43",6600,IF(D5="H40",6600,IF(D5="H42",6600,IF(D5="H44",6600,IF(D5="H45",6600,IF(D5="ASX HL 4WD",6600,IF(D5="H16",5400,IF(D5="H17",5400,IF(D5="P16",5400,IF(D5="Attrage S",5400,IF(D5="MIG09",5400,IF(D5="MIG10",5400,IF(D5="Xpander HL",6000)))))))))))))))))))))))))))))))))))))))))))))))))))))</f>
        <v>6700</v>
      </c>
      <c r="P11" s="147"/>
      <c r="Q11" s="147"/>
      <c r="R11" s="147"/>
      <c r="S11" s="147"/>
      <c r="T11" s="147"/>
      <c r="U11" s="147">
        <f>IF(D5="XC",4900,IF(D5="XPML",4900,IF(D5="XPHL",4900,IF(D5="XPMLP",4900,IF(D5="XPMLP-01",4900,IF(D5="Xpander P",4900,IF(D5="ML",5400,IF(D5="HL",5400,IF(D5="PR",5400,IF(D5="MLP",5400,IF(D5="HLP",5400,IF(D5="PRP",5400,IF(D5="H57",4600,IF(D5="P57",4600,IF(D5="MOG64",4600,IF(D5="H59",4600,IF(D5="P59",4600,IF(D5="H61",4600,IF(D5="P61",4600,IF(D5="G03",5500,IF(D5="P03",5500,IF(D5="G10",5500,IF(D5="P10",5500,IF(D5="G12",5500,IF(D5="P12",5500,IF(D5="G05",5500,IF(D5="P05",5500,IF(D5="G06",5500,IF(D5="P06",5500,IF(D5="OTP06-01",5500,IF(D5="F08",5500,IF(D5="P08",5500,IF(D5="G09",5500,IF(D5="P09",5500,IF(D5="H38",5200,IF(D5="H37",5200,IF(D5="EH40",5200,IF(D5="EH43",5200,IF(D5="H48",5300,IF(D5="H43",5300,IF(D5="H40",5300,IF(D5="H42",5300,IF(D5="H44",5300,IF(D5="H45",5300,IF(D5="ASX HL",5300,IF(D5="ASX P",5300,IF(D5="ASX HL 4WD",5300,IF(D5="H16",4200,IF(D5="H17",4200,IF(D5="P16",4200,IF(D5="Attrage S",4200,IF(D5="MIG09",4200,IF(D5="MIG10",4200,IF(D5="Xpander HL",4900))))))))))))))))))))))))))))))))))))))))))))))))))))))</f>
        <v>5500</v>
      </c>
      <c r="V11" s="147">
        <f>IF(D5="XC",9700,IF(D5="XPML",9700,IF(D5="XPHL",9700,IF(D5="XPMLP",9700,IF(D5="XPMLP-01",9700,IF(D5="XPMLP-01",9700,IF(D5="Xpander P",9700,IF(D5="ML",10800,IF(D5="HL",10800,IF(D5="PR",10800,IF(D5="MLP",10800,IF(D5="HLP",10800,IF(D5="PRP",10800,IF(D5="H57",9300,IF(D5="P57",9300,IF(D5="MG64",9300,IF(D5="H59",9300,IF(D5="P59",9300,IF(D5="H61",9300,IF(D5="P61",9300,IF(D5="G03",11000,IF(D5="G10",11000,IF(D5="P10",11000,IF(D5="G12",11000,IF(D5="P12",11000,IF(D5="G05",11000,IF(D5="P05",11000,IF(D5="P03",11000,IF(D5="G06",11000,IF(D5="P06",11000,IF(D5="OTP06-01",11000,IF(D5="G08",11000,IF(D5="P08",11000,IF(D5="G09",11000,IF(D5="P09",11000,IF(D5="H38",10400,IF(D5="H37",10400,IF(D5="EH40",10400,IF(D5="EH43",10400,IF(D5="H48",10700,IF(D5="H43",10700,IF(D5="H40",10700,IF(D5="H42",10700,IF(D5="H44",10800,IF(D5="H45",10800,IF(D5="ASX HL",12200,IF(D5="ASX P",12200,IF(D5="ASX HL 4WD",12200,IF(D5="H16",8500,IF(D5="H17",8500,IF(D5="P16",8500,IF(D5="Attrage S",9600,IF(D5="MIG09",8500,IF(D5="MIG10",8500,IF(D5="Xpander HL",11300)))))))))))))))))))))))))))))))))))))))))))))))))))))))</f>
        <v>11000</v>
      </c>
      <c r="W11" s="147">
        <f>IF(D5="XC",9200,IF(D5="XPML",9200,IF(D5="XPHL",9200,IF(D5="XPMLP",9200,IF(D5="XPMLP-01",9200,IF(D5="Xpander P",9200,IF(D5="ML",10000,IF(D5="HL",10000,IF(D5="PR",10000,IF(D5="MLP",10000,IF(D5="HLP",10000,IF(D5="PRP",10000,IF(D5="H57",8700,IF(D5="P57",8700,IF(D5="H64",8700,IF(D5="H59",8700,IF(D5="P59",8700,IF(D5="H61",8700,IF(D5="P61",8700,IF(D5="G03",10400,IF(D5="P03",10400,IF(D5="G10",10400,IF(D5="P10",10400,IF(D5="G12",10400,IF(D5="P12",10400,IF(D5="G05",10400,IF(D5="P05",10400,IF(D5="G06",10400,IF(D5="P06",10400,IF(D5="OTP06-01",10400,IF(D5="G08",10400,IF(D5="P08",10400,IF(D5="G09",10400,IF(D5="P09",10400,IF(D5="H38",9800,IF(D5="H37",9800,IF(D5="EH40",9800,IF(D5="EH43",9800,IF(D5="H48",10100,IF(D5="H43",10100,IF(D5="H40",10100,IF(D5="H42",10100,IF(D5="H44",10100,IF(D5="H45",10100,IF(D5="ASX HL",10100,IF(D5="ASX P",10100,IF(D5="ASX HL 4WD",10100,IF(D5="H16",7900,IF(D5="H17",7900,IF(D5="P16",7900,IF(D5="Attrage S",7900,IF(D5="MIG09",7900,IF(D5="MIG10",7900,IF(D5="Xpander HL",9200))))))))))))))))))))))))))))))))))))))))))))))))))))))</f>
        <v>10400</v>
      </c>
      <c r="X11" s="147">
        <f>IF(D5="XC",4500,IF(D5="XPML",4500,IF(D5="XPHL",4500,IF(D5="XPMLP",4500,IF(D5="XPMLP-01",4500,IF(D5="Xpander P",4500,IF(D5="ML",5000,IF(D5="HL",5000,IF(D5="PR",5000,IF(D5="MLP",5000,IF(D5="HLP",5000,IF(D5="PRP",5000,IF(D5="H57",8700,IF(D5="P57",8700,IF(D5="MOG64",4300,IF(D5="H59",4300,IF(D5="P59",4300,IF(D5="H61",4300,IF(D5="P61",4300,IF(D5="G03",5000,IF(D5="P03",5000,IF(D5="G10",5000,IF(D5="P10",5000,IF(D5="G12",5000,IF(D5="P12",5000,IF(D5="G05",5000,IF(D5="P05",5000,IF(D5="G06",5000,IF(D5="P06",5000,IF(D5="OTP06-01",5000,IF(D5="G08",5000,IF(D5="P08",5000,IF(D5="G09",5000,IF(D5="P09",5000,IF(D5="H38",4900,IF(D5="H37",4900,IF(D5="EH40",4900,IF(D5="EH43",4900,IF(D5="H48",4900,IF(D5="H43",4900,IF(D5="H40",4900,IF(D5="H42",4900,IF(D5="H44",4900,IF(D5="H45",4900,IF(D5="ASX HL",4900,IF(D5="ASX P",4900,IF(D5="ASX HL 4WD",4900,IF(D5="H16",3700,IF(D5="H17",3700,IF(D5="P16",3700,IF(D5="Attrage S",3700,IF(D5="MIG09",3700,IF(D5="MIG10",3700,IF(D5="Xpander HL",4500))))))))))))))))))))))))))))))))))))))))))))))))))))))</f>
        <v>5000</v>
      </c>
      <c r="Y11" s="147">
        <f>IF(D5="XC",5400,IF(D5="XPML ",5400,IF(D5="XPHL",5400,IF(D5="XPMLP",5400,IF(D5="XPMLP-01",5400,IF(D5="Xpander P",5400,IF(D5="ML",6000,IF(D5="HL",6000,IF(D5="PR",6000,IF(D5="MLP",6000,IF(D5="HLP",6000,IF(D5="PRP",6000,IF(D5="H57",5200,IF(D5="57",5200,IF(D5="H64",5200,IF(D5="H59",5200,IF(D5="P59",5200,IF(D5="H61",5200,IF(D5="P61",5200,IF(D5="G03",6000,IF(D5="P03",6000,IF(D5="G10",6000,IF(D5="P10",6000,IF(D5="G12",6000,IF(D5="P12",6000,IF(D5="G05",6000,IF(D5="P05",6000,IF(D5="G06",6000,IF(D5="P06",6000,IF(D5="OTP06-01",6000,IF(D5="G08",6000,IF(D5="P08",6000,IF(D5="G09",6000,IF(D5="P09",6000,IF(D5="H38",5700,IF(D5="H37",5700,IF(D5="EH40",5700,IF(D5="EH43",5700,IF(D5="H48",5900,IF(D5="H43",5900,IF(D5="H40",5900,IF(D5="H42",5900,IF(D5="H44",5900,IF(D5="H45",5900,IF(D5="ASX HL",5900,IF(D5="ASX P",5900,IF(D5="ASX HL 4WD",5900,IF(D5="H16",4500,IF(D5="H17",4500,IF(D5="P16",4500,IF(D5="Attrage S",4500,IF(D5="MIG09",4500,IF(D5="MIG10",4500,IF(D5="Xpander HL",5400))))))))))))))))))))))))))))))))))))))))))))))))))))))</f>
        <v>6000</v>
      </c>
    </row>
    <row r="12" spans="1:27" ht="24.6" x14ac:dyDescent="0.4">
      <c r="A12" s="8"/>
      <c r="B12" s="37" t="s">
        <v>20</v>
      </c>
      <c r="C12" s="20" t="s">
        <v>17</v>
      </c>
      <c r="D12" s="36">
        <f>IF(C12="YES",2000,IF(C12="NO",0))</f>
        <v>0</v>
      </c>
      <c r="E12" s="43"/>
      <c r="F12" s="43" t="s">
        <v>21</v>
      </c>
      <c r="G12" s="40"/>
      <c r="H12" s="33">
        <v>600</v>
      </c>
      <c r="I12" s="33"/>
      <c r="J12" s="202" t="s">
        <v>140</v>
      </c>
      <c r="K12" s="45">
        <v>0</v>
      </c>
      <c r="L12" s="45">
        <v>5.2499999999999998E-2</v>
      </c>
      <c r="M12" s="45">
        <v>0.126</v>
      </c>
      <c r="N12" s="201">
        <v>0.26250000000000001</v>
      </c>
      <c r="O12" s="147">
        <f>IF(K20="Esaad",B8*3/100,IF(K20="Emirates Platinum",B8*3/100,IF(K20="Fazaa",B8*3/100,IF(K20="Humat Alwatan",B8*3/100,IF(K20="Permissible",2000,IF(K20="ASX",8400,IF(K20="XPMLP",15100,IF(K20="XP",7200,IF(K20="G43",11000,IF(K20="EC",17000,IF(K20="G37",17000,IF(K20="G38",15000,IF(K20="G40",11000,IF(K20="OUT",3000,IF(K20="F08",14400,IF(K20="P08",11100,IF(K20="F06",13100,IF(K20="P06",13400,IF(K20="F03",3500,IF(K20="F03-1",13500,IF(K20="P03",13100,IF(K20="MON",10000,IF(K20="MON G57",9000,0)))))))))))))))))))))))</f>
        <v>2000</v>
      </c>
      <c r="Z12" s="86" t="s">
        <v>83</v>
      </c>
      <c r="AA12" s="86" t="s">
        <v>84</v>
      </c>
    </row>
    <row r="13" spans="1:27" ht="24.6" x14ac:dyDescent="0.4">
      <c r="A13" s="8">
        <f>B8*1.26582</f>
        <v>168227.478</v>
      </c>
      <c r="B13" s="37" t="s">
        <v>23</v>
      </c>
      <c r="C13" s="20" t="s">
        <v>19</v>
      </c>
      <c r="D13" s="36">
        <f>IF(C13="YES",2000,IF(C13="NO",0))</f>
        <v>2000</v>
      </c>
      <c r="E13" s="47"/>
      <c r="F13" s="47" t="s">
        <v>75</v>
      </c>
      <c r="G13" s="51"/>
      <c r="H13" s="39">
        <v>315</v>
      </c>
      <c r="I13" s="33"/>
      <c r="J13" s="44" t="s">
        <v>54</v>
      </c>
      <c r="K13" s="29" t="s">
        <v>79</v>
      </c>
      <c r="L13" s="29" t="s">
        <v>25</v>
      </c>
      <c r="M13" s="29" t="s">
        <v>0</v>
      </c>
      <c r="N13" s="57" t="s">
        <v>26</v>
      </c>
      <c r="O13" s="9">
        <f>IF(M21="3000-4999",6%,IF(M21="5000-9999",4.75%,IF(M21="10000-14999",3.15%,IF(M21="15000-24999",2.5%,IF(M21="25000-34999",2.25%,IF(M21="35000-99999",2.15%))))))</f>
        <v>4.7500000000000001E-2</v>
      </c>
      <c r="Q13" s="2">
        <f>H7/12</f>
        <v>2697.2430187499999</v>
      </c>
      <c r="U13" s="9">
        <f>IF(M21="3000-4999",6%,IF(M21="5000-9999",3.25%,IF(M21="10000-14999",3%,IF(M21="15000-24999",2.25%,IF(M21="25000-34999",2.15%,IF(M21="35000-99999",1.99%))))))</f>
        <v>3.2500000000000001E-2</v>
      </c>
      <c r="Z13" s="99">
        <f>IF(M21="5000-9999",2.49%,IF(M21="10000-19999",2.19%,IF(M21="20000-34999",2.09%,IF(M21="35000-49999",1.89%,IF(M21="50000-99999",1.79%)))))</f>
        <v>2.4900000000000002E-2</v>
      </c>
      <c r="AA13" s="99">
        <f>IF(M21="5000-9999",2.59%,IF(M21="10000-19999",2.29%,IF(M21="20000-34999",2.19%,IF(M21="35000-49999",1.99%,IF(M21="50000-99999",1.89%)))))</f>
        <v>2.5899999999999999E-2</v>
      </c>
    </row>
    <row r="14" spans="1:27" ht="24.6" x14ac:dyDescent="0.4">
      <c r="A14" s="10" t="s">
        <v>27</v>
      </c>
      <c r="B14" s="37" t="s">
        <v>24</v>
      </c>
      <c r="C14" s="20" t="s">
        <v>19</v>
      </c>
      <c r="D14" s="50">
        <f>IF(C14="YES",U19*3.15*1.05/100,IF(C14="NO",U19*0/100))</f>
        <v>5011.3586250000008</v>
      </c>
      <c r="E14" s="48"/>
      <c r="F14" s="48" t="s">
        <v>24</v>
      </c>
      <c r="G14" s="51" t="s">
        <v>17</v>
      </c>
      <c r="H14" s="39">
        <f>IF(G14="YES",U19*3.15*1.05/100,IF(G14="NO",U19*0/100))</f>
        <v>0</v>
      </c>
      <c r="I14" s="33"/>
      <c r="J14" s="44" t="s">
        <v>55</v>
      </c>
      <c r="K14" s="44">
        <f>(H8*K12+H8)/3</f>
        <v>10788.972075</v>
      </c>
      <c r="L14" s="44">
        <f>(H8*L12+H8)/12</f>
        <v>2838.8482772343755</v>
      </c>
      <c r="M14" s="44">
        <f>(H8*M12+H8)/24</f>
        <v>1518.54781955625</v>
      </c>
      <c r="N14" s="200">
        <f>(H7*N12+H7)/60</f>
        <v>681.05386223437506</v>
      </c>
      <c r="O14" s="9">
        <f>IF(M21="3000-4999",3.89%,IF(M21="5000-9999",3.89%,IF(M21="10000-14999",3.89%,IF(M21="15000-24999",2.69%,IF(M21="25000-34999",2.69%,IF(M21="35000-99999",2.39%,IF(M21="76000-99999",2.5%)))))))</f>
        <v>3.8900000000000004E-2</v>
      </c>
    </row>
    <row r="15" spans="1:27" ht="24.6" x14ac:dyDescent="0.4">
      <c r="A15" s="11">
        <f>(B7*3%)+10+120</f>
        <v>4117</v>
      </c>
      <c r="B15" s="37" t="s">
        <v>28</v>
      </c>
      <c r="C15" s="20" t="s">
        <v>19</v>
      </c>
      <c r="D15" s="29">
        <f>IF(C15="YES",O10,IF(C15="NO",0))</f>
        <v>5308.2224999999999</v>
      </c>
      <c r="E15" s="48"/>
      <c r="F15" s="48" t="s">
        <v>53</v>
      </c>
      <c r="G15" s="51" t="s">
        <v>17</v>
      </c>
      <c r="H15" s="39">
        <f>IF(G15="YES",O10,IF(G15="NO",0))</f>
        <v>0</v>
      </c>
      <c r="I15" s="33"/>
      <c r="J15" s="44"/>
      <c r="K15" s="44"/>
      <c r="L15" s="44"/>
      <c r="M15" s="44"/>
      <c r="N15" s="198"/>
      <c r="O15" s="9" t="b">
        <f>IF(M21="3000-4999",4.99%, IF(M21="5000-11999",2.75%,IF(M21="12000-19999",2.75%,IF(M21="20000-39999",2.25%,IF(M21="40000-69999",2.25%,IF(M21="70000-99999",2.25%))))))</f>
        <v>0</v>
      </c>
      <c r="P15" s="191"/>
    </row>
    <row r="16" spans="1:27" ht="24.6" x14ac:dyDescent="0.4">
      <c r="A16" s="11">
        <f>((B7-B8)*3%+10+120)</f>
        <v>130</v>
      </c>
      <c r="B16" s="37" t="s">
        <v>78</v>
      </c>
      <c r="C16" s="20" t="s">
        <v>19</v>
      </c>
      <c r="D16" s="29">
        <f>IF(C16="YES",O16,IF(C16="NO",0))</f>
        <v>6700</v>
      </c>
      <c r="E16" s="47"/>
      <c r="F16" s="47" t="s">
        <v>74</v>
      </c>
      <c r="G16" s="54"/>
      <c r="H16" s="33">
        <f>I7*1.05%</f>
        <v>1359.4104814500001</v>
      </c>
      <c r="I16" s="33"/>
      <c r="J16" s="44" t="s">
        <v>16</v>
      </c>
      <c r="K16" s="44">
        <f>(K14*3)-H8</f>
        <v>0</v>
      </c>
      <c r="L16" s="44">
        <f>(L14*12)-H8</f>
        <v>1699.263101812503</v>
      </c>
      <c r="M16" s="44">
        <f>(M14*24)-H8</f>
        <v>4078.2314443499999</v>
      </c>
      <c r="N16" s="198"/>
      <c r="O16" s="147">
        <f>IF(B16="RMC-10-70KMS",O11,IF(B16="RMC-10-100000KMS",V11,IF(B16="RMC-40-70KMS",U11, IF(B16="RMC-10-40KMS",X11, IF(B16="RMC-10-60KMS",Y11, IF(B16="RMC-40-100000KMS",W11,0))))))</f>
        <v>6700</v>
      </c>
    </row>
    <row r="17" spans="1:23" ht="24.6" x14ac:dyDescent="0.4">
      <c r="A17" s="11">
        <f>A15+A16</f>
        <v>4247</v>
      </c>
      <c r="B17" s="37"/>
      <c r="C17" s="20"/>
      <c r="D17" s="29">
        <f>SUM(D10:D16)</f>
        <v>21719.581125000001</v>
      </c>
      <c r="E17" s="48"/>
      <c r="F17" s="48"/>
      <c r="G17" s="54"/>
      <c r="H17" s="33">
        <f>+SUM(H12:H16)+(H7)</f>
        <v>34641.326706450003</v>
      </c>
      <c r="I17" s="33"/>
      <c r="J17" s="20"/>
      <c r="K17" s="199"/>
      <c r="L17" s="199"/>
      <c r="M17" s="199"/>
      <c r="N17" s="198"/>
      <c r="O17" s="147">
        <f>IF(B11="FO Ceramic+ Intr&amp;Extr CeramicGold WdwTnt",2700,IF(B11="FO Mirror Camera Sensor",2000))</f>
        <v>2700</v>
      </c>
      <c r="T17" s="1">
        <f>19615-791</f>
        <v>18824</v>
      </c>
    </row>
    <row r="18" spans="1:23" ht="24.6" x14ac:dyDescent="0.4">
      <c r="A18" s="12" t="s">
        <v>29</v>
      </c>
      <c r="B18" s="55" t="s">
        <v>30</v>
      </c>
      <c r="C18" s="197"/>
      <c r="D18" s="57">
        <v>0</v>
      </c>
      <c r="E18" s="38"/>
      <c r="F18" s="20"/>
      <c r="G18" s="20"/>
      <c r="H18" s="37"/>
      <c r="I18" s="37"/>
      <c r="J18" s="37"/>
      <c r="K18" s="37"/>
      <c r="L18" s="37"/>
      <c r="M18" s="37"/>
      <c r="N18" s="37"/>
      <c r="O18" s="9" t="b">
        <f>IF(M21="5000-99999",1.99%)</f>
        <v>0</v>
      </c>
      <c r="U18" s="196" t="s">
        <v>52</v>
      </c>
      <c r="V18" s="196" t="s">
        <v>52</v>
      </c>
    </row>
    <row r="19" spans="1:23" ht="24.6" x14ac:dyDescent="0.4">
      <c r="A19" s="11">
        <f>B8*3.15%</f>
        <v>4186.3500000000004</v>
      </c>
      <c r="B19" s="58" t="s">
        <v>31</v>
      </c>
      <c r="C19" s="59"/>
      <c r="D19" s="60">
        <f>IF(K21="DIB EXPAT",O13,IF(K21="DIB LOCAL GVH",U13,IF(K21="Emirates NBD",O14,IF(K21="ADCB",O15,IF(K21="ADCB PAY IN 2027",O19,IF(K21="Ajman Bank",O18,IF(K21="SIB STL",Z13,IF(K21="SIB NON STL",AA13,))))))))</f>
        <v>3.8900000000000004E-2</v>
      </c>
      <c r="E19" s="20"/>
      <c r="F19" s="195"/>
      <c r="G19" s="141" t="s">
        <v>73</v>
      </c>
      <c r="H19" s="142"/>
      <c r="I19" s="143"/>
      <c r="J19" s="109">
        <f>(U19*20/100)/365</f>
        <v>83.021917808219172</v>
      </c>
      <c r="K19" s="37"/>
      <c r="L19" s="37"/>
      <c r="M19" s="37"/>
      <c r="N19" s="34">
        <f>D7</f>
        <v>139545</v>
      </c>
      <c r="O19" s="194" t="b">
        <f>IF(M21="5000-11999",3.35%,IF(M21="12000-19999",3.35%,IF(M21="20000-39999",2.85%,IF(M21="40000-69999",2.85%,IF(M21="70000-99999",2.85%)))))</f>
        <v>0</v>
      </c>
      <c r="P19" s="2">
        <f>81400-2500</f>
        <v>78900</v>
      </c>
      <c r="U19" s="193">
        <f>V19</f>
        <v>151515</v>
      </c>
      <c r="V19" s="192">
        <f>(B7+D10+D11+D12+D13+D16)*1.05</f>
        <v>151515</v>
      </c>
    </row>
    <row r="20" spans="1:23" ht="24.6" x14ac:dyDescent="0.4">
      <c r="A20" s="11"/>
      <c r="B20" s="58" t="s">
        <v>32</v>
      </c>
      <c r="C20" s="59"/>
      <c r="D20" s="63">
        <v>0.2</v>
      </c>
      <c r="E20" s="37"/>
      <c r="F20" s="37"/>
      <c r="G20" s="38"/>
      <c r="H20" s="38"/>
      <c r="I20" s="38"/>
      <c r="J20" s="103"/>
      <c r="K20" s="104" t="s">
        <v>33</v>
      </c>
      <c r="L20" s="104" t="s">
        <v>17</v>
      </c>
      <c r="M20" s="104">
        <f>IF(L20="YES",O12,IF(L20="NO",0))</f>
        <v>0</v>
      </c>
      <c r="N20" s="34">
        <f>B8-M20</f>
        <v>132900</v>
      </c>
      <c r="O20" s="187"/>
      <c r="P20" s="191"/>
      <c r="T20" s="1">
        <f>1992+1084</f>
        <v>3076</v>
      </c>
      <c r="U20" s="186"/>
      <c r="V20" s="2"/>
    </row>
    <row r="21" spans="1:23" ht="24.6" x14ac:dyDescent="0.4">
      <c r="A21" s="13">
        <f>A19+A20</f>
        <v>4186.3500000000004</v>
      </c>
      <c r="B21" s="37"/>
      <c r="C21" s="20"/>
      <c r="D21" s="37"/>
      <c r="E21" s="37"/>
      <c r="F21" s="37"/>
      <c r="G21" s="37"/>
      <c r="H21" s="37"/>
      <c r="I21" s="37"/>
      <c r="J21" s="190" t="s">
        <v>34</v>
      </c>
      <c r="K21" s="16" t="s">
        <v>139</v>
      </c>
      <c r="L21" s="16" t="s">
        <v>35</v>
      </c>
      <c r="M21" s="189" t="s">
        <v>80</v>
      </c>
      <c r="N21" s="188"/>
      <c r="O21" s="187"/>
      <c r="T21" s="1">
        <f>25973-12973</f>
        <v>13000</v>
      </c>
      <c r="U21" s="186">
        <f>M14+N7</f>
        <v>4096.0332482737504</v>
      </c>
    </row>
    <row r="22" spans="1:23" s="179" customFormat="1" ht="24.6" x14ac:dyDescent="0.4">
      <c r="A22" s="185"/>
      <c r="B22" s="184" t="s">
        <v>51</v>
      </c>
      <c r="C22" s="183"/>
      <c r="D22" s="183"/>
      <c r="E22" s="183"/>
      <c r="F22" s="183"/>
      <c r="G22" s="183"/>
      <c r="H22" s="183"/>
      <c r="I22" s="183"/>
      <c r="J22" s="183"/>
      <c r="K22" s="183"/>
      <c r="L22" s="183"/>
      <c r="M22" s="183"/>
      <c r="N22" s="182"/>
      <c r="O22" s="181"/>
      <c r="P22" s="180"/>
    </row>
    <row r="23" spans="1:23" s="168" customFormat="1" ht="26.4" x14ac:dyDescent="0.5">
      <c r="A23" s="175" t="s">
        <v>36</v>
      </c>
      <c r="B23" s="172" t="s">
        <v>138</v>
      </c>
      <c r="C23" s="169"/>
      <c r="D23" s="169"/>
      <c r="E23" s="169"/>
      <c r="F23" s="169"/>
      <c r="G23" s="169"/>
      <c r="H23" s="176"/>
      <c r="I23" s="176"/>
      <c r="J23" s="169"/>
      <c r="K23" s="169"/>
      <c r="L23" s="169"/>
      <c r="M23" s="169"/>
      <c r="N23" s="178"/>
      <c r="O23" s="170"/>
      <c r="P23" s="169"/>
    </row>
    <row r="24" spans="1:23" s="168" customFormat="1" ht="26.4" x14ac:dyDescent="0.5">
      <c r="A24" s="175" t="s">
        <v>36</v>
      </c>
      <c r="B24" s="172" t="s">
        <v>137</v>
      </c>
      <c r="C24" s="169"/>
      <c r="D24" s="169"/>
      <c r="E24" s="169"/>
      <c r="F24" s="169"/>
      <c r="G24" s="169"/>
      <c r="H24" s="177">
        <f>H7/365</f>
        <v>88.676482808219177</v>
      </c>
      <c r="I24" s="177">
        <f>H7+H12+H16</f>
        <v>34326.326706450003</v>
      </c>
      <c r="J24" s="169"/>
      <c r="K24" s="169"/>
      <c r="L24" s="169"/>
      <c r="M24" s="169"/>
      <c r="N24" s="173"/>
      <c r="O24" s="170"/>
      <c r="P24" s="169">
        <f>1232+480</f>
        <v>1712</v>
      </c>
      <c r="T24" s="168">
        <f>88704/1.05</f>
        <v>84480</v>
      </c>
    </row>
    <row r="25" spans="1:23" s="168" customFormat="1" ht="26.4" x14ac:dyDescent="0.5">
      <c r="A25" s="175" t="s">
        <v>36</v>
      </c>
      <c r="B25" s="172" t="s">
        <v>136</v>
      </c>
      <c r="C25" s="169"/>
      <c r="D25" s="169"/>
      <c r="E25" s="169"/>
      <c r="F25" s="169"/>
      <c r="G25" s="169"/>
      <c r="H25" s="176"/>
      <c r="I25" s="176"/>
      <c r="J25" s="169"/>
      <c r="K25" s="169"/>
      <c r="L25" s="169"/>
      <c r="M25" s="169"/>
      <c r="N25" s="173"/>
      <c r="O25" s="170"/>
      <c r="P25" s="169"/>
      <c r="Q25" s="168">
        <f>79400-5233.33</f>
        <v>74166.67</v>
      </c>
      <c r="R25" s="168">
        <f>Q25*1.05</f>
        <v>77875.003500000006</v>
      </c>
      <c r="W25" s="168">
        <f>1999+1224</f>
        <v>3223</v>
      </c>
    </row>
    <row r="26" spans="1:23" s="168" customFormat="1" ht="26.4" x14ac:dyDescent="0.5">
      <c r="A26" s="175" t="s">
        <v>36</v>
      </c>
      <c r="B26" s="172" t="s">
        <v>135</v>
      </c>
      <c r="C26" s="169"/>
      <c r="D26" s="169"/>
      <c r="E26" s="169"/>
      <c r="F26" s="169"/>
      <c r="G26" s="169"/>
      <c r="H26" s="169"/>
      <c r="I26" s="169"/>
      <c r="J26" s="169"/>
      <c r="K26" s="169"/>
      <c r="L26" s="169"/>
      <c r="M26" s="169"/>
      <c r="N26" s="173"/>
      <c r="O26" s="170" t="s">
        <v>37</v>
      </c>
      <c r="P26" s="169"/>
      <c r="R26" s="168">
        <f>R25+2469</f>
        <v>80344.003500000006</v>
      </c>
    </row>
    <row r="27" spans="1:23" s="168" customFormat="1" ht="26.4" x14ac:dyDescent="0.5">
      <c r="A27" s="175" t="s">
        <v>36</v>
      </c>
      <c r="B27" s="172" t="s">
        <v>134</v>
      </c>
      <c r="C27" s="169"/>
      <c r="D27" s="169"/>
      <c r="E27" s="169"/>
      <c r="F27" s="169"/>
      <c r="G27" s="169"/>
      <c r="H27" s="169"/>
      <c r="I27" s="169"/>
      <c r="J27" s="169"/>
      <c r="K27" s="169"/>
      <c r="L27" s="169"/>
      <c r="M27" s="169"/>
      <c r="N27" s="173"/>
      <c r="O27" s="170">
        <f>129500-110900</f>
        <v>18600</v>
      </c>
      <c r="P27" s="169"/>
      <c r="W27" s="174">
        <f>N7+L14</f>
        <v>5416.3337059518753</v>
      </c>
    </row>
    <row r="28" spans="1:23" s="168" customFormat="1" ht="26.4" x14ac:dyDescent="0.5">
      <c r="B28" s="172" t="s">
        <v>133</v>
      </c>
      <c r="C28" s="169"/>
      <c r="D28" s="169"/>
      <c r="E28" s="169"/>
      <c r="F28" s="169"/>
      <c r="G28" s="169"/>
      <c r="H28" s="169"/>
      <c r="I28" s="169"/>
      <c r="J28" s="169"/>
      <c r="K28" s="169"/>
      <c r="L28" s="169"/>
      <c r="M28" s="169"/>
      <c r="N28" s="173"/>
      <c r="O28" s="170">
        <f>85000-69900</f>
        <v>15100</v>
      </c>
      <c r="P28" s="169"/>
    </row>
    <row r="29" spans="1:23" s="168" customFormat="1" ht="26.4" x14ac:dyDescent="0.5">
      <c r="B29" s="172" t="s">
        <v>132</v>
      </c>
      <c r="C29" s="169"/>
      <c r="D29" s="169"/>
      <c r="E29" s="169"/>
      <c r="F29" s="169"/>
      <c r="G29" s="169"/>
      <c r="H29" s="169"/>
      <c r="I29" s="169"/>
      <c r="J29" s="169"/>
      <c r="K29" s="169"/>
      <c r="L29" s="169"/>
      <c r="M29" s="169"/>
      <c r="N29" s="171"/>
      <c r="O29" s="170"/>
      <c r="P29" s="169"/>
    </row>
    <row r="30" spans="1:23" x14ac:dyDescent="0.3">
      <c r="B30" s="167" t="s">
        <v>38</v>
      </c>
      <c r="C30" s="166"/>
      <c r="D30" s="166"/>
      <c r="E30" s="166"/>
      <c r="F30" s="166"/>
      <c r="G30" s="166"/>
      <c r="H30" s="166"/>
      <c r="I30" s="166"/>
      <c r="J30" s="166"/>
      <c r="K30" s="166"/>
      <c r="L30" s="166"/>
      <c r="M30" s="166"/>
      <c r="N30" s="165"/>
      <c r="O30" s="147"/>
    </row>
    <row r="31" spans="1:23" x14ac:dyDescent="0.3">
      <c r="B31" s="146"/>
      <c r="C31" s="145"/>
      <c r="D31" s="145"/>
      <c r="E31" s="145"/>
      <c r="F31" s="145"/>
      <c r="G31" s="145"/>
      <c r="H31" s="145"/>
      <c r="I31" s="145"/>
      <c r="J31" s="145"/>
      <c r="K31" s="145"/>
      <c r="L31" s="145"/>
      <c r="M31" s="145"/>
      <c r="N31" s="144"/>
      <c r="O31" s="147"/>
    </row>
    <row r="32" spans="1:23" s="86" customFormat="1" ht="20.399999999999999" x14ac:dyDescent="0.35">
      <c r="B32" s="118" t="s">
        <v>39</v>
      </c>
      <c r="C32" s="119"/>
      <c r="D32" s="119"/>
      <c r="E32" s="119"/>
      <c r="F32" s="119"/>
      <c r="G32" s="119"/>
      <c r="H32" s="119"/>
      <c r="I32" s="119"/>
      <c r="J32" s="119"/>
      <c r="K32" s="119"/>
      <c r="L32" s="119"/>
      <c r="M32" s="119"/>
      <c r="N32" s="120"/>
      <c r="O32" s="92"/>
      <c r="P32" s="83"/>
    </row>
    <row r="33" spans="2:16" s="86" customFormat="1" ht="20.399999999999999" x14ac:dyDescent="0.35">
      <c r="B33" s="118" t="s">
        <v>40</v>
      </c>
      <c r="C33" s="119"/>
      <c r="D33" s="119"/>
      <c r="E33" s="119"/>
      <c r="F33" s="119"/>
      <c r="G33" s="119"/>
      <c r="H33" s="119"/>
      <c r="I33" s="119"/>
      <c r="J33" s="119"/>
      <c r="K33" s="119"/>
      <c r="L33" s="119"/>
      <c r="M33" s="119"/>
      <c r="N33" s="120"/>
      <c r="O33" s="92"/>
      <c r="P33" s="83"/>
    </row>
    <row r="34" spans="2:16" s="86" customFormat="1" ht="20.399999999999999" x14ac:dyDescent="0.35">
      <c r="B34" s="107" t="s">
        <v>131</v>
      </c>
      <c r="C34" s="108"/>
      <c r="D34" s="108"/>
      <c r="E34" s="108"/>
      <c r="F34" s="108"/>
      <c r="G34" s="164" t="s">
        <v>130</v>
      </c>
      <c r="H34" s="164"/>
      <c r="I34" s="163"/>
      <c r="J34" s="163"/>
      <c r="K34" s="163"/>
      <c r="L34" s="163"/>
      <c r="M34" s="162" t="s">
        <v>129</v>
      </c>
      <c r="N34" s="161"/>
      <c r="O34" s="83"/>
      <c r="P34" s="83"/>
    </row>
    <row r="35" spans="2:16" x14ac:dyDescent="0.3">
      <c r="B35" s="160"/>
      <c r="C35" s="159"/>
      <c r="D35" s="159"/>
      <c r="E35" s="159"/>
      <c r="F35" s="159"/>
      <c r="G35" s="159"/>
      <c r="H35" s="159"/>
      <c r="I35" s="159"/>
      <c r="J35" s="159"/>
      <c r="K35" s="159"/>
      <c r="L35" s="159"/>
      <c r="M35" s="159"/>
      <c r="N35" s="158"/>
    </row>
    <row r="36" spans="2:16" x14ac:dyDescent="0.3">
      <c r="B36" s="160"/>
      <c r="C36" s="159"/>
      <c r="D36" s="159"/>
      <c r="E36" s="159"/>
      <c r="F36" s="159"/>
      <c r="G36" s="159"/>
      <c r="H36" s="159"/>
      <c r="I36" s="159"/>
      <c r="J36" s="159"/>
      <c r="K36" s="159"/>
      <c r="L36" s="159"/>
      <c r="M36" s="159"/>
      <c r="N36" s="158"/>
    </row>
    <row r="37" spans="2:16" x14ac:dyDescent="0.3">
      <c r="B37" s="160"/>
      <c r="C37" s="159"/>
      <c r="D37" s="159"/>
      <c r="E37" s="159"/>
      <c r="F37" s="159"/>
      <c r="G37" s="159"/>
      <c r="H37" s="159"/>
      <c r="I37" s="159"/>
      <c r="J37" s="159"/>
      <c r="K37" s="159"/>
      <c r="L37" s="159"/>
      <c r="M37" s="159"/>
      <c r="N37" s="158"/>
    </row>
    <row r="38" spans="2:16" ht="16.8" x14ac:dyDescent="0.3">
      <c r="B38" s="149" t="s">
        <v>128</v>
      </c>
      <c r="C38" s="157"/>
      <c r="D38" s="154"/>
      <c r="E38" s="151"/>
      <c r="F38" s="151"/>
      <c r="G38" s="151"/>
      <c r="H38" s="151"/>
      <c r="I38" s="151"/>
      <c r="J38" s="152"/>
      <c r="K38" s="151"/>
      <c r="L38" s="151"/>
      <c r="M38" s="151"/>
      <c r="N38" s="156"/>
    </row>
    <row r="39" spans="2:16" ht="16.8" x14ac:dyDescent="0.3">
      <c r="B39" s="149" t="s">
        <v>127</v>
      </c>
      <c r="C39" s="155"/>
      <c r="D39" s="154"/>
      <c r="E39" s="151"/>
      <c r="F39" s="151"/>
      <c r="G39" s="151"/>
      <c r="H39" s="151"/>
      <c r="I39" s="151"/>
      <c r="J39" s="152"/>
      <c r="K39" s="151"/>
      <c r="L39" s="151"/>
      <c r="M39" s="151"/>
      <c r="N39" s="150"/>
    </row>
    <row r="40" spans="2:16" ht="16.8" x14ac:dyDescent="0.3">
      <c r="B40" s="149" t="s">
        <v>126</v>
      </c>
      <c r="C40" s="153"/>
      <c r="D40" s="151"/>
      <c r="E40" s="151"/>
      <c r="F40" s="151"/>
      <c r="G40" s="151"/>
      <c r="H40" s="151"/>
      <c r="I40" s="151"/>
      <c r="J40" s="152"/>
      <c r="K40" s="151"/>
      <c r="L40" s="151"/>
      <c r="M40" s="151"/>
      <c r="N40" s="150"/>
    </row>
    <row r="41" spans="2:16" ht="16.8" x14ac:dyDescent="0.3">
      <c r="B41" s="149" t="s">
        <v>125</v>
      </c>
      <c r="N41" s="148"/>
    </row>
    <row r="42" spans="2:16" ht="16.8" x14ac:dyDescent="0.3">
      <c r="B42" s="149" t="s">
        <v>124</v>
      </c>
      <c r="N42" s="148"/>
    </row>
    <row r="43" spans="2:16" ht="16.8" x14ac:dyDescent="0.3">
      <c r="B43" s="149" t="s">
        <v>123</v>
      </c>
      <c r="N43" s="148"/>
    </row>
    <row r="44" spans="2:16" ht="16.8" x14ac:dyDescent="0.3">
      <c r="B44" s="149" t="s">
        <v>122</v>
      </c>
      <c r="N44" s="148"/>
    </row>
    <row r="45" spans="2:16" ht="16.8" x14ac:dyDescent="0.3">
      <c r="B45" s="149" t="s">
        <v>121</v>
      </c>
      <c r="N45" s="148"/>
    </row>
    <row r="46" spans="2:16" ht="16.8" x14ac:dyDescent="0.3">
      <c r="B46" s="149" t="s">
        <v>120</v>
      </c>
      <c r="N46" s="148"/>
    </row>
    <row r="47" spans="2:16" x14ac:dyDescent="0.3">
      <c r="B47" s="146" t="s">
        <v>39</v>
      </c>
      <c r="C47" s="145"/>
      <c r="D47" s="145"/>
      <c r="E47" s="145"/>
      <c r="F47" s="145"/>
      <c r="G47" s="145"/>
      <c r="H47" s="145"/>
      <c r="I47" s="145"/>
      <c r="J47" s="145"/>
      <c r="K47" s="145"/>
      <c r="L47" s="145"/>
      <c r="M47" s="145"/>
      <c r="N47" s="144"/>
      <c r="O47" s="147"/>
    </row>
    <row r="48" spans="2:16" x14ac:dyDescent="0.3">
      <c r="B48" s="146" t="s">
        <v>40</v>
      </c>
      <c r="C48" s="145"/>
      <c r="D48" s="145"/>
      <c r="E48" s="145"/>
      <c r="F48" s="145"/>
      <c r="G48" s="145"/>
      <c r="H48" s="145"/>
      <c r="I48" s="145"/>
      <c r="J48" s="145"/>
      <c r="K48" s="145"/>
      <c r="L48" s="145"/>
      <c r="M48" s="145"/>
      <c r="N48" s="144"/>
      <c r="O48" s="147"/>
    </row>
    <row r="49" spans="2:14" x14ac:dyDescent="0.3">
      <c r="B49" s="146" t="s">
        <v>119</v>
      </c>
      <c r="C49" s="145"/>
      <c r="D49" s="145"/>
      <c r="E49" s="145"/>
      <c r="F49" s="145"/>
      <c r="G49" s="145"/>
      <c r="H49" s="145"/>
      <c r="I49" s="145"/>
      <c r="J49" s="145"/>
      <c r="K49" s="145"/>
      <c r="L49" s="145"/>
      <c r="M49" s="145"/>
      <c r="N49" s="144"/>
    </row>
    <row r="50" spans="2:14" ht="25.8" x14ac:dyDescent="0.3">
      <c r="C50" s="15" t="s">
        <v>41</v>
      </c>
    </row>
    <row r="51" spans="2:14" ht="25.8" x14ac:dyDescent="0.3">
      <c r="C51" s="15" t="s">
        <v>42</v>
      </c>
    </row>
    <row r="52" spans="2:14" ht="25.8" x14ac:dyDescent="0.3">
      <c r="C52" s="15" t="s">
        <v>43</v>
      </c>
    </row>
    <row r="53" spans="2:14" ht="25.8" x14ac:dyDescent="0.3">
      <c r="C53" s="15" t="s">
        <v>44</v>
      </c>
    </row>
    <row r="54" spans="2:14" ht="25.8" x14ac:dyDescent="0.3">
      <c r="C54" s="15" t="s">
        <v>45</v>
      </c>
    </row>
  </sheetData>
  <dataConsolidate/>
  <mergeCells count="11">
    <mergeCell ref="F8:G8"/>
    <mergeCell ref="F9:G9"/>
    <mergeCell ref="G19:I19"/>
    <mergeCell ref="B22:N22"/>
    <mergeCell ref="B30:N30"/>
    <mergeCell ref="B32:N32"/>
    <mergeCell ref="B33:N33"/>
    <mergeCell ref="B47:N47"/>
    <mergeCell ref="B48:N48"/>
    <mergeCell ref="B49:N49"/>
    <mergeCell ref="B31:N31"/>
  </mergeCells>
  <dataValidations count="11">
    <dataValidation type="list" allowBlank="1" showInputMessage="1" showErrorMessage="1" sqref="H34" xr:uid="{2D0643F8-0A73-416D-8153-9CA7074BAA5D}">
      <formula1>"ALAA HAMMAD,KHALED QASSEM,RAMY RAOUF,SIMON LOBO,MHAREN CLEMENTE GARADO"</formula1>
    </dataValidation>
    <dataValidation type="list" allowBlank="1" showInputMessage="1" showErrorMessage="1" sqref="M34" xr:uid="{EE201FA7-7E05-463D-997F-D185C6D680DE}">
      <formula1>"Alaa Hammad,Bachir Ibrahim Mourad,Khaled Qassem,Ramy Raoof,Simon Lobo,Mharen Clemente Garado,Ranjith"</formula1>
    </dataValidation>
    <dataValidation type="list" allowBlank="1" showInputMessage="1" showErrorMessage="1" sqref="B11" xr:uid="{EF37FE5A-6455-4BFB-9C3B-EC699F7BAF26}">
      <formula1>"FO Ceramic+ Intr&amp;Extr CeramicGold WdwTnt,FO Mirror Camera Sensor"</formula1>
    </dataValidation>
    <dataValidation type="list" allowBlank="1" showInputMessage="1" showErrorMessage="1" sqref="B12" xr:uid="{5279AA8E-E5D2-4644-8C25-12CD2B324354}">
      <formula1>"FO Exterior ceramic All Cars SCOTCHGUARD,FO Mirror Camera Sensor,FO PPF Gold Package "</formula1>
    </dataValidation>
    <dataValidation type="list" allowBlank="1" showInputMessage="1" showErrorMessage="1" sqref="K20" xr:uid="{E4D4AAB1-3A19-4E8F-9CDF-8727DC3F4D93}">
      <formula1>"Esaad,Emirates Platinum,Fazaa,Humat Alwatan,Permissible,ASX,XPMLP,XP,MON,MON G57,OUT,F08,P08,F06,P06,F03,F03-1,P03,EC,G37,G38,G40,G43"</formula1>
    </dataValidation>
    <dataValidation type="list" allowBlank="1" showInputMessage="1" showErrorMessage="1" sqref="B16" xr:uid="{CDF0D285-B389-4645-B44B-B577BBE3A422}">
      <formula1>"RMC-10-40KMS,RMC-10-60KMS,RMC-10-70KMS,RMC-10-100000KMS,RMC-40-70KMS,RMC-40-100000KMS"</formula1>
    </dataValidation>
    <dataValidation type="list" allowBlank="1" showInputMessage="1" showErrorMessage="1" sqref="K24" xr:uid="{E0041790-86DF-442F-A25D-BA2F26FF8435}">
      <formula1>"RMC-10-70K,RMC-10-100000K,RMC-40-70K"</formula1>
    </dataValidation>
    <dataValidation type="list" allowBlank="1" showInputMessage="1" showErrorMessage="1" sqref="D5" xr:uid="{B23D5B5A-2C60-4D10-BC83-3996921C211D}">
      <formula1>"MIG09,MIG10,H16,P16,H17,H48,H43,H40,H42,H44,H45,H38,H37,EH40,EH43,ML,HL,PR, MLP,HLP,PRP,XPML,XPHL,XPMLP, XPMLP-01,XC, G10,P10, G03, P03, G06,P06,G12,P12,G05,P05,G08,P08,G09,P09,H57,P57,H64,H59,P59,H61,P61"</formula1>
    </dataValidation>
    <dataValidation type="list" allowBlank="1" showInputMessage="1" showErrorMessage="1" sqref="M21" xr:uid="{66F15189-CEC3-4ACE-9490-6DE252AF0A33}">
      <formula1>"3000-4999,5000-9999,5000-99999,10000-14999,15000-24999,25000-34999,35000-99999,5000-11999,12000-19999,20000-39999,40000-69999,70000-99999"</formula1>
    </dataValidation>
    <dataValidation type="list" allowBlank="1" showInputMessage="1" showErrorMessage="1" sqref="C10:C16 L20 L24:L25 G14:G15 J10" xr:uid="{4E578FDA-2F35-4B36-8454-B9D55B40372D}">
      <formula1>"YES,NO"</formula1>
    </dataValidation>
    <dataValidation type="list" allowBlank="1" showInputMessage="1" showErrorMessage="1" sqref="K21" xr:uid="{6CBF506E-4F44-4710-A488-F08C00658F84}">
      <formula1>"ADCB,ADCB PAY IN 2027,Ajman Bank,ADIB,DIB EXPAT,DIB LOCAL GVH,Emirates NBD,EIB,FAB,RAK,SIB STL,SIB NON STL"</formula1>
    </dataValidation>
  </dataValidations>
  <pageMargins left="0.23622047244094491" right="0.23622047244094491" top="0.74803149606299213" bottom="0.74803149606299213" header="0.31496062992125984" footer="0.31496062992125984"/>
  <pageSetup paperSize="9" scale="40" orientation="landscape" horizontalDpi="4294967295" verticalDpi="4294967295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12200-7722-488B-B9B7-F08C0F95332B}">
  <sheetPr>
    <pageSetUpPr fitToPage="1"/>
  </sheetPr>
  <dimension ref="A1:AA54"/>
  <sheetViews>
    <sheetView topLeftCell="B1" zoomScaleNormal="100" workbookViewId="0">
      <selection activeCell="D5" sqref="D5"/>
    </sheetView>
  </sheetViews>
  <sheetFormatPr defaultColWidth="9.109375" defaultRowHeight="15.6" x14ac:dyDescent="0.3"/>
  <cols>
    <col min="1" max="1" width="16" style="1" hidden="1" customWidth="1"/>
    <col min="2" max="2" width="75.109375" style="2" customWidth="1"/>
    <col min="3" max="3" width="26.88671875" style="3" customWidth="1"/>
    <col min="4" max="4" width="23.88671875" style="2" customWidth="1"/>
    <col min="5" max="5" width="23.33203125" style="2" customWidth="1"/>
    <col min="6" max="6" width="19.88671875" style="2" customWidth="1"/>
    <col min="7" max="7" width="23.33203125" style="2" customWidth="1"/>
    <col min="8" max="8" width="24.44140625" style="2" customWidth="1"/>
    <col min="9" max="9" width="27.109375" style="2" customWidth="1"/>
    <col min="10" max="10" width="26.6640625" style="2" customWidth="1"/>
    <col min="11" max="11" width="25.44140625" style="2" customWidth="1"/>
    <col min="12" max="12" width="20.5546875" style="2" customWidth="1"/>
    <col min="13" max="13" width="20.109375" style="2" customWidth="1"/>
    <col min="14" max="14" width="19.5546875" style="2" customWidth="1"/>
    <col min="15" max="15" width="15.109375" style="2" bestFit="1" customWidth="1"/>
    <col min="16" max="16" width="12.6640625" style="2" hidden="1" customWidth="1"/>
    <col min="17" max="17" width="12.6640625" style="1" hidden="1" customWidth="1"/>
    <col min="18" max="18" width="15.6640625" style="1" hidden="1" customWidth="1"/>
    <col min="19" max="19" width="13" style="1" hidden="1" customWidth="1"/>
    <col min="20" max="20" width="17.109375" style="1" hidden="1" customWidth="1"/>
    <col min="21" max="21" width="14.5546875" style="1" bestFit="1" customWidth="1"/>
    <col min="22" max="22" width="19" style="1" customWidth="1"/>
    <col min="23" max="23" width="22.5546875" style="1" bestFit="1" customWidth="1"/>
    <col min="24" max="25" width="9.109375" style="1"/>
    <col min="26" max="26" width="14" style="1" bestFit="1" customWidth="1"/>
    <col min="27" max="27" width="22.33203125" style="1" bestFit="1" customWidth="1"/>
    <col min="28" max="16384" width="9.109375" style="1"/>
  </cols>
  <sheetData>
    <row r="1" spans="1:27" ht="15.75" customHeight="1" x14ac:dyDescent="0.3">
      <c r="B1" s="222" t="s">
        <v>148</v>
      </c>
      <c r="C1" s="221"/>
      <c r="D1" s="221"/>
      <c r="E1" s="221"/>
      <c r="F1" s="221"/>
      <c r="G1" s="221"/>
      <c r="H1" s="221"/>
      <c r="I1" s="221"/>
      <c r="J1" s="221"/>
      <c r="K1" s="221"/>
      <c r="L1" s="221"/>
      <c r="M1" s="221"/>
      <c r="N1" s="220"/>
    </row>
    <row r="2" spans="1:27" ht="15.75" customHeight="1" x14ac:dyDescent="0.3">
      <c r="B2" s="219" t="s">
        <v>147</v>
      </c>
      <c r="C2" s="218"/>
      <c r="D2" s="218"/>
      <c r="E2" s="218"/>
      <c r="F2" s="218"/>
      <c r="G2" s="218"/>
      <c r="H2" s="218"/>
      <c r="I2" s="218"/>
      <c r="J2" s="218"/>
      <c r="K2" s="218"/>
      <c r="L2" s="218"/>
      <c r="M2" s="218"/>
      <c r="N2" s="217"/>
      <c r="Q2" s="2"/>
      <c r="S2" s="186"/>
    </row>
    <row r="3" spans="1:27" ht="15.75" customHeight="1" x14ac:dyDescent="0.3">
      <c r="B3" s="219" t="s">
        <v>146</v>
      </c>
      <c r="C3" s="218"/>
      <c r="D3" s="218"/>
      <c r="E3" s="218"/>
      <c r="F3" s="218"/>
      <c r="G3" s="218"/>
      <c r="H3" s="218"/>
      <c r="I3" s="218"/>
      <c r="J3" s="218"/>
      <c r="K3" s="218"/>
      <c r="L3" s="218"/>
      <c r="M3" s="218"/>
      <c r="N3" s="217"/>
      <c r="O3" s="3"/>
      <c r="P3" s="3"/>
      <c r="Q3" s="153"/>
      <c r="R3" s="153"/>
      <c r="S3" s="216" t="e">
        <f>N7+J14</f>
        <v>#VALUE!</v>
      </c>
      <c r="T3" s="216"/>
      <c r="U3" s="153"/>
      <c r="V3" s="153"/>
      <c r="W3" s="153"/>
      <c r="AA3" s="1">
        <f>273000/5</f>
        <v>54600</v>
      </c>
    </row>
    <row r="4" spans="1:27" ht="15.75" customHeight="1" x14ac:dyDescent="0.3">
      <c r="B4" s="215"/>
      <c r="C4" s="214"/>
      <c r="D4" s="214"/>
      <c r="E4" s="214"/>
      <c r="F4" s="214"/>
      <c r="G4" s="214"/>
      <c r="H4" s="214"/>
      <c r="I4" s="214"/>
      <c r="J4" s="214"/>
      <c r="K4" s="214"/>
      <c r="L4" s="214"/>
      <c r="M4" s="214"/>
      <c r="N4" s="213"/>
      <c r="O4" s="212" t="s">
        <v>0</v>
      </c>
      <c r="P4" s="212"/>
      <c r="Q4" s="210"/>
      <c r="R4" s="210"/>
      <c r="S4" s="211"/>
      <c r="T4" s="211"/>
      <c r="U4" s="210" t="s">
        <v>1</v>
      </c>
      <c r="V4" s="210" t="s">
        <v>2</v>
      </c>
      <c r="W4" s="210" t="s">
        <v>3</v>
      </c>
    </row>
    <row r="5" spans="1:27" ht="25.2" thickBot="1" x14ac:dyDescent="0.45">
      <c r="B5" s="17"/>
      <c r="C5" s="18" t="str">
        <f>IF(D5="MIG09","Mirage G09",IF(D5="MIG10","MirageG10",IF(D5="H16","Attrage H16",IF(D5="P16","Attrage P16",IF(D5="H17","Attrage H17",IF(D5="H48","ASX H48",IF(D5="H43","ASX H43",IF(D5="H40","ASX H40",IF(D5="H42","ASX H42",IF(D5="H44","ASX H44",IF(D5="H45","ASX H45",IF(D5="H38","Eclipse H38",IF(D5="H37","Eclipse H37",IF(D5="EH40","Eclipse H40",IF(D5="EH43","Eclipse H43",IF(D5="XPML","Xpander ML",IF(D5="ML","Destinator ML",IF(D5="HL","Destinator HL",IF(D5="PR","Destinator PR",IF(D5="MLP","Destinator MLP",IF(D5="HLP","Destinator HLP",IF(D5="PRP","Destinator PRP",IF(D5="XPHL","Xpander HL",IF(D5="XPMLP","Xpander ML P",IF(D5="XPMLP-01","Xpander ML P-01",IF(D5="XC","Xpander Cross",IF(D5="G03","Outlander G03",IF(D5="P03","Outlander P03",IF(D5="G06","Outlander G06",IF(D5="P06","Outlander P06",IF(D5="OTP06-01","Outlander P06-01",IF(D5="G08","Outlander G08",IF(D5="P08","Outlander P08",IF(D5="H57","Montero H57",IF(D5="P57","Montero P57",IF(D5="H64","Montero G64",IF(D5="H59","Montero G59",IF(D5="P59","Montero G59 P",IF(D5="H61","Montero G61",IF(D5="P61","Montero P61",IF(D5="G10","Outlander G10",IF(D5="P10","Outlander P10",IF(D5="G12","Outlander G12",IF(D5="P12","Outlander P12",IF(D5="G05","Outlander G05",IF(D5="P05","Outlander P05",IF(D5="G09","Outlander G09",IF(D5="P09","Outlander P09",))))))))))))))))))))))))))))))))))))))))))))))))</f>
        <v>Montero G64</v>
      </c>
      <c r="D5" s="19" t="s">
        <v>158</v>
      </c>
      <c r="E5" s="20" t="s">
        <v>145</v>
      </c>
      <c r="F5" s="37"/>
      <c r="G5" s="37"/>
      <c r="H5" s="37"/>
      <c r="I5" s="20"/>
      <c r="J5" s="34"/>
      <c r="K5" s="209">
        <v>0</v>
      </c>
      <c r="L5" s="208">
        <v>3.39E-2</v>
      </c>
      <c r="M5" s="208">
        <v>6.7799999999999999E-2</v>
      </c>
      <c r="N5" s="208">
        <v>0.1017</v>
      </c>
      <c r="O5" s="147">
        <f>K7+K14</f>
        <v>14640.484810875001</v>
      </c>
      <c r="S5" s="186"/>
      <c r="U5" s="186">
        <f>L7+L14</f>
        <v>6044.5474225937505</v>
      </c>
      <c r="V5" s="186">
        <f>M7+M14</f>
        <v>4087.5198511874996</v>
      </c>
      <c r="W5" s="186">
        <f>N7+N14</f>
        <v>2873.34617259375</v>
      </c>
    </row>
    <row r="6" spans="1:27" s="5" customFormat="1" ht="99" thickBot="1" x14ac:dyDescent="0.35">
      <c r="A6" s="4" t="s">
        <v>4</v>
      </c>
      <c r="B6" s="26" t="s">
        <v>5</v>
      </c>
      <c r="C6" s="27" t="s">
        <v>6</v>
      </c>
      <c r="D6" s="27" t="s">
        <v>144</v>
      </c>
      <c r="E6" s="27" t="s">
        <v>7</v>
      </c>
      <c r="F6" s="27" t="s">
        <v>8</v>
      </c>
      <c r="G6" s="28" t="s">
        <v>9</v>
      </c>
      <c r="H6" s="28" t="s">
        <v>143</v>
      </c>
      <c r="I6" s="28" t="s">
        <v>10</v>
      </c>
      <c r="J6" s="28" t="s">
        <v>142</v>
      </c>
      <c r="K6" s="28" t="s">
        <v>11</v>
      </c>
      <c r="L6" s="28" t="s">
        <v>12</v>
      </c>
      <c r="M6" s="28" t="s">
        <v>13</v>
      </c>
      <c r="N6" s="28" t="s">
        <v>14</v>
      </c>
      <c r="O6" s="207"/>
      <c r="P6" s="206"/>
      <c r="T6" s="205"/>
      <c r="U6" s="205">
        <f>N7+L14</f>
        <v>4776.06692259375</v>
      </c>
      <c r="V6" s="205">
        <f>N7+K14</f>
        <v>11786.403685875001</v>
      </c>
      <c r="W6" s="205" t="e">
        <f>N7+J14</f>
        <v>#VALUE!</v>
      </c>
    </row>
    <row r="7" spans="1:27" ht="25.2" thickBot="1" x14ac:dyDescent="0.45">
      <c r="A7" s="6">
        <f>B8</f>
        <v>116900</v>
      </c>
      <c r="B7" s="29">
        <f>IF(L20="YES",C8*1,IF(L20="NO",B8*1))</f>
        <v>116900</v>
      </c>
      <c r="C7" s="29">
        <f>B7*5/100</f>
        <v>5845</v>
      </c>
      <c r="D7" s="203">
        <f>B7+C7</f>
        <v>122745</v>
      </c>
      <c r="E7" s="29">
        <f>D17</f>
        <v>19429.056250000001</v>
      </c>
      <c r="F7" s="29">
        <f>(C7)+(D10+D11+D12+D13+D16)*5/100</f>
        <v>6375</v>
      </c>
      <c r="G7" s="30">
        <f>B7+E7+F7</f>
        <v>142704.05624999999</v>
      </c>
      <c r="H7" s="29">
        <f>G7*D20</f>
        <v>28540.811249999999</v>
      </c>
      <c r="I7" s="30">
        <f>(G7-H7)</f>
        <v>114163.245</v>
      </c>
      <c r="J7" s="30">
        <f>(((I7*D19)*1)+I7)/12</f>
        <v>9883.6829358750001</v>
      </c>
      <c r="K7" s="30">
        <f>(((I7*D19)*2)+I7)/24</f>
        <v>5126.881060875</v>
      </c>
      <c r="L7" s="30">
        <f>(((I7*D19)*3)+I7)/36</f>
        <v>3541.280435875</v>
      </c>
      <c r="M7" s="30">
        <f>(((I7*D19)*4)+I7)/48</f>
        <v>2748.4801233749999</v>
      </c>
      <c r="N7" s="30">
        <f>((((I7*D19)*5)+I7)/60)</f>
        <v>2272.7999358749998</v>
      </c>
      <c r="O7" s="147"/>
      <c r="P7" s="2">
        <f>H7+H16</f>
        <v>29739.525322499998</v>
      </c>
      <c r="T7" s="186">
        <f>25973/2</f>
        <v>12986.5</v>
      </c>
    </row>
    <row r="8" spans="1:27" ht="24.6" x14ac:dyDescent="0.4">
      <c r="A8" s="7">
        <v>0.2</v>
      </c>
      <c r="B8" s="31">
        <f>IF(D5="MIG09",39900,IF(D5="MIG10",41900,IF(D5="H16",41900,IF(D5="P16",47400,IF(D5="H17",47900,IF(D5="H48",67900,IF(D5="H43",70900,IF(D5="H40",72900,IF(D5="H42",74900,IF(D5="H44",73900,IF(D5="H45",79900,IF(D5="H38",86900,IF(D5="H37",79900,IF(D5="EH40",99900,IF(D5="EH43",106900,IF(D5="ML",71900,IF(D5="HL",83900,IF(D5="PR",95900,IF(D5="MLP",80900,IF(D5="HLP",91900,IF(D5="PRP",102900,IF(D5="XPML",69900,IF(D5="XPHL",71000,IF(D5="XPMLP",75900,IF(D5="XPMLP-01",77800,IF(D5="XC",84900,IF(D5="G10",81900,IF(D5="P10",93900,IF(D5="G12",97900,IF(D5="P12",105900,IF(D5="G05",104900,IF(D5="P05",105900,IF(D5="G03",92900,IF(D5="P03",100900,IF(D5="G06",109900,IF(D5="P06",114900,IF(D5="OTP06-01",118900,IF(D5="G08",125900,IF(D5="P08",132900,IF(D5="OTP06-01",109900,IF(D5="G09",129900,IF(D5="P09",134900,IF(D5="H57",105900,IF(D5="P57",113900,IF(D5="H64",116900,IF(D5="H59",127900,IF(D5="P59",134900,IF(D5="H61",134900,IF(D5="P61",138900)))))))))))))))))))))))))))))))))))))))))))))))))</f>
        <v>116900</v>
      </c>
      <c r="C8" s="32">
        <f>IF(L20="YES",N20,IF(L20="NO",N20))</f>
        <v>116900</v>
      </c>
      <c r="D8" s="29">
        <v>0</v>
      </c>
      <c r="E8" s="33"/>
      <c r="F8" s="139"/>
      <c r="G8" s="140"/>
      <c r="H8" s="110">
        <f>G7*20/100</f>
        <v>28540.811249999999</v>
      </c>
      <c r="I8" s="34"/>
      <c r="J8" s="34" t="s">
        <v>15</v>
      </c>
      <c r="K8" s="34">
        <f>(I7*K5+I7)/24</f>
        <v>4756.8018750000001</v>
      </c>
      <c r="L8" s="34">
        <f>(I7*L5+I7)/36</f>
        <v>3278.7049723750001</v>
      </c>
      <c r="M8" s="34">
        <f>(I7*M5+I7)/48</f>
        <v>2539.6565210624999</v>
      </c>
      <c r="N8" s="34">
        <f>(I7*N5+I7)/60</f>
        <v>2096.2274502749997</v>
      </c>
      <c r="O8" s="147">
        <v>0</v>
      </c>
      <c r="P8" s="2">
        <f>P7/12</f>
        <v>2478.2937768749998</v>
      </c>
      <c r="T8" s="1">
        <f>25973-12973</f>
        <v>13000</v>
      </c>
    </row>
    <row r="9" spans="1:27" ht="24.6" x14ac:dyDescent="0.4">
      <c r="A9" s="8">
        <f>B8/(100%-A8)</f>
        <v>146125</v>
      </c>
      <c r="B9" s="109">
        <f>B7-B8</f>
        <v>0</v>
      </c>
      <c r="C9" s="109"/>
      <c r="D9" s="36"/>
      <c r="E9" s="33"/>
      <c r="F9" s="139"/>
      <c r="G9" s="140"/>
      <c r="H9" s="33"/>
      <c r="I9" s="37" t="s">
        <v>16</v>
      </c>
      <c r="J9" s="38">
        <f>(J7*12)-I7</f>
        <v>4440.950230500006</v>
      </c>
      <c r="K9" s="38">
        <f>(K7*24)-I7</f>
        <v>8881.900461000012</v>
      </c>
      <c r="L9" s="38">
        <f>(L7*36)-I7</f>
        <v>13322.850691500003</v>
      </c>
      <c r="M9" s="38">
        <f>(M7*48)-I7</f>
        <v>17763.800921999995</v>
      </c>
      <c r="N9" s="38">
        <f>(N7*60)-I7</f>
        <v>22204.751152499986</v>
      </c>
      <c r="O9" s="147"/>
      <c r="T9" s="1">
        <f>T8/12</f>
        <v>1083.3333333333333</v>
      </c>
      <c r="Z9" s="1" t="s">
        <v>86</v>
      </c>
    </row>
    <row r="10" spans="1:27" ht="24.6" x14ac:dyDescent="0.4">
      <c r="A10" s="8"/>
      <c r="B10" s="37" t="s">
        <v>141</v>
      </c>
      <c r="C10" s="20" t="s">
        <v>17</v>
      </c>
      <c r="D10" s="36">
        <f>IF(C10="YES",700,IF(C10="NO",0))</f>
        <v>0</v>
      </c>
      <c r="E10" s="39"/>
      <c r="F10" s="40"/>
      <c r="G10" s="40"/>
      <c r="H10" s="33"/>
      <c r="I10" s="44" t="s">
        <v>85</v>
      </c>
      <c r="J10" s="117" t="s">
        <v>19</v>
      </c>
      <c r="K10" s="117">
        <f>IF(J10="YES",Z10,IF(J10="NO",0))</f>
        <v>1000</v>
      </c>
      <c r="L10" s="41">
        <f>(L8*36)-I7</f>
        <v>3870.1340055000037</v>
      </c>
      <c r="M10" s="41">
        <f>(M8*48)-I7</f>
        <v>7740.2680110000074</v>
      </c>
      <c r="N10" s="41">
        <f>(N8*60)-I7</f>
        <v>11610.402016499982</v>
      </c>
      <c r="O10" s="147">
        <f>IF(D5="XC",3690,IF(D5="XPML",3690,IF(D5="XPHL",3690,IF(D5="XPMLP",3690,IF(D5="XPMLP-01",3690,IF(D5="Xpander P",3690,IF(D5="ML",3690,IF(D5="HL",3690,IF(D5="PR",(U19*3/100+510)*1.05,IF(D5="MLP",3690,IF(D5="HLP",(U19*3/100+510)*1.05,IF(D5="PRP",(U19*3/100+510)*1.05,IF(D5="H57",(U19*2.75/100+510)*1.05,IF(D5="P57",(U19*2.75/100+510)*1.05,IF(D5="H64",(U19*2.75/100+510)*1.05,IF(D5="H59",(U19*2.75/100+510)*1.05,IF(D5="P59",(U19*2.75/100+510)*1.05,IF(D5="H61",(U19*2.75/100+510)*1.05,IF(D5="P61",(U19*2.75/100+510)*1.05,IF(D5="G03",(U19*3/100+510)*1.05,IF(D5="G10",(U19*3/100+510)*1.05,IF(D5="P10",(U19*3/100+510)*1.05,IF(D5="G12",(U19*3/100+510)*1.05,IF(D5="P12",(U19*3/100+510)*1.05,IF(D5="G05",(U19*3/100+510)*1.05,IF(D5="P05",(U19*3/100+510)*1.05,IF(D5="P03",(U19*3/100+510)*1.05,IF(D5="G06",(U19*3/100+510)*1.05,IF(D5="P06",(U19*3/100+510)*1.05,IF(D5="OTP06-01",(U19*3/100+510)*1.05,IF(D5="G08",(U19*3/100+510)*1.05,IF(D5="P08",(U19*3/100+510)*1.05,IF(D5="G09",(U19*3/100+510)*1.05,IF(D5="P09",(U19*3/100+510)*1.05,IF(D5="H38",3625,IF(D5="H37",3625,IF(D5="EH40",(U19*3/100+450)*1.05,IF(D5="EH43",(U19*3/100+450)*1.05,IF(D5="H48",3625,IF(D5="H43",3625,IF(D5="H40",3625,IF(D5="H42",3625,IF(D5="H44",3625,IF(D5="H45",3625,IF(D5="ASX HL 4WD",3625,IF(D5="H16",3625,IF(D5="H17",3625,IF(D5="P16",3625,IF(D5="Attrage S",3625,IF(D5="MIG09",3625,IF(D5="MIG10",3625,IF(D5="Xpander HL",3690))))))))))))))))))))))))))))))))))))))))))))))))))))</f>
        <v>4401.140625</v>
      </c>
      <c r="P10" s="204"/>
      <c r="Q10" s="204">
        <f>5.25*3</f>
        <v>15.75</v>
      </c>
      <c r="Z10" s="1">
        <f>IF(D5="MIG09",1000,IF(D5="MIG10",1000,IF(D5="H16",1000,IF(D5="P16",1000,IF(D5="H17",1000,IF(D5="H48",1000,IF(D5="H43",1000,IF(D5="H40",1000,IF(D5="H42",1000,IF(D5="H44",1000,IF(D5="H45",1000,IF(D5="H38",1000,IF(D5="H37",1000,IF(D5="EH40",1000,IF(D5="EH43",1000,IF(D5="ML",1000,IF(D5="HL",1000,IF(D5="PR",1000,IF(D5="MLP",1000,IF(D5="HLP",1000,IF(D5="PRP",1000,IF(D5="XPML",1000,IF(D5="XPHL",1000,IF(D5="XPMLP",1000,IF(D5="XPMLP-01",1000,IF(D5="XC",1000,IF(D5="G10",1000,IF(D5="P10",1000,IF(D5="G12",1000,IF(D5="P12",1000,IF(D5="G05",1000,IF(D5="P05",1000,IF(D5="G03",1000,IF(D5="P03",1000,IF(D5="G06",1000,IF(D5="P06",1000,IF(D5="OTP06-01",1000,IF(D5="G08",1000,IF(D5="P08",1000,IF(D5="OTP06-01",1000,IF(D5="G09",1000,IF(D5="P09",1000,IF(D5="H57",1000,IF(D5="P57",1000,IF(D5="H64",1000,IF(D5="H59",1000,IF(D5="P59",1000,IF(D5="H61",1000,IF(D5="P61",1000)))))))))))))))))))))))))))))))))))))))))))))))))</f>
        <v>1000</v>
      </c>
    </row>
    <row r="11" spans="1:27" ht="24.6" x14ac:dyDescent="0.4">
      <c r="A11" s="8"/>
      <c r="B11" s="37" t="s">
        <v>18</v>
      </c>
      <c r="C11" s="20" t="s">
        <v>19</v>
      </c>
      <c r="D11" s="203">
        <f>IF(C11="YES",O17,IF(C11="NO",0))</f>
        <v>2700</v>
      </c>
      <c r="E11" s="39"/>
      <c r="F11" s="40"/>
      <c r="G11" s="40"/>
      <c r="H11" s="33"/>
      <c r="I11" s="33"/>
      <c r="J11" s="44" t="s">
        <v>76</v>
      </c>
      <c r="K11" s="44">
        <f>H8-K10</f>
        <v>27540.811249999999</v>
      </c>
      <c r="L11" s="37"/>
      <c r="M11" s="37"/>
      <c r="N11" s="38"/>
      <c r="O11" s="147">
        <f>IF(D5="XC",6100,IF(D5="XPML",6100,IF(D5="XPHL",6100,IF(D5="XPMLP",6100,IF(D5="XPMLP-01",6100,IF(D5="Xpander P",6100,IF(D5="ML",6600,IF(D5="HL",6600,IF(D5="PR",6600,IF(D5="MLP",6600,IF(D5="HLP",6600,IF(D5="PRP",6600,IF(D5="H57",5900,IF(D5="P57",5900,IF(D5="H64",5900,IF(D5="H59",5900,IF(D5="P59",5900,IF(D5="H61",5900,IF(D5="P61",5900,IF(D5="G03",6700,IF(D5="G10",6700,IF(D5="P10",6700,IF(D5="G12",6700,IF(D5="P12",6700,IF(D5="G05",6700,IF(D5="P05",6700,IF(D5="P03",6700,IF(D5="G06",6700,IF(D5="P06",6700,IF(D5="OTP06-01",6700,IF(D5="G08",6700,IF(D5="G09",6700,IF(D5="G08",6700,IF(D5="P08",6700,IF(D5="P09",6700,IF(D5="H37",6400,IF(D5="H38",6400,IF(D5="EH40",6400,IF(D5="EH43",6400,IF(D5="H48",6600,IF(D5="H43",6600,IF(D5="H40",6600,IF(D5="H42",6600,IF(D5="H44",6600,IF(D5="H45",6600,IF(D5="ASX HL 4WD",6600,IF(D5="H16",5400,IF(D5="H17",5400,IF(D5="P16",5400,IF(D5="Attrage S",5400,IF(D5="MIG09",5400,IF(D5="MIG10",5400,IF(D5="Xpander HL",6000)))))))))))))))))))))))))))))))))))))))))))))))))))))</f>
        <v>5900</v>
      </c>
      <c r="P11" s="147"/>
      <c r="Q11" s="147"/>
      <c r="R11" s="147"/>
      <c r="S11" s="147"/>
      <c r="T11" s="147"/>
      <c r="U11" s="147" t="b">
        <f>IF(D5="XC",4900,IF(D5="XPML",4900,IF(D5="XPHL",4900,IF(D5="XPMLP",4900,IF(D5="XPMLP-01",4900,IF(D5="Xpander P",4900,IF(D5="ML",5400,IF(D5="HL",5400,IF(D5="PR",5400,IF(D5="MLP",5400,IF(D5="HLP",5400,IF(D5="PRP",5400,IF(D5="H57",4600,IF(D5="P57",4600,IF(D5="MOG64",4600,IF(D5="H59",4600,IF(D5="P59",4600,IF(D5="H61",4600,IF(D5="P61",4600,IF(D5="G03",5500,IF(D5="P03",5500,IF(D5="G10",5500,IF(D5="P10",5500,IF(D5="G12",5500,IF(D5="P12",5500,IF(D5="G05",5500,IF(D5="P05",5500,IF(D5="G06",5500,IF(D5="P06",5500,IF(D5="OTP06-01",5500,IF(D5="F08",5500,IF(D5="P08",5500,IF(D5="G09",5500,IF(D5="P09",5500,IF(D5="H38",5200,IF(D5="H37",5200,IF(D5="EH40",5200,IF(D5="EH43",5200,IF(D5="H48",5300,IF(D5="H43",5300,IF(D5="H40",5300,IF(D5="H42",5300,IF(D5="H44",5300,IF(D5="H45",5300,IF(D5="ASX HL",5300,IF(D5="ASX P",5300,IF(D5="ASX HL 4WD",5300,IF(D5="H16",4200,IF(D5="H17",4200,IF(D5="P16",4200,IF(D5="Attrage S",4200,IF(D5="MIG09",4200,IF(D5="MIG10",4200,IF(D5="Xpander HL",4900))))))))))))))))))))))))))))))))))))))))))))))))))))))</f>
        <v>0</v>
      </c>
      <c r="V11" s="147" t="b">
        <f>IF(D5="XC",9700,IF(D5="XPML",9700,IF(D5="XPHL",9700,IF(D5="XPMLP",9700,IF(D5="XPMLP-01",9700,IF(D5="XPMLP-01",9700,IF(D5="Xpander P",9700,IF(D5="ML",10800,IF(D5="HL",10800,IF(D5="PR",10800,IF(D5="MLP",10800,IF(D5="HLP",10800,IF(D5="PRP",10800,IF(D5="H57",9300,IF(D5="P57",9300,IF(D5="MG64",9300,IF(D5="H59",9300,IF(D5="P59",9300,IF(D5="H61",9300,IF(D5="P61",9300,IF(D5="G03",11000,IF(D5="G10",11000,IF(D5="P10",11000,IF(D5="G12",11000,IF(D5="P12",11000,IF(D5="G05",11000,IF(D5="P05",11000,IF(D5="P03",11000,IF(D5="G06",11000,IF(D5="P06",11000,IF(D5="OTP06-01",11000,IF(D5="G08",11000,IF(D5="P08",11000,IF(D5="G09",11000,IF(D5="P09",11000,IF(D5="H38",10400,IF(D5="H37",10400,IF(D5="EH40",10400,IF(D5="EH43",10400,IF(D5="H48",10700,IF(D5="H43",10700,IF(D5="H40",10700,IF(D5="H42",10700,IF(D5="H44",10800,IF(D5="H45",10800,IF(D5="ASX HL",12200,IF(D5="ASX P",12200,IF(D5="ASX HL 4WD",12200,IF(D5="H16",8500,IF(D5="H17",8500,IF(D5="P16",8500,IF(D5="Attrage S",9600,IF(D5="MIG09",8500,IF(D5="MIG10",8500,IF(D5="Xpander HL",11300)))))))))))))))))))))))))))))))))))))))))))))))))))))))</f>
        <v>0</v>
      </c>
      <c r="W11" s="147">
        <f>IF(D5="XC",9200,IF(D5="XPML",9200,IF(D5="XPHL",9200,IF(D5="XPMLP",9200,IF(D5="XPMLP-01",9200,IF(D5="Xpander P",9200,IF(D5="ML",10000,IF(D5="HL",10000,IF(D5="PR",10000,IF(D5="MLP",10000,IF(D5="HLP",10000,IF(D5="PRP",10000,IF(D5="H57",8700,IF(D5="P57",8700,IF(D5="H64",8700,IF(D5="H59",8700,IF(D5="P59",8700,IF(D5="H61",8700,IF(D5="P61",8700,IF(D5="G03",10400,IF(D5="P03",10400,IF(D5="G10",10400,IF(D5="P10",10400,IF(D5="G12",10400,IF(D5="P12",10400,IF(D5="G05",10400,IF(D5="P05",10400,IF(D5="G06",10400,IF(D5="P06",10400,IF(D5="OTP06-01",10400,IF(D5="G08",10400,IF(D5="P08",10400,IF(D5="G09",10400,IF(D5="P09",10400,IF(D5="H38",9800,IF(D5="H37",9800,IF(D5="EH40",9800,IF(D5="EH43",9800,IF(D5="H48",10100,IF(D5="H43",10100,IF(D5="H40",10100,IF(D5="H42",10100,IF(D5="H44",10100,IF(D5="H45",10100,IF(D5="ASX HL",10100,IF(D5="ASX P",10100,IF(D5="ASX HL 4WD",10100,IF(D5="H16",7900,IF(D5="H17",7900,IF(D5="P16",7900,IF(D5="Attrage S",7900,IF(D5="MIG09",7900,IF(D5="MIG10",7900,IF(D5="Xpander HL",9200))))))))))))))))))))))))))))))))))))))))))))))))))))))</f>
        <v>8700</v>
      </c>
      <c r="X11" s="147" t="b">
        <f>IF(D5="XC",4500,IF(D5="XPML",4500,IF(D5="XPHL",4500,IF(D5="XPMLP",4500,IF(D5="XPMLP-01",4500,IF(D5="Xpander P",4500,IF(D5="ML",5000,IF(D5="HL",5000,IF(D5="PR",5000,IF(D5="MLP",5000,IF(D5="HLP",5000,IF(D5="PRP",5000,IF(D5="H57",8700,IF(D5="P57",8700,IF(D5="MOG64",4300,IF(D5="H59",4300,IF(D5="P59",4300,IF(D5="H61",4300,IF(D5="P61",4300,IF(D5="G03",5000,IF(D5="P03",5000,IF(D5="G10",5000,IF(D5="P10",5000,IF(D5="G12",5000,IF(D5="P12",5000,IF(D5="G05",5000,IF(D5="P05",5000,IF(D5="G06",5000,IF(D5="P06",5000,IF(D5="OTP06-01",5000,IF(D5="G08",5000,IF(D5="P08",5000,IF(D5="G09",5000,IF(D5="P09",5000,IF(D5="H38",4900,IF(D5="H37",4900,IF(D5="EH40",4900,IF(D5="EH43",4900,IF(D5="H48",4900,IF(D5="H43",4900,IF(D5="H40",4900,IF(D5="H42",4900,IF(D5="H44",4900,IF(D5="H45",4900,IF(D5="ASX HL",4900,IF(D5="ASX P",4900,IF(D5="ASX HL 4WD",4900,IF(D5="H16",3700,IF(D5="H17",3700,IF(D5="P16",3700,IF(D5="Attrage S",3700,IF(D5="MIG09",3700,IF(D5="MIG10",3700,IF(D5="Xpander HL",4500))))))))))))))))))))))))))))))))))))))))))))))))))))))</f>
        <v>0</v>
      </c>
      <c r="Y11" s="147">
        <f>IF(D5="XC",5400,IF(D5="XPML ",5400,IF(D5="XPHL",5400,IF(D5="XPMLP",5400,IF(D5="XPMLP-01",5400,IF(D5="Xpander P",5400,IF(D5="ML",6000,IF(D5="HL",6000,IF(D5="PR",6000,IF(D5="MLP",6000,IF(D5="HLP",6000,IF(D5="PRP",6000,IF(D5="H57",5200,IF(D5="57",5200,IF(D5="H64",5200,IF(D5="H59",5200,IF(D5="P59",5200,IF(D5="H61",5200,IF(D5="P61",5200,IF(D5="G03",6000,IF(D5="P03",6000,IF(D5="G10",6000,IF(D5="P10",6000,IF(D5="G12",6000,IF(D5="P12",6000,IF(D5="G05",6000,IF(D5="P05",6000,IF(D5="G06",6000,IF(D5="P06",6000,IF(D5="OTP06-01",6000,IF(D5="G08",6000,IF(D5="P08",6000,IF(D5="G09",6000,IF(D5="P09",6000,IF(D5="H38",5700,IF(D5="H37",5700,IF(D5="EH40",5700,IF(D5="EH43",5700,IF(D5="H48",5900,IF(D5="H43",5900,IF(D5="H40",5900,IF(D5="H42",5900,IF(D5="H44",5900,IF(D5="H45",5900,IF(D5="ASX HL",5900,IF(D5="ASX P",5900,IF(D5="ASX HL 4WD",5900,IF(D5="H16",4500,IF(D5="H17",4500,IF(D5="P16",4500,IF(D5="Attrage S",4500,IF(D5="MIG09",4500,IF(D5="MIG10",4500,IF(D5="Xpander HL",5400))))))))))))))))))))))))))))))))))))))))))))))))))))))</f>
        <v>5200</v>
      </c>
    </row>
    <row r="12" spans="1:27" ht="24.6" x14ac:dyDescent="0.4">
      <c r="A12" s="8"/>
      <c r="B12" s="37" t="s">
        <v>20</v>
      </c>
      <c r="C12" s="20" t="s">
        <v>17</v>
      </c>
      <c r="D12" s="36">
        <f>IF(C12="YES",2000,IF(C12="NO",0))</f>
        <v>0</v>
      </c>
      <c r="E12" s="43"/>
      <c r="F12" s="43" t="s">
        <v>21</v>
      </c>
      <c r="G12" s="40"/>
      <c r="H12" s="33">
        <v>600</v>
      </c>
      <c r="I12" s="33"/>
      <c r="J12" s="202" t="s">
        <v>140</v>
      </c>
      <c r="K12" s="45">
        <v>0</v>
      </c>
      <c r="L12" s="45">
        <v>5.2499999999999998E-2</v>
      </c>
      <c r="M12" s="45">
        <v>0.126</v>
      </c>
      <c r="N12" s="201">
        <v>0.26250000000000001</v>
      </c>
      <c r="O12" s="147">
        <f>IF(K20="Esaad",B8*3/100,IF(K20="Emirates Platinum",B8*3/100,IF(K20="Fazaa",B8*3/100,IF(K20="Humat Alwatan",B8*3/100,IF(K20="Permissible",2000,IF(K20="ASX",8400,IF(K20="XPMLP",15100,IF(K20="XP",7200,IF(K20="G43",11000,IF(K20="EC",17000,IF(K20="G37",17000,IF(K20="G38",15000,IF(K20="G40",11000,IF(K20="OUT",3000,IF(K20="F08",14400,IF(K20="P08",11100,IF(K20="F06",13100,IF(K20="P06",13400,IF(K20="F03",3500,IF(K20="F03-1",13500,IF(K20="P03",13100,IF(K20="MON",10000,IF(K20="MON G57",9000,0)))))))))))))))))))))))</f>
        <v>2000</v>
      </c>
      <c r="Z12" s="86" t="s">
        <v>83</v>
      </c>
      <c r="AA12" s="86" t="s">
        <v>84</v>
      </c>
    </row>
    <row r="13" spans="1:27" ht="24.6" x14ac:dyDescent="0.4">
      <c r="A13" s="8">
        <f>B8*1.26582</f>
        <v>147974.35800000001</v>
      </c>
      <c r="B13" s="37" t="s">
        <v>23</v>
      </c>
      <c r="C13" s="20" t="s">
        <v>19</v>
      </c>
      <c r="D13" s="36">
        <f>IF(C13="YES",2000,IF(C13="NO",0))</f>
        <v>2000</v>
      </c>
      <c r="E13" s="47"/>
      <c r="F13" s="47" t="s">
        <v>75</v>
      </c>
      <c r="G13" s="51"/>
      <c r="H13" s="39">
        <v>315</v>
      </c>
      <c r="I13" s="33"/>
      <c r="J13" s="44" t="s">
        <v>54</v>
      </c>
      <c r="K13" s="29" t="s">
        <v>79</v>
      </c>
      <c r="L13" s="29" t="s">
        <v>25</v>
      </c>
      <c r="M13" s="29" t="s">
        <v>0</v>
      </c>
      <c r="N13" s="57" t="s">
        <v>26</v>
      </c>
      <c r="O13" s="9">
        <f>IF(M21="3000-4999",6%,IF(M21="5000-9999",4.75%,IF(M21="10000-14999",3.15%,IF(M21="15000-24999",2.5%,IF(M21="25000-34999",2.25%,IF(M21="35000-99999",2.15%))))))</f>
        <v>4.7500000000000001E-2</v>
      </c>
      <c r="Q13" s="2">
        <f>H7/12</f>
        <v>2378.4009375000001</v>
      </c>
      <c r="U13" s="9">
        <f>IF(M21="3000-4999",6%,IF(M21="5000-9999",3.25%,IF(M21="10000-14999",3%,IF(M21="15000-24999",2.25%,IF(M21="25000-34999",2.15%,IF(M21="35000-99999",1.99%))))))</f>
        <v>3.2500000000000001E-2</v>
      </c>
      <c r="Z13" s="99">
        <f>IF(M21="5000-9999",2.49%,IF(M21="10000-19999",2.19%,IF(M21="20000-34999",2.09%,IF(M21="35000-49999",1.89%,IF(M21="50000-99999",1.79%)))))</f>
        <v>2.4900000000000002E-2</v>
      </c>
      <c r="AA13" s="99">
        <f>IF(M21="5000-9999",2.59%,IF(M21="10000-19999",2.29%,IF(M21="20000-34999",2.19%,IF(M21="35000-49999",1.99%,IF(M21="50000-99999",1.89%)))))</f>
        <v>2.5899999999999999E-2</v>
      </c>
    </row>
    <row r="14" spans="1:27" ht="24.6" x14ac:dyDescent="0.4">
      <c r="A14" s="10" t="s">
        <v>27</v>
      </c>
      <c r="B14" s="37" t="s">
        <v>24</v>
      </c>
      <c r="C14" s="20" t="s">
        <v>19</v>
      </c>
      <c r="D14" s="50">
        <f>IF(C14="YES",U19*3.15*1.05/100,IF(C14="NO",U19*0/100))</f>
        <v>4427.9156249999996</v>
      </c>
      <c r="E14" s="48"/>
      <c r="F14" s="48" t="s">
        <v>24</v>
      </c>
      <c r="G14" s="51" t="s">
        <v>17</v>
      </c>
      <c r="H14" s="39">
        <f>IF(G14="YES",U19*3.15*1.05/100,IF(G14="NO",U19*0/100))</f>
        <v>0</v>
      </c>
      <c r="I14" s="33"/>
      <c r="J14" s="44" t="s">
        <v>55</v>
      </c>
      <c r="K14" s="44">
        <f>(H8*K12+H8)/3</f>
        <v>9513.6037500000002</v>
      </c>
      <c r="L14" s="44">
        <f>(H8*L12+H8)/12</f>
        <v>2503.2669867187501</v>
      </c>
      <c r="M14" s="44">
        <f>(H8*M12+H8)/24</f>
        <v>1339.0397278124999</v>
      </c>
      <c r="N14" s="200">
        <f>(H7*N12+H7)/60</f>
        <v>600.54623671875004</v>
      </c>
      <c r="O14" s="9">
        <f>IF(M21="3000-4999",3.89%,IF(M21="5000-9999",3.89%,IF(M21="10000-14999",3.89%,IF(M21="15000-24999",2.69%,IF(M21="25000-34999",2.69%,IF(M21="35000-99999",2.39%,IF(M21="76000-99999",2.5%)))))))</f>
        <v>3.8900000000000004E-2</v>
      </c>
    </row>
    <row r="15" spans="1:27" ht="24.6" x14ac:dyDescent="0.4">
      <c r="A15" s="11">
        <f>(B7*3%)+10+120</f>
        <v>3637</v>
      </c>
      <c r="B15" s="37" t="s">
        <v>28</v>
      </c>
      <c r="C15" s="20" t="s">
        <v>19</v>
      </c>
      <c r="D15" s="29">
        <f>IF(C15="YES",O10,IF(C15="NO",0))</f>
        <v>4401.140625</v>
      </c>
      <c r="E15" s="48"/>
      <c r="F15" s="48" t="s">
        <v>53</v>
      </c>
      <c r="G15" s="51" t="s">
        <v>17</v>
      </c>
      <c r="H15" s="39">
        <f>IF(G15="YES",O10,IF(G15="NO",0))</f>
        <v>0</v>
      </c>
      <c r="I15" s="33"/>
      <c r="J15" s="44"/>
      <c r="K15" s="44"/>
      <c r="L15" s="44"/>
      <c r="M15" s="44"/>
      <c r="N15" s="198"/>
      <c r="O15" s="9" t="b">
        <f>IF(M21="3000-4999",4.99%, IF(M21="5000-11999",2.75%,IF(M21="12000-19999",2.75%,IF(M21="20000-39999",2.25%,IF(M21="40000-69999",2.25%,IF(M21="70000-99999",2.25%))))))</f>
        <v>0</v>
      </c>
      <c r="P15" s="191"/>
    </row>
    <row r="16" spans="1:27" ht="24.6" x14ac:dyDescent="0.4">
      <c r="A16" s="11">
        <f>((B7-B8)*3%+10+120)</f>
        <v>130</v>
      </c>
      <c r="B16" s="37" t="s">
        <v>78</v>
      </c>
      <c r="C16" s="20" t="s">
        <v>19</v>
      </c>
      <c r="D16" s="29">
        <f>IF(C16="YES",O16,IF(C16="NO",0))</f>
        <v>5900</v>
      </c>
      <c r="E16" s="47"/>
      <c r="F16" s="47" t="s">
        <v>74</v>
      </c>
      <c r="G16" s="54"/>
      <c r="H16" s="33">
        <f>I7*1.05%</f>
        <v>1198.7140724999999</v>
      </c>
      <c r="I16" s="33"/>
      <c r="J16" s="44" t="s">
        <v>16</v>
      </c>
      <c r="K16" s="44">
        <f>(K14*3)-H8</f>
        <v>0</v>
      </c>
      <c r="L16" s="44">
        <f>(L14*12)-H8</f>
        <v>1498.3925906250006</v>
      </c>
      <c r="M16" s="44">
        <f>(M14*24)-H8</f>
        <v>3596.1422174999971</v>
      </c>
      <c r="N16" s="198"/>
      <c r="O16" s="147">
        <f>IF(B16="RMC-10-70KMS",O11,IF(B16="RMC-10-100000KMS",V11,IF(B16="RMC-40-70KMS",U11, IF(B16="RMC-10-40KMS",X11, IF(B16="RMC-10-60KMS",Y11, IF(B16="RMC-40-100000KMS",W11,0))))))</f>
        <v>5900</v>
      </c>
    </row>
    <row r="17" spans="1:23" ht="24.6" x14ac:dyDescent="0.4">
      <c r="A17" s="11">
        <f>A15+A16</f>
        <v>3767</v>
      </c>
      <c r="B17" s="37"/>
      <c r="C17" s="20"/>
      <c r="D17" s="29">
        <f>SUM(D10:D16)</f>
        <v>19429.056250000001</v>
      </c>
      <c r="E17" s="48"/>
      <c r="F17" s="48"/>
      <c r="G17" s="54"/>
      <c r="H17" s="33">
        <f>+SUM(H12:H16)+(H7)</f>
        <v>30654.525322499998</v>
      </c>
      <c r="I17" s="33"/>
      <c r="J17" s="20"/>
      <c r="K17" s="199"/>
      <c r="L17" s="199"/>
      <c r="M17" s="199"/>
      <c r="N17" s="198"/>
      <c r="O17" s="147">
        <f>IF(B11="FO Ceramic+ Intr&amp;Extr CeramicGold WdwTnt",2700,IF(B11="FO Mirror Camera Sensor",2000))</f>
        <v>2700</v>
      </c>
      <c r="T17" s="1">
        <f>19615-791</f>
        <v>18824</v>
      </c>
    </row>
    <row r="18" spans="1:23" ht="24.6" x14ac:dyDescent="0.4">
      <c r="A18" s="12" t="s">
        <v>29</v>
      </c>
      <c r="B18" s="55" t="s">
        <v>30</v>
      </c>
      <c r="C18" s="197"/>
      <c r="D18" s="57">
        <v>0</v>
      </c>
      <c r="E18" s="38"/>
      <c r="F18" s="20"/>
      <c r="G18" s="20"/>
      <c r="H18" s="37"/>
      <c r="I18" s="37"/>
      <c r="J18" s="37"/>
      <c r="K18" s="37"/>
      <c r="L18" s="37"/>
      <c r="M18" s="37"/>
      <c r="N18" s="37"/>
      <c r="O18" s="9" t="b">
        <f>IF(M21="5000-99999",1.99%)</f>
        <v>0</v>
      </c>
      <c r="U18" s="196" t="s">
        <v>52</v>
      </c>
      <c r="V18" s="196" t="s">
        <v>52</v>
      </c>
    </row>
    <row r="19" spans="1:23" ht="24.6" x14ac:dyDescent="0.4">
      <c r="A19" s="11">
        <f>B8*3.15%</f>
        <v>3682.35</v>
      </c>
      <c r="B19" s="58" t="s">
        <v>31</v>
      </c>
      <c r="C19" s="59"/>
      <c r="D19" s="60">
        <f>IF(K21="DIB EXPAT",O13,IF(K21="DIB LOCAL GVH",U13,IF(K21="Emirates NBD",O14,IF(K21="ADCB",O15,IF(K21="ADCB PAY IN 2027",O19,IF(K21="Ajman Bank",O18,IF(K21="SIB STL",Z13,IF(K21="SIB NON STL",AA13,))))))))</f>
        <v>3.8900000000000004E-2</v>
      </c>
      <c r="E19" s="20"/>
      <c r="F19" s="195"/>
      <c r="G19" s="141" t="s">
        <v>73</v>
      </c>
      <c r="H19" s="142"/>
      <c r="I19" s="143"/>
      <c r="J19" s="109">
        <f>(U19*20/100)/365</f>
        <v>73.356164383561648</v>
      </c>
      <c r="K19" s="37"/>
      <c r="L19" s="37"/>
      <c r="M19" s="37"/>
      <c r="N19" s="34">
        <f>D7</f>
        <v>122745</v>
      </c>
      <c r="O19" s="194" t="b">
        <f>IF(M21="5000-11999",3.35%,IF(M21="12000-19999",3.35%,IF(M21="20000-39999",2.85%,IF(M21="40000-69999",2.85%,IF(M21="70000-99999",2.85%)))))</f>
        <v>0</v>
      </c>
      <c r="P19" s="2">
        <f>81400-2500</f>
        <v>78900</v>
      </c>
      <c r="U19" s="193">
        <f>V19</f>
        <v>133875</v>
      </c>
      <c r="V19" s="192">
        <f>(B7+D10+D11+D12+D13+D16)*1.05</f>
        <v>133875</v>
      </c>
    </row>
    <row r="20" spans="1:23" ht="24.6" x14ac:dyDescent="0.4">
      <c r="A20" s="11"/>
      <c r="B20" s="58" t="s">
        <v>32</v>
      </c>
      <c r="C20" s="59"/>
      <c r="D20" s="63">
        <v>0.2</v>
      </c>
      <c r="E20" s="37"/>
      <c r="F20" s="37"/>
      <c r="G20" s="38"/>
      <c r="H20" s="38"/>
      <c r="I20" s="38"/>
      <c r="J20" s="103"/>
      <c r="K20" s="104" t="s">
        <v>33</v>
      </c>
      <c r="L20" s="104" t="s">
        <v>17</v>
      </c>
      <c r="M20" s="104">
        <f>IF(L20="YES",O12,IF(L20="NO",0))</f>
        <v>0</v>
      </c>
      <c r="N20" s="34">
        <f>B8-M20</f>
        <v>116900</v>
      </c>
      <c r="O20" s="187"/>
      <c r="P20" s="191"/>
      <c r="T20" s="1">
        <f>1992+1084</f>
        <v>3076</v>
      </c>
      <c r="U20" s="186"/>
      <c r="V20" s="2"/>
    </row>
    <row r="21" spans="1:23" ht="24.6" x14ac:dyDescent="0.4">
      <c r="A21" s="13">
        <f>A19+A20</f>
        <v>3682.35</v>
      </c>
      <c r="B21" s="37"/>
      <c r="C21" s="20"/>
      <c r="D21" s="37"/>
      <c r="E21" s="37"/>
      <c r="F21" s="37"/>
      <c r="G21" s="37"/>
      <c r="H21" s="37"/>
      <c r="I21" s="37"/>
      <c r="J21" s="190" t="s">
        <v>34</v>
      </c>
      <c r="K21" s="16" t="s">
        <v>139</v>
      </c>
      <c r="L21" s="16" t="s">
        <v>35</v>
      </c>
      <c r="M21" s="189" t="s">
        <v>80</v>
      </c>
      <c r="N21" s="188"/>
      <c r="O21" s="187"/>
      <c r="T21" s="1">
        <f>25973-12973</f>
        <v>13000</v>
      </c>
      <c r="U21" s="186">
        <f>M14+N7</f>
        <v>3611.8396636874995</v>
      </c>
    </row>
    <row r="22" spans="1:23" s="179" customFormat="1" ht="24.6" x14ac:dyDescent="0.4">
      <c r="A22" s="185"/>
      <c r="B22" s="184" t="s">
        <v>51</v>
      </c>
      <c r="C22" s="183"/>
      <c r="D22" s="183"/>
      <c r="E22" s="183"/>
      <c r="F22" s="183"/>
      <c r="G22" s="183"/>
      <c r="H22" s="183"/>
      <c r="I22" s="183"/>
      <c r="J22" s="183"/>
      <c r="K22" s="183"/>
      <c r="L22" s="183"/>
      <c r="M22" s="183"/>
      <c r="N22" s="182"/>
      <c r="O22" s="181"/>
      <c r="P22" s="180"/>
    </row>
    <row r="23" spans="1:23" s="168" customFormat="1" ht="26.4" x14ac:dyDescent="0.5">
      <c r="A23" s="175" t="s">
        <v>36</v>
      </c>
      <c r="B23" s="172" t="s">
        <v>138</v>
      </c>
      <c r="C23" s="169"/>
      <c r="D23" s="169"/>
      <c r="E23" s="169"/>
      <c r="F23" s="169"/>
      <c r="G23" s="169"/>
      <c r="H23" s="176"/>
      <c r="I23" s="176"/>
      <c r="J23" s="169"/>
      <c r="K23" s="169"/>
      <c r="L23" s="169"/>
      <c r="M23" s="169"/>
      <c r="N23" s="178"/>
      <c r="O23" s="170"/>
      <c r="P23" s="169"/>
    </row>
    <row r="24" spans="1:23" s="168" customFormat="1" ht="26.4" x14ac:dyDescent="0.5">
      <c r="A24" s="175" t="s">
        <v>36</v>
      </c>
      <c r="B24" s="172" t="s">
        <v>137</v>
      </c>
      <c r="C24" s="169"/>
      <c r="D24" s="169"/>
      <c r="E24" s="169"/>
      <c r="F24" s="169"/>
      <c r="G24" s="169"/>
      <c r="H24" s="177">
        <f>H7/365</f>
        <v>78.194003424657538</v>
      </c>
      <c r="I24" s="177">
        <f>H7+H12+H16</f>
        <v>30339.525322499998</v>
      </c>
      <c r="J24" s="169"/>
      <c r="K24" s="169"/>
      <c r="L24" s="169"/>
      <c r="M24" s="169"/>
      <c r="N24" s="173"/>
      <c r="O24" s="170"/>
      <c r="P24" s="169">
        <f>1232+480</f>
        <v>1712</v>
      </c>
      <c r="T24" s="168">
        <f>88704/1.05</f>
        <v>84480</v>
      </c>
    </row>
    <row r="25" spans="1:23" s="168" customFormat="1" ht="26.4" x14ac:dyDescent="0.5">
      <c r="A25" s="175" t="s">
        <v>36</v>
      </c>
      <c r="B25" s="172" t="s">
        <v>136</v>
      </c>
      <c r="C25" s="169"/>
      <c r="D25" s="169"/>
      <c r="E25" s="169"/>
      <c r="F25" s="169"/>
      <c r="G25" s="169"/>
      <c r="H25" s="176"/>
      <c r="I25" s="176"/>
      <c r="J25" s="169"/>
      <c r="K25" s="169"/>
      <c r="L25" s="169"/>
      <c r="M25" s="169"/>
      <c r="N25" s="173"/>
      <c r="O25" s="170"/>
      <c r="P25" s="169"/>
      <c r="Q25" s="168">
        <f>79400-5233.33</f>
        <v>74166.67</v>
      </c>
      <c r="R25" s="168">
        <f>Q25*1.05</f>
        <v>77875.003500000006</v>
      </c>
      <c r="W25" s="168">
        <f>1999+1224</f>
        <v>3223</v>
      </c>
    </row>
    <row r="26" spans="1:23" s="168" customFormat="1" ht="26.4" x14ac:dyDescent="0.5">
      <c r="A26" s="175" t="s">
        <v>36</v>
      </c>
      <c r="B26" s="172" t="s">
        <v>135</v>
      </c>
      <c r="C26" s="169"/>
      <c r="D26" s="169"/>
      <c r="E26" s="169"/>
      <c r="F26" s="169"/>
      <c r="G26" s="169"/>
      <c r="H26" s="169"/>
      <c r="I26" s="169"/>
      <c r="J26" s="169"/>
      <c r="K26" s="169"/>
      <c r="L26" s="169"/>
      <c r="M26" s="169"/>
      <c r="N26" s="173"/>
      <c r="O26" s="170" t="s">
        <v>37</v>
      </c>
      <c r="P26" s="169"/>
      <c r="R26" s="168">
        <f>R25+2469</f>
        <v>80344.003500000006</v>
      </c>
    </row>
    <row r="27" spans="1:23" s="168" customFormat="1" ht="26.4" x14ac:dyDescent="0.5">
      <c r="A27" s="175" t="s">
        <v>36</v>
      </c>
      <c r="B27" s="172" t="s">
        <v>134</v>
      </c>
      <c r="C27" s="169"/>
      <c r="D27" s="169"/>
      <c r="E27" s="169"/>
      <c r="F27" s="169"/>
      <c r="G27" s="169"/>
      <c r="H27" s="169"/>
      <c r="I27" s="169"/>
      <c r="J27" s="169"/>
      <c r="K27" s="169"/>
      <c r="L27" s="169"/>
      <c r="M27" s="169"/>
      <c r="N27" s="173"/>
      <c r="O27" s="170">
        <f>129500-110900</f>
        <v>18600</v>
      </c>
      <c r="P27" s="169"/>
      <c r="W27" s="174">
        <f>N7+L14</f>
        <v>4776.06692259375</v>
      </c>
    </row>
    <row r="28" spans="1:23" s="168" customFormat="1" ht="26.4" x14ac:dyDescent="0.5">
      <c r="B28" s="172" t="s">
        <v>133</v>
      </c>
      <c r="C28" s="169"/>
      <c r="D28" s="169"/>
      <c r="E28" s="169"/>
      <c r="F28" s="169"/>
      <c r="G28" s="169"/>
      <c r="H28" s="169"/>
      <c r="I28" s="169"/>
      <c r="J28" s="169"/>
      <c r="K28" s="169"/>
      <c r="L28" s="169"/>
      <c r="M28" s="169"/>
      <c r="N28" s="173"/>
      <c r="O28" s="170">
        <f>85000-69900</f>
        <v>15100</v>
      </c>
      <c r="P28" s="169"/>
    </row>
    <row r="29" spans="1:23" s="168" customFormat="1" ht="26.4" x14ac:dyDescent="0.5">
      <c r="B29" s="172" t="s">
        <v>132</v>
      </c>
      <c r="C29" s="169"/>
      <c r="D29" s="169"/>
      <c r="E29" s="169"/>
      <c r="F29" s="169"/>
      <c r="G29" s="169"/>
      <c r="H29" s="169"/>
      <c r="I29" s="169"/>
      <c r="J29" s="169"/>
      <c r="K29" s="169"/>
      <c r="L29" s="169"/>
      <c r="M29" s="169"/>
      <c r="N29" s="171"/>
      <c r="O29" s="170"/>
      <c r="P29" s="169"/>
    </row>
    <row r="30" spans="1:23" x14ac:dyDescent="0.3">
      <c r="B30" s="167" t="s">
        <v>38</v>
      </c>
      <c r="C30" s="166"/>
      <c r="D30" s="166"/>
      <c r="E30" s="166"/>
      <c r="F30" s="166"/>
      <c r="G30" s="166"/>
      <c r="H30" s="166"/>
      <c r="I30" s="166"/>
      <c r="J30" s="166"/>
      <c r="K30" s="166"/>
      <c r="L30" s="166"/>
      <c r="M30" s="166"/>
      <c r="N30" s="165"/>
      <c r="O30" s="147"/>
    </row>
    <row r="31" spans="1:23" x14ac:dyDescent="0.3">
      <c r="B31" s="146"/>
      <c r="C31" s="145"/>
      <c r="D31" s="145"/>
      <c r="E31" s="145"/>
      <c r="F31" s="145"/>
      <c r="G31" s="145"/>
      <c r="H31" s="145"/>
      <c r="I31" s="145"/>
      <c r="J31" s="145"/>
      <c r="K31" s="145"/>
      <c r="L31" s="145"/>
      <c r="M31" s="145"/>
      <c r="N31" s="144"/>
      <c r="O31" s="147"/>
    </row>
    <row r="32" spans="1:23" s="86" customFormat="1" ht="20.399999999999999" x14ac:dyDescent="0.35">
      <c r="B32" s="118" t="s">
        <v>39</v>
      </c>
      <c r="C32" s="119"/>
      <c r="D32" s="119"/>
      <c r="E32" s="119"/>
      <c r="F32" s="119"/>
      <c r="G32" s="119"/>
      <c r="H32" s="119"/>
      <c r="I32" s="119"/>
      <c r="J32" s="119"/>
      <c r="K32" s="119"/>
      <c r="L32" s="119"/>
      <c r="M32" s="119"/>
      <c r="N32" s="120"/>
      <c r="O32" s="92"/>
      <c r="P32" s="83"/>
    </row>
    <row r="33" spans="2:16" s="86" customFormat="1" ht="20.399999999999999" x14ac:dyDescent="0.35">
      <c r="B33" s="118" t="s">
        <v>40</v>
      </c>
      <c r="C33" s="119"/>
      <c r="D33" s="119"/>
      <c r="E33" s="119"/>
      <c r="F33" s="119"/>
      <c r="G33" s="119"/>
      <c r="H33" s="119"/>
      <c r="I33" s="119"/>
      <c r="J33" s="119"/>
      <c r="K33" s="119"/>
      <c r="L33" s="119"/>
      <c r="M33" s="119"/>
      <c r="N33" s="120"/>
      <c r="O33" s="92"/>
      <c r="P33" s="83"/>
    </row>
    <row r="34" spans="2:16" s="86" customFormat="1" ht="20.399999999999999" x14ac:dyDescent="0.35">
      <c r="B34" s="107" t="s">
        <v>131</v>
      </c>
      <c r="C34" s="108"/>
      <c r="D34" s="108"/>
      <c r="E34" s="108"/>
      <c r="F34" s="108"/>
      <c r="G34" s="164" t="s">
        <v>130</v>
      </c>
      <c r="H34" s="164"/>
      <c r="I34" s="163"/>
      <c r="J34" s="163"/>
      <c r="K34" s="163"/>
      <c r="L34" s="163"/>
      <c r="M34" s="162" t="s">
        <v>129</v>
      </c>
      <c r="N34" s="161"/>
      <c r="O34" s="83"/>
      <c r="P34" s="83"/>
    </row>
    <row r="35" spans="2:16" x14ac:dyDescent="0.3">
      <c r="B35" s="160"/>
      <c r="C35" s="159"/>
      <c r="D35" s="159"/>
      <c r="E35" s="159"/>
      <c r="F35" s="159"/>
      <c r="G35" s="159"/>
      <c r="H35" s="159"/>
      <c r="I35" s="159"/>
      <c r="J35" s="159"/>
      <c r="K35" s="159"/>
      <c r="L35" s="159"/>
      <c r="M35" s="159"/>
      <c r="N35" s="158"/>
    </row>
    <row r="36" spans="2:16" x14ac:dyDescent="0.3">
      <c r="B36" s="160"/>
      <c r="C36" s="159"/>
      <c r="D36" s="159"/>
      <c r="E36" s="159"/>
      <c r="F36" s="159"/>
      <c r="G36" s="159"/>
      <c r="H36" s="159"/>
      <c r="I36" s="159"/>
      <c r="J36" s="159"/>
      <c r="K36" s="159"/>
      <c r="L36" s="159"/>
      <c r="M36" s="159"/>
      <c r="N36" s="158"/>
    </row>
    <row r="37" spans="2:16" x14ac:dyDescent="0.3">
      <c r="B37" s="160"/>
      <c r="C37" s="159"/>
      <c r="D37" s="159"/>
      <c r="E37" s="159"/>
      <c r="F37" s="159"/>
      <c r="G37" s="159"/>
      <c r="H37" s="159"/>
      <c r="I37" s="159"/>
      <c r="J37" s="159"/>
      <c r="K37" s="159"/>
      <c r="L37" s="159"/>
      <c r="M37" s="159"/>
      <c r="N37" s="158"/>
    </row>
    <row r="38" spans="2:16" ht="16.8" x14ac:dyDescent="0.3">
      <c r="B38" s="149" t="s">
        <v>128</v>
      </c>
      <c r="C38" s="157"/>
      <c r="D38" s="154"/>
      <c r="E38" s="151"/>
      <c r="F38" s="151"/>
      <c r="G38" s="151"/>
      <c r="H38" s="151"/>
      <c r="I38" s="151"/>
      <c r="J38" s="152"/>
      <c r="K38" s="151"/>
      <c r="L38" s="151"/>
      <c r="M38" s="151"/>
      <c r="N38" s="156"/>
    </row>
    <row r="39" spans="2:16" ht="16.8" x14ac:dyDescent="0.3">
      <c r="B39" s="149" t="s">
        <v>127</v>
      </c>
      <c r="C39" s="155"/>
      <c r="D39" s="154"/>
      <c r="E39" s="151"/>
      <c r="F39" s="151"/>
      <c r="G39" s="151"/>
      <c r="H39" s="151"/>
      <c r="I39" s="151"/>
      <c r="J39" s="152"/>
      <c r="K39" s="151"/>
      <c r="L39" s="151"/>
      <c r="M39" s="151"/>
      <c r="N39" s="150"/>
    </row>
    <row r="40" spans="2:16" ht="16.8" x14ac:dyDescent="0.3">
      <c r="B40" s="149" t="s">
        <v>126</v>
      </c>
      <c r="C40" s="153"/>
      <c r="D40" s="151"/>
      <c r="E40" s="151"/>
      <c r="F40" s="151"/>
      <c r="G40" s="151"/>
      <c r="H40" s="151"/>
      <c r="I40" s="151"/>
      <c r="J40" s="152"/>
      <c r="K40" s="151"/>
      <c r="L40" s="151"/>
      <c r="M40" s="151"/>
      <c r="N40" s="150"/>
    </row>
    <row r="41" spans="2:16" ht="16.8" x14ac:dyDescent="0.3">
      <c r="B41" s="149" t="s">
        <v>125</v>
      </c>
      <c r="N41" s="148"/>
    </row>
    <row r="42" spans="2:16" ht="16.8" x14ac:dyDescent="0.3">
      <c r="B42" s="149" t="s">
        <v>124</v>
      </c>
      <c r="N42" s="148"/>
    </row>
    <row r="43" spans="2:16" ht="16.8" x14ac:dyDescent="0.3">
      <c r="B43" s="149" t="s">
        <v>123</v>
      </c>
      <c r="N43" s="148"/>
    </row>
    <row r="44" spans="2:16" ht="16.8" x14ac:dyDescent="0.3">
      <c r="B44" s="149" t="s">
        <v>122</v>
      </c>
      <c r="N44" s="148"/>
    </row>
    <row r="45" spans="2:16" ht="16.8" x14ac:dyDescent="0.3">
      <c r="B45" s="149" t="s">
        <v>121</v>
      </c>
      <c r="N45" s="148"/>
    </row>
    <row r="46" spans="2:16" ht="16.8" x14ac:dyDescent="0.3">
      <c r="B46" s="149" t="s">
        <v>120</v>
      </c>
      <c r="N46" s="148"/>
    </row>
    <row r="47" spans="2:16" x14ac:dyDescent="0.3">
      <c r="B47" s="146" t="s">
        <v>39</v>
      </c>
      <c r="C47" s="145"/>
      <c r="D47" s="145"/>
      <c r="E47" s="145"/>
      <c r="F47" s="145"/>
      <c r="G47" s="145"/>
      <c r="H47" s="145"/>
      <c r="I47" s="145"/>
      <c r="J47" s="145"/>
      <c r="K47" s="145"/>
      <c r="L47" s="145"/>
      <c r="M47" s="145"/>
      <c r="N47" s="144"/>
      <c r="O47" s="147"/>
    </row>
    <row r="48" spans="2:16" x14ac:dyDescent="0.3">
      <c r="B48" s="146" t="s">
        <v>40</v>
      </c>
      <c r="C48" s="145"/>
      <c r="D48" s="145"/>
      <c r="E48" s="145"/>
      <c r="F48" s="145"/>
      <c r="G48" s="145"/>
      <c r="H48" s="145"/>
      <c r="I48" s="145"/>
      <c r="J48" s="145"/>
      <c r="K48" s="145"/>
      <c r="L48" s="145"/>
      <c r="M48" s="145"/>
      <c r="N48" s="144"/>
      <c r="O48" s="147"/>
    </row>
    <row r="49" spans="2:14" x14ac:dyDescent="0.3">
      <c r="B49" s="146" t="s">
        <v>119</v>
      </c>
      <c r="C49" s="145"/>
      <c r="D49" s="145"/>
      <c r="E49" s="145"/>
      <c r="F49" s="145"/>
      <c r="G49" s="145"/>
      <c r="H49" s="145"/>
      <c r="I49" s="145"/>
      <c r="J49" s="145"/>
      <c r="K49" s="145"/>
      <c r="L49" s="145"/>
      <c r="M49" s="145"/>
      <c r="N49" s="144"/>
    </row>
    <row r="50" spans="2:14" ht="25.8" x14ac:dyDescent="0.3">
      <c r="C50" s="15" t="s">
        <v>41</v>
      </c>
    </row>
    <row r="51" spans="2:14" ht="25.8" x14ac:dyDescent="0.3">
      <c r="C51" s="15" t="s">
        <v>42</v>
      </c>
    </row>
    <row r="52" spans="2:14" ht="25.8" x14ac:dyDescent="0.3">
      <c r="C52" s="15" t="s">
        <v>43</v>
      </c>
    </row>
    <row r="53" spans="2:14" ht="25.8" x14ac:dyDescent="0.3">
      <c r="C53" s="15" t="s">
        <v>44</v>
      </c>
    </row>
    <row r="54" spans="2:14" ht="25.8" x14ac:dyDescent="0.3">
      <c r="C54" s="15" t="s">
        <v>45</v>
      </c>
    </row>
  </sheetData>
  <dataConsolidate/>
  <mergeCells count="11">
    <mergeCell ref="F8:G8"/>
    <mergeCell ref="F9:G9"/>
    <mergeCell ref="G19:I19"/>
    <mergeCell ref="B22:N22"/>
    <mergeCell ref="B30:N30"/>
    <mergeCell ref="B32:N32"/>
    <mergeCell ref="B33:N33"/>
    <mergeCell ref="B47:N47"/>
    <mergeCell ref="B48:N48"/>
    <mergeCell ref="B49:N49"/>
    <mergeCell ref="B31:N31"/>
  </mergeCells>
  <dataValidations count="11">
    <dataValidation type="list" allowBlank="1" showInputMessage="1" showErrorMessage="1" sqref="H34" xr:uid="{E3C2C078-D1BF-42A1-B694-DDBE41EC2196}">
      <formula1>"ALAA HAMMAD,KHALED QASSEM,RAMY RAOUF,SIMON LOBO,MHAREN CLEMENTE GARADO"</formula1>
    </dataValidation>
    <dataValidation type="list" allowBlank="1" showInputMessage="1" showErrorMessage="1" sqref="M34" xr:uid="{BC9B9C4A-E0E0-4F21-AD53-564C3DA5A9D2}">
      <formula1>"Alaa Hammad,Bachir Ibrahim Mourad,Khaled Qassem,Ramy Raoof,Simon Lobo,Mharen Clemente Garado,Ranjith"</formula1>
    </dataValidation>
    <dataValidation type="list" allowBlank="1" showInputMessage="1" showErrorMessage="1" sqref="B11" xr:uid="{9882BB39-6212-4CED-8C55-E8B2E3CF4B67}">
      <formula1>"FO Ceramic+ Intr&amp;Extr CeramicGold WdwTnt,FO Mirror Camera Sensor"</formula1>
    </dataValidation>
    <dataValidation type="list" allowBlank="1" showInputMessage="1" showErrorMessage="1" sqref="B12" xr:uid="{54ED551C-56E4-404A-992D-E8263902E153}">
      <formula1>"FO Exterior ceramic All Cars SCOTCHGUARD,FO Mirror Camera Sensor,FO PPF Gold Package "</formula1>
    </dataValidation>
    <dataValidation type="list" allowBlank="1" showInputMessage="1" showErrorMessage="1" sqref="K20" xr:uid="{7638237C-EF18-4338-A39F-5F337160BF5B}">
      <formula1>"Esaad,Emirates Platinum,Fazaa,Humat Alwatan,Permissible,ASX,XPMLP,XP,MON,MON G57,OUT,F08,P08,F06,P06,F03,F03-1,P03,EC,G37,G38,G40,G43"</formula1>
    </dataValidation>
    <dataValidation type="list" allowBlank="1" showInputMessage="1" showErrorMessage="1" sqref="B16" xr:uid="{B976A9E9-77BB-4B00-873C-2F1324D543F0}">
      <formula1>"RMC-10-40KMS,RMC-10-60KMS,RMC-10-70KMS,RMC-10-100000KMS,RMC-40-70KMS,RMC-40-100000KMS"</formula1>
    </dataValidation>
    <dataValidation type="list" allowBlank="1" showInputMessage="1" showErrorMessage="1" sqref="K24" xr:uid="{774837DD-F29E-4D61-BAE1-D3586CF1CA87}">
      <formula1>"RMC-10-70K,RMC-10-100000K,RMC-40-70K"</formula1>
    </dataValidation>
    <dataValidation type="list" allowBlank="1" showInputMessage="1" showErrorMessage="1" sqref="D5" xr:uid="{6874BBDA-7EDC-45E8-9F93-7AA4935A4538}">
      <formula1>"MIG09,MIG10,H16,P16,H17,H48,H43,H40,H42,H44,H45,H38,H37,EH40,EH43,ML,HL,PR, MLP,HLP,PRP,XPML,XPHL,XPMLP, XPMLP-01,XC, G10,P10, G03, P03, G06,P06,G12,P12,G05,P05,G08,P08,G09,P09,H57,P57,H64,H59,P59,H61,P61"</formula1>
    </dataValidation>
    <dataValidation type="list" allowBlank="1" showInputMessage="1" showErrorMessage="1" sqref="M21" xr:uid="{DB389308-5595-47F5-A138-239F520A46DC}">
      <formula1>"3000-4999,5000-9999,5000-99999,10000-14999,15000-24999,25000-34999,35000-99999,5000-11999,12000-19999,20000-39999,40000-69999,70000-99999"</formula1>
    </dataValidation>
    <dataValidation type="list" allowBlank="1" showInputMessage="1" showErrorMessage="1" sqref="C10:C16 L20 L24:L25 G14:G15 J10" xr:uid="{48515FF9-311E-491F-BA52-B4A86064FF10}">
      <formula1>"YES,NO"</formula1>
    </dataValidation>
    <dataValidation type="list" allowBlank="1" showInputMessage="1" showErrorMessage="1" sqref="K21" xr:uid="{C5FEC4F5-3A4F-4AC2-9844-B0A10968EE49}">
      <formula1>"ADCB,ADCB PAY IN 2027,Ajman Bank,ADIB,DIB EXPAT,DIB LOCAL GVH,Emirates NBD,EIB,FAB,RAK,SIB STL,SIB NON STL"</formula1>
    </dataValidation>
  </dataValidations>
  <pageMargins left="0.23622047244094491" right="0.23622047244094491" top="0.74803149606299213" bottom="0.74803149606299213" header="0.31496062992125984" footer="0.31496062992125984"/>
  <pageSetup paperSize="9" scale="40" orientation="landscape" horizontalDpi="4294967295" verticalDpi="4294967295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0F24EA-D419-4547-946B-E3535910DEC7}">
  <sheetPr>
    <pageSetUpPr fitToPage="1"/>
  </sheetPr>
  <dimension ref="A1:AA54"/>
  <sheetViews>
    <sheetView topLeftCell="B1" zoomScaleNormal="100" workbookViewId="0">
      <selection activeCell="D5" sqref="D5"/>
    </sheetView>
  </sheetViews>
  <sheetFormatPr defaultColWidth="9.109375" defaultRowHeight="15.6" x14ac:dyDescent="0.3"/>
  <cols>
    <col min="1" max="1" width="16" style="1" hidden="1" customWidth="1"/>
    <col min="2" max="2" width="75.109375" style="2" customWidth="1"/>
    <col min="3" max="3" width="26.88671875" style="3" customWidth="1"/>
    <col min="4" max="4" width="23.88671875" style="2" customWidth="1"/>
    <col min="5" max="5" width="23.33203125" style="2" customWidth="1"/>
    <col min="6" max="6" width="19.88671875" style="2" customWidth="1"/>
    <col min="7" max="7" width="23.33203125" style="2" customWidth="1"/>
    <col min="8" max="8" width="24.44140625" style="2" customWidth="1"/>
    <col min="9" max="9" width="27.109375" style="2" customWidth="1"/>
    <col min="10" max="10" width="26.6640625" style="2" customWidth="1"/>
    <col min="11" max="11" width="25.44140625" style="2" customWidth="1"/>
    <col min="12" max="12" width="20.5546875" style="2" customWidth="1"/>
    <col min="13" max="13" width="20.109375" style="2" customWidth="1"/>
    <col min="14" max="14" width="19.5546875" style="2" customWidth="1"/>
    <col min="15" max="15" width="15.109375" style="2" bestFit="1" customWidth="1"/>
    <col min="16" max="16" width="12.6640625" style="2" hidden="1" customWidth="1"/>
    <col min="17" max="17" width="12.6640625" style="1" hidden="1" customWidth="1"/>
    <col min="18" max="18" width="15.6640625" style="1" hidden="1" customWidth="1"/>
    <col min="19" max="19" width="13" style="1" hidden="1" customWidth="1"/>
    <col min="20" max="20" width="17.109375" style="1" hidden="1" customWidth="1"/>
    <col min="21" max="21" width="14.5546875" style="1" bestFit="1" customWidth="1"/>
    <col min="22" max="22" width="19" style="1" customWidth="1"/>
    <col min="23" max="23" width="22.5546875" style="1" bestFit="1" customWidth="1"/>
    <col min="24" max="25" width="9.109375" style="1"/>
    <col min="26" max="26" width="14" style="1" bestFit="1" customWidth="1"/>
    <col min="27" max="27" width="22.33203125" style="1" bestFit="1" customWidth="1"/>
    <col min="28" max="16384" width="9.109375" style="1"/>
  </cols>
  <sheetData>
    <row r="1" spans="1:27" ht="15.75" customHeight="1" x14ac:dyDescent="0.3">
      <c r="B1" s="222" t="s">
        <v>148</v>
      </c>
      <c r="C1" s="221"/>
      <c r="D1" s="221"/>
      <c r="E1" s="221"/>
      <c r="F1" s="221"/>
      <c r="G1" s="221"/>
      <c r="H1" s="221"/>
      <c r="I1" s="221"/>
      <c r="J1" s="221"/>
      <c r="K1" s="221"/>
      <c r="L1" s="221"/>
      <c r="M1" s="221"/>
      <c r="N1" s="220"/>
    </row>
    <row r="2" spans="1:27" ht="15.75" customHeight="1" x14ac:dyDescent="0.3">
      <c r="B2" s="219" t="s">
        <v>147</v>
      </c>
      <c r="C2" s="218"/>
      <c r="D2" s="218"/>
      <c r="E2" s="218"/>
      <c r="F2" s="218"/>
      <c r="G2" s="218"/>
      <c r="H2" s="218"/>
      <c r="I2" s="218"/>
      <c r="J2" s="218"/>
      <c r="K2" s="218"/>
      <c r="L2" s="218"/>
      <c r="M2" s="218"/>
      <c r="N2" s="217"/>
      <c r="Q2" s="2"/>
      <c r="S2" s="186"/>
    </row>
    <row r="3" spans="1:27" ht="15.75" customHeight="1" x14ac:dyDescent="0.3">
      <c r="B3" s="219" t="s">
        <v>146</v>
      </c>
      <c r="C3" s="218"/>
      <c r="D3" s="218"/>
      <c r="E3" s="218"/>
      <c r="F3" s="218"/>
      <c r="G3" s="218"/>
      <c r="H3" s="218"/>
      <c r="I3" s="218"/>
      <c r="J3" s="218"/>
      <c r="K3" s="218"/>
      <c r="L3" s="218"/>
      <c r="M3" s="218"/>
      <c r="N3" s="217"/>
      <c r="O3" s="3"/>
      <c r="P3" s="3"/>
      <c r="Q3" s="153"/>
      <c r="R3" s="153"/>
      <c r="S3" s="216" t="e">
        <f>N7+J14</f>
        <v>#VALUE!</v>
      </c>
      <c r="T3" s="216"/>
      <c r="U3" s="153"/>
      <c r="V3" s="153"/>
      <c r="W3" s="153"/>
      <c r="AA3" s="1">
        <f>273000/5</f>
        <v>54600</v>
      </c>
    </row>
    <row r="4" spans="1:27" ht="15.75" customHeight="1" x14ac:dyDescent="0.3">
      <c r="B4" s="215"/>
      <c r="C4" s="214"/>
      <c r="D4" s="214"/>
      <c r="E4" s="214"/>
      <c r="F4" s="214"/>
      <c r="G4" s="214"/>
      <c r="H4" s="214"/>
      <c r="I4" s="214"/>
      <c r="J4" s="214"/>
      <c r="K4" s="214"/>
      <c r="L4" s="214"/>
      <c r="M4" s="214"/>
      <c r="N4" s="213"/>
      <c r="O4" s="212" t="s">
        <v>0</v>
      </c>
      <c r="P4" s="212"/>
      <c r="Q4" s="210"/>
      <c r="R4" s="210"/>
      <c r="S4" s="211"/>
      <c r="T4" s="211"/>
      <c r="U4" s="210" t="s">
        <v>1</v>
      </c>
      <c r="V4" s="210" t="s">
        <v>2</v>
      </c>
      <c r="W4" s="210" t="s">
        <v>3</v>
      </c>
    </row>
    <row r="5" spans="1:27" ht="25.2" thickBot="1" x14ac:dyDescent="0.45">
      <c r="B5" s="17"/>
      <c r="C5" s="18" t="str">
        <f>IF(D5="MIG09","Mirage G09",IF(D5="MIG10","MirageG10",IF(D5="H16","Attrage H16",IF(D5="P16","Attrage P16",IF(D5="H17","Attrage H17",IF(D5="H48","ASX H48",IF(D5="H43","ASX H43",IF(D5="H40","ASX H40",IF(D5="H42","ASX H42",IF(D5="H44","ASX H44",IF(D5="H45","ASX H45",IF(D5="H38","Eclipse H38",IF(D5="H37","Eclipse H37",IF(D5="EH40","Eclipse H40",IF(D5="EH43","Eclipse H43",IF(D5="XPML","Xpander ML",IF(D5="ML","Destinator ML",IF(D5="HL","Destinator HL",IF(D5="PR","Destinator PR",IF(D5="MLP","Destinator MLP",IF(D5="HLP","Destinator HLP",IF(D5="PRP","Destinator PRP",IF(D5="XPHL","Xpander HL",IF(D5="XPMLP","Xpander ML P",IF(D5="XPMLP-01","Xpander ML P-01",IF(D5="XC","Xpander Cross",IF(D5="G03","Outlander G03",IF(D5="P03","Outlander P03",IF(D5="G06","Outlander G06",IF(D5="P06","Outlander P06",IF(D5="OTP06-01","Outlander P06-01",IF(D5="G08","Outlander G08",IF(D5="P08","Outlander P08",IF(D5="H57","Montero H57",IF(D5="P57","Montero P57",IF(D5="H64","Montero G64",IF(D5="H59","Montero G59",IF(D5="P59","Montero G59 P",IF(D5="H61","Montero G61",IF(D5="P61","Montero P61",IF(D5="G10","Outlander G10",IF(D5="P10","Outlander P10",IF(D5="G12","Outlander G12",IF(D5="P12","Outlander P12",IF(D5="G05","Outlander G05",IF(D5="P05","Outlander P05",IF(D5="G09","Outlander G09",IF(D5="P09","Outlander P09",))))))))))))))))))))))))))))))))))))))))))))))))</f>
        <v>Montero P57</v>
      </c>
      <c r="D5" s="19" t="s">
        <v>157</v>
      </c>
      <c r="E5" s="20" t="s">
        <v>145</v>
      </c>
      <c r="F5" s="37"/>
      <c r="G5" s="37"/>
      <c r="H5" s="37"/>
      <c r="I5" s="20"/>
      <c r="J5" s="34"/>
      <c r="K5" s="209">
        <v>0</v>
      </c>
      <c r="L5" s="208">
        <v>3.39E-2</v>
      </c>
      <c r="M5" s="208">
        <v>6.7799999999999999E-2</v>
      </c>
      <c r="N5" s="208">
        <v>0.1017</v>
      </c>
      <c r="O5" s="147">
        <f>K7+K14</f>
        <v>14297.295491325</v>
      </c>
      <c r="S5" s="186"/>
      <c r="U5" s="186">
        <f>L7+L14</f>
        <v>5902.8564783562506</v>
      </c>
      <c r="V5" s="186">
        <f>M7+M14</f>
        <v>3991.7038195125006</v>
      </c>
      <c r="W5" s="186">
        <f>N7+N14</f>
        <v>2805.9917283562504</v>
      </c>
    </row>
    <row r="6" spans="1:27" s="5" customFormat="1" ht="99" thickBot="1" x14ac:dyDescent="0.35">
      <c r="A6" s="4" t="s">
        <v>4</v>
      </c>
      <c r="B6" s="26" t="s">
        <v>5</v>
      </c>
      <c r="C6" s="27" t="s">
        <v>6</v>
      </c>
      <c r="D6" s="27" t="s">
        <v>144</v>
      </c>
      <c r="E6" s="27" t="s">
        <v>7</v>
      </c>
      <c r="F6" s="27" t="s">
        <v>8</v>
      </c>
      <c r="G6" s="28" t="s">
        <v>9</v>
      </c>
      <c r="H6" s="28" t="s">
        <v>143</v>
      </c>
      <c r="I6" s="28" t="s">
        <v>10</v>
      </c>
      <c r="J6" s="28" t="s">
        <v>142</v>
      </c>
      <c r="K6" s="28" t="s">
        <v>11</v>
      </c>
      <c r="L6" s="28" t="s">
        <v>12</v>
      </c>
      <c r="M6" s="28" t="s">
        <v>13</v>
      </c>
      <c r="N6" s="28" t="s">
        <v>14</v>
      </c>
      <c r="O6" s="207"/>
      <c r="P6" s="206"/>
      <c r="T6" s="205"/>
      <c r="U6" s="205">
        <f>N7+L14</f>
        <v>4664.1105783562507</v>
      </c>
      <c r="V6" s="205">
        <f>N7+K14</f>
        <v>11510.117216325001</v>
      </c>
      <c r="W6" s="205" t="e">
        <f>N7+J14</f>
        <v>#VALUE!</v>
      </c>
    </row>
    <row r="7" spans="1:27" ht="25.2" thickBot="1" x14ac:dyDescent="0.45">
      <c r="A7" s="6">
        <f>B8</f>
        <v>113900</v>
      </c>
      <c r="B7" s="29">
        <f>IF(L20="YES",C8*1,IF(L20="NO",B8*1))</f>
        <v>113900</v>
      </c>
      <c r="C7" s="29">
        <f>B7*5/100</f>
        <v>5695</v>
      </c>
      <c r="D7" s="203">
        <f>B7+C7</f>
        <v>119595</v>
      </c>
      <c r="E7" s="29">
        <f>D17</f>
        <v>19233.91375</v>
      </c>
      <c r="F7" s="29">
        <f>(C7)+(D10+D11+D12+D13+D16)*5/100</f>
        <v>6225</v>
      </c>
      <c r="G7" s="30">
        <f>B7+E7+F7</f>
        <v>139358.91375000001</v>
      </c>
      <c r="H7" s="29">
        <f>G7*D20</f>
        <v>27871.782750000002</v>
      </c>
      <c r="I7" s="30">
        <f>(G7-H7)</f>
        <v>111487.13100000001</v>
      </c>
      <c r="J7" s="30">
        <f>(((I7*D19)*1)+I7)/12</f>
        <v>9651.9983663250005</v>
      </c>
      <c r="K7" s="30">
        <f>(((I7*D19)*2)+I7)/24</f>
        <v>5006.7012413250004</v>
      </c>
      <c r="L7" s="30">
        <f>(((I7*D19)*3)+I7)/36</f>
        <v>3458.2688663250001</v>
      </c>
      <c r="M7" s="30">
        <f>(((I7*D19)*4)+I7)/48</f>
        <v>2684.0526788250004</v>
      </c>
      <c r="N7" s="30">
        <f>((((I7*D19)*5)+I7)/60)</f>
        <v>2219.5229663250002</v>
      </c>
      <c r="O7" s="147"/>
      <c r="P7" s="2">
        <f>H7+H16</f>
        <v>29042.397625500002</v>
      </c>
      <c r="T7" s="186">
        <f>25973/2</f>
        <v>12986.5</v>
      </c>
    </row>
    <row r="8" spans="1:27" ht="24.6" x14ac:dyDescent="0.4">
      <c r="A8" s="7">
        <v>0.2</v>
      </c>
      <c r="B8" s="31">
        <f>IF(D5="MIG09",39900,IF(D5="MIG10",41900,IF(D5="H16",41900,IF(D5="P16",47400,IF(D5="H17",47900,IF(D5="H48",67900,IF(D5="H43",70900,IF(D5="H40",72900,IF(D5="H42",74900,IF(D5="H44",73900,IF(D5="H45",79900,IF(D5="H38",86900,IF(D5="H37",79900,IF(D5="EH40",99900,IF(D5="EH43",106900,IF(D5="ML",71900,IF(D5="HL",83900,IF(D5="PR",95900,IF(D5="MLP",80900,IF(D5="HLP",91900,IF(D5="PRP",102900,IF(D5="XPML",69900,IF(D5="XPHL",71000,IF(D5="XPMLP",75900,IF(D5="XPMLP-01",77800,IF(D5="XC",84900,IF(D5="G10",81900,IF(D5="P10",93900,IF(D5="G12",97900,IF(D5="P12",105900,IF(D5="G05",104900,IF(D5="P05",105900,IF(D5="G03",92900,IF(D5="P03",100900,IF(D5="G06",109900,IF(D5="P06",114900,IF(D5="OTP06-01",118900,IF(D5="G08",125900,IF(D5="P08",132900,IF(D5="OTP06-01",109900,IF(D5="G09",129900,IF(D5="P09",134900,IF(D5="H57",105900,IF(D5="P57",113900,IF(D5="H64",116900,IF(D5="H59",127900,IF(D5="P59",134900,IF(D5="H61",134900,IF(D5="P61",138900)))))))))))))))))))))))))))))))))))))))))))))))))</f>
        <v>113900</v>
      </c>
      <c r="C8" s="32">
        <f>IF(L20="YES",N20,IF(L20="NO",N20))</f>
        <v>113900</v>
      </c>
      <c r="D8" s="29">
        <v>0</v>
      </c>
      <c r="E8" s="33"/>
      <c r="F8" s="139"/>
      <c r="G8" s="140"/>
      <c r="H8" s="110">
        <f>G7*20/100</f>
        <v>27871.782750000002</v>
      </c>
      <c r="I8" s="34"/>
      <c r="J8" s="34" t="s">
        <v>15</v>
      </c>
      <c r="K8" s="34">
        <f>(I7*K5+I7)/24</f>
        <v>4645.2971250000001</v>
      </c>
      <c r="L8" s="34">
        <f>(I7*L5+I7)/36</f>
        <v>3201.8484650250002</v>
      </c>
      <c r="M8" s="34">
        <f>(I7*M5+I7)/48</f>
        <v>2480.1241350375003</v>
      </c>
      <c r="N8" s="34">
        <f>(I7*N5+I7)/60</f>
        <v>2047.0895370450003</v>
      </c>
      <c r="O8" s="147">
        <v>0</v>
      </c>
      <c r="P8" s="2">
        <f>P7/12</f>
        <v>2420.1998021250001</v>
      </c>
      <c r="T8" s="1">
        <f>25973-12973</f>
        <v>13000</v>
      </c>
    </row>
    <row r="9" spans="1:27" ht="24.6" x14ac:dyDescent="0.4">
      <c r="A9" s="8">
        <f>B8/(100%-A8)</f>
        <v>142375</v>
      </c>
      <c r="B9" s="109">
        <f>B7-B8</f>
        <v>0</v>
      </c>
      <c r="C9" s="109"/>
      <c r="D9" s="36"/>
      <c r="E9" s="33"/>
      <c r="F9" s="139"/>
      <c r="G9" s="140"/>
      <c r="H9" s="33"/>
      <c r="I9" s="37" t="s">
        <v>16</v>
      </c>
      <c r="J9" s="38">
        <f>(J7*12)-I7</f>
        <v>4336.8493958999898</v>
      </c>
      <c r="K9" s="38">
        <f>(K7*24)-I7</f>
        <v>8673.6987917999941</v>
      </c>
      <c r="L9" s="38">
        <f>(L7*36)-I7</f>
        <v>13010.548187699998</v>
      </c>
      <c r="M9" s="38">
        <f>(M7*48)-I7</f>
        <v>17347.397583600003</v>
      </c>
      <c r="N9" s="38">
        <f>(N7*60)-I7</f>
        <v>21684.246979500007</v>
      </c>
      <c r="O9" s="147"/>
      <c r="T9" s="1">
        <f>T8/12</f>
        <v>1083.3333333333333</v>
      </c>
      <c r="Z9" s="1" t="s">
        <v>86</v>
      </c>
    </row>
    <row r="10" spans="1:27" ht="24.6" x14ac:dyDescent="0.4">
      <c r="A10" s="8"/>
      <c r="B10" s="37" t="s">
        <v>141</v>
      </c>
      <c r="C10" s="20" t="s">
        <v>17</v>
      </c>
      <c r="D10" s="36">
        <f>IF(C10="YES",700,IF(C10="NO",0))</f>
        <v>0</v>
      </c>
      <c r="E10" s="39"/>
      <c r="F10" s="40"/>
      <c r="G10" s="40"/>
      <c r="H10" s="33"/>
      <c r="I10" s="44" t="s">
        <v>85</v>
      </c>
      <c r="J10" s="117" t="s">
        <v>19</v>
      </c>
      <c r="K10" s="117">
        <f>IF(J10="YES",Z10,IF(J10="NO",0))</f>
        <v>1000</v>
      </c>
      <c r="L10" s="41">
        <f>(L8*36)-I7</f>
        <v>3779.4137408999959</v>
      </c>
      <c r="M10" s="41">
        <f>(M8*48)-I7</f>
        <v>7558.8274818000064</v>
      </c>
      <c r="N10" s="41">
        <f>(N8*60)-I7</f>
        <v>11338.241222700002</v>
      </c>
      <c r="O10" s="147">
        <f>IF(D5="XC",3690,IF(D5="XPML",3690,IF(D5="XPHL",3690,IF(D5="XPMLP",3690,IF(D5="XPMLP-01",3690,IF(D5="Xpander P",3690,IF(D5="ML",3690,IF(D5="HL",3690,IF(D5="PR",(U19*3/100+510)*1.05,IF(D5="MLP",3690,IF(D5="HLP",(U19*3/100+510)*1.05,IF(D5="PRP",(U19*3/100+510)*1.05,IF(D5="H57",(U19*2.75/100+510)*1.05,IF(D5="P57",(U19*2.75/100+510)*1.05,IF(D5="H64",(U19*2.75/100+510)*1.05,IF(D5="H59",(U19*2.75/100+510)*1.05,IF(D5="P59",(U19*2.75/100+510)*1.05,IF(D5="H61",(U19*2.75/100+510)*1.05,IF(D5="P61",(U19*2.75/100+510)*1.05,IF(D5="G03",(U19*3/100+510)*1.05,IF(D5="G10",(U19*3/100+510)*1.05,IF(D5="P10",(U19*3/100+510)*1.05,IF(D5="G12",(U19*3/100+510)*1.05,IF(D5="P12",(U19*3/100+510)*1.05,IF(D5="G05",(U19*3/100+510)*1.05,IF(D5="P05",(U19*3/100+510)*1.05,IF(D5="P03",(U19*3/100+510)*1.05,IF(D5="G06",(U19*3/100+510)*1.05,IF(D5="P06",(U19*3/100+510)*1.05,IF(D5="OTP06-01",(U19*3/100+510)*1.05,IF(D5="G08",(U19*3/100+510)*1.05,IF(D5="P08",(U19*3/100+510)*1.05,IF(D5="G09",(U19*3/100+510)*1.05,IF(D5="P09",(U19*3/100+510)*1.05,IF(D5="H38",3625,IF(D5="H37",3625,IF(D5="EH40",(U19*3/100+450)*1.05,IF(D5="EH43",(U19*3/100+450)*1.05,IF(D5="H48",3625,IF(D5="H43",3625,IF(D5="H40",3625,IF(D5="H42",3625,IF(D5="H44",3625,IF(D5="H45",3625,IF(D5="ASX HL 4WD",3625,IF(D5="H16",3625,IF(D5="H17",3625,IF(D5="P16",3625,IF(D5="Attrage S",3625,IF(D5="MIG09",3625,IF(D5="MIG10",3625,IF(D5="Xpander HL",3690))))))))))))))))))))))))))))))))))))))))))))))))))))</f>
        <v>4310.1843749999998</v>
      </c>
      <c r="P10" s="204"/>
      <c r="Q10" s="204">
        <f>5.25*3</f>
        <v>15.75</v>
      </c>
      <c r="Z10" s="1">
        <f>IF(D5="MIG09",1000,IF(D5="MIG10",1000,IF(D5="H16",1000,IF(D5="P16",1000,IF(D5="H17",1000,IF(D5="H48",1000,IF(D5="H43",1000,IF(D5="H40",1000,IF(D5="H42",1000,IF(D5="H44",1000,IF(D5="H45",1000,IF(D5="H38",1000,IF(D5="H37",1000,IF(D5="EH40",1000,IF(D5="EH43",1000,IF(D5="ML",1000,IF(D5="HL",1000,IF(D5="PR",1000,IF(D5="MLP",1000,IF(D5="HLP",1000,IF(D5="PRP",1000,IF(D5="XPML",1000,IF(D5="XPHL",1000,IF(D5="XPMLP",1000,IF(D5="XPMLP-01",1000,IF(D5="XC",1000,IF(D5="G10",1000,IF(D5="P10",1000,IF(D5="G12",1000,IF(D5="P12",1000,IF(D5="G05",1000,IF(D5="P05",1000,IF(D5="G03",1000,IF(D5="P03",1000,IF(D5="G06",1000,IF(D5="P06",1000,IF(D5="OTP06-01",1000,IF(D5="G08",1000,IF(D5="P08",1000,IF(D5="OTP06-01",1000,IF(D5="G09",1000,IF(D5="P09",1000,IF(D5="H57",1000,IF(D5="P57",1000,IF(D5="H64",1000,IF(D5="H59",1000,IF(D5="P59",1000,IF(D5="H61",1000,IF(D5="P61",1000)))))))))))))))))))))))))))))))))))))))))))))))))</f>
        <v>1000</v>
      </c>
    </row>
    <row r="11" spans="1:27" ht="24.6" x14ac:dyDescent="0.4">
      <c r="A11" s="8"/>
      <c r="B11" s="37" t="s">
        <v>18</v>
      </c>
      <c r="C11" s="20" t="s">
        <v>19</v>
      </c>
      <c r="D11" s="203">
        <f>IF(C11="YES",O17,IF(C11="NO",0))</f>
        <v>2700</v>
      </c>
      <c r="E11" s="39"/>
      <c r="F11" s="40"/>
      <c r="G11" s="40"/>
      <c r="H11" s="33"/>
      <c r="I11" s="33"/>
      <c r="J11" s="44" t="s">
        <v>76</v>
      </c>
      <c r="K11" s="44">
        <f>H8-K10</f>
        <v>26871.782750000002</v>
      </c>
      <c r="L11" s="37"/>
      <c r="M11" s="37"/>
      <c r="N11" s="38"/>
      <c r="O11" s="147">
        <f>IF(D5="XC",6100,IF(D5="XPML",6100,IF(D5="XPHL",6100,IF(D5="XPMLP",6100,IF(D5="XPMLP-01",6100,IF(D5="Xpander P",6100,IF(D5="ML",6600,IF(D5="HL",6600,IF(D5="PR",6600,IF(D5="MLP",6600,IF(D5="HLP",6600,IF(D5="PRP",6600,IF(D5="H57",5900,IF(D5="P57",5900,IF(D5="H64",5900,IF(D5="H59",5900,IF(D5="P59",5900,IF(D5="H61",5900,IF(D5="P61",5900,IF(D5="G03",6700,IF(D5="G10",6700,IF(D5="P10",6700,IF(D5="G12",6700,IF(D5="P12",6700,IF(D5="G05",6700,IF(D5="P05",6700,IF(D5="P03",6700,IF(D5="G06",6700,IF(D5="P06",6700,IF(D5="OTP06-01",6700,IF(D5="G08",6700,IF(D5="G09",6700,IF(D5="G08",6700,IF(D5="P08",6700,IF(D5="P09",6700,IF(D5="H37",6400,IF(D5="H38",6400,IF(D5="EH40",6400,IF(D5="EH43",6400,IF(D5="H48",6600,IF(D5="H43",6600,IF(D5="H40",6600,IF(D5="H42",6600,IF(D5="H44",6600,IF(D5="H45",6600,IF(D5="ASX HL 4WD",6600,IF(D5="H16",5400,IF(D5="H17",5400,IF(D5="P16",5400,IF(D5="Attrage S",5400,IF(D5="MIG09",5400,IF(D5="MIG10",5400,IF(D5="Xpander HL",6000)))))))))))))))))))))))))))))))))))))))))))))))))))))</f>
        <v>5900</v>
      </c>
      <c r="P11" s="147"/>
      <c r="Q11" s="147"/>
      <c r="R11" s="147"/>
      <c r="S11" s="147"/>
      <c r="T11" s="147"/>
      <c r="U11" s="147">
        <f>IF(D5="XC",4900,IF(D5="XPML",4900,IF(D5="XPHL",4900,IF(D5="XPMLP",4900,IF(D5="XPMLP-01",4900,IF(D5="Xpander P",4900,IF(D5="ML",5400,IF(D5="HL",5400,IF(D5="PR",5400,IF(D5="MLP",5400,IF(D5="HLP",5400,IF(D5="PRP",5400,IF(D5="H57",4600,IF(D5="P57",4600,IF(D5="MOG64",4600,IF(D5="H59",4600,IF(D5="P59",4600,IF(D5="H61",4600,IF(D5="P61",4600,IF(D5="G03",5500,IF(D5="P03",5500,IF(D5="G10",5500,IF(D5="P10",5500,IF(D5="G12",5500,IF(D5="P12",5500,IF(D5="G05",5500,IF(D5="P05",5500,IF(D5="G06",5500,IF(D5="P06",5500,IF(D5="OTP06-01",5500,IF(D5="F08",5500,IF(D5="P08",5500,IF(D5="G09",5500,IF(D5="P09",5500,IF(D5="H38",5200,IF(D5="H37",5200,IF(D5="EH40",5200,IF(D5="EH43",5200,IF(D5="H48",5300,IF(D5="H43",5300,IF(D5="H40",5300,IF(D5="H42",5300,IF(D5="H44",5300,IF(D5="H45",5300,IF(D5="ASX HL",5300,IF(D5="ASX P",5300,IF(D5="ASX HL 4WD",5300,IF(D5="H16",4200,IF(D5="H17",4200,IF(D5="P16",4200,IF(D5="Attrage S",4200,IF(D5="MIG09",4200,IF(D5="MIG10",4200,IF(D5="Xpander HL",4900))))))))))))))))))))))))))))))))))))))))))))))))))))))</f>
        <v>4600</v>
      </c>
      <c r="V11" s="147">
        <f>IF(D5="XC",9700,IF(D5="XPML",9700,IF(D5="XPHL",9700,IF(D5="XPMLP",9700,IF(D5="XPMLP-01",9700,IF(D5="XPMLP-01",9700,IF(D5="Xpander P",9700,IF(D5="ML",10800,IF(D5="HL",10800,IF(D5="PR",10800,IF(D5="MLP",10800,IF(D5="HLP",10800,IF(D5="PRP",10800,IF(D5="H57",9300,IF(D5="P57",9300,IF(D5="MG64",9300,IF(D5="H59",9300,IF(D5="P59",9300,IF(D5="H61",9300,IF(D5="P61",9300,IF(D5="G03",11000,IF(D5="G10",11000,IF(D5="P10",11000,IF(D5="G12",11000,IF(D5="P12",11000,IF(D5="G05",11000,IF(D5="P05",11000,IF(D5="P03",11000,IF(D5="G06",11000,IF(D5="P06",11000,IF(D5="OTP06-01",11000,IF(D5="G08",11000,IF(D5="P08",11000,IF(D5="G09",11000,IF(D5="P09",11000,IF(D5="H38",10400,IF(D5="H37",10400,IF(D5="EH40",10400,IF(D5="EH43",10400,IF(D5="H48",10700,IF(D5="H43",10700,IF(D5="H40",10700,IF(D5="H42",10700,IF(D5="H44",10800,IF(D5="H45",10800,IF(D5="ASX HL",12200,IF(D5="ASX P",12200,IF(D5="ASX HL 4WD",12200,IF(D5="H16",8500,IF(D5="H17",8500,IF(D5="P16",8500,IF(D5="Attrage S",9600,IF(D5="MIG09",8500,IF(D5="MIG10",8500,IF(D5="Xpander HL",11300)))))))))))))))))))))))))))))))))))))))))))))))))))))))</f>
        <v>9300</v>
      </c>
      <c r="W11" s="147">
        <f>IF(D5="XC",9200,IF(D5="XPML",9200,IF(D5="XPHL",9200,IF(D5="XPMLP",9200,IF(D5="XPMLP-01",9200,IF(D5="Xpander P",9200,IF(D5="ML",10000,IF(D5="HL",10000,IF(D5="PR",10000,IF(D5="MLP",10000,IF(D5="HLP",10000,IF(D5="PRP",10000,IF(D5="H57",8700,IF(D5="P57",8700,IF(D5="H64",8700,IF(D5="H59",8700,IF(D5="P59",8700,IF(D5="H61",8700,IF(D5="P61",8700,IF(D5="G03",10400,IF(D5="P03",10400,IF(D5="G10",10400,IF(D5="P10",10400,IF(D5="G12",10400,IF(D5="P12",10400,IF(D5="G05",10400,IF(D5="P05",10400,IF(D5="G06",10400,IF(D5="P06",10400,IF(D5="OTP06-01",10400,IF(D5="G08",10400,IF(D5="P08",10400,IF(D5="G09",10400,IF(D5="P09",10400,IF(D5="H38",9800,IF(D5="H37",9800,IF(D5="EH40",9800,IF(D5="EH43",9800,IF(D5="H48",10100,IF(D5="H43",10100,IF(D5="H40",10100,IF(D5="H42",10100,IF(D5="H44",10100,IF(D5="H45",10100,IF(D5="ASX HL",10100,IF(D5="ASX P",10100,IF(D5="ASX HL 4WD",10100,IF(D5="H16",7900,IF(D5="H17",7900,IF(D5="P16",7900,IF(D5="Attrage S",7900,IF(D5="MIG09",7900,IF(D5="MIG10",7900,IF(D5="Xpander HL",9200))))))))))))))))))))))))))))))))))))))))))))))))))))))</f>
        <v>8700</v>
      </c>
      <c r="X11" s="147">
        <f>IF(D5="XC",4500,IF(D5="XPML",4500,IF(D5="XPHL",4500,IF(D5="XPMLP",4500,IF(D5="XPMLP-01",4500,IF(D5="Xpander P",4500,IF(D5="ML",5000,IF(D5="HL",5000,IF(D5="PR",5000,IF(D5="MLP",5000,IF(D5="HLP",5000,IF(D5="PRP",5000,IF(D5="H57",8700,IF(D5="P57",8700,IF(D5="MOG64",4300,IF(D5="H59",4300,IF(D5="P59",4300,IF(D5="H61",4300,IF(D5="P61",4300,IF(D5="G03",5000,IF(D5="P03",5000,IF(D5="G10",5000,IF(D5="P10",5000,IF(D5="G12",5000,IF(D5="P12",5000,IF(D5="G05",5000,IF(D5="P05",5000,IF(D5="G06",5000,IF(D5="P06",5000,IF(D5="OTP06-01",5000,IF(D5="G08",5000,IF(D5="P08",5000,IF(D5="G09",5000,IF(D5="P09",5000,IF(D5="H38",4900,IF(D5="H37",4900,IF(D5="EH40",4900,IF(D5="EH43",4900,IF(D5="H48",4900,IF(D5="H43",4900,IF(D5="H40",4900,IF(D5="H42",4900,IF(D5="H44",4900,IF(D5="H45",4900,IF(D5="ASX HL",4900,IF(D5="ASX P",4900,IF(D5="ASX HL 4WD",4900,IF(D5="H16",3700,IF(D5="H17",3700,IF(D5="P16",3700,IF(D5="Attrage S",3700,IF(D5="MIG09",3700,IF(D5="MIG10",3700,IF(D5="Xpander HL",4500))))))))))))))))))))))))))))))))))))))))))))))))))))))</f>
        <v>8700</v>
      </c>
      <c r="Y11" s="147" t="b">
        <f>IF(D5="XC",5400,IF(D5="XPML ",5400,IF(D5="XPHL",5400,IF(D5="XPMLP",5400,IF(D5="XPMLP-01",5400,IF(D5="Xpander P",5400,IF(D5="ML",6000,IF(D5="HL",6000,IF(D5="PR",6000,IF(D5="MLP",6000,IF(D5="HLP",6000,IF(D5="PRP",6000,IF(D5="H57",5200,IF(D5="57",5200,IF(D5="H64",5200,IF(D5="H59",5200,IF(D5="P59",5200,IF(D5="H61",5200,IF(D5="P61",5200,IF(D5="G03",6000,IF(D5="P03",6000,IF(D5="G10",6000,IF(D5="P10",6000,IF(D5="G12",6000,IF(D5="P12",6000,IF(D5="G05",6000,IF(D5="P05",6000,IF(D5="G06",6000,IF(D5="P06",6000,IF(D5="OTP06-01",6000,IF(D5="G08",6000,IF(D5="P08",6000,IF(D5="G09",6000,IF(D5="P09",6000,IF(D5="H38",5700,IF(D5="H37",5700,IF(D5="EH40",5700,IF(D5="EH43",5700,IF(D5="H48",5900,IF(D5="H43",5900,IF(D5="H40",5900,IF(D5="H42",5900,IF(D5="H44",5900,IF(D5="H45",5900,IF(D5="ASX HL",5900,IF(D5="ASX P",5900,IF(D5="ASX HL 4WD",5900,IF(D5="H16",4500,IF(D5="H17",4500,IF(D5="P16",4500,IF(D5="Attrage S",4500,IF(D5="MIG09",4500,IF(D5="MIG10",4500,IF(D5="Xpander HL",5400))))))))))))))))))))))))))))))))))))))))))))))))))))))</f>
        <v>0</v>
      </c>
    </row>
    <row r="12" spans="1:27" ht="24.6" x14ac:dyDescent="0.4">
      <c r="A12" s="8"/>
      <c r="B12" s="37" t="s">
        <v>20</v>
      </c>
      <c r="C12" s="20" t="s">
        <v>17</v>
      </c>
      <c r="D12" s="36">
        <f>IF(C12="YES",2000,IF(C12="NO",0))</f>
        <v>0</v>
      </c>
      <c r="E12" s="43"/>
      <c r="F12" s="43" t="s">
        <v>21</v>
      </c>
      <c r="G12" s="40"/>
      <c r="H12" s="33">
        <v>600</v>
      </c>
      <c r="I12" s="33"/>
      <c r="J12" s="202" t="s">
        <v>140</v>
      </c>
      <c r="K12" s="45">
        <v>0</v>
      </c>
      <c r="L12" s="45">
        <v>5.2499999999999998E-2</v>
      </c>
      <c r="M12" s="45">
        <v>0.126</v>
      </c>
      <c r="N12" s="201">
        <v>0.26250000000000001</v>
      </c>
      <c r="O12" s="147">
        <f>IF(K20="Esaad",B8*3/100,IF(K20="Emirates Platinum",B8*3/100,IF(K20="Fazaa",B8*3/100,IF(K20="Humat Alwatan",B8*3/100,IF(K20="Permissible",2000,IF(K20="ASX",8400,IF(K20="XPMLP",15100,IF(K20="XP",7200,IF(K20="G43",11000,IF(K20="EC",17000,IF(K20="G37",17000,IF(K20="G38",15000,IF(K20="G40",11000,IF(K20="OUT",3000,IF(K20="F08",14400,IF(K20="P08",11100,IF(K20="F06",13100,IF(K20="P06",13400,IF(K20="F03",3500,IF(K20="F03-1",13500,IF(K20="P03",13100,IF(K20="MON",10000,IF(K20="MON G57",9000,0)))))))))))))))))))))))</f>
        <v>2000</v>
      </c>
      <c r="Z12" s="86" t="s">
        <v>83</v>
      </c>
      <c r="AA12" s="86" t="s">
        <v>84</v>
      </c>
    </row>
    <row r="13" spans="1:27" ht="24.6" x14ac:dyDescent="0.4">
      <c r="A13" s="8">
        <f>B8*1.26582</f>
        <v>144176.89799999999</v>
      </c>
      <c r="B13" s="37" t="s">
        <v>23</v>
      </c>
      <c r="C13" s="20" t="s">
        <v>19</v>
      </c>
      <c r="D13" s="36">
        <f>IF(C13="YES",2000,IF(C13="NO",0))</f>
        <v>2000</v>
      </c>
      <c r="E13" s="47"/>
      <c r="F13" s="47" t="s">
        <v>75</v>
      </c>
      <c r="G13" s="51"/>
      <c r="H13" s="39">
        <v>315</v>
      </c>
      <c r="I13" s="33"/>
      <c r="J13" s="44" t="s">
        <v>54</v>
      </c>
      <c r="K13" s="29" t="s">
        <v>79</v>
      </c>
      <c r="L13" s="29" t="s">
        <v>25</v>
      </c>
      <c r="M13" s="29" t="s">
        <v>0</v>
      </c>
      <c r="N13" s="57" t="s">
        <v>26</v>
      </c>
      <c r="O13" s="9">
        <f>IF(M21="3000-4999",6%,IF(M21="5000-9999",4.75%,IF(M21="10000-14999",3.15%,IF(M21="15000-24999",2.5%,IF(M21="25000-34999",2.25%,IF(M21="35000-99999",2.15%))))))</f>
        <v>4.7500000000000001E-2</v>
      </c>
      <c r="Q13" s="2">
        <f>H7/12</f>
        <v>2322.6485625</v>
      </c>
      <c r="U13" s="9">
        <f>IF(M21="3000-4999",6%,IF(M21="5000-9999",3.25%,IF(M21="10000-14999",3%,IF(M21="15000-24999",2.25%,IF(M21="25000-34999",2.15%,IF(M21="35000-99999",1.99%))))))</f>
        <v>3.2500000000000001E-2</v>
      </c>
      <c r="Z13" s="99">
        <f>IF(M21="5000-9999",2.49%,IF(M21="10000-19999",2.19%,IF(M21="20000-34999",2.09%,IF(M21="35000-49999",1.89%,IF(M21="50000-99999",1.79%)))))</f>
        <v>2.4900000000000002E-2</v>
      </c>
      <c r="AA13" s="99">
        <f>IF(M21="5000-9999",2.59%,IF(M21="10000-19999",2.29%,IF(M21="20000-34999",2.19%,IF(M21="35000-49999",1.99%,IF(M21="50000-99999",1.89%)))))</f>
        <v>2.5899999999999999E-2</v>
      </c>
    </row>
    <row r="14" spans="1:27" ht="24.6" x14ac:dyDescent="0.4">
      <c r="A14" s="10" t="s">
        <v>27</v>
      </c>
      <c r="B14" s="37" t="s">
        <v>24</v>
      </c>
      <c r="C14" s="20" t="s">
        <v>19</v>
      </c>
      <c r="D14" s="50">
        <f>IF(C14="YES",U19*3.15*1.05/100,IF(C14="NO",U19*0/100))</f>
        <v>4323.7293749999999</v>
      </c>
      <c r="E14" s="48"/>
      <c r="F14" s="48" t="s">
        <v>24</v>
      </c>
      <c r="G14" s="51" t="s">
        <v>17</v>
      </c>
      <c r="H14" s="39">
        <f>IF(G14="YES",U19*3.15*1.05/100,IF(G14="NO",U19*0/100))</f>
        <v>0</v>
      </c>
      <c r="I14" s="33"/>
      <c r="J14" s="44" t="s">
        <v>55</v>
      </c>
      <c r="K14" s="44">
        <f>(H8*K12+H8)/3</f>
        <v>9290.5942500000001</v>
      </c>
      <c r="L14" s="44">
        <f>(H8*L12+H8)/12</f>
        <v>2444.58761203125</v>
      </c>
      <c r="M14" s="44">
        <f>(H8*M12+H8)/24</f>
        <v>1307.6511406874999</v>
      </c>
      <c r="N14" s="200">
        <f>(H7*N12+H7)/60</f>
        <v>586.46876203125009</v>
      </c>
      <c r="O14" s="9">
        <f>IF(M21="3000-4999",3.89%,IF(M21="5000-9999",3.89%,IF(M21="10000-14999",3.89%,IF(M21="15000-24999",2.69%,IF(M21="25000-34999",2.69%,IF(M21="35000-99999",2.39%,IF(M21="76000-99999",2.5%)))))))</f>
        <v>3.8900000000000004E-2</v>
      </c>
    </row>
    <row r="15" spans="1:27" ht="24.6" x14ac:dyDescent="0.4">
      <c r="A15" s="11">
        <f>(B7*3%)+10+120</f>
        <v>3547</v>
      </c>
      <c r="B15" s="37" t="s">
        <v>28</v>
      </c>
      <c r="C15" s="20" t="s">
        <v>19</v>
      </c>
      <c r="D15" s="29">
        <f>IF(C15="YES",O10,IF(C15="NO",0))</f>
        <v>4310.1843749999998</v>
      </c>
      <c r="E15" s="48"/>
      <c r="F15" s="48" t="s">
        <v>53</v>
      </c>
      <c r="G15" s="51" t="s">
        <v>17</v>
      </c>
      <c r="H15" s="39">
        <f>IF(G15="YES",O10,IF(G15="NO",0))</f>
        <v>0</v>
      </c>
      <c r="I15" s="33"/>
      <c r="J15" s="44"/>
      <c r="K15" s="44"/>
      <c r="L15" s="44"/>
      <c r="M15" s="44"/>
      <c r="N15" s="198"/>
      <c r="O15" s="9" t="b">
        <f>IF(M21="3000-4999",4.99%, IF(M21="5000-11999",2.75%,IF(M21="12000-19999",2.75%,IF(M21="20000-39999",2.25%,IF(M21="40000-69999",2.25%,IF(M21="70000-99999",2.25%))))))</f>
        <v>0</v>
      </c>
      <c r="P15" s="191"/>
    </row>
    <row r="16" spans="1:27" ht="24.6" x14ac:dyDescent="0.4">
      <c r="A16" s="11">
        <f>((B7-B8)*3%+10+120)</f>
        <v>130</v>
      </c>
      <c r="B16" s="37" t="s">
        <v>78</v>
      </c>
      <c r="C16" s="20" t="s">
        <v>19</v>
      </c>
      <c r="D16" s="29">
        <f>IF(C16="YES",O16,IF(C16="NO",0))</f>
        <v>5900</v>
      </c>
      <c r="E16" s="47"/>
      <c r="F16" s="47" t="s">
        <v>74</v>
      </c>
      <c r="G16" s="54"/>
      <c r="H16" s="33">
        <f>I7*1.05%</f>
        <v>1170.6148755000002</v>
      </c>
      <c r="I16" s="33"/>
      <c r="J16" s="44" t="s">
        <v>16</v>
      </c>
      <c r="K16" s="44">
        <f>(K14*3)-H8</f>
        <v>0</v>
      </c>
      <c r="L16" s="44">
        <f>(L14*12)-H8</f>
        <v>1463.2685943750002</v>
      </c>
      <c r="M16" s="44">
        <f>(M14*24)-H8</f>
        <v>3511.8446264999984</v>
      </c>
      <c r="N16" s="198"/>
      <c r="O16" s="147">
        <f>IF(B16="RMC-10-70KMS",O11,IF(B16="RMC-10-100000KMS",V11,IF(B16="RMC-40-70KMS",U11, IF(B16="RMC-10-40KMS",X11, IF(B16="RMC-10-60KMS",Y11, IF(B16="RMC-40-100000KMS",W11,0))))))</f>
        <v>5900</v>
      </c>
    </row>
    <row r="17" spans="1:23" ht="24.6" x14ac:dyDescent="0.4">
      <c r="A17" s="11">
        <f>A15+A16</f>
        <v>3677</v>
      </c>
      <c r="B17" s="37"/>
      <c r="C17" s="20"/>
      <c r="D17" s="29">
        <f>SUM(D10:D16)</f>
        <v>19233.91375</v>
      </c>
      <c r="E17" s="48"/>
      <c r="F17" s="48"/>
      <c r="G17" s="54"/>
      <c r="H17" s="33">
        <f>+SUM(H12:H16)+(H7)</f>
        <v>29957.397625500002</v>
      </c>
      <c r="I17" s="33"/>
      <c r="J17" s="20"/>
      <c r="K17" s="199"/>
      <c r="L17" s="199"/>
      <c r="M17" s="199"/>
      <c r="N17" s="198"/>
      <c r="O17" s="147">
        <f>IF(B11="FO Ceramic+ Intr&amp;Extr CeramicGold WdwTnt",2700,IF(B11="FO Mirror Camera Sensor",2000))</f>
        <v>2700</v>
      </c>
      <c r="T17" s="1">
        <f>19615-791</f>
        <v>18824</v>
      </c>
    </row>
    <row r="18" spans="1:23" ht="24.6" x14ac:dyDescent="0.4">
      <c r="A18" s="12" t="s">
        <v>29</v>
      </c>
      <c r="B18" s="55" t="s">
        <v>30</v>
      </c>
      <c r="C18" s="197"/>
      <c r="D18" s="57">
        <v>0</v>
      </c>
      <c r="E18" s="38"/>
      <c r="F18" s="20"/>
      <c r="G18" s="20"/>
      <c r="H18" s="37"/>
      <c r="I18" s="37"/>
      <c r="J18" s="37"/>
      <c r="K18" s="37"/>
      <c r="L18" s="37"/>
      <c r="M18" s="37"/>
      <c r="N18" s="37"/>
      <c r="O18" s="9" t="b">
        <f>IF(M21="5000-99999",1.99%)</f>
        <v>0</v>
      </c>
      <c r="U18" s="196" t="s">
        <v>52</v>
      </c>
      <c r="V18" s="196" t="s">
        <v>52</v>
      </c>
    </row>
    <row r="19" spans="1:23" ht="24.6" x14ac:dyDescent="0.4">
      <c r="A19" s="11">
        <f>B8*3.15%</f>
        <v>3587.85</v>
      </c>
      <c r="B19" s="58" t="s">
        <v>31</v>
      </c>
      <c r="C19" s="59"/>
      <c r="D19" s="60">
        <f>IF(K21="DIB EXPAT",O13,IF(K21="DIB LOCAL GVH",U13,IF(K21="Emirates NBD",O14,IF(K21="ADCB",O15,IF(K21="ADCB PAY IN 2027",O19,IF(K21="Ajman Bank",O18,IF(K21="SIB STL",Z13,IF(K21="SIB NON STL",AA13,))))))))</f>
        <v>3.8900000000000004E-2</v>
      </c>
      <c r="E19" s="20"/>
      <c r="F19" s="195"/>
      <c r="G19" s="141" t="s">
        <v>73</v>
      </c>
      <c r="H19" s="142"/>
      <c r="I19" s="143"/>
      <c r="J19" s="109">
        <f>(U19*20/100)/365</f>
        <v>71.630136986301366</v>
      </c>
      <c r="K19" s="37"/>
      <c r="L19" s="37"/>
      <c r="M19" s="37"/>
      <c r="N19" s="34">
        <f>D7</f>
        <v>119595</v>
      </c>
      <c r="O19" s="194" t="b">
        <f>IF(M21="5000-11999",3.35%,IF(M21="12000-19999",3.35%,IF(M21="20000-39999",2.85%,IF(M21="40000-69999",2.85%,IF(M21="70000-99999",2.85%)))))</f>
        <v>0</v>
      </c>
      <c r="P19" s="2">
        <f>81400-2500</f>
        <v>78900</v>
      </c>
      <c r="U19" s="193">
        <f>V19</f>
        <v>130725</v>
      </c>
      <c r="V19" s="192">
        <f>(B7+D10+D11+D12+D13+D16)*1.05</f>
        <v>130725</v>
      </c>
    </row>
    <row r="20" spans="1:23" ht="24.6" x14ac:dyDescent="0.4">
      <c r="A20" s="11"/>
      <c r="B20" s="58" t="s">
        <v>32</v>
      </c>
      <c r="C20" s="59"/>
      <c r="D20" s="63">
        <v>0.2</v>
      </c>
      <c r="E20" s="37"/>
      <c r="F20" s="37"/>
      <c r="G20" s="38"/>
      <c r="H20" s="38"/>
      <c r="I20" s="38"/>
      <c r="J20" s="103"/>
      <c r="K20" s="104" t="s">
        <v>33</v>
      </c>
      <c r="L20" s="104" t="s">
        <v>17</v>
      </c>
      <c r="M20" s="104">
        <f>IF(L20="YES",O12,IF(L20="NO",0))</f>
        <v>0</v>
      </c>
      <c r="N20" s="34">
        <f>B8-M20</f>
        <v>113900</v>
      </c>
      <c r="O20" s="187"/>
      <c r="P20" s="191"/>
      <c r="T20" s="1">
        <f>1992+1084</f>
        <v>3076</v>
      </c>
      <c r="U20" s="186"/>
      <c r="V20" s="2"/>
    </row>
    <row r="21" spans="1:23" ht="24.6" x14ac:dyDescent="0.4">
      <c r="A21" s="13">
        <f>A19+A20</f>
        <v>3587.85</v>
      </c>
      <c r="B21" s="37"/>
      <c r="C21" s="20"/>
      <c r="D21" s="37"/>
      <c r="E21" s="37"/>
      <c r="F21" s="37"/>
      <c r="G21" s="37"/>
      <c r="H21" s="37"/>
      <c r="I21" s="37"/>
      <c r="J21" s="190" t="s">
        <v>34</v>
      </c>
      <c r="K21" s="16" t="s">
        <v>139</v>
      </c>
      <c r="L21" s="16" t="s">
        <v>35</v>
      </c>
      <c r="M21" s="189" t="s">
        <v>80</v>
      </c>
      <c r="N21" s="188"/>
      <c r="O21" s="187"/>
      <c r="T21" s="1">
        <f>25973-12973</f>
        <v>13000</v>
      </c>
      <c r="U21" s="186">
        <f>M14+N7</f>
        <v>3527.1741070124999</v>
      </c>
    </row>
    <row r="22" spans="1:23" s="179" customFormat="1" ht="24.6" x14ac:dyDescent="0.4">
      <c r="A22" s="185"/>
      <c r="B22" s="184" t="s">
        <v>51</v>
      </c>
      <c r="C22" s="183"/>
      <c r="D22" s="183"/>
      <c r="E22" s="183"/>
      <c r="F22" s="183"/>
      <c r="G22" s="183"/>
      <c r="H22" s="183"/>
      <c r="I22" s="183"/>
      <c r="J22" s="183"/>
      <c r="K22" s="183"/>
      <c r="L22" s="183"/>
      <c r="M22" s="183"/>
      <c r="N22" s="182"/>
      <c r="O22" s="181"/>
      <c r="P22" s="180"/>
    </row>
    <row r="23" spans="1:23" s="168" customFormat="1" ht="26.4" x14ac:dyDescent="0.5">
      <c r="A23" s="175" t="s">
        <v>36</v>
      </c>
      <c r="B23" s="172" t="s">
        <v>138</v>
      </c>
      <c r="C23" s="169"/>
      <c r="D23" s="169"/>
      <c r="E23" s="169"/>
      <c r="F23" s="169"/>
      <c r="G23" s="169"/>
      <c r="H23" s="176"/>
      <c r="I23" s="176"/>
      <c r="J23" s="169"/>
      <c r="K23" s="169"/>
      <c r="L23" s="169"/>
      <c r="M23" s="169"/>
      <c r="N23" s="178"/>
      <c r="O23" s="170"/>
      <c r="P23" s="169"/>
    </row>
    <row r="24" spans="1:23" s="168" customFormat="1" ht="26.4" x14ac:dyDescent="0.5">
      <c r="A24" s="175" t="s">
        <v>36</v>
      </c>
      <c r="B24" s="172" t="s">
        <v>137</v>
      </c>
      <c r="C24" s="169"/>
      <c r="D24" s="169"/>
      <c r="E24" s="169"/>
      <c r="F24" s="169"/>
      <c r="G24" s="169"/>
      <c r="H24" s="177">
        <f>H7/365</f>
        <v>76.361048630136992</v>
      </c>
      <c r="I24" s="177">
        <f>H7+H12+H16</f>
        <v>29642.397625500002</v>
      </c>
      <c r="J24" s="169"/>
      <c r="K24" s="169"/>
      <c r="L24" s="169"/>
      <c r="M24" s="169"/>
      <c r="N24" s="173"/>
      <c r="O24" s="170"/>
      <c r="P24" s="169">
        <f>1232+480</f>
        <v>1712</v>
      </c>
      <c r="T24" s="168">
        <f>88704/1.05</f>
        <v>84480</v>
      </c>
    </row>
    <row r="25" spans="1:23" s="168" customFormat="1" ht="26.4" x14ac:dyDescent="0.5">
      <c r="A25" s="175" t="s">
        <v>36</v>
      </c>
      <c r="B25" s="172" t="s">
        <v>136</v>
      </c>
      <c r="C25" s="169"/>
      <c r="D25" s="169"/>
      <c r="E25" s="169"/>
      <c r="F25" s="169"/>
      <c r="G25" s="169"/>
      <c r="H25" s="176"/>
      <c r="I25" s="176"/>
      <c r="J25" s="169"/>
      <c r="K25" s="169"/>
      <c r="L25" s="169"/>
      <c r="M25" s="169"/>
      <c r="N25" s="173"/>
      <c r="O25" s="170"/>
      <c r="P25" s="169"/>
      <c r="Q25" s="168">
        <f>79400-5233.33</f>
        <v>74166.67</v>
      </c>
      <c r="R25" s="168">
        <f>Q25*1.05</f>
        <v>77875.003500000006</v>
      </c>
      <c r="W25" s="168">
        <f>1999+1224</f>
        <v>3223</v>
      </c>
    </row>
    <row r="26" spans="1:23" s="168" customFormat="1" ht="26.4" x14ac:dyDescent="0.5">
      <c r="A26" s="175" t="s">
        <v>36</v>
      </c>
      <c r="B26" s="172" t="s">
        <v>135</v>
      </c>
      <c r="C26" s="169"/>
      <c r="D26" s="169"/>
      <c r="E26" s="169"/>
      <c r="F26" s="169"/>
      <c r="G26" s="169"/>
      <c r="H26" s="169"/>
      <c r="I26" s="169"/>
      <c r="J26" s="169"/>
      <c r="K26" s="169"/>
      <c r="L26" s="169"/>
      <c r="M26" s="169"/>
      <c r="N26" s="173"/>
      <c r="O26" s="170" t="s">
        <v>37</v>
      </c>
      <c r="P26" s="169"/>
      <c r="R26" s="168">
        <f>R25+2469</f>
        <v>80344.003500000006</v>
      </c>
    </row>
    <row r="27" spans="1:23" s="168" customFormat="1" ht="26.4" x14ac:dyDescent="0.5">
      <c r="A27" s="175" t="s">
        <v>36</v>
      </c>
      <c r="B27" s="172" t="s">
        <v>134</v>
      </c>
      <c r="C27" s="169"/>
      <c r="D27" s="169"/>
      <c r="E27" s="169"/>
      <c r="F27" s="169"/>
      <c r="G27" s="169"/>
      <c r="H27" s="169"/>
      <c r="I27" s="169"/>
      <c r="J27" s="169"/>
      <c r="K27" s="169"/>
      <c r="L27" s="169"/>
      <c r="M27" s="169"/>
      <c r="N27" s="173"/>
      <c r="O27" s="170">
        <f>129500-110900</f>
        <v>18600</v>
      </c>
      <c r="P27" s="169"/>
      <c r="W27" s="174">
        <f>N7+L14</f>
        <v>4664.1105783562507</v>
      </c>
    </row>
    <row r="28" spans="1:23" s="168" customFormat="1" ht="26.4" x14ac:dyDescent="0.5">
      <c r="B28" s="172" t="s">
        <v>133</v>
      </c>
      <c r="C28" s="169"/>
      <c r="D28" s="169"/>
      <c r="E28" s="169"/>
      <c r="F28" s="169"/>
      <c r="G28" s="169"/>
      <c r="H28" s="169"/>
      <c r="I28" s="169"/>
      <c r="J28" s="169"/>
      <c r="K28" s="169"/>
      <c r="L28" s="169"/>
      <c r="M28" s="169"/>
      <c r="N28" s="173"/>
      <c r="O28" s="170">
        <f>85000-69900</f>
        <v>15100</v>
      </c>
      <c r="P28" s="169"/>
    </row>
    <row r="29" spans="1:23" s="168" customFormat="1" ht="26.4" x14ac:dyDescent="0.5">
      <c r="B29" s="172" t="s">
        <v>132</v>
      </c>
      <c r="C29" s="169"/>
      <c r="D29" s="169"/>
      <c r="E29" s="169"/>
      <c r="F29" s="169"/>
      <c r="G29" s="169"/>
      <c r="H29" s="169"/>
      <c r="I29" s="169"/>
      <c r="J29" s="169"/>
      <c r="K29" s="169"/>
      <c r="L29" s="169"/>
      <c r="M29" s="169"/>
      <c r="N29" s="171"/>
      <c r="O29" s="170"/>
      <c r="P29" s="169"/>
    </row>
    <row r="30" spans="1:23" x14ac:dyDescent="0.3">
      <c r="B30" s="167" t="s">
        <v>38</v>
      </c>
      <c r="C30" s="166"/>
      <c r="D30" s="166"/>
      <c r="E30" s="166"/>
      <c r="F30" s="166"/>
      <c r="G30" s="166"/>
      <c r="H30" s="166"/>
      <c r="I30" s="166"/>
      <c r="J30" s="166"/>
      <c r="K30" s="166"/>
      <c r="L30" s="166"/>
      <c r="M30" s="166"/>
      <c r="N30" s="165"/>
      <c r="O30" s="147"/>
    </row>
    <row r="31" spans="1:23" x14ac:dyDescent="0.3">
      <c r="B31" s="146"/>
      <c r="C31" s="145"/>
      <c r="D31" s="145"/>
      <c r="E31" s="145"/>
      <c r="F31" s="145"/>
      <c r="G31" s="145"/>
      <c r="H31" s="145"/>
      <c r="I31" s="145"/>
      <c r="J31" s="145"/>
      <c r="K31" s="145"/>
      <c r="L31" s="145"/>
      <c r="M31" s="145"/>
      <c r="N31" s="144"/>
      <c r="O31" s="147"/>
    </row>
    <row r="32" spans="1:23" s="86" customFormat="1" ht="20.399999999999999" x14ac:dyDescent="0.35">
      <c r="B32" s="118" t="s">
        <v>39</v>
      </c>
      <c r="C32" s="119"/>
      <c r="D32" s="119"/>
      <c r="E32" s="119"/>
      <c r="F32" s="119"/>
      <c r="G32" s="119"/>
      <c r="H32" s="119"/>
      <c r="I32" s="119"/>
      <c r="J32" s="119"/>
      <c r="K32" s="119"/>
      <c r="L32" s="119"/>
      <c r="M32" s="119"/>
      <c r="N32" s="120"/>
      <c r="O32" s="92"/>
      <c r="P32" s="83"/>
    </row>
    <row r="33" spans="2:16" s="86" customFormat="1" ht="20.399999999999999" x14ac:dyDescent="0.35">
      <c r="B33" s="118" t="s">
        <v>40</v>
      </c>
      <c r="C33" s="119"/>
      <c r="D33" s="119"/>
      <c r="E33" s="119"/>
      <c r="F33" s="119"/>
      <c r="G33" s="119"/>
      <c r="H33" s="119"/>
      <c r="I33" s="119"/>
      <c r="J33" s="119"/>
      <c r="K33" s="119"/>
      <c r="L33" s="119"/>
      <c r="M33" s="119"/>
      <c r="N33" s="120"/>
      <c r="O33" s="92"/>
      <c r="P33" s="83"/>
    </row>
    <row r="34" spans="2:16" s="86" customFormat="1" ht="20.399999999999999" x14ac:dyDescent="0.35">
      <c r="B34" s="107" t="s">
        <v>131</v>
      </c>
      <c r="C34" s="108"/>
      <c r="D34" s="108"/>
      <c r="E34" s="108"/>
      <c r="F34" s="108"/>
      <c r="G34" s="164" t="s">
        <v>130</v>
      </c>
      <c r="H34" s="164"/>
      <c r="I34" s="163"/>
      <c r="J34" s="163"/>
      <c r="K34" s="163"/>
      <c r="L34" s="163"/>
      <c r="M34" s="162" t="s">
        <v>129</v>
      </c>
      <c r="N34" s="161"/>
      <c r="O34" s="83"/>
      <c r="P34" s="83"/>
    </row>
    <row r="35" spans="2:16" x14ac:dyDescent="0.3">
      <c r="B35" s="160"/>
      <c r="C35" s="159"/>
      <c r="D35" s="159"/>
      <c r="E35" s="159"/>
      <c r="F35" s="159"/>
      <c r="G35" s="159"/>
      <c r="H35" s="159"/>
      <c r="I35" s="159"/>
      <c r="J35" s="159"/>
      <c r="K35" s="159"/>
      <c r="L35" s="159"/>
      <c r="M35" s="159"/>
      <c r="N35" s="158"/>
    </row>
    <row r="36" spans="2:16" x14ac:dyDescent="0.3">
      <c r="B36" s="160"/>
      <c r="C36" s="159"/>
      <c r="D36" s="159"/>
      <c r="E36" s="159"/>
      <c r="F36" s="159"/>
      <c r="G36" s="159"/>
      <c r="H36" s="159"/>
      <c r="I36" s="159"/>
      <c r="J36" s="159"/>
      <c r="K36" s="159"/>
      <c r="L36" s="159"/>
      <c r="M36" s="159"/>
      <c r="N36" s="158"/>
    </row>
    <row r="37" spans="2:16" x14ac:dyDescent="0.3">
      <c r="B37" s="160"/>
      <c r="C37" s="159"/>
      <c r="D37" s="159"/>
      <c r="E37" s="159"/>
      <c r="F37" s="159"/>
      <c r="G37" s="159"/>
      <c r="H37" s="159"/>
      <c r="I37" s="159"/>
      <c r="J37" s="159"/>
      <c r="K37" s="159"/>
      <c r="L37" s="159"/>
      <c r="M37" s="159"/>
      <c r="N37" s="158"/>
    </row>
    <row r="38" spans="2:16" ht="16.8" x14ac:dyDescent="0.3">
      <c r="B38" s="149" t="s">
        <v>128</v>
      </c>
      <c r="C38" s="157"/>
      <c r="D38" s="154"/>
      <c r="E38" s="151"/>
      <c r="F38" s="151"/>
      <c r="G38" s="151"/>
      <c r="H38" s="151"/>
      <c r="I38" s="151"/>
      <c r="J38" s="152"/>
      <c r="K38" s="151"/>
      <c r="L38" s="151"/>
      <c r="M38" s="151"/>
      <c r="N38" s="156"/>
    </row>
    <row r="39" spans="2:16" ht="16.8" x14ac:dyDescent="0.3">
      <c r="B39" s="149" t="s">
        <v>127</v>
      </c>
      <c r="C39" s="155"/>
      <c r="D39" s="154"/>
      <c r="E39" s="151"/>
      <c r="F39" s="151"/>
      <c r="G39" s="151"/>
      <c r="H39" s="151"/>
      <c r="I39" s="151"/>
      <c r="J39" s="152"/>
      <c r="K39" s="151"/>
      <c r="L39" s="151"/>
      <c r="M39" s="151"/>
      <c r="N39" s="150"/>
    </row>
    <row r="40" spans="2:16" ht="16.8" x14ac:dyDescent="0.3">
      <c r="B40" s="149" t="s">
        <v>126</v>
      </c>
      <c r="C40" s="153"/>
      <c r="D40" s="151"/>
      <c r="E40" s="151"/>
      <c r="F40" s="151"/>
      <c r="G40" s="151"/>
      <c r="H40" s="151"/>
      <c r="I40" s="151"/>
      <c r="J40" s="152"/>
      <c r="K40" s="151"/>
      <c r="L40" s="151"/>
      <c r="M40" s="151"/>
      <c r="N40" s="150"/>
    </row>
    <row r="41" spans="2:16" ht="16.8" x14ac:dyDescent="0.3">
      <c r="B41" s="149" t="s">
        <v>125</v>
      </c>
      <c r="N41" s="148"/>
    </row>
    <row r="42" spans="2:16" ht="16.8" x14ac:dyDescent="0.3">
      <c r="B42" s="149" t="s">
        <v>124</v>
      </c>
      <c r="N42" s="148"/>
    </row>
    <row r="43" spans="2:16" ht="16.8" x14ac:dyDescent="0.3">
      <c r="B43" s="149" t="s">
        <v>123</v>
      </c>
      <c r="N43" s="148"/>
    </row>
    <row r="44" spans="2:16" ht="16.8" x14ac:dyDescent="0.3">
      <c r="B44" s="149" t="s">
        <v>122</v>
      </c>
      <c r="N44" s="148"/>
    </row>
    <row r="45" spans="2:16" ht="16.8" x14ac:dyDescent="0.3">
      <c r="B45" s="149" t="s">
        <v>121</v>
      </c>
      <c r="N45" s="148"/>
    </row>
    <row r="46" spans="2:16" ht="16.8" x14ac:dyDescent="0.3">
      <c r="B46" s="149" t="s">
        <v>120</v>
      </c>
      <c r="N46" s="148"/>
    </row>
    <row r="47" spans="2:16" x14ac:dyDescent="0.3">
      <c r="B47" s="146" t="s">
        <v>39</v>
      </c>
      <c r="C47" s="145"/>
      <c r="D47" s="145"/>
      <c r="E47" s="145"/>
      <c r="F47" s="145"/>
      <c r="G47" s="145"/>
      <c r="H47" s="145"/>
      <c r="I47" s="145"/>
      <c r="J47" s="145"/>
      <c r="K47" s="145"/>
      <c r="L47" s="145"/>
      <c r="M47" s="145"/>
      <c r="N47" s="144"/>
      <c r="O47" s="147"/>
    </row>
    <row r="48" spans="2:16" x14ac:dyDescent="0.3">
      <c r="B48" s="146" t="s">
        <v>40</v>
      </c>
      <c r="C48" s="145"/>
      <c r="D48" s="145"/>
      <c r="E48" s="145"/>
      <c r="F48" s="145"/>
      <c r="G48" s="145"/>
      <c r="H48" s="145"/>
      <c r="I48" s="145"/>
      <c r="J48" s="145"/>
      <c r="K48" s="145"/>
      <c r="L48" s="145"/>
      <c r="M48" s="145"/>
      <c r="N48" s="144"/>
      <c r="O48" s="147"/>
    </row>
    <row r="49" spans="2:14" x14ac:dyDescent="0.3">
      <c r="B49" s="146" t="s">
        <v>119</v>
      </c>
      <c r="C49" s="145"/>
      <c r="D49" s="145"/>
      <c r="E49" s="145"/>
      <c r="F49" s="145"/>
      <c r="G49" s="145"/>
      <c r="H49" s="145"/>
      <c r="I49" s="145"/>
      <c r="J49" s="145"/>
      <c r="K49" s="145"/>
      <c r="L49" s="145"/>
      <c r="M49" s="145"/>
      <c r="N49" s="144"/>
    </row>
    <row r="50" spans="2:14" ht="25.8" x14ac:dyDescent="0.3">
      <c r="C50" s="15" t="s">
        <v>41</v>
      </c>
    </row>
    <row r="51" spans="2:14" ht="25.8" x14ac:dyDescent="0.3">
      <c r="C51" s="15" t="s">
        <v>42</v>
      </c>
    </row>
    <row r="52" spans="2:14" ht="25.8" x14ac:dyDescent="0.3">
      <c r="C52" s="15" t="s">
        <v>43</v>
      </c>
    </row>
    <row r="53" spans="2:14" ht="25.8" x14ac:dyDescent="0.3">
      <c r="C53" s="15" t="s">
        <v>44</v>
      </c>
    </row>
    <row r="54" spans="2:14" ht="25.8" x14ac:dyDescent="0.3">
      <c r="C54" s="15" t="s">
        <v>45</v>
      </c>
    </row>
  </sheetData>
  <dataConsolidate/>
  <mergeCells count="11">
    <mergeCell ref="F8:G8"/>
    <mergeCell ref="F9:G9"/>
    <mergeCell ref="G19:I19"/>
    <mergeCell ref="B22:N22"/>
    <mergeCell ref="B30:N30"/>
    <mergeCell ref="B32:N32"/>
    <mergeCell ref="B33:N33"/>
    <mergeCell ref="B47:N47"/>
    <mergeCell ref="B48:N48"/>
    <mergeCell ref="B49:N49"/>
    <mergeCell ref="B31:N31"/>
  </mergeCells>
  <dataValidations count="11">
    <dataValidation type="list" allowBlank="1" showInputMessage="1" showErrorMessage="1" sqref="H34" xr:uid="{A5664F16-3219-4FB6-9D41-30E7C147486F}">
      <formula1>"ALAA HAMMAD,KHALED QASSEM,RAMY RAOUF,SIMON LOBO,MHAREN CLEMENTE GARADO"</formula1>
    </dataValidation>
    <dataValidation type="list" allowBlank="1" showInputMessage="1" showErrorMessage="1" sqref="M34" xr:uid="{64AAC893-DF46-48C3-9DE2-1BEE208BAD6B}">
      <formula1>"Alaa Hammad,Bachir Ibrahim Mourad,Khaled Qassem,Ramy Raoof,Simon Lobo,Mharen Clemente Garado,Ranjith"</formula1>
    </dataValidation>
    <dataValidation type="list" allowBlank="1" showInputMessage="1" showErrorMessage="1" sqref="B11" xr:uid="{3FBB04F3-C92F-4810-95AA-F8FD117973F6}">
      <formula1>"FO Ceramic+ Intr&amp;Extr CeramicGold WdwTnt,FO Mirror Camera Sensor"</formula1>
    </dataValidation>
    <dataValidation type="list" allowBlank="1" showInputMessage="1" showErrorMessage="1" sqref="B12" xr:uid="{1D4261F7-3916-4C77-B668-AF9FAC146D97}">
      <formula1>"FO Exterior ceramic All Cars SCOTCHGUARD,FO Mirror Camera Sensor,FO PPF Gold Package "</formula1>
    </dataValidation>
    <dataValidation type="list" allowBlank="1" showInputMessage="1" showErrorMessage="1" sqref="K20" xr:uid="{5D158F2C-C001-419B-A3FD-5AEAB23A410E}">
      <formula1>"Esaad,Emirates Platinum,Fazaa,Humat Alwatan,Permissible,ASX,XPMLP,XP,MON,MON G57,OUT,F08,P08,F06,P06,F03,F03-1,P03,EC,G37,G38,G40,G43"</formula1>
    </dataValidation>
    <dataValidation type="list" allowBlank="1" showInputMessage="1" showErrorMessage="1" sqref="B16" xr:uid="{4DB3698B-77F7-458B-B0BA-860B6E7FD2A0}">
      <formula1>"RMC-10-40KMS,RMC-10-60KMS,RMC-10-70KMS,RMC-10-100000KMS,RMC-40-70KMS,RMC-40-100000KMS"</formula1>
    </dataValidation>
    <dataValidation type="list" allowBlank="1" showInputMessage="1" showErrorMessage="1" sqref="K24" xr:uid="{29E3EAFF-5B55-40AD-B884-A8CBA85F5E8C}">
      <formula1>"RMC-10-70K,RMC-10-100000K,RMC-40-70K"</formula1>
    </dataValidation>
    <dataValidation type="list" allowBlank="1" showInputMessage="1" showErrorMessage="1" sqref="D5" xr:uid="{8E04A8F2-229D-49BF-A431-863DE7DDED9B}">
      <formula1>"MIG09,MIG10,H16,P16,H17,H48,H43,H40,H42,H44,H45,H38,H37,EH40,EH43,ML,HL,PR, MLP,HLP,PRP,XPML,XPHL,XPMLP, XPMLP-01,XC, G10,P10, G03, P03, G06,P06,G12,P12,G05,P05,G08,P08,G09,P09,H57,P57,H64,H59,P59,H61,P61"</formula1>
    </dataValidation>
    <dataValidation type="list" allowBlank="1" showInputMessage="1" showErrorMessage="1" sqref="M21" xr:uid="{7FD51773-15D6-4AB0-A5D9-DCD66A7976B6}">
      <formula1>"3000-4999,5000-9999,5000-99999,10000-14999,15000-24999,25000-34999,35000-99999,5000-11999,12000-19999,20000-39999,40000-69999,70000-99999"</formula1>
    </dataValidation>
    <dataValidation type="list" allowBlank="1" showInputMessage="1" showErrorMessage="1" sqref="C10:C16 L20 L24:L25 G14:G15 J10" xr:uid="{BF44DE1B-9F6D-4C0B-A72D-4E9065899B2F}">
      <formula1>"YES,NO"</formula1>
    </dataValidation>
    <dataValidation type="list" allowBlank="1" showInputMessage="1" showErrorMessage="1" sqref="K21" xr:uid="{A6FEB30D-BAE8-4F8B-A8D0-F705B1BD56E9}">
      <formula1>"ADCB,ADCB PAY IN 2027,Ajman Bank,ADIB,DIB EXPAT,DIB LOCAL GVH,Emirates NBD,EIB,FAB,RAK,SIB STL,SIB NON STL"</formula1>
    </dataValidation>
  </dataValidations>
  <pageMargins left="0.23622047244094491" right="0.23622047244094491" top="0.74803149606299213" bottom="0.74803149606299213" header="0.31496062992125984" footer="0.31496062992125984"/>
  <pageSetup paperSize="9" scale="40" orientation="landscape" horizontalDpi="4294967295" verticalDpi="4294967295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ADFE3D-02CD-478F-B1C4-B3C95687420B}">
  <sheetPr>
    <pageSetUpPr fitToPage="1"/>
  </sheetPr>
  <dimension ref="A1:AA54"/>
  <sheetViews>
    <sheetView topLeftCell="B1" zoomScaleNormal="100" workbookViewId="0">
      <selection activeCell="D5" sqref="D5"/>
    </sheetView>
  </sheetViews>
  <sheetFormatPr defaultColWidth="9.109375" defaultRowHeight="15.6" x14ac:dyDescent="0.3"/>
  <cols>
    <col min="1" max="1" width="16" style="1" hidden="1" customWidth="1"/>
    <col min="2" max="2" width="75.109375" style="2" customWidth="1"/>
    <col min="3" max="3" width="26.88671875" style="3" customWidth="1"/>
    <col min="4" max="4" width="23.88671875" style="2" customWidth="1"/>
    <col min="5" max="5" width="23.33203125" style="2" customWidth="1"/>
    <col min="6" max="6" width="19.88671875" style="2" customWidth="1"/>
    <col min="7" max="7" width="23.33203125" style="2" customWidth="1"/>
    <col min="8" max="8" width="24.44140625" style="2" customWidth="1"/>
    <col min="9" max="9" width="27.109375" style="2" customWidth="1"/>
    <col min="10" max="10" width="26.6640625" style="2" customWidth="1"/>
    <col min="11" max="11" width="25.44140625" style="2" customWidth="1"/>
    <col min="12" max="12" width="20.5546875" style="2" customWidth="1"/>
    <col min="13" max="13" width="20.109375" style="2" customWidth="1"/>
    <col min="14" max="14" width="19.5546875" style="2" customWidth="1"/>
    <col min="15" max="15" width="15.109375" style="2" bestFit="1" customWidth="1"/>
    <col min="16" max="16" width="12.6640625" style="2" hidden="1" customWidth="1"/>
    <col min="17" max="17" width="12.6640625" style="1" hidden="1" customWidth="1"/>
    <col min="18" max="18" width="15.6640625" style="1" hidden="1" customWidth="1"/>
    <col min="19" max="19" width="13" style="1" hidden="1" customWidth="1"/>
    <col min="20" max="20" width="17.109375" style="1" hidden="1" customWidth="1"/>
    <col min="21" max="21" width="14.5546875" style="1" bestFit="1" customWidth="1"/>
    <col min="22" max="22" width="19" style="1" customWidth="1"/>
    <col min="23" max="23" width="22.5546875" style="1" bestFit="1" customWidth="1"/>
    <col min="24" max="25" width="9.109375" style="1"/>
    <col min="26" max="26" width="14" style="1" bestFit="1" customWidth="1"/>
    <col min="27" max="27" width="22.33203125" style="1" bestFit="1" customWidth="1"/>
    <col min="28" max="16384" width="9.109375" style="1"/>
  </cols>
  <sheetData>
    <row r="1" spans="1:27" ht="15.75" customHeight="1" x14ac:dyDescent="0.3">
      <c r="B1" s="222" t="s">
        <v>148</v>
      </c>
      <c r="C1" s="221"/>
      <c r="D1" s="221"/>
      <c r="E1" s="221"/>
      <c r="F1" s="221"/>
      <c r="G1" s="221"/>
      <c r="H1" s="221"/>
      <c r="I1" s="221"/>
      <c r="J1" s="221"/>
      <c r="K1" s="221"/>
      <c r="L1" s="221"/>
      <c r="M1" s="221"/>
      <c r="N1" s="220"/>
    </row>
    <row r="2" spans="1:27" ht="15.75" customHeight="1" x14ac:dyDescent="0.3">
      <c r="B2" s="219" t="s">
        <v>147</v>
      </c>
      <c r="C2" s="218"/>
      <c r="D2" s="218"/>
      <c r="E2" s="218"/>
      <c r="F2" s="218"/>
      <c r="G2" s="218"/>
      <c r="H2" s="218"/>
      <c r="I2" s="218"/>
      <c r="J2" s="218"/>
      <c r="K2" s="218"/>
      <c r="L2" s="218"/>
      <c r="M2" s="218"/>
      <c r="N2" s="217"/>
      <c r="Q2" s="2"/>
      <c r="S2" s="186"/>
    </row>
    <row r="3" spans="1:27" ht="15.75" customHeight="1" x14ac:dyDescent="0.3">
      <c r="B3" s="219" t="s">
        <v>146</v>
      </c>
      <c r="C3" s="218"/>
      <c r="D3" s="218"/>
      <c r="E3" s="218"/>
      <c r="F3" s="218"/>
      <c r="G3" s="218"/>
      <c r="H3" s="218"/>
      <c r="I3" s="218"/>
      <c r="J3" s="218"/>
      <c r="K3" s="218"/>
      <c r="L3" s="218"/>
      <c r="M3" s="218"/>
      <c r="N3" s="217"/>
      <c r="O3" s="3"/>
      <c r="P3" s="3"/>
      <c r="Q3" s="153"/>
      <c r="R3" s="153"/>
      <c r="S3" s="216" t="e">
        <f>N7+J14</f>
        <v>#VALUE!</v>
      </c>
      <c r="T3" s="216"/>
      <c r="U3" s="153"/>
      <c r="V3" s="153"/>
      <c r="W3" s="153"/>
      <c r="AA3" s="1">
        <f>273000/5</f>
        <v>54600</v>
      </c>
    </row>
    <row r="4" spans="1:27" ht="15.75" customHeight="1" x14ac:dyDescent="0.3">
      <c r="B4" s="215"/>
      <c r="C4" s="214"/>
      <c r="D4" s="214"/>
      <c r="E4" s="214"/>
      <c r="F4" s="214"/>
      <c r="G4" s="214"/>
      <c r="H4" s="214"/>
      <c r="I4" s="214"/>
      <c r="J4" s="214"/>
      <c r="K4" s="214"/>
      <c r="L4" s="214"/>
      <c r="M4" s="214"/>
      <c r="N4" s="213"/>
      <c r="O4" s="212" t="s">
        <v>0</v>
      </c>
      <c r="P4" s="212"/>
      <c r="Q4" s="210"/>
      <c r="R4" s="210"/>
      <c r="S4" s="211"/>
      <c r="T4" s="211"/>
      <c r="U4" s="210" t="s">
        <v>1</v>
      </c>
      <c r="V4" s="210" t="s">
        <v>2</v>
      </c>
      <c r="W4" s="210" t="s">
        <v>3</v>
      </c>
    </row>
    <row r="5" spans="1:27" ht="25.2" thickBot="1" x14ac:dyDescent="0.45">
      <c r="B5" s="17"/>
      <c r="C5" s="18" t="str">
        <f>IF(D5="MIG09","Mirage G09",IF(D5="MIG10","MirageG10",IF(D5="H16","Attrage H16",IF(D5="P16","Attrage P16",IF(D5="H17","Attrage H17",IF(D5="H48","ASX H48",IF(D5="H43","ASX H43",IF(D5="H40","ASX H40",IF(D5="H42","ASX H42",IF(D5="H44","ASX H44",IF(D5="H45","ASX H45",IF(D5="H38","Eclipse H38",IF(D5="H37","Eclipse H37",IF(D5="EH40","Eclipse H40",IF(D5="EH43","Eclipse H43",IF(D5="XPML","Xpander ML",IF(D5="ML","Destinator ML",IF(D5="HL","Destinator HL",IF(D5="PR","Destinator PR",IF(D5="MLP","Destinator MLP",IF(D5="HLP","Destinator HLP",IF(D5="PRP","Destinator PRP",IF(D5="XPHL","Xpander HL",IF(D5="XPMLP","Xpander ML P",IF(D5="XPMLP-01","Xpander ML P-01",IF(D5="XC","Xpander Cross",IF(D5="G03","Outlander G03",IF(D5="P03","Outlander P03",IF(D5="G06","Outlander G06",IF(D5="P06","Outlander P06",IF(D5="OTP06-01","Outlander P06-01",IF(D5="G08","Outlander G08",IF(D5="P08","Outlander P08",IF(D5="H57","Montero H57",IF(D5="P57","Montero P57",IF(D5="H64","Montero G64",IF(D5="H59","Montero G59",IF(D5="P59","Montero G59 P",IF(D5="H61","Montero G61",IF(D5="P61","Montero P61",IF(D5="G10","Outlander G10",IF(D5="P10","Outlander P10",IF(D5="G12","Outlander G12",IF(D5="P12","Outlander P12",IF(D5="G05","Outlander G05",IF(D5="P05","Outlander P05",IF(D5="G09","Outlander G09",IF(D5="P09","Outlander P09",))))))))))))))))))))))))))))))))))))))))))))))))</f>
        <v>Montero G59 P</v>
      </c>
      <c r="D5" s="19" t="s">
        <v>156</v>
      </c>
      <c r="E5" s="20" t="s">
        <v>145</v>
      </c>
      <c r="F5" s="37"/>
      <c r="G5" s="37"/>
      <c r="H5" s="37"/>
      <c r="I5" s="20"/>
      <c r="J5" s="34"/>
      <c r="K5" s="209">
        <v>0</v>
      </c>
      <c r="L5" s="208">
        <v>3.39E-2</v>
      </c>
      <c r="M5" s="208">
        <v>6.7799999999999999E-2</v>
      </c>
      <c r="N5" s="208">
        <v>0.1017</v>
      </c>
      <c r="O5" s="147">
        <f>K7+K14</f>
        <v>16699.620728175003</v>
      </c>
      <c r="S5" s="186"/>
      <c r="U5" s="186">
        <f>L7+L14</f>
        <v>6894.6930880187501</v>
      </c>
      <c r="V5" s="186">
        <f>M7+M14</f>
        <v>4662.4160412375004</v>
      </c>
      <c r="W5" s="186">
        <f>N7+N14</f>
        <v>3277.4728380187498</v>
      </c>
    </row>
    <row r="6" spans="1:27" s="5" customFormat="1" ht="99" thickBot="1" x14ac:dyDescent="0.35">
      <c r="A6" s="4" t="s">
        <v>4</v>
      </c>
      <c r="B6" s="26" t="s">
        <v>5</v>
      </c>
      <c r="C6" s="27" t="s">
        <v>6</v>
      </c>
      <c r="D6" s="27" t="s">
        <v>144</v>
      </c>
      <c r="E6" s="27" t="s">
        <v>7</v>
      </c>
      <c r="F6" s="27" t="s">
        <v>8</v>
      </c>
      <c r="G6" s="28" t="s">
        <v>9</v>
      </c>
      <c r="H6" s="28" t="s">
        <v>143</v>
      </c>
      <c r="I6" s="28" t="s">
        <v>10</v>
      </c>
      <c r="J6" s="28" t="s">
        <v>142</v>
      </c>
      <c r="K6" s="28" t="s">
        <v>11</v>
      </c>
      <c r="L6" s="28" t="s">
        <v>12</v>
      </c>
      <c r="M6" s="28" t="s">
        <v>13</v>
      </c>
      <c r="N6" s="28" t="s">
        <v>14</v>
      </c>
      <c r="O6" s="207"/>
      <c r="P6" s="206"/>
      <c r="T6" s="205"/>
      <c r="U6" s="205">
        <f>N7+L14</f>
        <v>5447.80498801875</v>
      </c>
      <c r="V6" s="205">
        <f>N7+K14</f>
        <v>13444.122503175</v>
      </c>
      <c r="W6" s="205" t="e">
        <f>N7+J14</f>
        <v>#VALUE!</v>
      </c>
    </row>
    <row r="7" spans="1:27" ht="25.2" thickBot="1" x14ac:dyDescent="0.45">
      <c r="A7" s="6">
        <f>B8</f>
        <v>134900</v>
      </c>
      <c r="B7" s="29">
        <f>IF(L20="YES",C8*1,IF(L20="NO",B8*1))</f>
        <v>134900</v>
      </c>
      <c r="C7" s="29">
        <f>B7*5/100</f>
        <v>6745</v>
      </c>
      <c r="D7" s="203">
        <f>B7+C7</f>
        <v>141645</v>
      </c>
      <c r="E7" s="29">
        <f>D17</f>
        <v>20599.911250000001</v>
      </c>
      <c r="F7" s="29">
        <f>(C7)+(D10+D11+D12+D13+D16)*5/100</f>
        <v>7275</v>
      </c>
      <c r="G7" s="30">
        <f>B7+E7+F7</f>
        <v>162774.91125</v>
      </c>
      <c r="H7" s="29">
        <f>G7*D20</f>
        <v>32554.982250000001</v>
      </c>
      <c r="I7" s="30">
        <f>(G7-H7)</f>
        <v>130219.929</v>
      </c>
      <c r="J7" s="30">
        <f>(((I7*D19)*1)+I7)/12</f>
        <v>11273.790353175</v>
      </c>
      <c r="K7" s="30">
        <f>(((I7*D19)*2)+I7)/24</f>
        <v>5847.9599781750003</v>
      </c>
      <c r="L7" s="30">
        <f>(((I7*D19)*3)+I7)/36</f>
        <v>4039.3498531750001</v>
      </c>
      <c r="M7" s="30">
        <f>(((I7*D19)*4)+I7)/48</f>
        <v>3135.0447906750001</v>
      </c>
      <c r="N7" s="30">
        <f>((((I7*D19)*5)+I7)/60)</f>
        <v>2592.461753175</v>
      </c>
      <c r="O7" s="147"/>
      <c r="P7" s="2">
        <f>H7+H16</f>
        <v>33922.291504500005</v>
      </c>
      <c r="T7" s="186">
        <f>25973/2</f>
        <v>12986.5</v>
      </c>
    </row>
    <row r="8" spans="1:27" ht="24.6" x14ac:dyDescent="0.4">
      <c r="A8" s="7">
        <v>0.2</v>
      </c>
      <c r="B8" s="31">
        <f>IF(D5="MIG09",39900,IF(D5="MIG10",41900,IF(D5="H16",41900,IF(D5="P16",47400,IF(D5="H17",47900,IF(D5="H48",67900,IF(D5="H43",70900,IF(D5="H40",72900,IF(D5="H42",74900,IF(D5="H44",73900,IF(D5="H45",79900,IF(D5="H38",86900,IF(D5="H37",79900,IF(D5="EH40",99900,IF(D5="EH43",106900,IF(D5="ML",71900,IF(D5="HL",83900,IF(D5="PR",95900,IF(D5="MLP",80900,IF(D5="HLP",91900,IF(D5="PRP",102900,IF(D5="XPML",69900,IF(D5="XPHL",71000,IF(D5="XPMLP",75900,IF(D5="XPMLP-01",77800,IF(D5="XC",84900,IF(D5="G10",81900,IF(D5="P10",93900,IF(D5="G12",97900,IF(D5="P12",105900,IF(D5="G05",104900,IF(D5="P05",105900,IF(D5="G03",92900,IF(D5="P03",100900,IF(D5="G06",109900,IF(D5="P06",114900,IF(D5="OTP06-01",118900,IF(D5="G08",125900,IF(D5="P08",132900,IF(D5="OTP06-01",109900,IF(D5="G09",129900,IF(D5="P09",134900,IF(D5="H57",105900,IF(D5="P57",113900,IF(D5="H64",116900,IF(D5="H59",127900,IF(D5="P59",134900,IF(D5="H61",134900,IF(D5="P61",138900)))))))))))))))))))))))))))))))))))))))))))))))))</f>
        <v>134900</v>
      </c>
      <c r="C8" s="32">
        <f>IF(L20="YES",N20,IF(L20="NO",N20))</f>
        <v>134900</v>
      </c>
      <c r="D8" s="29">
        <v>0</v>
      </c>
      <c r="E8" s="33"/>
      <c r="F8" s="139"/>
      <c r="G8" s="140"/>
      <c r="H8" s="110">
        <f>G7*20/100</f>
        <v>32554.982250000001</v>
      </c>
      <c r="I8" s="34"/>
      <c r="J8" s="34" t="s">
        <v>15</v>
      </c>
      <c r="K8" s="34">
        <f>(I7*K5+I7)/24</f>
        <v>5425.8303750000005</v>
      </c>
      <c r="L8" s="34">
        <f>(I7*L5+I7)/36</f>
        <v>3739.844016475</v>
      </c>
      <c r="M8" s="34">
        <f>(I7*M5+I7)/48</f>
        <v>2896.8508372125002</v>
      </c>
      <c r="N8" s="34">
        <f>(I7*N5+I7)/60</f>
        <v>2391.0549296550003</v>
      </c>
      <c r="O8" s="147">
        <v>0</v>
      </c>
      <c r="P8" s="2">
        <f>P7/12</f>
        <v>2826.8576253750002</v>
      </c>
      <c r="T8" s="1">
        <f>25973-12973</f>
        <v>13000</v>
      </c>
    </row>
    <row r="9" spans="1:27" ht="24.6" x14ac:dyDescent="0.4">
      <c r="A9" s="8">
        <f>B8/(100%-A8)</f>
        <v>168625</v>
      </c>
      <c r="B9" s="109">
        <f>B7-B8</f>
        <v>0</v>
      </c>
      <c r="C9" s="109"/>
      <c r="D9" s="36"/>
      <c r="E9" s="33"/>
      <c r="F9" s="139"/>
      <c r="G9" s="140"/>
      <c r="H9" s="33"/>
      <c r="I9" s="37" t="s">
        <v>16</v>
      </c>
      <c r="J9" s="38">
        <f>(J7*12)-I7</f>
        <v>5065.5552381000016</v>
      </c>
      <c r="K9" s="38">
        <f>(K7*24)-I7</f>
        <v>10131.110476200003</v>
      </c>
      <c r="L9" s="38">
        <f>(L7*36)-I7</f>
        <v>15196.665714300005</v>
      </c>
      <c r="M9" s="38">
        <f>(M7*48)-I7</f>
        <v>20262.220952400006</v>
      </c>
      <c r="N9" s="38">
        <f>(N7*60)-I7</f>
        <v>25327.776190500008</v>
      </c>
      <c r="O9" s="147"/>
      <c r="T9" s="1">
        <f>T8/12</f>
        <v>1083.3333333333333</v>
      </c>
      <c r="Z9" s="1" t="s">
        <v>86</v>
      </c>
    </row>
    <row r="10" spans="1:27" ht="24.6" x14ac:dyDescent="0.4">
      <c r="A10" s="8"/>
      <c r="B10" s="37" t="s">
        <v>141</v>
      </c>
      <c r="C10" s="20" t="s">
        <v>17</v>
      </c>
      <c r="D10" s="36">
        <f>IF(C10="YES",700,IF(C10="NO",0))</f>
        <v>0</v>
      </c>
      <c r="E10" s="39"/>
      <c r="F10" s="40"/>
      <c r="G10" s="40"/>
      <c r="H10" s="33"/>
      <c r="I10" s="44" t="s">
        <v>85</v>
      </c>
      <c r="J10" s="117" t="s">
        <v>19</v>
      </c>
      <c r="K10" s="117">
        <f>IF(J10="YES",Z10,IF(J10="NO",0))</f>
        <v>1000</v>
      </c>
      <c r="L10" s="41">
        <f>(L8*36)-I7</f>
        <v>4414.4555930999923</v>
      </c>
      <c r="M10" s="41">
        <f>(M8*48)-I7</f>
        <v>8828.9111862000136</v>
      </c>
      <c r="N10" s="41">
        <f>(N8*60)-I7</f>
        <v>13243.366779300006</v>
      </c>
      <c r="O10" s="147">
        <f>IF(D5="XC",3690,IF(D5="XPML",3690,IF(D5="XPHL",3690,IF(D5="XPMLP",3690,IF(D5="XPMLP-01",3690,IF(D5="Xpander P",3690,IF(D5="ML",3690,IF(D5="HL",3690,IF(D5="PR",(U19*3/100+510)*1.05,IF(D5="MLP",3690,IF(D5="HLP",(U19*3/100+510)*1.05,IF(D5="PRP",(U19*3/100+510)*1.05,IF(D5="H57",(U19*2.75/100+510)*1.05,IF(D5="P57",(U19*2.75/100+510)*1.05,IF(D5="H64",(U19*2.75/100+510)*1.05,IF(D5="H59",(U19*2.75/100+510)*1.05,IF(D5="P59",(U19*2.75/100+510)*1.05,IF(D5="H61",(U19*2.75/100+510)*1.05,IF(D5="P61",(U19*2.75/100+510)*1.05,IF(D5="G03",(U19*3/100+510)*1.05,IF(D5="G10",(U19*3/100+510)*1.05,IF(D5="P10",(U19*3/100+510)*1.05,IF(D5="G12",(U19*3/100+510)*1.05,IF(D5="P12",(U19*3/100+510)*1.05,IF(D5="G05",(U19*3/100+510)*1.05,IF(D5="P05",(U19*3/100+510)*1.05,IF(D5="P03",(U19*3/100+510)*1.05,IF(D5="G06",(U19*3/100+510)*1.05,IF(D5="P06",(U19*3/100+510)*1.05,IF(D5="OTP06-01",(U19*3/100+510)*1.05,IF(D5="G08",(U19*3/100+510)*1.05,IF(D5="P08",(U19*3/100+510)*1.05,IF(D5="G09",(U19*3/100+510)*1.05,IF(D5="P09",(U19*3/100+510)*1.05,IF(D5="H38",3625,IF(D5="H37",3625,IF(D5="EH40",(U19*3/100+450)*1.05,IF(D5="EH43",(U19*3/100+450)*1.05,IF(D5="H48",3625,IF(D5="H43",3625,IF(D5="H40",3625,IF(D5="H42",3625,IF(D5="H44",3625,IF(D5="H45",3625,IF(D5="ASX HL 4WD",3625,IF(D5="H16",3625,IF(D5="H17",3625,IF(D5="P16",3625,IF(D5="Attrage S",3625,IF(D5="MIG09",3625,IF(D5="MIG10",3625,IF(D5="Xpander HL",3690))))))))))))))))))))))))))))))))))))))))))))))))))))</f>
        <v>4946.8781250000002</v>
      </c>
      <c r="P10" s="204"/>
      <c r="Q10" s="204">
        <f>5.25*3</f>
        <v>15.75</v>
      </c>
      <c r="Z10" s="1">
        <f>IF(D5="MIG09",1000,IF(D5="MIG10",1000,IF(D5="H16",1000,IF(D5="P16",1000,IF(D5="H17",1000,IF(D5="H48",1000,IF(D5="H43",1000,IF(D5="H40",1000,IF(D5="H42",1000,IF(D5="H44",1000,IF(D5="H45",1000,IF(D5="H38",1000,IF(D5="H37",1000,IF(D5="EH40",1000,IF(D5="EH43",1000,IF(D5="ML",1000,IF(D5="HL",1000,IF(D5="PR",1000,IF(D5="MLP",1000,IF(D5="HLP",1000,IF(D5="PRP",1000,IF(D5="XPML",1000,IF(D5="XPHL",1000,IF(D5="XPMLP",1000,IF(D5="XPMLP-01",1000,IF(D5="XC",1000,IF(D5="G10",1000,IF(D5="P10",1000,IF(D5="G12",1000,IF(D5="P12",1000,IF(D5="G05",1000,IF(D5="P05",1000,IF(D5="G03",1000,IF(D5="P03",1000,IF(D5="G06",1000,IF(D5="P06",1000,IF(D5="OTP06-01",1000,IF(D5="G08",1000,IF(D5="P08",1000,IF(D5="OTP06-01",1000,IF(D5="G09",1000,IF(D5="P09",1000,IF(D5="H57",1000,IF(D5="P57",1000,IF(D5="H64",1000,IF(D5="H59",1000,IF(D5="P59",1000,IF(D5="H61",1000,IF(D5="P61",1000)))))))))))))))))))))))))))))))))))))))))))))))))</f>
        <v>1000</v>
      </c>
    </row>
    <row r="11" spans="1:27" ht="24.6" x14ac:dyDescent="0.4">
      <c r="A11" s="8"/>
      <c r="B11" s="37" t="s">
        <v>18</v>
      </c>
      <c r="C11" s="20" t="s">
        <v>19</v>
      </c>
      <c r="D11" s="203">
        <f>IF(C11="YES",O17,IF(C11="NO",0))</f>
        <v>2700</v>
      </c>
      <c r="E11" s="39"/>
      <c r="F11" s="40"/>
      <c r="G11" s="40"/>
      <c r="H11" s="33"/>
      <c r="I11" s="33"/>
      <c r="J11" s="44" t="s">
        <v>76</v>
      </c>
      <c r="K11" s="44">
        <f>H8-K10</f>
        <v>31554.982250000001</v>
      </c>
      <c r="L11" s="37"/>
      <c r="M11" s="37"/>
      <c r="N11" s="38"/>
      <c r="O11" s="147">
        <f>IF(D5="XC",6100,IF(D5="XPML",6100,IF(D5="XPHL",6100,IF(D5="XPMLP",6100,IF(D5="XPMLP-01",6100,IF(D5="Xpander P",6100,IF(D5="ML",6600,IF(D5="HL",6600,IF(D5="PR",6600,IF(D5="MLP",6600,IF(D5="HLP",6600,IF(D5="PRP",6600,IF(D5="H57",5900,IF(D5="P57",5900,IF(D5="H64",5900,IF(D5="H59",5900,IF(D5="P59",5900,IF(D5="H61",5900,IF(D5="P61",5900,IF(D5="G03",6700,IF(D5="G10",6700,IF(D5="P10",6700,IF(D5="G12",6700,IF(D5="P12",6700,IF(D5="G05",6700,IF(D5="P05",6700,IF(D5="P03",6700,IF(D5="G06",6700,IF(D5="P06",6700,IF(D5="OTP06-01",6700,IF(D5="G08",6700,IF(D5="G09",6700,IF(D5="G08",6700,IF(D5="P08",6700,IF(D5="P09",6700,IF(D5="H37",6400,IF(D5="H38",6400,IF(D5="EH40",6400,IF(D5="EH43",6400,IF(D5="H48",6600,IF(D5="H43",6600,IF(D5="H40",6600,IF(D5="H42",6600,IF(D5="H44",6600,IF(D5="H45",6600,IF(D5="ASX HL 4WD",6600,IF(D5="H16",5400,IF(D5="H17",5400,IF(D5="P16",5400,IF(D5="Attrage S",5400,IF(D5="MIG09",5400,IF(D5="MIG10",5400,IF(D5="Xpander HL",6000)))))))))))))))))))))))))))))))))))))))))))))))))))))</f>
        <v>5900</v>
      </c>
      <c r="P11" s="147"/>
      <c r="Q11" s="147"/>
      <c r="R11" s="147"/>
      <c r="S11" s="147"/>
      <c r="T11" s="147"/>
      <c r="U11" s="147">
        <f>IF(D5="XC",4900,IF(D5="XPML",4900,IF(D5="XPHL",4900,IF(D5="XPMLP",4900,IF(D5="XPMLP-01",4900,IF(D5="Xpander P",4900,IF(D5="ML",5400,IF(D5="HL",5400,IF(D5="PR",5400,IF(D5="MLP",5400,IF(D5="HLP",5400,IF(D5="PRP",5400,IF(D5="H57",4600,IF(D5="P57",4600,IF(D5="MOG64",4600,IF(D5="H59",4600,IF(D5="P59",4600,IF(D5="H61",4600,IF(D5="P61",4600,IF(D5="G03",5500,IF(D5="P03",5500,IF(D5="G10",5500,IF(D5="P10",5500,IF(D5="G12",5500,IF(D5="P12",5500,IF(D5="G05",5500,IF(D5="P05",5500,IF(D5="G06",5500,IF(D5="P06",5500,IF(D5="OTP06-01",5500,IF(D5="F08",5500,IF(D5="P08",5500,IF(D5="G09",5500,IF(D5="P09",5500,IF(D5="H38",5200,IF(D5="H37",5200,IF(D5="EH40",5200,IF(D5="EH43",5200,IF(D5="H48",5300,IF(D5="H43",5300,IF(D5="H40",5300,IF(D5="H42",5300,IF(D5="H44",5300,IF(D5="H45",5300,IF(D5="ASX HL",5300,IF(D5="ASX P",5300,IF(D5="ASX HL 4WD",5300,IF(D5="H16",4200,IF(D5="H17",4200,IF(D5="P16",4200,IF(D5="Attrage S",4200,IF(D5="MIG09",4200,IF(D5="MIG10",4200,IF(D5="Xpander HL",4900))))))))))))))))))))))))))))))))))))))))))))))))))))))</f>
        <v>4600</v>
      </c>
      <c r="V11" s="147">
        <f>IF(D5="XC",9700,IF(D5="XPML",9700,IF(D5="XPHL",9700,IF(D5="XPMLP",9700,IF(D5="XPMLP-01",9700,IF(D5="XPMLP-01",9700,IF(D5="Xpander P",9700,IF(D5="ML",10800,IF(D5="HL",10800,IF(D5="PR",10800,IF(D5="MLP",10800,IF(D5="HLP",10800,IF(D5="PRP",10800,IF(D5="H57",9300,IF(D5="P57",9300,IF(D5="MG64",9300,IF(D5="H59",9300,IF(D5="P59",9300,IF(D5="H61",9300,IF(D5="P61",9300,IF(D5="G03",11000,IF(D5="G10",11000,IF(D5="P10",11000,IF(D5="G12",11000,IF(D5="P12",11000,IF(D5="G05",11000,IF(D5="P05",11000,IF(D5="P03",11000,IF(D5="G06",11000,IF(D5="P06",11000,IF(D5="OTP06-01",11000,IF(D5="G08",11000,IF(D5="P08",11000,IF(D5="G09",11000,IF(D5="P09",11000,IF(D5="H38",10400,IF(D5="H37",10400,IF(D5="EH40",10400,IF(D5="EH43",10400,IF(D5="H48",10700,IF(D5="H43",10700,IF(D5="H40",10700,IF(D5="H42",10700,IF(D5="H44",10800,IF(D5="H45",10800,IF(D5="ASX HL",12200,IF(D5="ASX P",12200,IF(D5="ASX HL 4WD",12200,IF(D5="H16",8500,IF(D5="H17",8500,IF(D5="P16",8500,IF(D5="Attrage S",9600,IF(D5="MIG09",8500,IF(D5="MIG10",8500,IF(D5="Xpander HL",11300)))))))))))))))))))))))))))))))))))))))))))))))))))))))</f>
        <v>9300</v>
      </c>
      <c r="W11" s="147">
        <f>IF(D5="XC",9200,IF(D5="XPML",9200,IF(D5="XPHL",9200,IF(D5="XPMLP",9200,IF(D5="XPMLP-01",9200,IF(D5="Xpander P",9200,IF(D5="ML",10000,IF(D5="HL",10000,IF(D5="PR",10000,IF(D5="MLP",10000,IF(D5="HLP",10000,IF(D5="PRP",10000,IF(D5="H57",8700,IF(D5="P57",8700,IF(D5="H64",8700,IF(D5="H59",8700,IF(D5="P59",8700,IF(D5="H61",8700,IF(D5="P61",8700,IF(D5="G03",10400,IF(D5="P03",10400,IF(D5="G10",10400,IF(D5="P10",10400,IF(D5="G12",10400,IF(D5="P12",10400,IF(D5="G05",10400,IF(D5="P05",10400,IF(D5="G06",10400,IF(D5="P06",10400,IF(D5="OTP06-01",10400,IF(D5="G08",10400,IF(D5="P08",10400,IF(D5="G09",10400,IF(D5="P09",10400,IF(D5="H38",9800,IF(D5="H37",9800,IF(D5="EH40",9800,IF(D5="EH43",9800,IF(D5="H48",10100,IF(D5="H43",10100,IF(D5="H40",10100,IF(D5="H42",10100,IF(D5="H44",10100,IF(D5="H45",10100,IF(D5="ASX HL",10100,IF(D5="ASX P",10100,IF(D5="ASX HL 4WD",10100,IF(D5="H16",7900,IF(D5="H17",7900,IF(D5="P16",7900,IF(D5="Attrage S",7900,IF(D5="MIG09",7900,IF(D5="MIG10",7900,IF(D5="Xpander HL",9200))))))))))))))))))))))))))))))))))))))))))))))))))))))</f>
        <v>8700</v>
      </c>
      <c r="X11" s="147">
        <f>IF(D5="XC",4500,IF(D5="XPML",4500,IF(D5="XPHL",4500,IF(D5="XPMLP",4500,IF(D5="XPMLP-01",4500,IF(D5="Xpander P",4500,IF(D5="ML",5000,IF(D5="HL",5000,IF(D5="PR",5000,IF(D5="MLP",5000,IF(D5="HLP",5000,IF(D5="PRP",5000,IF(D5="H57",8700,IF(D5="P57",8700,IF(D5="MOG64",4300,IF(D5="H59",4300,IF(D5="P59",4300,IF(D5="H61",4300,IF(D5="P61",4300,IF(D5="G03",5000,IF(D5="P03",5000,IF(D5="G10",5000,IF(D5="P10",5000,IF(D5="G12",5000,IF(D5="P12",5000,IF(D5="G05",5000,IF(D5="P05",5000,IF(D5="G06",5000,IF(D5="P06",5000,IF(D5="OTP06-01",5000,IF(D5="G08",5000,IF(D5="P08",5000,IF(D5="G09",5000,IF(D5="P09",5000,IF(D5="H38",4900,IF(D5="H37",4900,IF(D5="EH40",4900,IF(D5="EH43",4900,IF(D5="H48",4900,IF(D5="H43",4900,IF(D5="H40",4900,IF(D5="H42",4900,IF(D5="H44",4900,IF(D5="H45",4900,IF(D5="ASX HL",4900,IF(D5="ASX P",4900,IF(D5="ASX HL 4WD",4900,IF(D5="H16",3700,IF(D5="H17",3700,IF(D5="P16",3700,IF(D5="Attrage S",3700,IF(D5="MIG09",3700,IF(D5="MIG10",3700,IF(D5="Xpander HL",4500))))))))))))))))))))))))))))))))))))))))))))))))))))))</f>
        <v>4300</v>
      </c>
      <c r="Y11" s="147">
        <f>IF(D5="XC",5400,IF(D5="XPML ",5400,IF(D5="XPHL",5400,IF(D5="XPMLP",5400,IF(D5="XPMLP-01",5400,IF(D5="Xpander P",5400,IF(D5="ML",6000,IF(D5="HL",6000,IF(D5="PR",6000,IF(D5="MLP",6000,IF(D5="HLP",6000,IF(D5="PRP",6000,IF(D5="H57",5200,IF(D5="57",5200,IF(D5="H64",5200,IF(D5="H59",5200,IF(D5="P59",5200,IF(D5="H61",5200,IF(D5="P61",5200,IF(D5="G03",6000,IF(D5="P03",6000,IF(D5="G10",6000,IF(D5="P10",6000,IF(D5="G12",6000,IF(D5="P12",6000,IF(D5="G05",6000,IF(D5="P05",6000,IF(D5="G06",6000,IF(D5="P06",6000,IF(D5="OTP06-01",6000,IF(D5="G08",6000,IF(D5="P08",6000,IF(D5="G09",6000,IF(D5="P09",6000,IF(D5="H38",5700,IF(D5="H37",5700,IF(D5="EH40",5700,IF(D5="EH43",5700,IF(D5="H48",5900,IF(D5="H43",5900,IF(D5="H40",5900,IF(D5="H42",5900,IF(D5="H44",5900,IF(D5="H45",5900,IF(D5="ASX HL",5900,IF(D5="ASX P",5900,IF(D5="ASX HL 4WD",5900,IF(D5="H16",4500,IF(D5="H17",4500,IF(D5="P16",4500,IF(D5="Attrage S",4500,IF(D5="MIG09",4500,IF(D5="MIG10",4500,IF(D5="Xpander HL",5400))))))))))))))))))))))))))))))))))))))))))))))))))))))</f>
        <v>5200</v>
      </c>
    </row>
    <row r="12" spans="1:27" ht="24.6" x14ac:dyDescent="0.4">
      <c r="A12" s="8"/>
      <c r="B12" s="37" t="s">
        <v>20</v>
      </c>
      <c r="C12" s="20" t="s">
        <v>17</v>
      </c>
      <c r="D12" s="36">
        <f>IF(C12="YES",2000,IF(C12="NO",0))</f>
        <v>0</v>
      </c>
      <c r="E12" s="43"/>
      <c r="F12" s="43" t="s">
        <v>21</v>
      </c>
      <c r="G12" s="40"/>
      <c r="H12" s="33">
        <v>600</v>
      </c>
      <c r="I12" s="33"/>
      <c r="J12" s="202" t="s">
        <v>140</v>
      </c>
      <c r="K12" s="45">
        <v>0</v>
      </c>
      <c r="L12" s="45">
        <v>5.2499999999999998E-2</v>
      </c>
      <c r="M12" s="45">
        <v>0.126</v>
      </c>
      <c r="N12" s="201">
        <v>0.26250000000000001</v>
      </c>
      <c r="O12" s="147">
        <f>IF(K20="Esaad",B8*3/100,IF(K20="Emirates Platinum",B8*3/100,IF(K20="Fazaa",B8*3/100,IF(K20="Humat Alwatan",B8*3/100,IF(K20="Permissible",2000,IF(K20="ASX",8400,IF(K20="XPMLP",15100,IF(K20="XP",7200,IF(K20="G43",11000,IF(K20="EC",17000,IF(K20="G37",17000,IF(K20="G38",15000,IF(K20="G40",11000,IF(K20="OUT",3000,IF(K20="F08",14400,IF(K20="P08",11100,IF(K20="F06",13100,IF(K20="P06",13400,IF(K20="F03",3500,IF(K20="F03-1",13500,IF(K20="P03",13100,IF(K20="MON",10000,IF(K20="MON G57",9000,0)))))))))))))))))))))))</f>
        <v>2000</v>
      </c>
      <c r="Z12" s="86" t="s">
        <v>83</v>
      </c>
      <c r="AA12" s="86" t="s">
        <v>84</v>
      </c>
    </row>
    <row r="13" spans="1:27" ht="24.6" x14ac:dyDescent="0.4">
      <c r="A13" s="8">
        <f>B8*1.26582</f>
        <v>170759.11799999999</v>
      </c>
      <c r="B13" s="37" t="s">
        <v>23</v>
      </c>
      <c r="C13" s="20" t="s">
        <v>19</v>
      </c>
      <c r="D13" s="36">
        <f>IF(C13="YES",2000,IF(C13="NO",0))</f>
        <v>2000</v>
      </c>
      <c r="E13" s="47"/>
      <c r="F13" s="47" t="s">
        <v>75</v>
      </c>
      <c r="G13" s="51"/>
      <c r="H13" s="39">
        <v>315</v>
      </c>
      <c r="I13" s="33"/>
      <c r="J13" s="44" t="s">
        <v>54</v>
      </c>
      <c r="K13" s="29" t="s">
        <v>79</v>
      </c>
      <c r="L13" s="29" t="s">
        <v>25</v>
      </c>
      <c r="M13" s="29" t="s">
        <v>0</v>
      </c>
      <c r="N13" s="57" t="s">
        <v>26</v>
      </c>
      <c r="O13" s="9">
        <f>IF(M21="3000-4999",6%,IF(M21="5000-9999",4.75%,IF(M21="10000-14999",3.15%,IF(M21="15000-24999",2.5%,IF(M21="25000-34999",2.25%,IF(M21="35000-99999",2.15%))))))</f>
        <v>4.7500000000000001E-2</v>
      </c>
      <c r="Q13" s="2">
        <f>H7/12</f>
        <v>2712.9151875000002</v>
      </c>
      <c r="U13" s="9">
        <f>IF(M21="3000-4999",6%,IF(M21="5000-9999",3.25%,IF(M21="10000-14999",3%,IF(M21="15000-24999",2.25%,IF(M21="25000-34999",2.15%,IF(M21="35000-99999",1.99%))))))</f>
        <v>3.2500000000000001E-2</v>
      </c>
      <c r="Z13" s="99">
        <f>IF(M21="5000-9999",2.49%,IF(M21="10000-19999",2.19%,IF(M21="20000-34999",2.09%,IF(M21="35000-49999",1.89%,IF(M21="50000-99999",1.79%)))))</f>
        <v>2.4900000000000002E-2</v>
      </c>
      <c r="AA13" s="99">
        <f>IF(M21="5000-9999",2.59%,IF(M21="10000-19999",2.29%,IF(M21="20000-34999",2.19%,IF(M21="35000-49999",1.99%,IF(M21="50000-99999",1.89%)))))</f>
        <v>2.5899999999999999E-2</v>
      </c>
    </row>
    <row r="14" spans="1:27" ht="24.6" x14ac:dyDescent="0.4">
      <c r="A14" s="10" t="s">
        <v>27</v>
      </c>
      <c r="B14" s="37" t="s">
        <v>24</v>
      </c>
      <c r="C14" s="20" t="s">
        <v>19</v>
      </c>
      <c r="D14" s="50">
        <f>IF(C14="YES",U19*3.15*1.05/100,IF(C14="NO",U19*0/100))</f>
        <v>5053.0331249999999</v>
      </c>
      <c r="E14" s="48"/>
      <c r="F14" s="48" t="s">
        <v>24</v>
      </c>
      <c r="G14" s="51" t="s">
        <v>17</v>
      </c>
      <c r="H14" s="39">
        <f>IF(G14="YES",U19*3.15*1.05/100,IF(G14="NO",U19*0/100))</f>
        <v>0</v>
      </c>
      <c r="I14" s="33"/>
      <c r="J14" s="44" t="s">
        <v>55</v>
      </c>
      <c r="K14" s="44">
        <f>(H8*K12+H8)/3</f>
        <v>10851.660750000001</v>
      </c>
      <c r="L14" s="44">
        <f>(H8*L12+H8)/12</f>
        <v>2855.3432348437505</v>
      </c>
      <c r="M14" s="44">
        <f>(H8*M12+H8)/24</f>
        <v>1527.3712505625001</v>
      </c>
      <c r="N14" s="200">
        <f>(H7*N12+H7)/60</f>
        <v>685.01108484375004</v>
      </c>
      <c r="O14" s="9">
        <f>IF(M21="3000-4999",3.89%,IF(M21="5000-9999",3.89%,IF(M21="10000-14999",3.89%,IF(M21="15000-24999",2.69%,IF(M21="25000-34999",2.69%,IF(M21="35000-99999",2.39%,IF(M21="76000-99999",2.5%)))))))</f>
        <v>3.8900000000000004E-2</v>
      </c>
    </row>
    <row r="15" spans="1:27" ht="24.6" x14ac:dyDescent="0.4">
      <c r="A15" s="11">
        <f>(B7*3%)+10+120</f>
        <v>4177</v>
      </c>
      <c r="B15" s="37" t="s">
        <v>28</v>
      </c>
      <c r="C15" s="20" t="s">
        <v>19</v>
      </c>
      <c r="D15" s="29">
        <f>IF(C15="YES",O10,IF(C15="NO",0))</f>
        <v>4946.8781250000002</v>
      </c>
      <c r="E15" s="48"/>
      <c r="F15" s="48" t="s">
        <v>53</v>
      </c>
      <c r="G15" s="51" t="s">
        <v>17</v>
      </c>
      <c r="H15" s="39">
        <f>IF(G15="YES",O10,IF(G15="NO",0))</f>
        <v>0</v>
      </c>
      <c r="I15" s="33"/>
      <c r="J15" s="44"/>
      <c r="K15" s="44"/>
      <c r="L15" s="44"/>
      <c r="M15" s="44"/>
      <c r="N15" s="198"/>
      <c r="O15" s="9" t="b">
        <f>IF(M21="3000-4999",4.99%, IF(M21="5000-11999",2.75%,IF(M21="12000-19999",2.75%,IF(M21="20000-39999",2.25%,IF(M21="40000-69999",2.25%,IF(M21="70000-99999",2.25%))))))</f>
        <v>0</v>
      </c>
      <c r="P15" s="191"/>
    </row>
    <row r="16" spans="1:27" ht="24.6" x14ac:dyDescent="0.4">
      <c r="A16" s="11">
        <f>((B7-B8)*3%+10+120)</f>
        <v>130</v>
      </c>
      <c r="B16" s="37" t="s">
        <v>78</v>
      </c>
      <c r="C16" s="20" t="s">
        <v>19</v>
      </c>
      <c r="D16" s="29">
        <f>IF(C16="YES",O16,IF(C16="NO",0))</f>
        <v>5900</v>
      </c>
      <c r="E16" s="47"/>
      <c r="F16" s="47" t="s">
        <v>74</v>
      </c>
      <c r="G16" s="54"/>
      <c r="H16" s="33">
        <f>I7*1.05%</f>
        <v>1367.3092545000002</v>
      </c>
      <c r="I16" s="33"/>
      <c r="J16" s="44" t="s">
        <v>16</v>
      </c>
      <c r="K16" s="44">
        <f>(K14*3)-H8</f>
        <v>0</v>
      </c>
      <c r="L16" s="44">
        <f>(L14*12)-H8</f>
        <v>1709.1365681250027</v>
      </c>
      <c r="M16" s="44">
        <f>(M14*24)-H8</f>
        <v>4101.9277635000035</v>
      </c>
      <c r="N16" s="198"/>
      <c r="O16" s="147">
        <f>IF(B16="RMC-10-70KMS",O11,IF(B16="RMC-10-100000KMS",V11,IF(B16="RMC-40-70KMS",U11, IF(B16="RMC-10-40KMS",X11, IF(B16="RMC-10-60KMS",Y11, IF(B16="RMC-40-100000KMS",W11,0))))))</f>
        <v>5900</v>
      </c>
    </row>
    <row r="17" spans="1:23" ht="24.6" x14ac:dyDescent="0.4">
      <c r="A17" s="11">
        <f>A15+A16</f>
        <v>4307</v>
      </c>
      <c r="B17" s="37"/>
      <c r="C17" s="20"/>
      <c r="D17" s="29">
        <f>SUM(D10:D16)</f>
        <v>20599.911250000001</v>
      </c>
      <c r="E17" s="48"/>
      <c r="F17" s="48"/>
      <c r="G17" s="54"/>
      <c r="H17" s="33">
        <f>+SUM(H12:H16)+(H7)</f>
        <v>34837.291504499997</v>
      </c>
      <c r="I17" s="33"/>
      <c r="J17" s="20"/>
      <c r="K17" s="199"/>
      <c r="L17" s="199"/>
      <c r="M17" s="199"/>
      <c r="N17" s="198"/>
      <c r="O17" s="147">
        <f>IF(B11="FO Ceramic+ Intr&amp;Extr CeramicGold WdwTnt",2700,IF(B11="FO Mirror Camera Sensor",2000))</f>
        <v>2700</v>
      </c>
      <c r="T17" s="1">
        <f>19615-791</f>
        <v>18824</v>
      </c>
    </row>
    <row r="18" spans="1:23" ht="24.6" x14ac:dyDescent="0.4">
      <c r="A18" s="12" t="s">
        <v>29</v>
      </c>
      <c r="B18" s="55" t="s">
        <v>30</v>
      </c>
      <c r="C18" s="197"/>
      <c r="D18" s="57">
        <v>0</v>
      </c>
      <c r="E18" s="38"/>
      <c r="F18" s="20"/>
      <c r="G18" s="20"/>
      <c r="H18" s="37"/>
      <c r="I18" s="37"/>
      <c r="J18" s="37"/>
      <c r="K18" s="37"/>
      <c r="L18" s="37"/>
      <c r="M18" s="37"/>
      <c r="N18" s="37"/>
      <c r="O18" s="9" t="b">
        <f>IF(M21="5000-99999",1.99%)</f>
        <v>0</v>
      </c>
      <c r="U18" s="196" t="s">
        <v>52</v>
      </c>
      <c r="V18" s="196" t="s">
        <v>52</v>
      </c>
    </row>
    <row r="19" spans="1:23" ht="24.6" x14ac:dyDescent="0.4">
      <c r="A19" s="11">
        <f>B8*3.15%</f>
        <v>4249.3500000000004</v>
      </c>
      <c r="B19" s="58" t="s">
        <v>31</v>
      </c>
      <c r="C19" s="59"/>
      <c r="D19" s="60">
        <f>IF(K21="DIB EXPAT",O13,IF(K21="DIB LOCAL GVH",U13,IF(K21="Emirates NBD",O14,IF(K21="ADCB",O15,IF(K21="ADCB PAY IN 2027",O19,IF(K21="Ajman Bank",O18,IF(K21="SIB STL",Z13,IF(K21="SIB NON STL",AA13,))))))))</f>
        <v>3.8900000000000004E-2</v>
      </c>
      <c r="E19" s="20"/>
      <c r="F19" s="195"/>
      <c r="G19" s="141" t="s">
        <v>73</v>
      </c>
      <c r="H19" s="142"/>
      <c r="I19" s="143"/>
      <c r="J19" s="109">
        <f>(U19*20/100)/365</f>
        <v>83.712328767123282</v>
      </c>
      <c r="K19" s="37"/>
      <c r="L19" s="37"/>
      <c r="M19" s="37"/>
      <c r="N19" s="34">
        <f>D7</f>
        <v>141645</v>
      </c>
      <c r="O19" s="194" t="b">
        <f>IF(M21="5000-11999",3.35%,IF(M21="12000-19999",3.35%,IF(M21="20000-39999",2.85%,IF(M21="40000-69999",2.85%,IF(M21="70000-99999",2.85%)))))</f>
        <v>0</v>
      </c>
      <c r="P19" s="2">
        <f>81400-2500</f>
        <v>78900</v>
      </c>
      <c r="U19" s="193">
        <f>V19</f>
        <v>152775</v>
      </c>
      <c r="V19" s="192">
        <f>(B7+D10+D11+D12+D13+D16)*1.05</f>
        <v>152775</v>
      </c>
    </row>
    <row r="20" spans="1:23" ht="24.6" x14ac:dyDescent="0.4">
      <c r="A20" s="11"/>
      <c r="B20" s="58" t="s">
        <v>32</v>
      </c>
      <c r="C20" s="59"/>
      <c r="D20" s="63">
        <v>0.2</v>
      </c>
      <c r="E20" s="37"/>
      <c r="F20" s="37"/>
      <c r="G20" s="38"/>
      <c r="H20" s="38"/>
      <c r="I20" s="38"/>
      <c r="J20" s="103"/>
      <c r="K20" s="104" t="s">
        <v>33</v>
      </c>
      <c r="L20" s="104" t="s">
        <v>17</v>
      </c>
      <c r="M20" s="104">
        <f>IF(L20="YES",O12,IF(L20="NO",0))</f>
        <v>0</v>
      </c>
      <c r="N20" s="34">
        <f>B8-M20</f>
        <v>134900</v>
      </c>
      <c r="O20" s="187"/>
      <c r="P20" s="191"/>
      <c r="T20" s="1">
        <f>1992+1084</f>
        <v>3076</v>
      </c>
      <c r="U20" s="186"/>
      <c r="V20" s="2"/>
    </row>
    <row r="21" spans="1:23" ht="24.6" x14ac:dyDescent="0.4">
      <c r="A21" s="13">
        <f>A19+A20</f>
        <v>4249.3500000000004</v>
      </c>
      <c r="B21" s="37"/>
      <c r="C21" s="20"/>
      <c r="D21" s="37"/>
      <c r="E21" s="37"/>
      <c r="F21" s="37"/>
      <c r="G21" s="37"/>
      <c r="H21" s="37"/>
      <c r="I21" s="37"/>
      <c r="J21" s="190" t="s">
        <v>34</v>
      </c>
      <c r="K21" s="16" t="s">
        <v>139</v>
      </c>
      <c r="L21" s="16" t="s">
        <v>35</v>
      </c>
      <c r="M21" s="189" t="s">
        <v>80</v>
      </c>
      <c r="N21" s="188"/>
      <c r="O21" s="187"/>
      <c r="T21" s="1">
        <f>25973-12973</f>
        <v>13000</v>
      </c>
      <c r="U21" s="186">
        <f>M14+N7</f>
        <v>4119.8330037374999</v>
      </c>
    </row>
    <row r="22" spans="1:23" s="179" customFormat="1" ht="24.6" x14ac:dyDescent="0.4">
      <c r="A22" s="185"/>
      <c r="B22" s="184" t="s">
        <v>51</v>
      </c>
      <c r="C22" s="183"/>
      <c r="D22" s="183"/>
      <c r="E22" s="183"/>
      <c r="F22" s="183"/>
      <c r="G22" s="183"/>
      <c r="H22" s="183"/>
      <c r="I22" s="183"/>
      <c r="J22" s="183"/>
      <c r="K22" s="183"/>
      <c r="L22" s="183"/>
      <c r="M22" s="183"/>
      <c r="N22" s="182"/>
      <c r="O22" s="181"/>
      <c r="P22" s="180"/>
    </row>
    <row r="23" spans="1:23" s="168" customFormat="1" ht="26.4" x14ac:dyDescent="0.5">
      <c r="A23" s="175" t="s">
        <v>36</v>
      </c>
      <c r="B23" s="172" t="s">
        <v>138</v>
      </c>
      <c r="C23" s="169"/>
      <c r="D23" s="169"/>
      <c r="E23" s="169"/>
      <c r="F23" s="169"/>
      <c r="G23" s="169"/>
      <c r="H23" s="176"/>
      <c r="I23" s="176"/>
      <c r="J23" s="169"/>
      <c r="K23" s="169"/>
      <c r="L23" s="169"/>
      <c r="M23" s="169"/>
      <c r="N23" s="178"/>
      <c r="O23" s="170"/>
      <c r="P23" s="169"/>
    </row>
    <row r="24" spans="1:23" s="168" customFormat="1" ht="26.4" x14ac:dyDescent="0.5">
      <c r="A24" s="175" t="s">
        <v>36</v>
      </c>
      <c r="B24" s="172" t="s">
        <v>137</v>
      </c>
      <c r="C24" s="169"/>
      <c r="D24" s="169"/>
      <c r="E24" s="169"/>
      <c r="F24" s="169"/>
      <c r="G24" s="169"/>
      <c r="H24" s="177">
        <f>H7/365</f>
        <v>89.191732191780829</v>
      </c>
      <c r="I24" s="177">
        <f>H7+H12+H16</f>
        <v>34522.291504500005</v>
      </c>
      <c r="J24" s="169"/>
      <c r="K24" s="169"/>
      <c r="L24" s="169"/>
      <c r="M24" s="169"/>
      <c r="N24" s="173"/>
      <c r="O24" s="170"/>
      <c r="P24" s="169">
        <f>1232+480</f>
        <v>1712</v>
      </c>
      <c r="T24" s="168">
        <f>88704/1.05</f>
        <v>84480</v>
      </c>
    </row>
    <row r="25" spans="1:23" s="168" customFormat="1" ht="26.4" x14ac:dyDescent="0.5">
      <c r="A25" s="175" t="s">
        <v>36</v>
      </c>
      <c r="B25" s="172" t="s">
        <v>136</v>
      </c>
      <c r="C25" s="169"/>
      <c r="D25" s="169"/>
      <c r="E25" s="169"/>
      <c r="F25" s="169"/>
      <c r="G25" s="169"/>
      <c r="H25" s="176"/>
      <c r="I25" s="176"/>
      <c r="J25" s="169"/>
      <c r="K25" s="169"/>
      <c r="L25" s="169"/>
      <c r="M25" s="169"/>
      <c r="N25" s="173"/>
      <c r="O25" s="170"/>
      <c r="P25" s="169"/>
      <c r="Q25" s="168">
        <f>79400-5233.33</f>
        <v>74166.67</v>
      </c>
      <c r="R25" s="168">
        <f>Q25*1.05</f>
        <v>77875.003500000006</v>
      </c>
      <c r="W25" s="168">
        <f>1999+1224</f>
        <v>3223</v>
      </c>
    </row>
    <row r="26" spans="1:23" s="168" customFormat="1" ht="26.4" x14ac:dyDescent="0.5">
      <c r="A26" s="175" t="s">
        <v>36</v>
      </c>
      <c r="B26" s="172" t="s">
        <v>135</v>
      </c>
      <c r="C26" s="169"/>
      <c r="D26" s="169"/>
      <c r="E26" s="169"/>
      <c r="F26" s="169"/>
      <c r="G26" s="169"/>
      <c r="H26" s="169"/>
      <c r="I26" s="169"/>
      <c r="J26" s="169"/>
      <c r="K26" s="169"/>
      <c r="L26" s="169"/>
      <c r="M26" s="169"/>
      <c r="N26" s="173"/>
      <c r="O26" s="170" t="s">
        <v>37</v>
      </c>
      <c r="P26" s="169"/>
      <c r="R26" s="168">
        <f>R25+2469</f>
        <v>80344.003500000006</v>
      </c>
    </row>
    <row r="27" spans="1:23" s="168" customFormat="1" ht="26.4" x14ac:dyDescent="0.5">
      <c r="A27" s="175" t="s">
        <v>36</v>
      </c>
      <c r="B27" s="172" t="s">
        <v>134</v>
      </c>
      <c r="C27" s="169"/>
      <c r="D27" s="169"/>
      <c r="E27" s="169"/>
      <c r="F27" s="169"/>
      <c r="G27" s="169"/>
      <c r="H27" s="169"/>
      <c r="I27" s="169"/>
      <c r="J27" s="169"/>
      <c r="K27" s="169"/>
      <c r="L27" s="169"/>
      <c r="M27" s="169"/>
      <c r="N27" s="173"/>
      <c r="O27" s="170">
        <f>129500-110900</f>
        <v>18600</v>
      </c>
      <c r="P27" s="169"/>
      <c r="W27" s="174">
        <f>N7+L14</f>
        <v>5447.80498801875</v>
      </c>
    </row>
    <row r="28" spans="1:23" s="168" customFormat="1" ht="26.4" x14ac:dyDescent="0.5">
      <c r="B28" s="172" t="s">
        <v>133</v>
      </c>
      <c r="C28" s="169"/>
      <c r="D28" s="169"/>
      <c r="E28" s="169"/>
      <c r="F28" s="169"/>
      <c r="G28" s="169"/>
      <c r="H28" s="169"/>
      <c r="I28" s="169"/>
      <c r="J28" s="169"/>
      <c r="K28" s="169"/>
      <c r="L28" s="169"/>
      <c r="M28" s="169"/>
      <c r="N28" s="173"/>
      <c r="O28" s="170">
        <f>85000-69900</f>
        <v>15100</v>
      </c>
      <c r="P28" s="169"/>
    </row>
    <row r="29" spans="1:23" s="168" customFormat="1" ht="26.4" x14ac:dyDescent="0.5">
      <c r="B29" s="172" t="s">
        <v>132</v>
      </c>
      <c r="C29" s="169"/>
      <c r="D29" s="169"/>
      <c r="E29" s="169"/>
      <c r="F29" s="169"/>
      <c r="G29" s="169"/>
      <c r="H29" s="169"/>
      <c r="I29" s="169"/>
      <c r="J29" s="169"/>
      <c r="K29" s="169"/>
      <c r="L29" s="169"/>
      <c r="M29" s="169"/>
      <c r="N29" s="171"/>
      <c r="O29" s="170"/>
      <c r="P29" s="169"/>
    </row>
    <row r="30" spans="1:23" x14ac:dyDescent="0.3">
      <c r="B30" s="167" t="s">
        <v>38</v>
      </c>
      <c r="C30" s="166"/>
      <c r="D30" s="166"/>
      <c r="E30" s="166"/>
      <c r="F30" s="166"/>
      <c r="G30" s="166"/>
      <c r="H30" s="166"/>
      <c r="I30" s="166"/>
      <c r="J30" s="166"/>
      <c r="K30" s="166"/>
      <c r="L30" s="166"/>
      <c r="M30" s="166"/>
      <c r="N30" s="165"/>
      <c r="O30" s="147"/>
    </row>
    <row r="31" spans="1:23" x14ac:dyDescent="0.3">
      <c r="B31" s="146"/>
      <c r="C31" s="145"/>
      <c r="D31" s="145"/>
      <c r="E31" s="145"/>
      <c r="F31" s="145"/>
      <c r="G31" s="145"/>
      <c r="H31" s="145"/>
      <c r="I31" s="145"/>
      <c r="J31" s="145"/>
      <c r="K31" s="145"/>
      <c r="L31" s="145"/>
      <c r="M31" s="145"/>
      <c r="N31" s="144"/>
      <c r="O31" s="147"/>
    </row>
    <row r="32" spans="1:23" s="86" customFormat="1" ht="20.399999999999999" x14ac:dyDescent="0.35">
      <c r="B32" s="118" t="s">
        <v>39</v>
      </c>
      <c r="C32" s="119"/>
      <c r="D32" s="119"/>
      <c r="E32" s="119"/>
      <c r="F32" s="119"/>
      <c r="G32" s="119"/>
      <c r="H32" s="119"/>
      <c r="I32" s="119"/>
      <c r="J32" s="119"/>
      <c r="K32" s="119"/>
      <c r="L32" s="119"/>
      <c r="M32" s="119"/>
      <c r="N32" s="120"/>
      <c r="O32" s="92"/>
      <c r="P32" s="83"/>
    </row>
    <row r="33" spans="2:16" s="86" customFormat="1" ht="20.399999999999999" x14ac:dyDescent="0.35">
      <c r="B33" s="118" t="s">
        <v>40</v>
      </c>
      <c r="C33" s="119"/>
      <c r="D33" s="119"/>
      <c r="E33" s="119"/>
      <c r="F33" s="119"/>
      <c r="G33" s="119"/>
      <c r="H33" s="119"/>
      <c r="I33" s="119"/>
      <c r="J33" s="119"/>
      <c r="K33" s="119"/>
      <c r="L33" s="119"/>
      <c r="M33" s="119"/>
      <c r="N33" s="120"/>
      <c r="O33" s="92"/>
      <c r="P33" s="83"/>
    </row>
    <row r="34" spans="2:16" s="86" customFormat="1" ht="20.399999999999999" x14ac:dyDescent="0.35">
      <c r="B34" s="107" t="s">
        <v>131</v>
      </c>
      <c r="C34" s="108"/>
      <c r="D34" s="108"/>
      <c r="E34" s="108"/>
      <c r="F34" s="108"/>
      <c r="G34" s="164" t="s">
        <v>130</v>
      </c>
      <c r="H34" s="164"/>
      <c r="I34" s="163"/>
      <c r="J34" s="163"/>
      <c r="K34" s="163"/>
      <c r="L34" s="163"/>
      <c r="M34" s="162" t="s">
        <v>129</v>
      </c>
      <c r="N34" s="161"/>
      <c r="O34" s="83"/>
      <c r="P34" s="83"/>
    </row>
    <row r="35" spans="2:16" x14ac:dyDescent="0.3">
      <c r="B35" s="160"/>
      <c r="C35" s="159"/>
      <c r="D35" s="159"/>
      <c r="E35" s="159"/>
      <c r="F35" s="159"/>
      <c r="G35" s="159"/>
      <c r="H35" s="159"/>
      <c r="I35" s="159"/>
      <c r="J35" s="159"/>
      <c r="K35" s="159"/>
      <c r="L35" s="159"/>
      <c r="M35" s="159"/>
      <c r="N35" s="158"/>
    </row>
    <row r="36" spans="2:16" x14ac:dyDescent="0.3">
      <c r="B36" s="160"/>
      <c r="C36" s="159"/>
      <c r="D36" s="159"/>
      <c r="E36" s="159"/>
      <c r="F36" s="159"/>
      <c r="G36" s="159"/>
      <c r="H36" s="159"/>
      <c r="I36" s="159"/>
      <c r="J36" s="159"/>
      <c r="K36" s="159"/>
      <c r="L36" s="159"/>
      <c r="M36" s="159"/>
      <c r="N36" s="158"/>
    </row>
    <row r="37" spans="2:16" x14ac:dyDescent="0.3">
      <c r="B37" s="160"/>
      <c r="C37" s="159"/>
      <c r="D37" s="159"/>
      <c r="E37" s="159"/>
      <c r="F37" s="159"/>
      <c r="G37" s="159"/>
      <c r="H37" s="159"/>
      <c r="I37" s="159"/>
      <c r="J37" s="159"/>
      <c r="K37" s="159"/>
      <c r="L37" s="159"/>
      <c r="M37" s="159"/>
      <c r="N37" s="158"/>
    </row>
    <row r="38" spans="2:16" ht="16.8" x14ac:dyDescent="0.3">
      <c r="B38" s="149" t="s">
        <v>128</v>
      </c>
      <c r="C38" s="157"/>
      <c r="D38" s="154"/>
      <c r="E38" s="151"/>
      <c r="F38" s="151"/>
      <c r="G38" s="151"/>
      <c r="H38" s="151"/>
      <c r="I38" s="151"/>
      <c r="J38" s="152"/>
      <c r="K38" s="151"/>
      <c r="L38" s="151"/>
      <c r="M38" s="151"/>
      <c r="N38" s="156"/>
    </row>
    <row r="39" spans="2:16" ht="16.8" x14ac:dyDescent="0.3">
      <c r="B39" s="149" t="s">
        <v>127</v>
      </c>
      <c r="C39" s="155"/>
      <c r="D39" s="154"/>
      <c r="E39" s="151"/>
      <c r="F39" s="151"/>
      <c r="G39" s="151"/>
      <c r="H39" s="151"/>
      <c r="I39" s="151"/>
      <c r="J39" s="152"/>
      <c r="K39" s="151"/>
      <c r="L39" s="151"/>
      <c r="M39" s="151"/>
      <c r="N39" s="150"/>
    </row>
    <row r="40" spans="2:16" ht="16.8" x14ac:dyDescent="0.3">
      <c r="B40" s="149" t="s">
        <v>126</v>
      </c>
      <c r="C40" s="153"/>
      <c r="D40" s="151"/>
      <c r="E40" s="151"/>
      <c r="F40" s="151"/>
      <c r="G40" s="151"/>
      <c r="H40" s="151"/>
      <c r="I40" s="151"/>
      <c r="J40" s="152"/>
      <c r="K40" s="151"/>
      <c r="L40" s="151"/>
      <c r="M40" s="151"/>
      <c r="N40" s="150"/>
    </row>
    <row r="41" spans="2:16" ht="16.8" x14ac:dyDescent="0.3">
      <c r="B41" s="149" t="s">
        <v>125</v>
      </c>
      <c r="N41" s="148"/>
    </row>
    <row r="42" spans="2:16" ht="16.8" x14ac:dyDescent="0.3">
      <c r="B42" s="149" t="s">
        <v>124</v>
      </c>
      <c r="N42" s="148"/>
    </row>
    <row r="43" spans="2:16" ht="16.8" x14ac:dyDescent="0.3">
      <c r="B43" s="149" t="s">
        <v>123</v>
      </c>
      <c r="N43" s="148"/>
    </row>
    <row r="44" spans="2:16" ht="16.8" x14ac:dyDescent="0.3">
      <c r="B44" s="149" t="s">
        <v>122</v>
      </c>
      <c r="N44" s="148"/>
    </row>
    <row r="45" spans="2:16" ht="16.8" x14ac:dyDescent="0.3">
      <c r="B45" s="149" t="s">
        <v>121</v>
      </c>
      <c r="N45" s="148"/>
    </row>
    <row r="46" spans="2:16" ht="16.8" x14ac:dyDescent="0.3">
      <c r="B46" s="149" t="s">
        <v>120</v>
      </c>
      <c r="N46" s="148"/>
    </row>
    <row r="47" spans="2:16" x14ac:dyDescent="0.3">
      <c r="B47" s="146" t="s">
        <v>39</v>
      </c>
      <c r="C47" s="145"/>
      <c r="D47" s="145"/>
      <c r="E47" s="145"/>
      <c r="F47" s="145"/>
      <c r="G47" s="145"/>
      <c r="H47" s="145"/>
      <c r="I47" s="145"/>
      <c r="J47" s="145"/>
      <c r="K47" s="145"/>
      <c r="L47" s="145"/>
      <c r="M47" s="145"/>
      <c r="N47" s="144"/>
      <c r="O47" s="147"/>
    </row>
    <row r="48" spans="2:16" x14ac:dyDescent="0.3">
      <c r="B48" s="146" t="s">
        <v>40</v>
      </c>
      <c r="C48" s="145"/>
      <c r="D48" s="145"/>
      <c r="E48" s="145"/>
      <c r="F48" s="145"/>
      <c r="G48" s="145"/>
      <c r="H48" s="145"/>
      <c r="I48" s="145"/>
      <c r="J48" s="145"/>
      <c r="K48" s="145"/>
      <c r="L48" s="145"/>
      <c r="M48" s="145"/>
      <c r="N48" s="144"/>
      <c r="O48" s="147"/>
    </row>
    <row r="49" spans="2:14" x14ac:dyDescent="0.3">
      <c r="B49" s="146" t="s">
        <v>119</v>
      </c>
      <c r="C49" s="145"/>
      <c r="D49" s="145"/>
      <c r="E49" s="145"/>
      <c r="F49" s="145"/>
      <c r="G49" s="145"/>
      <c r="H49" s="145"/>
      <c r="I49" s="145"/>
      <c r="J49" s="145"/>
      <c r="K49" s="145"/>
      <c r="L49" s="145"/>
      <c r="M49" s="145"/>
      <c r="N49" s="144"/>
    </row>
    <row r="50" spans="2:14" ht="25.8" x14ac:dyDescent="0.3">
      <c r="C50" s="15" t="s">
        <v>41</v>
      </c>
    </row>
    <row r="51" spans="2:14" ht="25.8" x14ac:dyDescent="0.3">
      <c r="C51" s="15" t="s">
        <v>42</v>
      </c>
    </row>
    <row r="52" spans="2:14" ht="25.8" x14ac:dyDescent="0.3">
      <c r="C52" s="15" t="s">
        <v>43</v>
      </c>
    </row>
    <row r="53" spans="2:14" ht="25.8" x14ac:dyDescent="0.3">
      <c r="C53" s="15" t="s">
        <v>44</v>
      </c>
    </row>
    <row r="54" spans="2:14" ht="25.8" x14ac:dyDescent="0.3">
      <c r="C54" s="15" t="s">
        <v>45</v>
      </c>
    </row>
  </sheetData>
  <dataConsolidate/>
  <mergeCells count="11">
    <mergeCell ref="F8:G8"/>
    <mergeCell ref="F9:G9"/>
    <mergeCell ref="G19:I19"/>
    <mergeCell ref="B22:N22"/>
    <mergeCell ref="B30:N30"/>
    <mergeCell ref="B32:N32"/>
    <mergeCell ref="B33:N33"/>
    <mergeCell ref="B47:N47"/>
    <mergeCell ref="B48:N48"/>
    <mergeCell ref="B49:N49"/>
    <mergeCell ref="B31:N31"/>
  </mergeCells>
  <dataValidations count="11">
    <dataValidation type="list" allowBlank="1" showInputMessage="1" showErrorMessage="1" sqref="H34" xr:uid="{11C5A689-71F5-438F-A114-D6AA6B9CF995}">
      <formula1>"ALAA HAMMAD,KHALED QASSEM,RAMY RAOUF,SIMON LOBO,MHAREN CLEMENTE GARADO"</formula1>
    </dataValidation>
    <dataValidation type="list" allowBlank="1" showInputMessage="1" showErrorMessage="1" sqref="M34" xr:uid="{A560EE43-E6A5-4B95-B0B2-747A9E554520}">
      <formula1>"Alaa Hammad,Bachir Ibrahim Mourad,Khaled Qassem,Ramy Raoof,Simon Lobo,Mharen Clemente Garado,Ranjith"</formula1>
    </dataValidation>
    <dataValidation type="list" allowBlank="1" showInputMessage="1" showErrorMessage="1" sqref="B11" xr:uid="{8C875CDB-DCF7-4747-88D3-0E35974DDD38}">
      <formula1>"FO Ceramic+ Intr&amp;Extr CeramicGold WdwTnt,FO Mirror Camera Sensor"</formula1>
    </dataValidation>
    <dataValidation type="list" allowBlank="1" showInputMessage="1" showErrorMessage="1" sqref="B12" xr:uid="{0DF7C320-97D2-4AA7-992A-6744B8AAA1AB}">
      <formula1>"FO Exterior ceramic All Cars SCOTCHGUARD,FO Mirror Camera Sensor,FO PPF Gold Package "</formula1>
    </dataValidation>
    <dataValidation type="list" allowBlank="1" showInputMessage="1" showErrorMessage="1" sqref="K20" xr:uid="{C3C49BD8-B1C8-4E11-9CE8-81E5CA237EB8}">
      <formula1>"Esaad,Emirates Platinum,Fazaa,Humat Alwatan,Permissible,ASX,XPMLP,XP,MON,MON G57,OUT,F08,P08,F06,P06,F03,F03-1,P03,EC,G37,G38,G40,G43"</formula1>
    </dataValidation>
    <dataValidation type="list" allowBlank="1" showInputMessage="1" showErrorMessage="1" sqref="B16" xr:uid="{05DF8DE3-3470-4E0C-905B-B8F737951E87}">
      <formula1>"RMC-10-40KMS,RMC-10-60KMS,RMC-10-70KMS,RMC-10-100000KMS,RMC-40-70KMS,RMC-40-100000KMS"</formula1>
    </dataValidation>
    <dataValidation type="list" allowBlank="1" showInputMessage="1" showErrorMessage="1" sqref="K24" xr:uid="{AEFFE701-01A8-48EA-BFB1-07AE61B79F28}">
      <formula1>"RMC-10-70K,RMC-10-100000K,RMC-40-70K"</formula1>
    </dataValidation>
    <dataValidation type="list" allowBlank="1" showInputMessage="1" showErrorMessage="1" sqref="D5" xr:uid="{CE1F3552-842F-43B8-887C-AA62E2FD9E33}">
      <formula1>"MIG09,MIG10,H16,P16,H17,H48,H43,H40,H42,H44,H45,H38,H37,EH40,EH43,ML,HL,PR, MLP,HLP,PRP,XPML,XPHL,XPMLP, XPMLP-01,XC, G10,P10, G03, P03, G06,P06,G12,P12,G05,P05,G08,P08,G09,P09,H57,P57,H64,H59,P59,H61,P61"</formula1>
    </dataValidation>
    <dataValidation type="list" allowBlank="1" showInputMessage="1" showErrorMessage="1" sqref="M21" xr:uid="{16D77A6B-E3E3-46F4-863C-FC7C9E75FE5F}">
      <formula1>"3000-4999,5000-9999,5000-99999,10000-14999,15000-24999,25000-34999,35000-99999,5000-11999,12000-19999,20000-39999,40000-69999,70000-99999"</formula1>
    </dataValidation>
    <dataValidation type="list" allowBlank="1" showInputMessage="1" showErrorMessage="1" sqref="C10:C16 L20 L24:L25 G14:G15 J10" xr:uid="{24E6012F-784E-4D57-BB72-C6B928620940}">
      <formula1>"YES,NO"</formula1>
    </dataValidation>
    <dataValidation type="list" allowBlank="1" showInputMessage="1" showErrorMessage="1" sqref="K21" xr:uid="{4DDB552D-6BC5-4A33-9F3F-6AD9D8745C9C}">
      <formula1>"ADCB,ADCB PAY IN 2027,Ajman Bank,ADIB,DIB EXPAT,DIB LOCAL GVH,Emirates NBD,EIB,FAB,RAK,SIB STL,SIB NON STL"</formula1>
    </dataValidation>
  </dataValidations>
  <pageMargins left="0.23622047244094491" right="0.23622047244094491" top="0.74803149606299213" bottom="0.74803149606299213" header="0.31496062992125984" footer="0.31496062992125984"/>
  <pageSetup paperSize="9" scale="40" orientation="landscape" horizontalDpi="4294967295" verticalDpi="4294967295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D628DA-2803-4B3D-89E9-7CD6658A6EA2}">
  <sheetPr>
    <pageSetUpPr fitToPage="1"/>
  </sheetPr>
  <dimension ref="A1:AA54"/>
  <sheetViews>
    <sheetView topLeftCell="B1" zoomScaleNormal="100" workbookViewId="0">
      <selection activeCell="D5" sqref="D5"/>
    </sheetView>
  </sheetViews>
  <sheetFormatPr defaultColWidth="9.109375" defaultRowHeight="15.6" x14ac:dyDescent="0.3"/>
  <cols>
    <col min="1" max="1" width="16" style="1" hidden="1" customWidth="1"/>
    <col min="2" max="2" width="75.109375" style="2" customWidth="1"/>
    <col min="3" max="3" width="26.88671875" style="3" customWidth="1"/>
    <col min="4" max="4" width="23.88671875" style="2" customWidth="1"/>
    <col min="5" max="5" width="23.33203125" style="2" customWidth="1"/>
    <col min="6" max="6" width="19.88671875" style="2" customWidth="1"/>
    <col min="7" max="7" width="23.33203125" style="2" customWidth="1"/>
    <col min="8" max="8" width="24.44140625" style="2" customWidth="1"/>
    <col min="9" max="9" width="27.109375" style="2" customWidth="1"/>
    <col min="10" max="10" width="26.6640625" style="2" customWidth="1"/>
    <col min="11" max="11" width="25.44140625" style="2" customWidth="1"/>
    <col min="12" max="12" width="20.5546875" style="2" customWidth="1"/>
    <col min="13" max="13" width="20.109375" style="2" customWidth="1"/>
    <col min="14" max="14" width="19.5546875" style="2" customWidth="1"/>
    <col min="15" max="15" width="15.109375" style="2" bestFit="1" customWidth="1"/>
    <col min="16" max="16" width="12.6640625" style="2" hidden="1" customWidth="1"/>
    <col min="17" max="17" width="12.6640625" style="1" hidden="1" customWidth="1"/>
    <col min="18" max="18" width="15.6640625" style="1" hidden="1" customWidth="1"/>
    <col min="19" max="19" width="13" style="1" hidden="1" customWidth="1"/>
    <col min="20" max="20" width="17.109375" style="1" hidden="1" customWidth="1"/>
    <col min="21" max="21" width="14.5546875" style="1" bestFit="1" customWidth="1"/>
    <col min="22" max="22" width="19" style="1" customWidth="1"/>
    <col min="23" max="23" width="22.5546875" style="1" bestFit="1" customWidth="1"/>
    <col min="24" max="25" width="9.109375" style="1"/>
    <col min="26" max="26" width="14" style="1" bestFit="1" customWidth="1"/>
    <col min="27" max="27" width="22.33203125" style="1" bestFit="1" customWidth="1"/>
    <col min="28" max="16384" width="9.109375" style="1"/>
  </cols>
  <sheetData>
    <row r="1" spans="1:27" ht="15.75" customHeight="1" x14ac:dyDescent="0.3">
      <c r="B1" s="222" t="s">
        <v>148</v>
      </c>
      <c r="C1" s="221"/>
      <c r="D1" s="221"/>
      <c r="E1" s="221"/>
      <c r="F1" s="221"/>
      <c r="G1" s="221"/>
      <c r="H1" s="221"/>
      <c r="I1" s="221"/>
      <c r="J1" s="221"/>
      <c r="K1" s="221"/>
      <c r="L1" s="221"/>
      <c r="M1" s="221"/>
      <c r="N1" s="220"/>
    </row>
    <row r="2" spans="1:27" ht="15.75" customHeight="1" x14ac:dyDescent="0.3">
      <c r="B2" s="219" t="s">
        <v>147</v>
      </c>
      <c r="C2" s="218"/>
      <c r="D2" s="218"/>
      <c r="E2" s="218"/>
      <c r="F2" s="218"/>
      <c r="G2" s="218"/>
      <c r="H2" s="218"/>
      <c r="I2" s="218"/>
      <c r="J2" s="218"/>
      <c r="K2" s="218"/>
      <c r="L2" s="218"/>
      <c r="M2" s="218"/>
      <c r="N2" s="217"/>
      <c r="Q2" s="2"/>
      <c r="S2" s="186"/>
    </row>
    <row r="3" spans="1:27" ht="15.75" customHeight="1" x14ac:dyDescent="0.3">
      <c r="B3" s="219" t="s">
        <v>146</v>
      </c>
      <c r="C3" s="218"/>
      <c r="D3" s="218"/>
      <c r="E3" s="218"/>
      <c r="F3" s="218"/>
      <c r="G3" s="218"/>
      <c r="H3" s="218"/>
      <c r="I3" s="218"/>
      <c r="J3" s="218"/>
      <c r="K3" s="218"/>
      <c r="L3" s="218"/>
      <c r="M3" s="218"/>
      <c r="N3" s="217"/>
      <c r="O3" s="3"/>
      <c r="P3" s="3"/>
      <c r="Q3" s="153"/>
      <c r="R3" s="153"/>
      <c r="S3" s="216" t="e">
        <f>N7+J14</f>
        <v>#VALUE!</v>
      </c>
      <c r="T3" s="216"/>
      <c r="U3" s="153"/>
      <c r="V3" s="153"/>
      <c r="W3" s="153"/>
      <c r="AA3" s="1">
        <f>273000/5</f>
        <v>54600</v>
      </c>
    </row>
    <row r="4" spans="1:27" ht="15.75" customHeight="1" x14ac:dyDescent="0.3">
      <c r="B4" s="215"/>
      <c r="C4" s="214"/>
      <c r="D4" s="214"/>
      <c r="E4" s="214"/>
      <c r="F4" s="214"/>
      <c r="G4" s="214"/>
      <c r="H4" s="214"/>
      <c r="I4" s="214"/>
      <c r="J4" s="214"/>
      <c r="K4" s="214"/>
      <c r="L4" s="214"/>
      <c r="M4" s="214"/>
      <c r="N4" s="213"/>
      <c r="O4" s="212" t="s">
        <v>0</v>
      </c>
      <c r="P4" s="212"/>
      <c r="Q4" s="210"/>
      <c r="R4" s="210"/>
      <c r="S4" s="211"/>
      <c r="T4" s="211"/>
      <c r="U4" s="210" t="s">
        <v>1</v>
      </c>
      <c r="V4" s="210" t="s">
        <v>2</v>
      </c>
      <c r="W4" s="210" t="s">
        <v>3</v>
      </c>
    </row>
    <row r="5" spans="1:27" ht="25.2" thickBot="1" x14ac:dyDescent="0.45">
      <c r="B5" s="17"/>
      <c r="C5" s="18" t="str">
        <f>IF(D5="MIG09","Mirage G09",IF(D5="MIG10","MirageG10",IF(D5="H16","Attrage H16",IF(D5="P16","Attrage P16",IF(D5="H17","Attrage H17",IF(D5="H48","ASX H48",IF(D5="H43","ASX H43",IF(D5="H40","ASX H40",IF(D5="H42","ASX H42",IF(D5="H44","ASX H44",IF(D5="H45","ASX H45",IF(D5="H38","Eclipse H38",IF(D5="H37","Eclipse H37",IF(D5="EH40","Eclipse H40",IF(D5="EH43","Eclipse H43",IF(D5="XPML","Xpander ML",IF(D5="ML","Destinator ML",IF(D5="HL","Destinator HL",IF(D5="PR","Destinator PR",IF(D5="MLP","Destinator MLP",IF(D5="HLP","Destinator HLP",IF(D5="PRP","Destinator PRP",IF(D5="XPHL","Xpander HL",IF(D5="XPMLP","Xpander ML P",IF(D5="XPMLP-01","Xpander ML P-01",IF(D5="XC","Xpander Cross",IF(D5="G03","Outlander G03",IF(D5="P03","Outlander P03",IF(D5="G06","Outlander G06",IF(D5="P06","Outlander P06",IF(D5="OTP06-01","Outlander P06-01",IF(D5="G08","Outlander G08",IF(D5="P08","Outlander P08",IF(D5="H57","Montero H57",IF(D5="P57","Montero P57",IF(D5="H64","Montero G64",IF(D5="H59","Montero G59",IF(D5="P59","Montero G59 P",IF(D5="H61","Montero G61",IF(D5="P61","Montero P61",IF(D5="G10","Outlander G10",IF(D5="P10","Outlander P10",IF(D5="G12","Outlander G12",IF(D5="P12","Outlander P12",IF(D5="G05","Outlander G05",IF(D5="P05","Outlander P05",IF(D5="G09","Outlander G09",IF(D5="P09","Outlander P09",))))))))))))))))))))))))))))))))))))))))))))))))</f>
        <v>Montero G61</v>
      </c>
      <c r="D5" s="19" t="s">
        <v>155</v>
      </c>
      <c r="E5" s="20" t="s">
        <v>145</v>
      </c>
      <c r="F5" s="37"/>
      <c r="G5" s="37"/>
      <c r="H5" s="37"/>
      <c r="I5" s="20"/>
      <c r="J5" s="34"/>
      <c r="K5" s="209">
        <v>0</v>
      </c>
      <c r="L5" s="208">
        <v>3.39E-2</v>
      </c>
      <c r="M5" s="208">
        <v>6.7799999999999999E-2</v>
      </c>
      <c r="N5" s="208">
        <v>0.1017</v>
      </c>
      <c r="O5" s="147">
        <f>K7+K14</f>
        <v>16699.620728175003</v>
      </c>
      <c r="S5" s="186"/>
      <c r="U5" s="186">
        <f>L7+L14</f>
        <v>6894.6930880187501</v>
      </c>
      <c r="V5" s="186">
        <f>M7+M14</f>
        <v>4662.4160412375004</v>
      </c>
      <c r="W5" s="186">
        <f>N7+N14</f>
        <v>3277.4728380187498</v>
      </c>
    </row>
    <row r="6" spans="1:27" s="5" customFormat="1" ht="99" thickBot="1" x14ac:dyDescent="0.35">
      <c r="A6" s="4" t="s">
        <v>4</v>
      </c>
      <c r="B6" s="26" t="s">
        <v>5</v>
      </c>
      <c r="C6" s="27" t="s">
        <v>6</v>
      </c>
      <c r="D6" s="27" t="s">
        <v>144</v>
      </c>
      <c r="E6" s="27" t="s">
        <v>7</v>
      </c>
      <c r="F6" s="27" t="s">
        <v>8</v>
      </c>
      <c r="G6" s="28" t="s">
        <v>9</v>
      </c>
      <c r="H6" s="28" t="s">
        <v>143</v>
      </c>
      <c r="I6" s="28" t="s">
        <v>10</v>
      </c>
      <c r="J6" s="28" t="s">
        <v>142</v>
      </c>
      <c r="K6" s="28" t="s">
        <v>11</v>
      </c>
      <c r="L6" s="28" t="s">
        <v>12</v>
      </c>
      <c r="M6" s="28" t="s">
        <v>13</v>
      </c>
      <c r="N6" s="28" t="s">
        <v>14</v>
      </c>
      <c r="O6" s="207"/>
      <c r="P6" s="206"/>
      <c r="T6" s="205"/>
      <c r="U6" s="205">
        <f>N7+L14</f>
        <v>5447.80498801875</v>
      </c>
      <c r="V6" s="205">
        <f>N7+K14</f>
        <v>13444.122503175</v>
      </c>
      <c r="W6" s="205" t="e">
        <f>N7+J14</f>
        <v>#VALUE!</v>
      </c>
    </row>
    <row r="7" spans="1:27" ht="25.2" thickBot="1" x14ac:dyDescent="0.45">
      <c r="A7" s="6">
        <f>B8</f>
        <v>134900</v>
      </c>
      <c r="B7" s="29">
        <f>IF(L20="YES",C8*1,IF(L20="NO",B8*1))</f>
        <v>134900</v>
      </c>
      <c r="C7" s="29">
        <f>B7*5/100</f>
        <v>6745</v>
      </c>
      <c r="D7" s="203">
        <f>B7+C7</f>
        <v>141645</v>
      </c>
      <c r="E7" s="29">
        <f>D17</f>
        <v>20599.911250000001</v>
      </c>
      <c r="F7" s="29">
        <f>(C7)+(D10+D11+D12+D13+D16)*5/100</f>
        <v>7275</v>
      </c>
      <c r="G7" s="30">
        <f>B7+E7+F7</f>
        <v>162774.91125</v>
      </c>
      <c r="H7" s="29">
        <f>G7*D20</f>
        <v>32554.982250000001</v>
      </c>
      <c r="I7" s="30">
        <f>(G7-H7)</f>
        <v>130219.929</v>
      </c>
      <c r="J7" s="30">
        <f>(((I7*D19)*1)+I7)/12</f>
        <v>11273.790353175</v>
      </c>
      <c r="K7" s="30">
        <f>(((I7*D19)*2)+I7)/24</f>
        <v>5847.9599781750003</v>
      </c>
      <c r="L7" s="30">
        <f>(((I7*D19)*3)+I7)/36</f>
        <v>4039.3498531750001</v>
      </c>
      <c r="M7" s="30">
        <f>(((I7*D19)*4)+I7)/48</f>
        <v>3135.0447906750001</v>
      </c>
      <c r="N7" s="30">
        <f>((((I7*D19)*5)+I7)/60)</f>
        <v>2592.461753175</v>
      </c>
      <c r="O7" s="147"/>
      <c r="P7" s="2">
        <f>H7+H16</f>
        <v>33922.291504500005</v>
      </c>
      <c r="T7" s="186">
        <f>25973/2</f>
        <v>12986.5</v>
      </c>
    </row>
    <row r="8" spans="1:27" ht="24.6" x14ac:dyDescent="0.4">
      <c r="A8" s="7">
        <v>0.2</v>
      </c>
      <c r="B8" s="31">
        <f>IF(D5="MIG09",39900,IF(D5="MIG10",41900,IF(D5="H16",41900,IF(D5="P16",47400,IF(D5="H17",47900,IF(D5="H48",67900,IF(D5="H43",70900,IF(D5="H40",72900,IF(D5="H42",74900,IF(D5="H44",73900,IF(D5="H45",79900,IF(D5="H38",86900,IF(D5="H37",79900,IF(D5="EH40",99900,IF(D5="EH43",106900,IF(D5="ML",71900,IF(D5="HL",83900,IF(D5="PR",95900,IF(D5="MLP",80900,IF(D5="HLP",91900,IF(D5="PRP",102900,IF(D5="XPML",69900,IF(D5="XPHL",71000,IF(D5="XPMLP",75900,IF(D5="XPMLP-01",77800,IF(D5="XC",84900,IF(D5="G10",81900,IF(D5="P10",93900,IF(D5="G12",97900,IF(D5="P12",105900,IF(D5="G05",104900,IF(D5="P05",105900,IF(D5="G03",92900,IF(D5="P03",100900,IF(D5="G06",109900,IF(D5="P06",114900,IF(D5="OTP06-01",118900,IF(D5="G08",125900,IF(D5="P08",132900,IF(D5="OTP06-01",109900,IF(D5="G09",129900,IF(D5="P09",134900,IF(D5="H57",105900,IF(D5="P57",113900,IF(D5="H64",116900,IF(D5="H59",127900,IF(D5="P59",134900,IF(D5="H61",134900,IF(D5="P61",138900)))))))))))))))))))))))))))))))))))))))))))))))))</f>
        <v>134900</v>
      </c>
      <c r="C8" s="32">
        <f>IF(L20="YES",N20,IF(L20="NO",N20))</f>
        <v>134900</v>
      </c>
      <c r="D8" s="29">
        <v>0</v>
      </c>
      <c r="E8" s="33"/>
      <c r="F8" s="139"/>
      <c r="G8" s="140"/>
      <c r="H8" s="110">
        <f>G7*20/100</f>
        <v>32554.982250000001</v>
      </c>
      <c r="I8" s="34"/>
      <c r="J8" s="34" t="s">
        <v>15</v>
      </c>
      <c r="K8" s="34">
        <f>(I7*K5+I7)/24</f>
        <v>5425.8303750000005</v>
      </c>
      <c r="L8" s="34">
        <f>(I7*L5+I7)/36</f>
        <v>3739.844016475</v>
      </c>
      <c r="M8" s="34">
        <f>(I7*M5+I7)/48</f>
        <v>2896.8508372125002</v>
      </c>
      <c r="N8" s="34">
        <f>(I7*N5+I7)/60</f>
        <v>2391.0549296550003</v>
      </c>
      <c r="O8" s="147">
        <v>0</v>
      </c>
      <c r="P8" s="2">
        <f>P7/12</f>
        <v>2826.8576253750002</v>
      </c>
      <c r="T8" s="1">
        <f>25973-12973</f>
        <v>13000</v>
      </c>
    </row>
    <row r="9" spans="1:27" ht="24.6" x14ac:dyDescent="0.4">
      <c r="A9" s="8">
        <f>B8/(100%-A8)</f>
        <v>168625</v>
      </c>
      <c r="B9" s="109">
        <f>B7-B8</f>
        <v>0</v>
      </c>
      <c r="C9" s="109"/>
      <c r="D9" s="36"/>
      <c r="E9" s="33"/>
      <c r="F9" s="139"/>
      <c r="G9" s="140"/>
      <c r="H9" s="33"/>
      <c r="I9" s="37" t="s">
        <v>16</v>
      </c>
      <c r="J9" s="38">
        <f>(J7*12)-I7</f>
        <v>5065.5552381000016</v>
      </c>
      <c r="K9" s="38">
        <f>(K7*24)-I7</f>
        <v>10131.110476200003</v>
      </c>
      <c r="L9" s="38">
        <f>(L7*36)-I7</f>
        <v>15196.665714300005</v>
      </c>
      <c r="M9" s="38">
        <f>(M7*48)-I7</f>
        <v>20262.220952400006</v>
      </c>
      <c r="N9" s="38">
        <f>(N7*60)-I7</f>
        <v>25327.776190500008</v>
      </c>
      <c r="O9" s="147"/>
      <c r="T9" s="1">
        <f>T8/12</f>
        <v>1083.3333333333333</v>
      </c>
      <c r="Z9" s="1" t="s">
        <v>86</v>
      </c>
    </row>
    <row r="10" spans="1:27" ht="24.6" x14ac:dyDescent="0.4">
      <c r="A10" s="8"/>
      <c r="B10" s="37" t="s">
        <v>141</v>
      </c>
      <c r="C10" s="20" t="s">
        <v>17</v>
      </c>
      <c r="D10" s="36">
        <f>IF(C10="YES",700,IF(C10="NO",0))</f>
        <v>0</v>
      </c>
      <c r="E10" s="39"/>
      <c r="F10" s="40"/>
      <c r="G10" s="40"/>
      <c r="H10" s="33"/>
      <c r="I10" s="44" t="s">
        <v>85</v>
      </c>
      <c r="J10" s="117" t="s">
        <v>19</v>
      </c>
      <c r="K10" s="117">
        <f>IF(J10="YES",Z10,IF(J10="NO",0))</f>
        <v>1000</v>
      </c>
      <c r="L10" s="41">
        <f>(L8*36)-I7</f>
        <v>4414.4555930999923</v>
      </c>
      <c r="M10" s="41">
        <f>(M8*48)-I7</f>
        <v>8828.9111862000136</v>
      </c>
      <c r="N10" s="41">
        <f>(N8*60)-I7</f>
        <v>13243.366779300006</v>
      </c>
      <c r="O10" s="147">
        <f>IF(D5="XC",3690,IF(D5="XPML",3690,IF(D5="XPHL",3690,IF(D5="XPMLP",3690,IF(D5="XPMLP-01",3690,IF(D5="Xpander P",3690,IF(D5="ML",3690,IF(D5="HL",3690,IF(D5="PR",(U19*3/100+510)*1.05,IF(D5="MLP",3690,IF(D5="HLP",(U19*3/100+510)*1.05,IF(D5="PRP",(U19*3/100+510)*1.05,IF(D5="H57",(U19*2.75/100+510)*1.05,IF(D5="P57",(U19*2.75/100+510)*1.05,IF(D5="H64",(U19*2.75/100+510)*1.05,IF(D5="H59",(U19*2.75/100+510)*1.05,IF(D5="P59",(U19*2.75/100+510)*1.05,IF(D5="H61",(U19*2.75/100+510)*1.05,IF(D5="P61",(U19*2.75/100+510)*1.05,IF(D5="G03",(U19*3/100+510)*1.05,IF(D5="G10",(U19*3/100+510)*1.05,IF(D5="P10",(U19*3/100+510)*1.05,IF(D5="G12",(U19*3/100+510)*1.05,IF(D5="P12",(U19*3/100+510)*1.05,IF(D5="G05",(U19*3/100+510)*1.05,IF(D5="P05",(U19*3/100+510)*1.05,IF(D5="P03",(U19*3/100+510)*1.05,IF(D5="G06",(U19*3/100+510)*1.05,IF(D5="P06",(U19*3/100+510)*1.05,IF(D5="OTP06-01",(U19*3/100+510)*1.05,IF(D5="G08",(U19*3/100+510)*1.05,IF(D5="P08",(U19*3/100+510)*1.05,IF(D5="G09",(U19*3/100+510)*1.05,IF(D5="P09",(U19*3/100+510)*1.05,IF(D5="H38",3625,IF(D5="H37",3625,IF(D5="EH40",(U19*3/100+450)*1.05,IF(D5="EH43",(U19*3/100+450)*1.05,IF(D5="H48",3625,IF(D5="H43",3625,IF(D5="H40",3625,IF(D5="H42",3625,IF(D5="H44",3625,IF(D5="H45",3625,IF(D5="ASX HL 4WD",3625,IF(D5="H16",3625,IF(D5="H17",3625,IF(D5="P16",3625,IF(D5="Attrage S",3625,IF(D5="MIG09",3625,IF(D5="MIG10",3625,IF(D5="Xpander HL",3690))))))))))))))))))))))))))))))))))))))))))))))))))))</f>
        <v>4946.8781250000002</v>
      </c>
      <c r="P10" s="204"/>
      <c r="Q10" s="204">
        <f>5.25*3</f>
        <v>15.75</v>
      </c>
      <c r="Z10" s="1">
        <f>IF(D5="MIG09",1000,IF(D5="MIG10",1000,IF(D5="H16",1000,IF(D5="P16",1000,IF(D5="H17",1000,IF(D5="H48",1000,IF(D5="H43",1000,IF(D5="H40",1000,IF(D5="H42",1000,IF(D5="H44",1000,IF(D5="H45",1000,IF(D5="H38",1000,IF(D5="H37",1000,IF(D5="EH40",1000,IF(D5="EH43",1000,IF(D5="ML",1000,IF(D5="HL",1000,IF(D5="PR",1000,IF(D5="MLP",1000,IF(D5="HLP",1000,IF(D5="PRP",1000,IF(D5="XPML",1000,IF(D5="XPHL",1000,IF(D5="XPMLP",1000,IF(D5="XPMLP-01",1000,IF(D5="XC",1000,IF(D5="G10",1000,IF(D5="P10",1000,IF(D5="G12",1000,IF(D5="P12",1000,IF(D5="G05",1000,IF(D5="P05",1000,IF(D5="G03",1000,IF(D5="P03",1000,IF(D5="G06",1000,IF(D5="P06",1000,IF(D5="OTP06-01",1000,IF(D5="G08",1000,IF(D5="P08",1000,IF(D5="OTP06-01",1000,IF(D5="G09",1000,IF(D5="P09",1000,IF(D5="H57",1000,IF(D5="P57",1000,IF(D5="H64",1000,IF(D5="H59",1000,IF(D5="P59",1000,IF(D5="H61",1000,IF(D5="P61",1000)))))))))))))))))))))))))))))))))))))))))))))))))</f>
        <v>1000</v>
      </c>
    </row>
    <row r="11" spans="1:27" ht="24.6" x14ac:dyDescent="0.4">
      <c r="A11" s="8"/>
      <c r="B11" s="37" t="s">
        <v>18</v>
      </c>
      <c r="C11" s="20" t="s">
        <v>19</v>
      </c>
      <c r="D11" s="203">
        <f>IF(C11="YES",O17,IF(C11="NO",0))</f>
        <v>2700</v>
      </c>
      <c r="E11" s="39"/>
      <c r="F11" s="40"/>
      <c r="G11" s="40"/>
      <c r="H11" s="33"/>
      <c r="I11" s="33"/>
      <c r="J11" s="44" t="s">
        <v>76</v>
      </c>
      <c r="K11" s="44">
        <f>H8-K10</f>
        <v>31554.982250000001</v>
      </c>
      <c r="L11" s="37"/>
      <c r="M11" s="37"/>
      <c r="N11" s="38"/>
      <c r="O11" s="147">
        <f>IF(D5="XC",6100,IF(D5="XPML",6100,IF(D5="XPHL",6100,IF(D5="XPMLP",6100,IF(D5="XPMLP-01",6100,IF(D5="Xpander P",6100,IF(D5="ML",6600,IF(D5="HL",6600,IF(D5="PR",6600,IF(D5="MLP",6600,IF(D5="HLP",6600,IF(D5="PRP",6600,IF(D5="H57",5900,IF(D5="P57",5900,IF(D5="H64",5900,IF(D5="H59",5900,IF(D5="P59",5900,IF(D5="H61",5900,IF(D5="P61",5900,IF(D5="G03",6700,IF(D5="G10",6700,IF(D5="P10",6700,IF(D5="G12",6700,IF(D5="P12",6700,IF(D5="G05",6700,IF(D5="P05",6700,IF(D5="P03",6700,IF(D5="G06",6700,IF(D5="P06",6700,IF(D5="OTP06-01",6700,IF(D5="G08",6700,IF(D5="G09",6700,IF(D5="G08",6700,IF(D5="P08",6700,IF(D5="P09",6700,IF(D5="H37",6400,IF(D5="H38",6400,IF(D5="EH40",6400,IF(D5="EH43",6400,IF(D5="H48",6600,IF(D5="H43",6600,IF(D5="H40",6600,IF(D5="H42",6600,IF(D5="H44",6600,IF(D5="H45",6600,IF(D5="ASX HL 4WD",6600,IF(D5="H16",5400,IF(D5="H17",5400,IF(D5="P16",5400,IF(D5="Attrage S",5400,IF(D5="MIG09",5400,IF(D5="MIG10",5400,IF(D5="Xpander HL",6000)))))))))))))))))))))))))))))))))))))))))))))))))))))</f>
        <v>5900</v>
      </c>
      <c r="P11" s="147"/>
      <c r="Q11" s="147"/>
      <c r="R11" s="147"/>
      <c r="S11" s="147"/>
      <c r="T11" s="147"/>
      <c r="U11" s="147">
        <f>IF(D5="XC",4900,IF(D5="XPML",4900,IF(D5="XPHL",4900,IF(D5="XPMLP",4900,IF(D5="XPMLP-01",4900,IF(D5="Xpander P",4900,IF(D5="ML",5400,IF(D5="HL",5400,IF(D5="PR",5400,IF(D5="MLP",5400,IF(D5="HLP",5400,IF(D5="PRP",5400,IF(D5="H57",4600,IF(D5="P57",4600,IF(D5="MOG64",4600,IF(D5="H59",4600,IF(D5="P59",4600,IF(D5="H61",4600,IF(D5="P61",4600,IF(D5="G03",5500,IF(D5="P03",5500,IF(D5="G10",5500,IF(D5="P10",5500,IF(D5="G12",5500,IF(D5="P12",5500,IF(D5="G05",5500,IF(D5="P05",5500,IF(D5="G06",5500,IF(D5="P06",5500,IF(D5="OTP06-01",5500,IF(D5="F08",5500,IF(D5="P08",5500,IF(D5="G09",5500,IF(D5="P09",5500,IF(D5="H38",5200,IF(D5="H37",5200,IF(D5="EH40",5200,IF(D5="EH43",5200,IF(D5="H48",5300,IF(D5="H43",5300,IF(D5="H40",5300,IF(D5="H42",5300,IF(D5="H44",5300,IF(D5="H45",5300,IF(D5="ASX HL",5300,IF(D5="ASX P",5300,IF(D5="ASX HL 4WD",5300,IF(D5="H16",4200,IF(D5="H17",4200,IF(D5="P16",4200,IF(D5="Attrage S",4200,IF(D5="MIG09",4200,IF(D5="MIG10",4200,IF(D5="Xpander HL",4900))))))))))))))))))))))))))))))))))))))))))))))))))))))</f>
        <v>4600</v>
      </c>
      <c r="V11" s="147">
        <f>IF(D5="XC",9700,IF(D5="XPML",9700,IF(D5="XPHL",9700,IF(D5="XPMLP",9700,IF(D5="XPMLP-01",9700,IF(D5="XPMLP-01",9700,IF(D5="Xpander P",9700,IF(D5="ML",10800,IF(D5="HL",10800,IF(D5="PR",10800,IF(D5="MLP",10800,IF(D5="HLP",10800,IF(D5="PRP",10800,IF(D5="H57",9300,IF(D5="P57",9300,IF(D5="MG64",9300,IF(D5="H59",9300,IF(D5="P59",9300,IF(D5="H61",9300,IF(D5="P61",9300,IF(D5="G03",11000,IF(D5="G10",11000,IF(D5="P10",11000,IF(D5="G12",11000,IF(D5="P12",11000,IF(D5="G05",11000,IF(D5="P05",11000,IF(D5="P03",11000,IF(D5="G06",11000,IF(D5="P06",11000,IF(D5="OTP06-01",11000,IF(D5="G08",11000,IF(D5="P08",11000,IF(D5="G09",11000,IF(D5="P09",11000,IF(D5="H38",10400,IF(D5="H37",10400,IF(D5="EH40",10400,IF(D5="EH43",10400,IF(D5="H48",10700,IF(D5="H43",10700,IF(D5="H40",10700,IF(D5="H42",10700,IF(D5="H44",10800,IF(D5="H45",10800,IF(D5="ASX HL",12200,IF(D5="ASX P",12200,IF(D5="ASX HL 4WD",12200,IF(D5="H16",8500,IF(D5="H17",8500,IF(D5="P16",8500,IF(D5="Attrage S",9600,IF(D5="MIG09",8500,IF(D5="MIG10",8500,IF(D5="Xpander HL",11300)))))))))))))))))))))))))))))))))))))))))))))))))))))))</f>
        <v>9300</v>
      </c>
      <c r="W11" s="147">
        <f>IF(D5="XC",9200,IF(D5="XPML",9200,IF(D5="XPHL",9200,IF(D5="XPMLP",9200,IF(D5="XPMLP-01",9200,IF(D5="Xpander P",9200,IF(D5="ML",10000,IF(D5="HL",10000,IF(D5="PR",10000,IF(D5="MLP",10000,IF(D5="HLP",10000,IF(D5="PRP",10000,IF(D5="H57",8700,IF(D5="P57",8700,IF(D5="H64",8700,IF(D5="H59",8700,IF(D5="P59",8700,IF(D5="H61",8700,IF(D5="P61",8700,IF(D5="G03",10400,IF(D5="P03",10400,IF(D5="G10",10400,IF(D5="P10",10400,IF(D5="G12",10400,IF(D5="P12",10400,IF(D5="G05",10400,IF(D5="P05",10400,IF(D5="G06",10400,IF(D5="P06",10400,IF(D5="OTP06-01",10400,IF(D5="G08",10400,IF(D5="P08",10400,IF(D5="G09",10400,IF(D5="P09",10400,IF(D5="H38",9800,IF(D5="H37",9800,IF(D5="EH40",9800,IF(D5="EH43",9800,IF(D5="H48",10100,IF(D5="H43",10100,IF(D5="H40",10100,IF(D5="H42",10100,IF(D5="H44",10100,IF(D5="H45",10100,IF(D5="ASX HL",10100,IF(D5="ASX P",10100,IF(D5="ASX HL 4WD",10100,IF(D5="H16",7900,IF(D5="H17",7900,IF(D5="P16",7900,IF(D5="Attrage S",7900,IF(D5="MIG09",7900,IF(D5="MIG10",7900,IF(D5="Xpander HL",9200))))))))))))))))))))))))))))))))))))))))))))))))))))))</f>
        <v>8700</v>
      </c>
      <c r="X11" s="147">
        <f>IF(D5="XC",4500,IF(D5="XPML",4500,IF(D5="XPHL",4500,IF(D5="XPMLP",4500,IF(D5="XPMLP-01",4500,IF(D5="Xpander P",4500,IF(D5="ML",5000,IF(D5="HL",5000,IF(D5="PR",5000,IF(D5="MLP",5000,IF(D5="HLP",5000,IF(D5="PRP",5000,IF(D5="H57",8700,IF(D5="P57",8700,IF(D5="MOG64",4300,IF(D5="H59",4300,IF(D5="P59",4300,IF(D5="H61",4300,IF(D5="P61",4300,IF(D5="G03",5000,IF(D5="P03",5000,IF(D5="G10",5000,IF(D5="P10",5000,IF(D5="G12",5000,IF(D5="P12",5000,IF(D5="G05",5000,IF(D5="P05",5000,IF(D5="G06",5000,IF(D5="P06",5000,IF(D5="OTP06-01",5000,IF(D5="G08",5000,IF(D5="P08",5000,IF(D5="G09",5000,IF(D5="P09",5000,IF(D5="H38",4900,IF(D5="H37",4900,IF(D5="EH40",4900,IF(D5="EH43",4900,IF(D5="H48",4900,IF(D5="H43",4900,IF(D5="H40",4900,IF(D5="H42",4900,IF(D5="H44",4900,IF(D5="H45",4900,IF(D5="ASX HL",4900,IF(D5="ASX P",4900,IF(D5="ASX HL 4WD",4900,IF(D5="H16",3700,IF(D5="H17",3700,IF(D5="P16",3700,IF(D5="Attrage S",3700,IF(D5="MIG09",3700,IF(D5="MIG10",3700,IF(D5="Xpander HL",4500))))))))))))))))))))))))))))))))))))))))))))))))))))))</f>
        <v>4300</v>
      </c>
      <c r="Y11" s="147">
        <f>IF(D5="XC",5400,IF(D5="XPML ",5400,IF(D5="XPHL",5400,IF(D5="XPMLP",5400,IF(D5="XPMLP-01",5400,IF(D5="Xpander P",5400,IF(D5="ML",6000,IF(D5="HL",6000,IF(D5="PR",6000,IF(D5="MLP",6000,IF(D5="HLP",6000,IF(D5="PRP",6000,IF(D5="H57",5200,IF(D5="57",5200,IF(D5="H64",5200,IF(D5="H59",5200,IF(D5="P59",5200,IF(D5="H61",5200,IF(D5="P61",5200,IF(D5="G03",6000,IF(D5="P03",6000,IF(D5="G10",6000,IF(D5="P10",6000,IF(D5="G12",6000,IF(D5="P12",6000,IF(D5="G05",6000,IF(D5="P05",6000,IF(D5="G06",6000,IF(D5="P06",6000,IF(D5="OTP06-01",6000,IF(D5="G08",6000,IF(D5="P08",6000,IF(D5="G09",6000,IF(D5="P09",6000,IF(D5="H38",5700,IF(D5="H37",5700,IF(D5="EH40",5700,IF(D5="EH43",5700,IF(D5="H48",5900,IF(D5="H43",5900,IF(D5="H40",5900,IF(D5="H42",5900,IF(D5="H44",5900,IF(D5="H45",5900,IF(D5="ASX HL",5900,IF(D5="ASX P",5900,IF(D5="ASX HL 4WD",5900,IF(D5="H16",4500,IF(D5="H17",4500,IF(D5="P16",4500,IF(D5="Attrage S",4500,IF(D5="MIG09",4500,IF(D5="MIG10",4500,IF(D5="Xpander HL",5400))))))))))))))))))))))))))))))))))))))))))))))))))))))</f>
        <v>5200</v>
      </c>
    </row>
    <row r="12" spans="1:27" ht="24.6" x14ac:dyDescent="0.4">
      <c r="A12" s="8"/>
      <c r="B12" s="37" t="s">
        <v>20</v>
      </c>
      <c r="C12" s="20" t="s">
        <v>17</v>
      </c>
      <c r="D12" s="36">
        <f>IF(C12="YES",2000,IF(C12="NO",0))</f>
        <v>0</v>
      </c>
      <c r="E12" s="43"/>
      <c r="F12" s="43" t="s">
        <v>21</v>
      </c>
      <c r="G12" s="40"/>
      <c r="H12" s="33">
        <v>600</v>
      </c>
      <c r="I12" s="33"/>
      <c r="J12" s="202" t="s">
        <v>140</v>
      </c>
      <c r="K12" s="45">
        <v>0</v>
      </c>
      <c r="L12" s="45">
        <v>5.2499999999999998E-2</v>
      </c>
      <c r="M12" s="45">
        <v>0.126</v>
      </c>
      <c r="N12" s="201">
        <v>0.26250000000000001</v>
      </c>
      <c r="O12" s="147">
        <f>IF(K20="Esaad",B8*3/100,IF(K20="Emirates Platinum",B8*3/100,IF(K20="Fazaa",B8*3/100,IF(K20="Humat Alwatan",B8*3/100,IF(K20="Permissible",2000,IF(K20="ASX",8400,IF(K20="XPMLP",15100,IF(K20="XP",7200,IF(K20="G43",11000,IF(K20="EC",17000,IF(K20="G37",17000,IF(K20="G38",15000,IF(K20="G40",11000,IF(K20="OUT",3000,IF(K20="F08",14400,IF(K20="P08",11100,IF(K20="F06",13100,IF(K20="P06",13400,IF(K20="F03",3500,IF(K20="F03-1",13500,IF(K20="P03",13100,IF(K20="MON",10000,IF(K20="MON G57",9000,0)))))))))))))))))))))))</f>
        <v>2000</v>
      </c>
      <c r="Z12" s="86" t="s">
        <v>83</v>
      </c>
      <c r="AA12" s="86" t="s">
        <v>84</v>
      </c>
    </row>
    <row r="13" spans="1:27" ht="24.6" x14ac:dyDescent="0.4">
      <c r="A13" s="8">
        <f>B8*1.26582</f>
        <v>170759.11799999999</v>
      </c>
      <c r="B13" s="37" t="s">
        <v>23</v>
      </c>
      <c r="C13" s="20" t="s">
        <v>19</v>
      </c>
      <c r="D13" s="36">
        <f>IF(C13="YES",2000,IF(C13="NO",0))</f>
        <v>2000</v>
      </c>
      <c r="E13" s="47"/>
      <c r="F13" s="47" t="s">
        <v>75</v>
      </c>
      <c r="G13" s="51"/>
      <c r="H13" s="39">
        <v>315</v>
      </c>
      <c r="I13" s="33"/>
      <c r="J13" s="44" t="s">
        <v>54</v>
      </c>
      <c r="K13" s="29" t="s">
        <v>79</v>
      </c>
      <c r="L13" s="29" t="s">
        <v>25</v>
      </c>
      <c r="M13" s="29" t="s">
        <v>0</v>
      </c>
      <c r="N13" s="57" t="s">
        <v>26</v>
      </c>
      <c r="O13" s="9">
        <f>IF(M21="3000-4999",6%,IF(M21="5000-9999",4.75%,IF(M21="10000-14999",3.15%,IF(M21="15000-24999",2.5%,IF(M21="25000-34999",2.25%,IF(M21="35000-99999",2.15%))))))</f>
        <v>4.7500000000000001E-2</v>
      </c>
      <c r="Q13" s="2">
        <f>H7/12</f>
        <v>2712.9151875000002</v>
      </c>
      <c r="U13" s="9">
        <f>IF(M21="3000-4999",6%,IF(M21="5000-9999",3.25%,IF(M21="10000-14999",3%,IF(M21="15000-24999",2.25%,IF(M21="25000-34999",2.15%,IF(M21="35000-99999",1.99%))))))</f>
        <v>3.2500000000000001E-2</v>
      </c>
      <c r="Z13" s="99">
        <f>IF(M21="5000-9999",2.49%,IF(M21="10000-19999",2.19%,IF(M21="20000-34999",2.09%,IF(M21="35000-49999",1.89%,IF(M21="50000-99999",1.79%)))))</f>
        <v>2.4900000000000002E-2</v>
      </c>
      <c r="AA13" s="99">
        <f>IF(M21="5000-9999",2.59%,IF(M21="10000-19999",2.29%,IF(M21="20000-34999",2.19%,IF(M21="35000-49999",1.99%,IF(M21="50000-99999",1.89%)))))</f>
        <v>2.5899999999999999E-2</v>
      </c>
    </row>
    <row r="14" spans="1:27" ht="24.6" x14ac:dyDescent="0.4">
      <c r="A14" s="10" t="s">
        <v>27</v>
      </c>
      <c r="B14" s="37" t="s">
        <v>24</v>
      </c>
      <c r="C14" s="20" t="s">
        <v>19</v>
      </c>
      <c r="D14" s="50">
        <f>IF(C14="YES",U19*3.15*1.05/100,IF(C14="NO",U19*0/100))</f>
        <v>5053.0331249999999</v>
      </c>
      <c r="E14" s="48"/>
      <c r="F14" s="48" t="s">
        <v>24</v>
      </c>
      <c r="G14" s="51" t="s">
        <v>17</v>
      </c>
      <c r="H14" s="39">
        <f>IF(G14="YES",U19*3.15*1.05/100,IF(G14="NO",U19*0/100))</f>
        <v>0</v>
      </c>
      <c r="I14" s="33"/>
      <c r="J14" s="44" t="s">
        <v>55</v>
      </c>
      <c r="K14" s="44">
        <f>(H8*K12+H8)/3</f>
        <v>10851.660750000001</v>
      </c>
      <c r="L14" s="44">
        <f>(H8*L12+H8)/12</f>
        <v>2855.3432348437505</v>
      </c>
      <c r="M14" s="44">
        <f>(H8*M12+H8)/24</f>
        <v>1527.3712505625001</v>
      </c>
      <c r="N14" s="200">
        <f>(H7*N12+H7)/60</f>
        <v>685.01108484375004</v>
      </c>
      <c r="O14" s="9">
        <f>IF(M21="3000-4999",3.89%,IF(M21="5000-9999",3.89%,IF(M21="10000-14999",3.89%,IF(M21="15000-24999",2.69%,IF(M21="25000-34999",2.69%,IF(M21="35000-99999",2.39%,IF(M21="76000-99999",2.5%)))))))</f>
        <v>3.8900000000000004E-2</v>
      </c>
    </row>
    <row r="15" spans="1:27" ht="24.6" x14ac:dyDescent="0.4">
      <c r="A15" s="11">
        <f>(B7*3%)+10+120</f>
        <v>4177</v>
      </c>
      <c r="B15" s="37" t="s">
        <v>28</v>
      </c>
      <c r="C15" s="20" t="s">
        <v>19</v>
      </c>
      <c r="D15" s="29">
        <f>IF(C15="YES",O10,IF(C15="NO",0))</f>
        <v>4946.8781250000002</v>
      </c>
      <c r="E15" s="48"/>
      <c r="F15" s="48" t="s">
        <v>53</v>
      </c>
      <c r="G15" s="51" t="s">
        <v>17</v>
      </c>
      <c r="H15" s="39">
        <f>IF(G15="YES",O10,IF(G15="NO",0))</f>
        <v>0</v>
      </c>
      <c r="I15" s="33"/>
      <c r="J15" s="44"/>
      <c r="K15" s="44"/>
      <c r="L15" s="44"/>
      <c r="M15" s="44"/>
      <c r="N15" s="198"/>
      <c r="O15" s="9" t="b">
        <f>IF(M21="3000-4999",4.99%, IF(M21="5000-11999",2.75%,IF(M21="12000-19999",2.75%,IF(M21="20000-39999",2.25%,IF(M21="40000-69999",2.25%,IF(M21="70000-99999",2.25%))))))</f>
        <v>0</v>
      </c>
      <c r="P15" s="191"/>
    </row>
    <row r="16" spans="1:27" ht="24.6" x14ac:dyDescent="0.4">
      <c r="A16" s="11">
        <f>((B7-B8)*3%+10+120)</f>
        <v>130</v>
      </c>
      <c r="B16" s="37" t="s">
        <v>78</v>
      </c>
      <c r="C16" s="20" t="s">
        <v>19</v>
      </c>
      <c r="D16" s="29">
        <f>IF(C16="YES",O16,IF(C16="NO",0))</f>
        <v>5900</v>
      </c>
      <c r="E16" s="47"/>
      <c r="F16" s="47" t="s">
        <v>74</v>
      </c>
      <c r="G16" s="54"/>
      <c r="H16" s="33">
        <f>I7*1.05%</f>
        <v>1367.3092545000002</v>
      </c>
      <c r="I16" s="33"/>
      <c r="J16" s="44" t="s">
        <v>16</v>
      </c>
      <c r="K16" s="44">
        <f>(K14*3)-H8</f>
        <v>0</v>
      </c>
      <c r="L16" s="44">
        <f>(L14*12)-H8</f>
        <v>1709.1365681250027</v>
      </c>
      <c r="M16" s="44">
        <f>(M14*24)-H8</f>
        <v>4101.9277635000035</v>
      </c>
      <c r="N16" s="198"/>
      <c r="O16" s="147">
        <f>IF(B16="RMC-10-70KMS",O11,IF(B16="RMC-10-100000KMS",V11,IF(B16="RMC-40-70KMS",U11, IF(B16="RMC-10-40KMS",X11, IF(B16="RMC-10-60KMS",Y11, IF(B16="RMC-40-100000KMS",W11,0))))))</f>
        <v>5900</v>
      </c>
    </row>
    <row r="17" spans="1:23" ht="24.6" x14ac:dyDescent="0.4">
      <c r="A17" s="11">
        <f>A15+A16</f>
        <v>4307</v>
      </c>
      <c r="B17" s="37"/>
      <c r="C17" s="20"/>
      <c r="D17" s="29">
        <f>SUM(D10:D16)</f>
        <v>20599.911250000001</v>
      </c>
      <c r="E17" s="48"/>
      <c r="F17" s="48"/>
      <c r="G17" s="54"/>
      <c r="H17" s="33">
        <f>+SUM(H12:H16)+(H7)</f>
        <v>34837.291504499997</v>
      </c>
      <c r="I17" s="33"/>
      <c r="J17" s="20"/>
      <c r="K17" s="199"/>
      <c r="L17" s="199"/>
      <c r="M17" s="199"/>
      <c r="N17" s="198"/>
      <c r="O17" s="147">
        <f>IF(B11="FO Ceramic+ Intr&amp;Extr CeramicGold WdwTnt",2700,IF(B11="FO Mirror Camera Sensor",2000))</f>
        <v>2700</v>
      </c>
      <c r="T17" s="1">
        <f>19615-791</f>
        <v>18824</v>
      </c>
    </row>
    <row r="18" spans="1:23" ht="24.6" x14ac:dyDescent="0.4">
      <c r="A18" s="12" t="s">
        <v>29</v>
      </c>
      <c r="B18" s="55" t="s">
        <v>30</v>
      </c>
      <c r="C18" s="197"/>
      <c r="D18" s="57">
        <v>0</v>
      </c>
      <c r="E18" s="38"/>
      <c r="F18" s="20"/>
      <c r="G18" s="20"/>
      <c r="H18" s="37"/>
      <c r="I18" s="37"/>
      <c r="J18" s="37"/>
      <c r="K18" s="37"/>
      <c r="L18" s="37"/>
      <c r="M18" s="37"/>
      <c r="N18" s="37"/>
      <c r="O18" s="9" t="b">
        <f>IF(M21="5000-99999",1.99%)</f>
        <v>0</v>
      </c>
      <c r="U18" s="196" t="s">
        <v>52</v>
      </c>
      <c r="V18" s="196" t="s">
        <v>52</v>
      </c>
    </row>
    <row r="19" spans="1:23" ht="24.6" x14ac:dyDescent="0.4">
      <c r="A19" s="11">
        <f>B8*3.15%</f>
        <v>4249.3500000000004</v>
      </c>
      <c r="B19" s="58" t="s">
        <v>31</v>
      </c>
      <c r="C19" s="59"/>
      <c r="D19" s="60">
        <f>IF(K21="DIB EXPAT",O13,IF(K21="DIB LOCAL GVH",U13,IF(K21="Emirates NBD",O14,IF(K21="ADCB",O15,IF(K21="ADCB PAY IN 2027",O19,IF(K21="Ajman Bank",O18,IF(K21="SIB STL",Z13,IF(K21="SIB NON STL",AA13,))))))))</f>
        <v>3.8900000000000004E-2</v>
      </c>
      <c r="E19" s="20"/>
      <c r="F19" s="195"/>
      <c r="G19" s="141" t="s">
        <v>73</v>
      </c>
      <c r="H19" s="142"/>
      <c r="I19" s="143"/>
      <c r="J19" s="109">
        <f>(U19*20/100)/365</f>
        <v>83.712328767123282</v>
      </c>
      <c r="K19" s="37"/>
      <c r="L19" s="37"/>
      <c r="M19" s="37"/>
      <c r="N19" s="34">
        <f>D7</f>
        <v>141645</v>
      </c>
      <c r="O19" s="194" t="b">
        <f>IF(M21="5000-11999",3.35%,IF(M21="12000-19999",3.35%,IF(M21="20000-39999",2.85%,IF(M21="40000-69999",2.85%,IF(M21="70000-99999",2.85%)))))</f>
        <v>0</v>
      </c>
      <c r="P19" s="2">
        <f>81400-2500</f>
        <v>78900</v>
      </c>
      <c r="U19" s="193">
        <f>V19</f>
        <v>152775</v>
      </c>
      <c r="V19" s="192">
        <f>(B7+D10+D11+D12+D13+D16)*1.05</f>
        <v>152775</v>
      </c>
    </row>
    <row r="20" spans="1:23" ht="24.6" x14ac:dyDescent="0.4">
      <c r="A20" s="11"/>
      <c r="B20" s="58" t="s">
        <v>32</v>
      </c>
      <c r="C20" s="59"/>
      <c r="D20" s="63">
        <v>0.2</v>
      </c>
      <c r="E20" s="37"/>
      <c r="F20" s="37"/>
      <c r="G20" s="38"/>
      <c r="H20" s="38"/>
      <c r="I20" s="38"/>
      <c r="J20" s="103"/>
      <c r="K20" s="104" t="s">
        <v>33</v>
      </c>
      <c r="L20" s="104" t="s">
        <v>17</v>
      </c>
      <c r="M20" s="104">
        <f>IF(L20="YES",O12,IF(L20="NO",0))</f>
        <v>0</v>
      </c>
      <c r="N20" s="34">
        <f>B8-M20</f>
        <v>134900</v>
      </c>
      <c r="O20" s="187"/>
      <c r="P20" s="191"/>
      <c r="T20" s="1">
        <f>1992+1084</f>
        <v>3076</v>
      </c>
      <c r="U20" s="186"/>
      <c r="V20" s="2"/>
    </row>
    <row r="21" spans="1:23" ht="24.6" x14ac:dyDescent="0.4">
      <c r="A21" s="13">
        <f>A19+A20</f>
        <v>4249.3500000000004</v>
      </c>
      <c r="B21" s="37"/>
      <c r="C21" s="20"/>
      <c r="D21" s="37"/>
      <c r="E21" s="37"/>
      <c r="F21" s="37"/>
      <c r="G21" s="37"/>
      <c r="H21" s="37"/>
      <c r="I21" s="37"/>
      <c r="J21" s="190" t="s">
        <v>34</v>
      </c>
      <c r="K21" s="16" t="s">
        <v>139</v>
      </c>
      <c r="L21" s="16" t="s">
        <v>35</v>
      </c>
      <c r="M21" s="189" t="s">
        <v>80</v>
      </c>
      <c r="N21" s="188"/>
      <c r="O21" s="187"/>
      <c r="T21" s="1">
        <f>25973-12973</f>
        <v>13000</v>
      </c>
      <c r="U21" s="186">
        <f>M14+N7</f>
        <v>4119.8330037374999</v>
      </c>
    </row>
    <row r="22" spans="1:23" s="179" customFormat="1" ht="24.6" x14ac:dyDescent="0.4">
      <c r="A22" s="185"/>
      <c r="B22" s="184" t="s">
        <v>51</v>
      </c>
      <c r="C22" s="183"/>
      <c r="D22" s="183"/>
      <c r="E22" s="183"/>
      <c r="F22" s="183"/>
      <c r="G22" s="183"/>
      <c r="H22" s="183"/>
      <c r="I22" s="183"/>
      <c r="J22" s="183"/>
      <c r="K22" s="183"/>
      <c r="L22" s="183"/>
      <c r="M22" s="183"/>
      <c r="N22" s="182"/>
      <c r="O22" s="181"/>
      <c r="P22" s="180"/>
    </row>
    <row r="23" spans="1:23" s="168" customFormat="1" ht="26.4" x14ac:dyDescent="0.5">
      <c r="A23" s="175" t="s">
        <v>36</v>
      </c>
      <c r="B23" s="172" t="s">
        <v>138</v>
      </c>
      <c r="C23" s="169"/>
      <c r="D23" s="169"/>
      <c r="E23" s="169"/>
      <c r="F23" s="169"/>
      <c r="G23" s="169"/>
      <c r="H23" s="176"/>
      <c r="I23" s="176"/>
      <c r="J23" s="169"/>
      <c r="K23" s="169"/>
      <c r="L23" s="169"/>
      <c r="M23" s="169"/>
      <c r="N23" s="178"/>
      <c r="O23" s="170"/>
      <c r="P23" s="169"/>
    </row>
    <row r="24" spans="1:23" s="168" customFormat="1" ht="26.4" x14ac:dyDescent="0.5">
      <c r="A24" s="175" t="s">
        <v>36</v>
      </c>
      <c r="B24" s="172" t="s">
        <v>137</v>
      </c>
      <c r="C24" s="169"/>
      <c r="D24" s="169"/>
      <c r="E24" s="169"/>
      <c r="F24" s="169"/>
      <c r="G24" s="169"/>
      <c r="H24" s="177">
        <f>H7/365</f>
        <v>89.191732191780829</v>
      </c>
      <c r="I24" s="177">
        <f>H7+H12+H16</f>
        <v>34522.291504500005</v>
      </c>
      <c r="J24" s="169"/>
      <c r="K24" s="169"/>
      <c r="L24" s="169"/>
      <c r="M24" s="169"/>
      <c r="N24" s="173"/>
      <c r="O24" s="170"/>
      <c r="P24" s="169">
        <f>1232+480</f>
        <v>1712</v>
      </c>
      <c r="T24" s="168">
        <f>88704/1.05</f>
        <v>84480</v>
      </c>
    </row>
    <row r="25" spans="1:23" s="168" customFormat="1" ht="26.4" x14ac:dyDescent="0.5">
      <c r="A25" s="175" t="s">
        <v>36</v>
      </c>
      <c r="B25" s="172" t="s">
        <v>136</v>
      </c>
      <c r="C25" s="169"/>
      <c r="D25" s="169"/>
      <c r="E25" s="169"/>
      <c r="F25" s="169"/>
      <c r="G25" s="169"/>
      <c r="H25" s="176"/>
      <c r="I25" s="176"/>
      <c r="J25" s="169"/>
      <c r="K25" s="169"/>
      <c r="L25" s="169"/>
      <c r="M25" s="169"/>
      <c r="N25" s="173"/>
      <c r="O25" s="170"/>
      <c r="P25" s="169"/>
      <c r="Q25" s="168">
        <f>79400-5233.33</f>
        <v>74166.67</v>
      </c>
      <c r="R25" s="168">
        <f>Q25*1.05</f>
        <v>77875.003500000006</v>
      </c>
      <c r="W25" s="168">
        <f>1999+1224</f>
        <v>3223</v>
      </c>
    </row>
    <row r="26" spans="1:23" s="168" customFormat="1" ht="26.4" x14ac:dyDescent="0.5">
      <c r="A26" s="175" t="s">
        <v>36</v>
      </c>
      <c r="B26" s="172" t="s">
        <v>135</v>
      </c>
      <c r="C26" s="169"/>
      <c r="D26" s="169"/>
      <c r="E26" s="169"/>
      <c r="F26" s="169"/>
      <c r="G26" s="169"/>
      <c r="H26" s="169"/>
      <c r="I26" s="169"/>
      <c r="J26" s="169"/>
      <c r="K26" s="169"/>
      <c r="L26" s="169"/>
      <c r="M26" s="169"/>
      <c r="N26" s="173"/>
      <c r="O26" s="170" t="s">
        <v>37</v>
      </c>
      <c r="P26" s="169"/>
      <c r="R26" s="168">
        <f>R25+2469</f>
        <v>80344.003500000006</v>
      </c>
    </row>
    <row r="27" spans="1:23" s="168" customFormat="1" ht="26.4" x14ac:dyDescent="0.5">
      <c r="A27" s="175" t="s">
        <v>36</v>
      </c>
      <c r="B27" s="172" t="s">
        <v>134</v>
      </c>
      <c r="C27" s="169"/>
      <c r="D27" s="169"/>
      <c r="E27" s="169"/>
      <c r="F27" s="169"/>
      <c r="G27" s="169"/>
      <c r="H27" s="169"/>
      <c r="I27" s="169"/>
      <c r="J27" s="169"/>
      <c r="K27" s="169"/>
      <c r="L27" s="169"/>
      <c r="M27" s="169"/>
      <c r="N27" s="173"/>
      <c r="O27" s="170">
        <f>129500-110900</f>
        <v>18600</v>
      </c>
      <c r="P27" s="169"/>
      <c r="W27" s="174">
        <f>N7+L14</f>
        <v>5447.80498801875</v>
      </c>
    </row>
    <row r="28" spans="1:23" s="168" customFormat="1" ht="26.4" x14ac:dyDescent="0.5">
      <c r="B28" s="172" t="s">
        <v>133</v>
      </c>
      <c r="C28" s="169"/>
      <c r="D28" s="169"/>
      <c r="E28" s="169"/>
      <c r="F28" s="169"/>
      <c r="G28" s="169"/>
      <c r="H28" s="169"/>
      <c r="I28" s="169"/>
      <c r="J28" s="169"/>
      <c r="K28" s="169"/>
      <c r="L28" s="169"/>
      <c r="M28" s="169"/>
      <c r="N28" s="173"/>
      <c r="O28" s="170">
        <f>85000-69900</f>
        <v>15100</v>
      </c>
      <c r="P28" s="169"/>
    </row>
    <row r="29" spans="1:23" s="168" customFormat="1" ht="26.4" x14ac:dyDescent="0.5">
      <c r="B29" s="172" t="s">
        <v>132</v>
      </c>
      <c r="C29" s="169"/>
      <c r="D29" s="169"/>
      <c r="E29" s="169"/>
      <c r="F29" s="169"/>
      <c r="G29" s="169"/>
      <c r="H29" s="169"/>
      <c r="I29" s="169"/>
      <c r="J29" s="169"/>
      <c r="K29" s="169"/>
      <c r="L29" s="169"/>
      <c r="M29" s="169"/>
      <c r="N29" s="171"/>
      <c r="O29" s="170"/>
      <c r="P29" s="169"/>
    </row>
    <row r="30" spans="1:23" x14ac:dyDescent="0.3">
      <c r="B30" s="167" t="s">
        <v>38</v>
      </c>
      <c r="C30" s="166"/>
      <c r="D30" s="166"/>
      <c r="E30" s="166"/>
      <c r="F30" s="166"/>
      <c r="G30" s="166"/>
      <c r="H30" s="166"/>
      <c r="I30" s="166"/>
      <c r="J30" s="166"/>
      <c r="K30" s="166"/>
      <c r="L30" s="166"/>
      <c r="M30" s="166"/>
      <c r="N30" s="165"/>
      <c r="O30" s="147"/>
    </row>
    <row r="31" spans="1:23" x14ac:dyDescent="0.3">
      <c r="B31" s="146"/>
      <c r="C31" s="145"/>
      <c r="D31" s="145"/>
      <c r="E31" s="145"/>
      <c r="F31" s="145"/>
      <c r="G31" s="145"/>
      <c r="H31" s="145"/>
      <c r="I31" s="145"/>
      <c r="J31" s="145"/>
      <c r="K31" s="145"/>
      <c r="L31" s="145"/>
      <c r="M31" s="145"/>
      <c r="N31" s="144"/>
      <c r="O31" s="147"/>
    </row>
    <row r="32" spans="1:23" s="86" customFormat="1" ht="20.399999999999999" x14ac:dyDescent="0.35">
      <c r="B32" s="118" t="s">
        <v>39</v>
      </c>
      <c r="C32" s="119"/>
      <c r="D32" s="119"/>
      <c r="E32" s="119"/>
      <c r="F32" s="119"/>
      <c r="G32" s="119"/>
      <c r="H32" s="119"/>
      <c r="I32" s="119"/>
      <c r="J32" s="119"/>
      <c r="K32" s="119"/>
      <c r="L32" s="119"/>
      <c r="M32" s="119"/>
      <c r="N32" s="120"/>
      <c r="O32" s="92"/>
      <c r="P32" s="83"/>
    </row>
    <row r="33" spans="2:16" s="86" customFormat="1" ht="20.399999999999999" x14ac:dyDescent="0.35">
      <c r="B33" s="118" t="s">
        <v>40</v>
      </c>
      <c r="C33" s="119"/>
      <c r="D33" s="119"/>
      <c r="E33" s="119"/>
      <c r="F33" s="119"/>
      <c r="G33" s="119"/>
      <c r="H33" s="119"/>
      <c r="I33" s="119"/>
      <c r="J33" s="119"/>
      <c r="K33" s="119"/>
      <c r="L33" s="119"/>
      <c r="M33" s="119"/>
      <c r="N33" s="120"/>
      <c r="O33" s="92"/>
      <c r="P33" s="83"/>
    </row>
    <row r="34" spans="2:16" s="86" customFormat="1" ht="20.399999999999999" x14ac:dyDescent="0.35">
      <c r="B34" s="107" t="s">
        <v>131</v>
      </c>
      <c r="C34" s="108"/>
      <c r="D34" s="108"/>
      <c r="E34" s="108"/>
      <c r="F34" s="108"/>
      <c r="G34" s="164" t="s">
        <v>130</v>
      </c>
      <c r="H34" s="164"/>
      <c r="I34" s="163"/>
      <c r="J34" s="163"/>
      <c r="K34" s="163"/>
      <c r="L34" s="163"/>
      <c r="M34" s="162" t="s">
        <v>129</v>
      </c>
      <c r="N34" s="161"/>
      <c r="O34" s="83"/>
      <c r="P34" s="83"/>
    </row>
    <row r="35" spans="2:16" x14ac:dyDescent="0.3">
      <c r="B35" s="160"/>
      <c r="C35" s="159"/>
      <c r="D35" s="159"/>
      <c r="E35" s="159"/>
      <c r="F35" s="159"/>
      <c r="G35" s="159"/>
      <c r="H35" s="159"/>
      <c r="I35" s="159"/>
      <c r="J35" s="159"/>
      <c r="K35" s="159"/>
      <c r="L35" s="159"/>
      <c r="M35" s="159"/>
      <c r="N35" s="158"/>
    </row>
    <row r="36" spans="2:16" x14ac:dyDescent="0.3">
      <c r="B36" s="160"/>
      <c r="C36" s="159"/>
      <c r="D36" s="159"/>
      <c r="E36" s="159"/>
      <c r="F36" s="159"/>
      <c r="G36" s="159"/>
      <c r="H36" s="159"/>
      <c r="I36" s="159"/>
      <c r="J36" s="159"/>
      <c r="K36" s="159"/>
      <c r="L36" s="159"/>
      <c r="M36" s="159"/>
      <c r="N36" s="158"/>
    </row>
    <row r="37" spans="2:16" x14ac:dyDescent="0.3">
      <c r="B37" s="160"/>
      <c r="C37" s="159"/>
      <c r="D37" s="159"/>
      <c r="E37" s="159"/>
      <c r="F37" s="159"/>
      <c r="G37" s="159"/>
      <c r="H37" s="159"/>
      <c r="I37" s="159"/>
      <c r="J37" s="159"/>
      <c r="K37" s="159"/>
      <c r="L37" s="159"/>
      <c r="M37" s="159"/>
      <c r="N37" s="158"/>
    </row>
    <row r="38" spans="2:16" ht="16.8" x14ac:dyDescent="0.3">
      <c r="B38" s="149" t="s">
        <v>128</v>
      </c>
      <c r="C38" s="157"/>
      <c r="D38" s="154"/>
      <c r="E38" s="151"/>
      <c r="F38" s="151"/>
      <c r="G38" s="151"/>
      <c r="H38" s="151"/>
      <c r="I38" s="151"/>
      <c r="J38" s="152"/>
      <c r="K38" s="151"/>
      <c r="L38" s="151"/>
      <c r="M38" s="151"/>
      <c r="N38" s="156"/>
    </row>
    <row r="39" spans="2:16" ht="16.8" x14ac:dyDescent="0.3">
      <c r="B39" s="149" t="s">
        <v>127</v>
      </c>
      <c r="C39" s="155"/>
      <c r="D39" s="154"/>
      <c r="E39" s="151"/>
      <c r="F39" s="151"/>
      <c r="G39" s="151"/>
      <c r="H39" s="151"/>
      <c r="I39" s="151"/>
      <c r="J39" s="152"/>
      <c r="K39" s="151"/>
      <c r="L39" s="151"/>
      <c r="M39" s="151"/>
      <c r="N39" s="150"/>
    </row>
    <row r="40" spans="2:16" ht="16.8" x14ac:dyDescent="0.3">
      <c r="B40" s="149" t="s">
        <v>126</v>
      </c>
      <c r="C40" s="153"/>
      <c r="D40" s="151"/>
      <c r="E40" s="151"/>
      <c r="F40" s="151"/>
      <c r="G40" s="151"/>
      <c r="H40" s="151"/>
      <c r="I40" s="151"/>
      <c r="J40" s="152"/>
      <c r="K40" s="151"/>
      <c r="L40" s="151"/>
      <c r="M40" s="151"/>
      <c r="N40" s="150"/>
    </row>
    <row r="41" spans="2:16" ht="16.8" x14ac:dyDescent="0.3">
      <c r="B41" s="149" t="s">
        <v>125</v>
      </c>
      <c r="N41" s="148"/>
    </row>
    <row r="42" spans="2:16" ht="16.8" x14ac:dyDescent="0.3">
      <c r="B42" s="149" t="s">
        <v>124</v>
      </c>
      <c r="N42" s="148"/>
    </row>
    <row r="43" spans="2:16" ht="16.8" x14ac:dyDescent="0.3">
      <c r="B43" s="149" t="s">
        <v>123</v>
      </c>
      <c r="N43" s="148"/>
    </row>
    <row r="44" spans="2:16" ht="16.8" x14ac:dyDescent="0.3">
      <c r="B44" s="149" t="s">
        <v>122</v>
      </c>
      <c r="N44" s="148"/>
    </row>
    <row r="45" spans="2:16" ht="16.8" x14ac:dyDescent="0.3">
      <c r="B45" s="149" t="s">
        <v>121</v>
      </c>
      <c r="N45" s="148"/>
    </row>
    <row r="46" spans="2:16" ht="16.8" x14ac:dyDescent="0.3">
      <c r="B46" s="149" t="s">
        <v>120</v>
      </c>
      <c r="N46" s="148"/>
    </row>
    <row r="47" spans="2:16" x14ac:dyDescent="0.3">
      <c r="B47" s="146" t="s">
        <v>39</v>
      </c>
      <c r="C47" s="145"/>
      <c r="D47" s="145"/>
      <c r="E47" s="145"/>
      <c r="F47" s="145"/>
      <c r="G47" s="145"/>
      <c r="H47" s="145"/>
      <c r="I47" s="145"/>
      <c r="J47" s="145"/>
      <c r="K47" s="145"/>
      <c r="L47" s="145"/>
      <c r="M47" s="145"/>
      <c r="N47" s="144"/>
      <c r="O47" s="147"/>
    </row>
    <row r="48" spans="2:16" x14ac:dyDescent="0.3">
      <c r="B48" s="146" t="s">
        <v>40</v>
      </c>
      <c r="C48" s="145"/>
      <c r="D48" s="145"/>
      <c r="E48" s="145"/>
      <c r="F48" s="145"/>
      <c r="G48" s="145"/>
      <c r="H48" s="145"/>
      <c r="I48" s="145"/>
      <c r="J48" s="145"/>
      <c r="K48" s="145"/>
      <c r="L48" s="145"/>
      <c r="M48" s="145"/>
      <c r="N48" s="144"/>
      <c r="O48" s="147"/>
    </row>
    <row r="49" spans="2:14" x14ac:dyDescent="0.3">
      <c r="B49" s="146" t="s">
        <v>119</v>
      </c>
      <c r="C49" s="145"/>
      <c r="D49" s="145"/>
      <c r="E49" s="145"/>
      <c r="F49" s="145"/>
      <c r="G49" s="145"/>
      <c r="H49" s="145"/>
      <c r="I49" s="145"/>
      <c r="J49" s="145"/>
      <c r="K49" s="145"/>
      <c r="L49" s="145"/>
      <c r="M49" s="145"/>
      <c r="N49" s="144"/>
    </row>
    <row r="50" spans="2:14" ht="25.8" x14ac:dyDescent="0.3">
      <c r="C50" s="15" t="s">
        <v>41</v>
      </c>
    </row>
    <row r="51" spans="2:14" ht="25.8" x14ac:dyDescent="0.3">
      <c r="C51" s="15" t="s">
        <v>42</v>
      </c>
    </row>
    <row r="52" spans="2:14" ht="25.8" x14ac:dyDescent="0.3">
      <c r="C52" s="15" t="s">
        <v>43</v>
      </c>
    </row>
    <row r="53" spans="2:14" ht="25.8" x14ac:dyDescent="0.3">
      <c r="C53" s="15" t="s">
        <v>44</v>
      </c>
    </row>
    <row r="54" spans="2:14" ht="25.8" x14ac:dyDescent="0.3">
      <c r="C54" s="15" t="s">
        <v>45</v>
      </c>
    </row>
  </sheetData>
  <dataConsolidate/>
  <mergeCells count="11">
    <mergeCell ref="F8:G8"/>
    <mergeCell ref="F9:G9"/>
    <mergeCell ref="G19:I19"/>
    <mergeCell ref="B22:N22"/>
    <mergeCell ref="B30:N30"/>
    <mergeCell ref="B32:N32"/>
    <mergeCell ref="B33:N33"/>
    <mergeCell ref="B47:N47"/>
    <mergeCell ref="B48:N48"/>
    <mergeCell ref="B49:N49"/>
    <mergeCell ref="B31:N31"/>
  </mergeCells>
  <dataValidations count="11">
    <dataValidation type="list" allowBlank="1" showInputMessage="1" showErrorMessage="1" sqref="H34" xr:uid="{EB21D2F0-DF7D-4D0D-8366-925BF3F114E6}">
      <formula1>"ALAA HAMMAD,KHALED QASSEM,RAMY RAOUF,SIMON LOBO,MHAREN CLEMENTE GARADO"</formula1>
    </dataValidation>
    <dataValidation type="list" allowBlank="1" showInputMessage="1" showErrorMessage="1" sqref="M34" xr:uid="{1A8D8B57-C595-4164-A913-EF9C2B2E65B2}">
      <formula1>"Alaa Hammad,Bachir Ibrahim Mourad,Khaled Qassem,Ramy Raoof,Simon Lobo,Mharen Clemente Garado,Ranjith"</formula1>
    </dataValidation>
    <dataValidation type="list" allowBlank="1" showInputMessage="1" showErrorMessage="1" sqref="B11" xr:uid="{A9FA8E10-C024-44BB-AE61-242694FFF683}">
      <formula1>"FO Ceramic+ Intr&amp;Extr CeramicGold WdwTnt,FO Mirror Camera Sensor"</formula1>
    </dataValidation>
    <dataValidation type="list" allowBlank="1" showInputMessage="1" showErrorMessage="1" sqref="B12" xr:uid="{8AAB050D-168C-40F3-87F9-F09192D294D5}">
      <formula1>"FO Exterior ceramic All Cars SCOTCHGUARD,FO Mirror Camera Sensor,FO PPF Gold Package "</formula1>
    </dataValidation>
    <dataValidation type="list" allowBlank="1" showInputMessage="1" showErrorMessage="1" sqref="K20" xr:uid="{C3070A78-2EDC-4504-8E54-6882A1E9B9D0}">
      <formula1>"Esaad,Emirates Platinum,Fazaa,Humat Alwatan,Permissible,ASX,XPMLP,XP,MON,MON G57,OUT,F08,P08,F06,P06,F03,F03-1,P03,EC,G37,G38,G40,G43"</formula1>
    </dataValidation>
    <dataValidation type="list" allowBlank="1" showInputMessage="1" showErrorMessage="1" sqref="B16" xr:uid="{B7A1E05B-A5CD-4011-8C56-A147662C5576}">
      <formula1>"RMC-10-40KMS,RMC-10-60KMS,RMC-10-70KMS,RMC-10-100000KMS,RMC-40-70KMS,RMC-40-100000KMS"</formula1>
    </dataValidation>
    <dataValidation type="list" allowBlank="1" showInputMessage="1" showErrorMessage="1" sqref="K24" xr:uid="{42123AE7-7D38-49BE-8076-4D98D27940E5}">
      <formula1>"RMC-10-70K,RMC-10-100000K,RMC-40-70K"</formula1>
    </dataValidation>
    <dataValidation type="list" allowBlank="1" showInputMessage="1" showErrorMessage="1" sqref="D5" xr:uid="{12151E2C-8D80-4C35-A238-525006D35217}">
      <formula1>"MIG09,MIG10,H16,P16,H17,H48,H43,H40,H42,H44,H45,H38,H37,EH40,EH43,ML,HL,PR, MLP,HLP,PRP,XPML,XPHL,XPMLP, XPMLP-01,XC, G10,P10, G03, P03, G06,P06,G12,P12,G05,P05,G08,P08,G09,P09,H57,P57,H64,H59,P59,H61,P61"</formula1>
    </dataValidation>
    <dataValidation type="list" allowBlank="1" showInputMessage="1" showErrorMessage="1" sqref="M21" xr:uid="{B774055A-BBBA-4915-8D32-F0A3F2B842B2}">
      <formula1>"3000-4999,5000-9999,5000-99999,10000-14999,15000-24999,25000-34999,35000-99999,5000-11999,12000-19999,20000-39999,40000-69999,70000-99999"</formula1>
    </dataValidation>
    <dataValidation type="list" allowBlank="1" showInputMessage="1" showErrorMessage="1" sqref="C10:C16 L20 L24:L25 G14:G15 J10" xr:uid="{03F04D42-5D91-4DE2-9B58-D4F276531EF6}">
      <formula1>"YES,NO"</formula1>
    </dataValidation>
    <dataValidation type="list" allowBlank="1" showInputMessage="1" showErrorMessage="1" sqref="K21" xr:uid="{689E2832-A491-4201-A366-9C3373806058}">
      <formula1>"ADCB,ADCB PAY IN 2027,Ajman Bank,ADIB,DIB EXPAT,DIB LOCAL GVH,Emirates NBD,EIB,FAB,RAK,SIB STL,SIB NON STL"</formula1>
    </dataValidation>
  </dataValidations>
  <pageMargins left="0.23622047244094491" right="0.23622047244094491" top="0.74803149606299213" bottom="0.74803149606299213" header="0.31496062992125984" footer="0.31496062992125984"/>
  <pageSetup paperSize="9" scale="40" orientation="landscape" horizontalDpi="4294967295" verticalDpi="4294967295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679DB3-9487-4589-8B26-D58037841BB9}">
  <sheetPr>
    <pageSetUpPr fitToPage="1"/>
  </sheetPr>
  <dimension ref="A1:AA54"/>
  <sheetViews>
    <sheetView topLeftCell="B1" zoomScaleNormal="100" workbookViewId="0">
      <selection activeCell="D5" sqref="D5"/>
    </sheetView>
  </sheetViews>
  <sheetFormatPr defaultColWidth="9.109375" defaultRowHeight="15.6" x14ac:dyDescent="0.3"/>
  <cols>
    <col min="1" max="1" width="16" style="1" hidden="1" customWidth="1"/>
    <col min="2" max="2" width="75.109375" style="2" customWidth="1"/>
    <col min="3" max="3" width="26.88671875" style="3" customWidth="1"/>
    <col min="4" max="4" width="23.88671875" style="2" customWidth="1"/>
    <col min="5" max="5" width="23.33203125" style="2" customWidth="1"/>
    <col min="6" max="6" width="19.88671875" style="2" customWidth="1"/>
    <col min="7" max="7" width="23.33203125" style="2" customWidth="1"/>
    <col min="8" max="8" width="24.44140625" style="2" customWidth="1"/>
    <col min="9" max="9" width="27.109375" style="2" customWidth="1"/>
    <col min="10" max="10" width="26.6640625" style="2" customWidth="1"/>
    <col min="11" max="11" width="25.44140625" style="2" customWidth="1"/>
    <col min="12" max="12" width="20.5546875" style="2" customWidth="1"/>
    <col min="13" max="13" width="20.109375" style="2" customWidth="1"/>
    <col min="14" max="14" width="19.5546875" style="2" customWidth="1"/>
    <col min="15" max="15" width="15.109375" style="2" bestFit="1" customWidth="1"/>
    <col min="16" max="16" width="12.6640625" style="2" hidden="1" customWidth="1"/>
    <col min="17" max="17" width="12.6640625" style="1" hidden="1" customWidth="1"/>
    <col min="18" max="18" width="15.6640625" style="1" hidden="1" customWidth="1"/>
    <col min="19" max="19" width="13" style="1" hidden="1" customWidth="1"/>
    <col min="20" max="20" width="17.109375" style="1" hidden="1" customWidth="1"/>
    <col min="21" max="21" width="14.5546875" style="1" bestFit="1" customWidth="1"/>
    <col min="22" max="22" width="19" style="1" customWidth="1"/>
    <col min="23" max="23" width="22.5546875" style="1" bestFit="1" customWidth="1"/>
    <col min="24" max="25" width="9.109375" style="1"/>
    <col min="26" max="26" width="14" style="1" bestFit="1" customWidth="1"/>
    <col min="27" max="27" width="22.33203125" style="1" bestFit="1" customWidth="1"/>
    <col min="28" max="16384" width="9.109375" style="1"/>
  </cols>
  <sheetData>
    <row r="1" spans="1:27" ht="15.75" customHeight="1" x14ac:dyDescent="0.3">
      <c r="B1" s="222" t="s">
        <v>148</v>
      </c>
      <c r="C1" s="221"/>
      <c r="D1" s="221"/>
      <c r="E1" s="221"/>
      <c r="F1" s="221"/>
      <c r="G1" s="221"/>
      <c r="H1" s="221"/>
      <c r="I1" s="221"/>
      <c r="J1" s="221"/>
      <c r="K1" s="221"/>
      <c r="L1" s="221"/>
      <c r="M1" s="221"/>
      <c r="N1" s="220"/>
    </row>
    <row r="2" spans="1:27" ht="15.75" customHeight="1" x14ac:dyDescent="0.3">
      <c r="B2" s="219" t="s">
        <v>147</v>
      </c>
      <c r="C2" s="218"/>
      <c r="D2" s="218"/>
      <c r="E2" s="218"/>
      <c r="F2" s="218"/>
      <c r="G2" s="218"/>
      <c r="H2" s="218"/>
      <c r="I2" s="218"/>
      <c r="J2" s="218"/>
      <c r="K2" s="218"/>
      <c r="L2" s="218"/>
      <c r="M2" s="218"/>
      <c r="N2" s="217"/>
      <c r="Q2" s="2"/>
      <c r="S2" s="186"/>
    </row>
    <row r="3" spans="1:27" ht="15.75" customHeight="1" x14ac:dyDescent="0.3">
      <c r="B3" s="219" t="s">
        <v>146</v>
      </c>
      <c r="C3" s="218"/>
      <c r="D3" s="218"/>
      <c r="E3" s="218"/>
      <c r="F3" s="218"/>
      <c r="G3" s="218"/>
      <c r="H3" s="218"/>
      <c r="I3" s="218"/>
      <c r="J3" s="218"/>
      <c r="K3" s="218"/>
      <c r="L3" s="218"/>
      <c r="M3" s="218"/>
      <c r="N3" s="217"/>
      <c r="O3" s="3"/>
      <c r="P3" s="3"/>
      <c r="Q3" s="153"/>
      <c r="R3" s="153"/>
      <c r="S3" s="216" t="e">
        <f>N7+J14</f>
        <v>#VALUE!</v>
      </c>
      <c r="T3" s="216"/>
      <c r="U3" s="153"/>
      <c r="V3" s="153"/>
      <c r="W3" s="153"/>
      <c r="AA3" s="1">
        <f>273000/5</f>
        <v>54600</v>
      </c>
    </row>
    <row r="4" spans="1:27" ht="15.75" customHeight="1" x14ac:dyDescent="0.3">
      <c r="B4" s="215"/>
      <c r="C4" s="214"/>
      <c r="D4" s="214"/>
      <c r="E4" s="214"/>
      <c r="F4" s="214"/>
      <c r="G4" s="214"/>
      <c r="H4" s="214"/>
      <c r="I4" s="214"/>
      <c r="J4" s="214"/>
      <c r="K4" s="214"/>
      <c r="L4" s="214"/>
      <c r="M4" s="214"/>
      <c r="N4" s="213"/>
      <c r="O4" s="212" t="s">
        <v>0</v>
      </c>
      <c r="P4" s="212"/>
      <c r="Q4" s="210"/>
      <c r="R4" s="210"/>
      <c r="S4" s="211"/>
      <c r="T4" s="211"/>
      <c r="U4" s="210" t="s">
        <v>1</v>
      </c>
      <c r="V4" s="210" t="s">
        <v>2</v>
      </c>
      <c r="W4" s="210" t="s">
        <v>3</v>
      </c>
    </row>
    <row r="5" spans="1:27" ht="25.2" thickBot="1" x14ac:dyDescent="0.45">
      <c r="B5" s="17"/>
      <c r="C5" s="18" t="str">
        <f>IF(D5="MIG09","Mirage G09",IF(D5="MIG10","MirageG10",IF(D5="H16","Attrage H16",IF(D5="P16","Attrage P16",IF(D5="H17","Attrage H17",IF(D5="H48","ASX H48",IF(D5="H43","ASX H43",IF(D5="H40","ASX H40",IF(D5="H42","ASX H42",IF(D5="H44","ASX H44",IF(D5="H45","ASX H45",IF(D5="H38","Eclipse H38",IF(D5="H37","Eclipse H37",IF(D5="EH40","Eclipse H40",IF(D5="EH43","Eclipse H43",IF(D5="XPML","Xpander ML",IF(D5="ML","Destinator ML",IF(D5="HL","Destinator HL",IF(D5="PR","Destinator PR",IF(D5="MLP","Destinator MLP",IF(D5="HLP","Destinator HLP",IF(D5="PRP","Destinator PRP",IF(D5="XPHL","Xpander HL",IF(D5="XPMLP","Xpander ML P",IF(D5="XPMLP-01","Xpander ML P-01",IF(D5="XC","Xpander Cross",IF(D5="G03","Outlander G03",IF(D5="P03","Outlander P03",IF(D5="G06","Outlander G06",IF(D5="P06","Outlander P06",IF(D5="OTP06-01","Outlander P06-01",IF(D5="G08","Outlander G08",IF(D5="P08","Outlander P08",IF(D5="H57","Montero H57",IF(D5="P57","Montero P57",IF(D5="H64","Montero G64",IF(D5="H59","Montero G59",IF(D5="P59","Montero G59 P",IF(D5="H61","Montero G61",IF(D5="P61","Montero P61",IF(D5="G10","Outlander G10",IF(D5="P10","Outlander P10",IF(D5="G12","Outlander G12",IF(D5="P12","Outlander P12",IF(D5="G05","Outlander G05",IF(D5="P05","Outlander P05",IF(D5="G09","Outlander G09",IF(D5="P09","Outlander P09",))))))))))))))))))))))))))))))))))))))))))))))))</f>
        <v>Montero P61</v>
      </c>
      <c r="D5" s="19" t="s">
        <v>154</v>
      </c>
      <c r="E5" s="20" t="s">
        <v>145</v>
      </c>
      <c r="F5" s="37"/>
      <c r="G5" s="37"/>
      <c r="H5" s="37"/>
      <c r="I5" s="20"/>
      <c r="J5" s="34"/>
      <c r="K5" s="209">
        <v>0</v>
      </c>
      <c r="L5" s="208">
        <v>3.39E-2</v>
      </c>
      <c r="M5" s="208">
        <v>6.7799999999999999E-2</v>
      </c>
      <c r="N5" s="208">
        <v>0.1017</v>
      </c>
      <c r="O5" s="147">
        <f>K7+K14</f>
        <v>17157.206487575</v>
      </c>
      <c r="S5" s="186"/>
      <c r="U5" s="186">
        <f>L7+L14</f>
        <v>7083.6143470020843</v>
      </c>
      <c r="V5" s="186">
        <f>M7+M14</f>
        <v>4790.1707501375004</v>
      </c>
      <c r="W5" s="186">
        <f>N7+N14</f>
        <v>3367.2787636687503</v>
      </c>
    </row>
    <row r="6" spans="1:27" s="5" customFormat="1" ht="99" thickBot="1" x14ac:dyDescent="0.35">
      <c r="A6" s="4" t="s">
        <v>4</v>
      </c>
      <c r="B6" s="26" t="s">
        <v>5</v>
      </c>
      <c r="C6" s="27" t="s">
        <v>6</v>
      </c>
      <c r="D6" s="27" t="s">
        <v>144</v>
      </c>
      <c r="E6" s="27" t="s">
        <v>7</v>
      </c>
      <c r="F6" s="27" t="s">
        <v>8</v>
      </c>
      <c r="G6" s="28" t="s">
        <v>9</v>
      </c>
      <c r="H6" s="28" t="s">
        <v>143</v>
      </c>
      <c r="I6" s="28" t="s">
        <v>10</v>
      </c>
      <c r="J6" s="28" t="s">
        <v>142</v>
      </c>
      <c r="K6" s="28" t="s">
        <v>11</v>
      </c>
      <c r="L6" s="28" t="s">
        <v>12</v>
      </c>
      <c r="M6" s="28" t="s">
        <v>13</v>
      </c>
      <c r="N6" s="28" t="s">
        <v>14</v>
      </c>
      <c r="O6" s="207"/>
      <c r="P6" s="206"/>
      <c r="T6" s="205"/>
      <c r="U6" s="205">
        <f>N7+L14</f>
        <v>5597.0801136687505</v>
      </c>
      <c r="V6" s="205">
        <f>N7+K14</f>
        <v>13812.504462575002</v>
      </c>
      <c r="W6" s="205" t="e">
        <f>N7+J14</f>
        <v>#VALUE!</v>
      </c>
    </row>
    <row r="7" spans="1:27" ht="25.2" thickBot="1" x14ac:dyDescent="0.45">
      <c r="A7" s="6">
        <f>B8</f>
        <v>138900</v>
      </c>
      <c r="B7" s="29">
        <f>IF(L20="YES",C8*1,IF(L20="NO",B8*1))</f>
        <v>138900</v>
      </c>
      <c r="C7" s="29">
        <f>B7*5/100</f>
        <v>6945</v>
      </c>
      <c r="D7" s="203">
        <f>B7+C7</f>
        <v>145845</v>
      </c>
      <c r="E7" s="29">
        <f>D17</f>
        <v>20860.10125</v>
      </c>
      <c r="F7" s="29">
        <f>(C7)+(D10+D11+D12+D13+D16)*5/100</f>
        <v>7475</v>
      </c>
      <c r="G7" s="30">
        <f>B7+E7+F7</f>
        <v>167235.10125000001</v>
      </c>
      <c r="H7" s="29">
        <f>G7*D20</f>
        <v>33447.020250000001</v>
      </c>
      <c r="I7" s="30">
        <f>(G7-H7)</f>
        <v>133788.08100000001</v>
      </c>
      <c r="J7" s="30">
        <f>(((I7*D19)*1)+I7)/12</f>
        <v>11582.703112575</v>
      </c>
      <c r="K7" s="30">
        <f>(((I7*D19)*2)+I7)/24</f>
        <v>6008.1997375749997</v>
      </c>
      <c r="L7" s="30">
        <f>(((I7*D19)*3)+I7)/36</f>
        <v>4150.0319459083339</v>
      </c>
      <c r="M7" s="30">
        <f>(((I7*D19)*4)+I7)/48</f>
        <v>3220.9480500750001</v>
      </c>
      <c r="N7" s="30">
        <f>((((I7*D19)*5)+I7)/60)</f>
        <v>2663.4977125750002</v>
      </c>
      <c r="O7" s="147"/>
      <c r="P7" s="2">
        <f>H7+H16</f>
        <v>34851.7951005</v>
      </c>
      <c r="T7" s="186">
        <f>25973/2</f>
        <v>12986.5</v>
      </c>
    </row>
    <row r="8" spans="1:27" ht="24.6" x14ac:dyDescent="0.4">
      <c r="A8" s="7">
        <v>0.2</v>
      </c>
      <c r="B8" s="31">
        <f>IF(D5="MIG09",39900,IF(D5="MIG10",41900,IF(D5="H16",41900,IF(D5="P16",47400,IF(D5="H17",47900,IF(D5="H48",67900,IF(D5="H43",70900,IF(D5="H40",72900,IF(D5="H42",74900,IF(D5="H44",73900,IF(D5="H45",79900,IF(D5="H38",86900,IF(D5="H37",79900,IF(D5="EH40",99900,IF(D5="EH43",106900,IF(D5="ML",71900,IF(D5="HL",83900,IF(D5="PR",95900,IF(D5="MLP",80900,IF(D5="HLP",91900,IF(D5="PRP",102900,IF(D5="XPML",69900,IF(D5="XPHL",71000,IF(D5="XPMLP",75900,IF(D5="XPMLP-01",77800,IF(D5="XC",84900,IF(D5="G10",81900,IF(D5="P10",93900,IF(D5="G12",97900,IF(D5="P12",105900,IF(D5="G05",104900,IF(D5="P05",105900,IF(D5="G03",92900,IF(D5="P03",100900,IF(D5="G06",109900,IF(D5="P06",114900,IF(D5="OTP06-01",118900,IF(D5="G08",125900,IF(D5="P08",132900,IF(D5="OTP06-01",109900,IF(D5="G09",129900,IF(D5="P09",134900,IF(D5="H57",105900,IF(D5="P57",113900,IF(D5="H64",116900,IF(D5="H59",127900,IF(D5="P59",134900,IF(D5="H61",134900,IF(D5="P61",138900)))))))))))))))))))))))))))))))))))))))))))))))))</f>
        <v>138900</v>
      </c>
      <c r="C8" s="32">
        <f>IF(L20="YES",N20,IF(L20="NO",N20))</f>
        <v>138900</v>
      </c>
      <c r="D8" s="29">
        <v>0</v>
      </c>
      <c r="E8" s="33"/>
      <c r="F8" s="139"/>
      <c r="G8" s="140"/>
      <c r="H8" s="110">
        <f>G7*20/100</f>
        <v>33447.020250000001</v>
      </c>
      <c r="I8" s="34"/>
      <c r="J8" s="34" t="s">
        <v>15</v>
      </c>
      <c r="K8" s="34">
        <f>(I7*K5+I7)/24</f>
        <v>5574.5033750000002</v>
      </c>
      <c r="L8" s="34">
        <f>(I7*L5+I7)/36</f>
        <v>3842.3193596083333</v>
      </c>
      <c r="M8" s="34">
        <f>(I7*M5+I7)/48</f>
        <v>2976.2273519124997</v>
      </c>
      <c r="N8" s="34">
        <f>(I7*N5+I7)/60</f>
        <v>2456.5721472950004</v>
      </c>
      <c r="O8" s="147">
        <v>0</v>
      </c>
      <c r="P8" s="2">
        <f>P7/12</f>
        <v>2904.316258375</v>
      </c>
      <c r="T8" s="1">
        <f>25973-12973</f>
        <v>13000</v>
      </c>
    </row>
    <row r="9" spans="1:27" ht="24.6" x14ac:dyDescent="0.4">
      <c r="A9" s="8">
        <f>B8/(100%-A8)</f>
        <v>173625</v>
      </c>
      <c r="B9" s="109">
        <f>B7-B8</f>
        <v>0</v>
      </c>
      <c r="C9" s="109"/>
      <c r="D9" s="36"/>
      <c r="E9" s="33"/>
      <c r="F9" s="139"/>
      <c r="G9" s="140"/>
      <c r="H9" s="33"/>
      <c r="I9" s="37" t="s">
        <v>16</v>
      </c>
      <c r="J9" s="38">
        <f>(J7*12)-I7</f>
        <v>5204.3563508999941</v>
      </c>
      <c r="K9" s="38">
        <f>(K7*24)-I7</f>
        <v>10408.712701799988</v>
      </c>
      <c r="L9" s="38">
        <f>(L7*36)-I7</f>
        <v>15613.069052700012</v>
      </c>
      <c r="M9" s="38">
        <f>(M7*48)-I7</f>
        <v>20817.425403600006</v>
      </c>
      <c r="N9" s="38">
        <f>(N7*60)-I7</f>
        <v>26021.7817545</v>
      </c>
      <c r="O9" s="147"/>
      <c r="T9" s="1">
        <f>T8/12</f>
        <v>1083.3333333333333</v>
      </c>
      <c r="Z9" s="1" t="s">
        <v>86</v>
      </c>
    </row>
    <row r="10" spans="1:27" ht="24.6" x14ac:dyDescent="0.4">
      <c r="A10" s="8"/>
      <c r="B10" s="37" t="s">
        <v>141</v>
      </c>
      <c r="C10" s="20" t="s">
        <v>17</v>
      </c>
      <c r="D10" s="36">
        <f>IF(C10="YES",700,IF(C10="NO",0))</f>
        <v>0</v>
      </c>
      <c r="E10" s="39"/>
      <c r="F10" s="40"/>
      <c r="G10" s="40"/>
      <c r="H10" s="33"/>
      <c r="I10" s="44" t="s">
        <v>85</v>
      </c>
      <c r="J10" s="117" t="s">
        <v>19</v>
      </c>
      <c r="K10" s="117">
        <f>IF(J10="YES",Z10,IF(J10="NO",0))</f>
        <v>1000</v>
      </c>
      <c r="L10" s="41">
        <f>(L8*36)-I7</f>
        <v>4535.4159458999929</v>
      </c>
      <c r="M10" s="41">
        <f>(M8*48)-I7</f>
        <v>9070.8318917999859</v>
      </c>
      <c r="N10" s="41">
        <f>(N8*60)-I7</f>
        <v>13606.247837700008</v>
      </c>
      <c r="O10" s="147">
        <f>IF(D5="XC",3690,IF(D5="XPML",3690,IF(D5="XPHL",3690,IF(D5="XPMLP",3690,IF(D5="XPMLP-01",3690,IF(D5="Xpander P",3690,IF(D5="ML",3690,IF(D5="HL",3690,IF(D5="PR",(U19*3/100+510)*1.05,IF(D5="MLP",3690,IF(D5="HLP",(U19*3/100+510)*1.05,IF(D5="PRP",(U19*3/100+510)*1.05,IF(D5="H57",(U19*2.75/100+510)*1.05,IF(D5="P57",(U19*2.75/100+510)*1.05,IF(D5="H64",(U19*2.75/100+510)*1.05,IF(D5="H59",(U19*2.75/100+510)*1.05,IF(D5="P59",(U19*2.75/100+510)*1.05,IF(D5="H61",(U19*2.75/100+510)*1.05,IF(D5="P61",(U19*2.75/100+510)*1.05,IF(D5="G03",(U19*3/100+510)*1.05,IF(D5="G10",(U19*3/100+510)*1.05,IF(D5="P10",(U19*3/100+510)*1.05,IF(D5="G12",(U19*3/100+510)*1.05,IF(D5="P12",(U19*3/100+510)*1.05,IF(D5="G05",(U19*3/100+510)*1.05,IF(D5="P05",(U19*3/100+510)*1.05,IF(D5="P03",(U19*3/100+510)*1.05,IF(D5="G06",(U19*3/100+510)*1.05,IF(D5="P06",(U19*3/100+510)*1.05,IF(D5="OTP06-01",(U19*3/100+510)*1.05,IF(D5="G08",(U19*3/100+510)*1.05,IF(D5="P08",(U19*3/100+510)*1.05,IF(D5="G09",(U19*3/100+510)*1.05,IF(D5="P09",(U19*3/100+510)*1.05,IF(D5="H38",3625,IF(D5="H37",3625,IF(D5="EH40",(U19*3/100+450)*1.05,IF(D5="EH43",(U19*3/100+450)*1.05,IF(D5="H48",3625,IF(D5="H43",3625,IF(D5="H40",3625,IF(D5="H42",3625,IF(D5="H44",3625,IF(D5="H45",3625,IF(D5="ASX HL 4WD",3625,IF(D5="H16",3625,IF(D5="H17",3625,IF(D5="P16",3625,IF(D5="Attrage S",3625,IF(D5="MIG09",3625,IF(D5="MIG10",3625,IF(D5="Xpander HL",3690))))))))))))))))))))))))))))))))))))))))))))))))))))</f>
        <v>5068.1531249999998</v>
      </c>
      <c r="P10" s="204"/>
      <c r="Q10" s="204">
        <f>5.25*3</f>
        <v>15.75</v>
      </c>
      <c r="Z10" s="1">
        <f>IF(D5="MIG09",1000,IF(D5="MIG10",1000,IF(D5="H16",1000,IF(D5="P16",1000,IF(D5="H17",1000,IF(D5="H48",1000,IF(D5="H43",1000,IF(D5="H40",1000,IF(D5="H42",1000,IF(D5="H44",1000,IF(D5="H45",1000,IF(D5="H38",1000,IF(D5="H37",1000,IF(D5="EH40",1000,IF(D5="EH43",1000,IF(D5="ML",1000,IF(D5="HL",1000,IF(D5="PR",1000,IF(D5="MLP",1000,IF(D5="HLP",1000,IF(D5="PRP",1000,IF(D5="XPML",1000,IF(D5="XPHL",1000,IF(D5="XPMLP",1000,IF(D5="XPMLP-01",1000,IF(D5="XC",1000,IF(D5="G10",1000,IF(D5="P10",1000,IF(D5="G12",1000,IF(D5="P12",1000,IF(D5="G05",1000,IF(D5="P05",1000,IF(D5="G03",1000,IF(D5="P03",1000,IF(D5="G06",1000,IF(D5="P06",1000,IF(D5="OTP06-01",1000,IF(D5="G08",1000,IF(D5="P08",1000,IF(D5="OTP06-01",1000,IF(D5="G09",1000,IF(D5="P09",1000,IF(D5="H57",1000,IF(D5="P57",1000,IF(D5="H64",1000,IF(D5="H59",1000,IF(D5="P59",1000,IF(D5="H61",1000,IF(D5="P61",1000)))))))))))))))))))))))))))))))))))))))))))))))))</f>
        <v>1000</v>
      </c>
    </row>
    <row r="11" spans="1:27" ht="24.6" x14ac:dyDescent="0.4">
      <c r="A11" s="8"/>
      <c r="B11" s="37" t="s">
        <v>18</v>
      </c>
      <c r="C11" s="20" t="s">
        <v>19</v>
      </c>
      <c r="D11" s="203">
        <f>IF(C11="YES",O17,IF(C11="NO",0))</f>
        <v>2700</v>
      </c>
      <c r="E11" s="39"/>
      <c r="F11" s="40"/>
      <c r="G11" s="40"/>
      <c r="H11" s="33"/>
      <c r="I11" s="33"/>
      <c r="J11" s="44" t="s">
        <v>76</v>
      </c>
      <c r="K11" s="44">
        <f>H8-K10</f>
        <v>32447.020250000001</v>
      </c>
      <c r="L11" s="37"/>
      <c r="M11" s="37"/>
      <c r="N11" s="38"/>
      <c r="O11" s="147">
        <f>IF(D5="XC",6100,IF(D5="XPML",6100,IF(D5="XPHL",6100,IF(D5="XPMLP",6100,IF(D5="XPMLP-01",6100,IF(D5="Xpander P",6100,IF(D5="ML",6600,IF(D5="HL",6600,IF(D5="PR",6600,IF(D5="MLP",6600,IF(D5="HLP",6600,IF(D5="PRP",6600,IF(D5="H57",5900,IF(D5="P57",5900,IF(D5="H64",5900,IF(D5="H59",5900,IF(D5="P59",5900,IF(D5="H61",5900,IF(D5="P61",5900,IF(D5="G03",6700,IF(D5="G10",6700,IF(D5="P10",6700,IF(D5="G12",6700,IF(D5="P12",6700,IF(D5="G05",6700,IF(D5="P05",6700,IF(D5="P03",6700,IF(D5="G06",6700,IF(D5="P06",6700,IF(D5="OTP06-01",6700,IF(D5="G08",6700,IF(D5="G09",6700,IF(D5="G08",6700,IF(D5="P08",6700,IF(D5="P09",6700,IF(D5="H37",6400,IF(D5="H38",6400,IF(D5="EH40",6400,IF(D5="EH43",6400,IF(D5="H48",6600,IF(D5="H43",6600,IF(D5="H40",6600,IF(D5="H42",6600,IF(D5="H44",6600,IF(D5="H45",6600,IF(D5="ASX HL 4WD",6600,IF(D5="H16",5400,IF(D5="H17",5400,IF(D5="P16",5400,IF(D5="Attrage S",5400,IF(D5="MIG09",5400,IF(D5="MIG10",5400,IF(D5="Xpander HL",6000)))))))))))))))))))))))))))))))))))))))))))))))))))))</f>
        <v>5900</v>
      </c>
      <c r="P11" s="147"/>
      <c r="Q11" s="147"/>
      <c r="R11" s="147"/>
      <c r="S11" s="147"/>
      <c r="T11" s="147"/>
      <c r="U11" s="147">
        <f>IF(D5="XC",4900,IF(D5="XPML",4900,IF(D5="XPHL",4900,IF(D5="XPMLP",4900,IF(D5="XPMLP-01",4900,IF(D5="Xpander P",4900,IF(D5="ML",5400,IF(D5="HL",5400,IF(D5="PR",5400,IF(D5="MLP",5400,IF(D5="HLP",5400,IF(D5="PRP",5400,IF(D5="H57",4600,IF(D5="P57",4600,IF(D5="MOG64",4600,IF(D5="H59",4600,IF(D5="P59",4600,IF(D5="H61",4600,IF(D5="P61",4600,IF(D5="G03",5500,IF(D5="P03",5500,IF(D5="G10",5500,IF(D5="P10",5500,IF(D5="G12",5500,IF(D5="P12",5500,IF(D5="G05",5500,IF(D5="P05",5500,IF(D5="G06",5500,IF(D5="P06",5500,IF(D5="OTP06-01",5500,IF(D5="F08",5500,IF(D5="P08",5500,IF(D5="G09",5500,IF(D5="P09",5500,IF(D5="H38",5200,IF(D5="H37",5200,IF(D5="EH40",5200,IF(D5="EH43",5200,IF(D5="H48",5300,IF(D5="H43",5300,IF(D5="H40",5300,IF(D5="H42",5300,IF(D5="H44",5300,IF(D5="H45",5300,IF(D5="ASX HL",5300,IF(D5="ASX P",5300,IF(D5="ASX HL 4WD",5300,IF(D5="H16",4200,IF(D5="H17",4200,IF(D5="P16",4200,IF(D5="Attrage S",4200,IF(D5="MIG09",4200,IF(D5="MIG10",4200,IF(D5="Xpander HL",4900))))))))))))))))))))))))))))))))))))))))))))))))))))))</f>
        <v>4600</v>
      </c>
      <c r="V11" s="147">
        <f>IF(D5="XC",9700,IF(D5="XPML",9700,IF(D5="XPHL",9700,IF(D5="XPMLP",9700,IF(D5="XPMLP-01",9700,IF(D5="XPMLP-01",9700,IF(D5="Xpander P",9700,IF(D5="ML",10800,IF(D5="HL",10800,IF(D5="PR",10800,IF(D5="MLP",10800,IF(D5="HLP",10800,IF(D5="PRP",10800,IF(D5="H57",9300,IF(D5="P57",9300,IF(D5="MG64",9300,IF(D5="H59",9300,IF(D5="P59",9300,IF(D5="H61",9300,IF(D5="P61",9300,IF(D5="G03",11000,IF(D5="G10",11000,IF(D5="P10",11000,IF(D5="G12",11000,IF(D5="P12",11000,IF(D5="G05",11000,IF(D5="P05",11000,IF(D5="P03",11000,IF(D5="G06",11000,IF(D5="P06",11000,IF(D5="OTP06-01",11000,IF(D5="G08",11000,IF(D5="P08",11000,IF(D5="G09",11000,IF(D5="P09",11000,IF(D5="H38",10400,IF(D5="H37",10400,IF(D5="EH40",10400,IF(D5="EH43",10400,IF(D5="H48",10700,IF(D5="H43",10700,IF(D5="H40",10700,IF(D5="H42",10700,IF(D5="H44",10800,IF(D5="H45",10800,IF(D5="ASX HL",12200,IF(D5="ASX P",12200,IF(D5="ASX HL 4WD",12200,IF(D5="H16",8500,IF(D5="H17",8500,IF(D5="P16",8500,IF(D5="Attrage S",9600,IF(D5="MIG09",8500,IF(D5="MIG10",8500,IF(D5="Xpander HL",11300)))))))))))))))))))))))))))))))))))))))))))))))))))))))</f>
        <v>9300</v>
      </c>
      <c r="W11" s="147">
        <f>IF(D5="XC",9200,IF(D5="XPML",9200,IF(D5="XPHL",9200,IF(D5="XPMLP",9200,IF(D5="XPMLP-01",9200,IF(D5="Xpander P",9200,IF(D5="ML",10000,IF(D5="HL",10000,IF(D5="PR",10000,IF(D5="MLP",10000,IF(D5="HLP",10000,IF(D5="PRP",10000,IF(D5="H57",8700,IF(D5="P57",8700,IF(D5="H64",8700,IF(D5="H59",8700,IF(D5="P59",8700,IF(D5="H61",8700,IF(D5="P61",8700,IF(D5="G03",10400,IF(D5="P03",10400,IF(D5="G10",10400,IF(D5="P10",10400,IF(D5="G12",10400,IF(D5="P12",10400,IF(D5="G05",10400,IF(D5="P05",10400,IF(D5="G06",10400,IF(D5="P06",10400,IF(D5="OTP06-01",10400,IF(D5="G08",10400,IF(D5="P08",10400,IF(D5="G09",10400,IF(D5="P09",10400,IF(D5="H38",9800,IF(D5="H37",9800,IF(D5="EH40",9800,IF(D5="EH43",9800,IF(D5="H48",10100,IF(D5="H43",10100,IF(D5="H40",10100,IF(D5="H42",10100,IF(D5="H44",10100,IF(D5="H45",10100,IF(D5="ASX HL",10100,IF(D5="ASX P",10100,IF(D5="ASX HL 4WD",10100,IF(D5="H16",7900,IF(D5="H17",7900,IF(D5="P16",7900,IF(D5="Attrage S",7900,IF(D5="MIG09",7900,IF(D5="MIG10",7900,IF(D5="Xpander HL",9200))))))))))))))))))))))))))))))))))))))))))))))))))))))</f>
        <v>8700</v>
      </c>
      <c r="X11" s="147">
        <f>IF(D5="XC",4500,IF(D5="XPML",4500,IF(D5="XPHL",4500,IF(D5="XPMLP",4500,IF(D5="XPMLP-01",4500,IF(D5="Xpander P",4500,IF(D5="ML",5000,IF(D5="HL",5000,IF(D5="PR",5000,IF(D5="MLP",5000,IF(D5="HLP",5000,IF(D5="PRP",5000,IF(D5="H57",8700,IF(D5="P57",8700,IF(D5="MOG64",4300,IF(D5="H59",4300,IF(D5="P59",4300,IF(D5="H61",4300,IF(D5="P61",4300,IF(D5="G03",5000,IF(D5="P03",5000,IF(D5="G10",5000,IF(D5="P10",5000,IF(D5="G12",5000,IF(D5="P12",5000,IF(D5="G05",5000,IF(D5="P05",5000,IF(D5="G06",5000,IF(D5="P06",5000,IF(D5="OTP06-01",5000,IF(D5="G08",5000,IF(D5="P08",5000,IF(D5="G09",5000,IF(D5="P09",5000,IF(D5="H38",4900,IF(D5="H37",4900,IF(D5="EH40",4900,IF(D5="EH43",4900,IF(D5="H48",4900,IF(D5="H43",4900,IF(D5="H40",4900,IF(D5="H42",4900,IF(D5="H44",4900,IF(D5="H45",4900,IF(D5="ASX HL",4900,IF(D5="ASX P",4900,IF(D5="ASX HL 4WD",4900,IF(D5="H16",3700,IF(D5="H17",3700,IF(D5="P16",3700,IF(D5="Attrage S",3700,IF(D5="MIG09",3700,IF(D5="MIG10",3700,IF(D5="Xpander HL",4500))))))))))))))))))))))))))))))))))))))))))))))))))))))</f>
        <v>4300</v>
      </c>
      <c r="Y11" s="147">
        <f>IF(D5="XC",5400,IF(D5="XPML ",5400,IF(D5="XPHL",5400,IF(D5="XPMLP",5400,IF(D5="XPMLP-01",5400,IF(D5="Xpander P",5400,IF(D5="ML",6000,IF(D5="HL",6000,IF(D5="PR",6000,IF(D5="MLP",6000,IF(D5="HLP",6000,IF(D5="PRP",6000,IF(D5="H57",5200,IF(D5="57",5200,IF(D5="H64",5200,IF(D5="H59",5200,IF(D5="P59",5200,IF(D5="H61",5200,IF(D5="P61",5200,IF(D5="G03",6000,IF(D5="P03",6000,IF(D5="G10",6000,IF(D5="P10",6000,IF(D5="G12",6000,IF(D5="P12",6000,IF(D5="G05",6000,IF(D5="P05",6000,IF(D5="G06",6000,IF(D5="P06",6000,IF(D5="OTP06-01",6000,IF(D5="G08",6000,IF(D5="P08",6000,IF(D5="G09",6000,IF(D5="P09",6000,IF(D5="H38",5700,IF(D5="H37",5700,IF(D5="EH40",5700,IF(D5="EH43",5700,IF(D5="H48",5900,IF(D5="H43",5900,IF(D5="H40",5900,IF(D5="H42",5900,IF(D5="H44",5900,IF(D5="H45",5900,IF(D5="ASX HL",5900,IF(D5="ASX P",5900,IF(D5="ASX HL 4WD",5900,IF(D5="H16",4500,IF(D5="H17",4500,IF(D5="P16",4500,IF(D5="Attrage S",4500,IF(D5="MIG09",4500,IF(D5="MIG10",4500,IF(D5="Xpander HL",5400))))))))))))))))))))))))))))))))))))))))))))))))))))))</f>
        <v>5200</v>
      </c>
    </row>
    <row r="12" spans="1:27" ht="24.6" x14ac:dyDescent="0.4">
      <c r="A12" s="8"/>
      <c r="B12" s="37" t="s">
        <v>20</v>
      </c>
      <c r="C12" s="20" t="s">
        <v>17</v>
      </c>
      <c r="D12" s="36">
        <f>IF(C12="YES",2000,IF(C12="NO",0))</f>
        <v>0</v>
      </c>
      <c r="E12" s="43"/>
      <c r="F12" s="43" t="s">
        <v>21</v>
      </c>
      <c r="G12" s="40"/>
      <c r="H12" s="33">
        <v>600</v>
      </c>
      <c r="I12" s="33"/>
      <c r="J12" s="202" t="s">
        <v>140</v>
      </c>
      <c r="K12" s="45">
        <v>0</v>
      </c>
      <c r="L12" s="45">
        <v>5.2499999999999998E-2</v>
      </c>
      <c r="M12" s="45">
        <v>0.126</v>
      </c>
      <c r="N12" s="201">
        <v>0.26250000000000001</v>
      </c>
      <c r="O12" s="147">
        <f>IF(K20="Esaad",B8*3/100,IF(K20="Emirates Platinum",B8*3/100,IF(K20="Fazaa",B8*3/100,IF(K20="Humat Alwatan",B8*3/100,IF(K20="Permissible",2000,IF(K20="ASX",8400,IF(K20="XPMLP",15100,IF(K20="XP",7200,IF(K20="G43",11000,IF(K20="EC",17000,IF(K20="G37",17000,IF(K20="G38",15000,IF(K20="G40",11000,IF(K20="OUT",3000,IF(K20="F08",14400,IF(K20="P08",11100,IF(K20="F06",13100,IF(K20="P06",13400,IF(K20="F03",3500,IF(K20="F03-1",13500,IF(K20="P03",13100,IF(K20="MON",10000,IF(K20="MON G57",9000,0)))))))))))))))))))))))</f>
        <v>2000</v>
      </c>
      <c r="Z12" s="86" t="s">
        <v>83</v>
      </c>
      <c r="AA12" s="86" t="s">
        <v>84</v>
      </c>
    </row>
    <row r="13" spans="1:27" ht="24.6" x14ac:dyDescent="0.4">
      <c r="A13" s="8">
        <f>B8*1.26582</f>
        <v>175822.39799999999</v>
      </c>
      <c r="B13" s="37" t="s">
        <v>23</v>
      </c>
      <c r="C13" s="20" t="s">
        <v>19</v>
      </c>
      <c r="D13" s="36">
        <f>IF(C13="YES",2000,IF(C13="NO",0))</f>
        <v>2000</v>
      </c>
      <c r="E13" s="47"/>
      <c r="F13" s="47" t="s">
        <v>75</v>
      </c>
      <c r="G13" s="51"/>
      <c r="H13" s="39">
        <v>315</v>
      </c>
      <c r="I13" s="33"/>
      <c r="J13" s="44" t="s">
        <v>54</v>
      </c>
      <c r="K13" s="29" t="s">
        <v>79</v>
      </c>
      <c r="L13" s="29" t="s">
        <v>25</v>
      </c>
      <c r="M13" s="29" t="s">
        <v>0</v>
      </c>
      <c r="N13" s="57" t="s">
        <v>26</v>
      </c>
      <c r="O13" s="9">
        <f>IF(M21="3000-4999",6%,IF(M21="5000-9999",4.75%,IF(M21="10000-14999",3.15%,IF(M21="15000-24999",2.5%,IF(M21="25000-34999",2.25%,IF(M21="35000-99999",2.15%))))))</f>
        <v>4.7500000000000001E-2</v>
      </c>
      <c r="Q13" s="2">
        <f>H7/12</f>
        <v>2787.2516875000001</v>
      </c>
      <c r="U13" s="9">
        <f>IF(M21="3000-4999",6%,IF(M21="5000-9999",3.25%,IF(M21="10000-14999",3%,IF(M21="15000-24999",2.25%,IF(M21="25000-34999",2.15%,IF(M21="35000-99999",1.99%))))))</f>
        <v>3.2500000000000001E-2</v>
      </c>
      <c r="Z13" s="99">
        <f>IF(M21="5000-9999",2.49%,IF(M21="10000-19999",2.19%,IF(M21="20000-34999",2.09%,IF(M21="35000-49999",1.89%,IF(M21="50000-99999",1.79%)))))</f>
        <v>2.4900000000000002E-2</v>
      </c>
      <c r="AA13" s="99">
        <f>IF(M21="5000-9999",2.59%,IF(M21="10000-19999",2.29%,IF(M21="20000-34999",2.19%,IF(M21="35000-49999",1.99%,IF(M21="50000-99999",1.89%)))))</f>
        <v>2.5899999999999999E-2</v>
      </c>
    </row>
    <row r="14" spans="1:27" ht="24.6" x14ac:dyDescent="0.4">
      <c r="A14" s="10" t="s">
        <v>27</v>
      </c>
      <c r="B14" s="37" t="s">
        <v>24</v>
      </c>
      <c r="C14" s="20" t="s">
        <v>19</v>
      </c>
      <c r="D14" s="50">
        <f>IF(C14="YES",U19*3.15*1.05/100,IF(C14="NO",U19*0/100))</f>
        <v>5191.9481249999999</v>
      </c>
      <c r="E14" s="48"/>
      <c r="F14" s="48" t="s">
        <v>24</v>
      </c>
      <c r="G14" s="51" t="s">
        <v>17</v>
      </c>
      <c r="H14" s="39">
        <f>IF(G14="YES",U19*3.15*1.05/100,IF(G14="NO",U19*0/100))</f>
        <v>0</v>
      </c>
      <c r="I14" s="33"/>
      <c r="J14" s="44" t="s">
        <v>55</v>
      </c>
      <c r="K14" s="44">
        <f>(H8*K12+H8)/3</f>
        <v>11149.00675</v>
      </c>
      <c r="L14" s="44">
        <f>(H8*L12+H8)/12</f>
        <v>2933.5824010937504</v>
      </c>
      <c r="M14" s="44">
        <f>(H8*M12+H8)/24</f>
        <v>1569.2227000625001</v>
      </c>
      <c r="N14" s="200">
        <f>(H7*N12+H7)/60</f>
        <v>703.78105109375008</v>
      </c>
      <c r="O14" s="9">
        <f>IF(M21="3000-4999",3.89%,IF(M21="5000-9999",3.89%,IF(M21="10000-14999",3.89%,IF(M21="15000-24999",2.69%,IF(M21="25000-34999",2.69%,IF(M21="35000-99999",2.39%,IF(M21="76000-99999",2.5%)))))))</f>
        <v>3.8900000000000004E-2</v>
      </c>
    </row>
    <row r="15" spans="1:27" ht="24.6" x14ac:dyDescent="0.4">
      <c r="A15" s="11">
        <f>(B7*3%)+10+120</f>
        <v>4297</v>
      </c>
      <c r="B15" s="37" t="s">
        <v>28</v>
      </c>
      <c r="C15" s="20" t="s">
        <v>19</v>
      </c>
      <c r="D15" s="29">
        <f>IF(C15="YES",O10,IF(C15="NO",0))</f>
        <v>5068.1531249999998</v>
      </c>
      <c r="E15" s="48"/>
      <c r="F15" s="48" t="s">
        <v>53</v>
      </c>
      <c r="G15" s="51" t="s">
        <v>17</v>
      </c>
      <c r="H15" s="39">
        <f>IF(G15="YES",O10,IF(G15="NO",0))</f>
        <v>0</v>
      </c>
      <c r="I15" s="33"/>
      <c r="J15" s="44"/>
      <c r="K15" s="44"/>
      <c r="L15" s="44"/>
      <c r="M15" s="44"/>
      <c r="N15" s="198"/>
      <c r="O15" s="9" t="b">
        <f>IF(M21="3000-4999",4.99%, IF(M21="5000-11999",2.75%,IF(M21="12000-19999",2.75%,IF(M21="20000-39999",2.25%,IF(M21="40000-69999",2.25%,IF(M21="70000-99999",2.25%))))))</f>
        <v>0</v>
      </c>
      <c r="P15" s="191"/>
    </row>
    <row r="16" spans="1:27" ht="24.6" x14ac:dyDescent="0.4">
      <c r="A16" s="11">
        <f>((B7-B8)*3%+10+120)</f>
        <v>130</v>
      </c>
      <c r="B16" s="37" t="s">
        <v>78</v>
      </c>
      <c r="C16" s="20" t="s">
        <v>19</v>
      </c>
      <c r="D16" s="29">
        <f>IF(C16="YES",O16,IF(C16="NO",0))</f>
        <v>5900</v>
      </c>
      <c r="E16" s="47"/>
      <c r="F16" s="47" t="s">
        <v>74</v>
      </c>
      <c r="G16" s="54"/>
      <c r="H16" s="33">
        <f>I7*1.05%</f>
        <v>1404.7748505000002</v>
      </c>
      <c r="I16" s="33"/>
      <c r="J16" s="44" t="s">
        <v>16</v>
      </c>
      <c r="K16" s="44">
        <f>(K14*3)-H8</f>
        <v>0</v>
      </c>
      <c r="L16" s="44">
        <f>(L14*12)-H8</f>
        <v>1755.9685631250031</v>
      </c>
      <c r="M16" s="44">
        <f>(M14*24)-H8</f>
        <v>4214.3245515000017</v>
      </c>
      <c r="N16" s="198"/>
      <c r="O16" s="147">
        <f>IF(B16="RMC-10-70KMS",O11,IF(B16="RMC-10-100000KMS",V11,IF(B16="RMC-40-70KMS",U11, IF(B16="RMC-10-40KMS",X11, IF(B16="RMC-10-60KMS",Y11, IF(B16="RMC-40-100000KMS",W11,0))))))</f>
        <v>5900</v>
      </c>
    </row>
    <row r="17" spans="1:23" ht="24.6" x14ac:dyDescent="0.4">
      <c r="A17" s="11">
        <f>A15+A16</f>
        <v>4427</v>
      </c>
      <c r="B17" s="37"/>
      <c r="C17" s="20"/>
      <c r="D17" s="29">
        <f>SUM(D10:D16)</f>
        <v>20860.10125</v>
      </c>
      <c r="E17" s="48"/>
      <c r="F17" s="48"/>
      <c r="G17" s="54"/>
      <c r="H17" s="33">
        <f>+SUM(H12:H16)+(H7)</f>
        <v>35766.7951005</v>
      </c>
      <c r="I17" s="33"/>
      <c r="J17" s="20"/>
      <c r="K17" s="199"/>
      <c r="L17" s="199"/>
      <c r="M17" s="199"/>
      <c r="N17" s="198"/>
      <c r="O17" s="147">
        <f>IF(B11="FO Ceramic+ Intr&amp;Extr CeramicGold WdwTnt",2700,IF(B11="FO Mirror Camera Sensor",2000))</f>
        <v>2700</v>
      </c>
      <c r="T17" s="1">
        <f>19615-791</f>
        <v>18824</v>
      </c>
    </row>
    <row r="18" spans="1:23" ht="24.6" x14ac:dyDescent="0.4">
      <c r="A18" s="12" t="s">
        <v>29</v>
      </c>
      <c r="B18" s="55" t="s">
        <v>30</v>
      </c>
      <c r="C18" s="197"/>
      <c r="D18" s="57">
        <v>0</v>
      </c>
      <c r="E18" s="38"/>
      <c r="F18" s="20"/>
      <c r="G18" s="20"/>
      <c r="H18" s="37"/>
      <c r="I18" s="37"/>
      <c r="J18" s="37"/>
      <c r="K18" s="37"/>
      <c r="L18" s="37"/>
      <c r="M18" s="37"/>
      <c r="N18" s="37"/>
      <c r="O18" s="9" t="b">
        <f>IF(M21="5000-99999",1.99%)</f>
        <v>0</v>
      </c>
      <c r="U18" s="196" t="s">
        <v>52</v>
      </c>
      <c r="V18" s="196" t="s">
        <v>52</v>
      </c>
    </row>
    <row r="19" spans="1:23" ht="24.6" x14ac:dyDescent="0.4">
      <c r="A19" s="11">
        <f>B8*3.15%</f>
        <v>4375.3500000000004</v>
      </c>
      <c r="B19" s="58" t="s">
        <v>31</v>
      </c>
      <c r="C19" s="59"/>
      <c r="D19" s="60">
        <f>IF(K21="DIB EXPAT",O13,IF(K21="DIB LOCAL GVH",U13,IF(K21="Emirates NBD",O14,IF(K21="ADCB",O15,IF(K21="ADCB PAY IN 2027",O19,IF(K21="Ajman Bank",O18,IF(K21="SIB STL",Z13,IF(K21="SIB NON STL",AA13,))))))))</f>
        <v>3.8900000000000004E-2</v>
      </c>
      <c r="E19" s="20"/>
      <c r="F19" s="195"/>
      <c r="G19" s="141" t="s">
        <v>73</v>
      </c>
      <c r="H19" s="142"/>
      <c r="I19" s="143"/>
      <c r="J19" s="109">
        <f>(U19*20/100)/365</f>
        <v>86.013698630136986</v>
      </c>
      <c r="K19" s="37"/>
      <c r="L19" s="37"/>
      <c r="M19" s="37"/>
      <c r="N19" s="34">
        <f>D7</f>
        <v>145845</v>
      </c>
      <c r="O19" s="194" t="b">
        <f>IF(M21="5000-11999",3.35%,IF(M21="12000-19999",3.35%,IF(M21="20000-39999",2.85%,IF(M21="40000-69999",2.85%,IF(M21="70000-99999",2.85%)))))</f>
        <v>0</v>
      </c>
      <c r="P19" s="2">
        <f>81400-2500</f>
        <v>78900</v>
      </c>
      <c r="U19" s="193">
        <f>V19</f>
        <v>156975</v>
      </c>
      <c r="V19" s="192">
        <f>(B7+D10+D11+D12+D13+D16)*1.05</f>
        <v>156975</v>
      </c>
    </row>
    <row r="20" spans="1:23" ht="24.6" x14ac:dyDescent="0.4">
      <c r="A20" s="11"/>
      <c r="B20" s="58" t="s">
        <v>32</v>
      </c>
      <c r="C20" s="59"/>
      <c r="D20" s="63">
        <v>0.2</v>
      </c>
      <c r="E20" s="37"/>
      <c r="F20" s="37"/>
      <c r="G20" s="38"/>
      <c r="H20" s="38"/>
      <c r="I20" s="38"/>
      <c r="J20" s="103"/>
      <c r="K20" s="104" t="s">
        <v>33</v>
      </c>
      <c r="L20" s="104" t="s">
        <v>17</v>
      </c>
      <c r="M20" s="104">
        <f>IF(L20="YES",O12,IF(L20="NO",0))</f>
        <v>0</v>
      </c>
      <c r="N20" s="34">
        <f>B8-M20</f>
        <v>138900</v>
      </c>
      <c r="O20" s="187"/>
      <c r="P20" s="191"/>
      <c r="T20" s="1">
        <f>1992+1084</f>
        <v>3076</v>
      </c>
      <c r="U20" s="186"/>
      <c r="V20" s="2"/>
    </row>
    <row r="21" spans="1:23" ht="24.6" x14ac:dyDescent="0.4">
      <c r="A21" s="13">
        <f>A19+A20</f>
        <v>4375.3500000000004</v>
      </c>
      <c r="B21" s="37"/>
      <c r="C21" s="20"/>
      <c r="D21" s="37"/>
      <c r="E21" s="37"/>
      <c r="F21" s="37"/>
      <c r="G21" s="37"/>
      <c r="H21" s="37"/>
      <c r="I21" s="37"/>
      <c r="J21" s="190" t="s">
        <v>34</v>
      </c>
      <c r="K21" s="16" t="s">
        <v>139</v>
      </c>
      <c r="L21" s="16" t="s">
        <v>35</v>
      </c>
      <c r="M21" s="189" t="s">
        <v>80</v>
      </c>
      <c r="N21" s="188"/>
      <c r="O21" s="187"/>
      <c r="T21" s="1">
        <f>25973-12973</f>
        <v>13000</v>
      </c>
      <c r="U21" s="186">
        <f>M14+N7</f>
        <v>4232.7204126375</v>
      </c>
    </row>
    <row r="22" spans="1:23" s="179" customFormat="1" ht="24.6" x14ac:dyDescent="0.4">
      <c r="A22" s="185"/>
      <c r="B22" s="184" t="s">
        <v>51</v>
      </c>
      <c r="C22" s="183"/>
      <c r="D22" s="183"/>
      <c r="E22" s="183"/>
      <c r="F22" s="183"/>
      <c r="G22" s="183"/>
      <c r="H22" s="183"/>
      <c r="I22" s="183"/>
      <c r="J22" s="183"/>
      <c r="K22" s="183"/>
      <c r="L22" s="183"/>
      <c r="M22" s="183"/>
      <c r="N22" s="182"/>
      <c r="O22" s="181"/>
      <c r="P22" s="180"/>
    </row>
    <row r="23" spans="1:23" s="168" customFormat="1" ht="26.4" x14ac:dyDescent="0.5">
      <c r="A23" s="175" t="s">
        <v>36</v>
      </c>
      <c r="B23" s="172" t="s">
        <v>138</v>
      </c>
      <c r="C23" s="169"/>
      <c r="D23" s="169"/>
      <c r="E23" s="169"/>
      <c r="F23" s="169"/>
      <c r="G23" s="169"/>
      <c r="H23" s="176"/>
      <c r="I23" s="176"/>
      <c r="J23" s="169"/>
      <c r="K23" s="169"/>
      <c r="L23" s="169"/>
      <c r="M23" s="169"/>
      <c r="N23" s="178"/>
      <c r="O23" s="170"/>
      <c r="P23" s="169"/>
    </row>
    <row r="24" spans="1:23" s="168" customFormat="1" ht="26.4" x14ac:dyDescent="0.5">
      <c r="A24" s="175" t="s">
        <v>36</v>
      </c>
      <c r="B24" s="172" t="s">
        <v>137</v>
      </c>
      <c r="C24" s="169"/>
      <c r="D24" s="169"/>
      <c r="E24" s="169"/>
      <c r="F24" s="169"/>
      <c r="G24" s="169"/>
      <c r="H24" s="177">
        <f>H7/365</f>
        <v>91.635671917808224</v>
      </c>
      <c r="I24" s="177">
        <f>H7+H12+H16</f>
        <v>35451.7951005</v>
      </c>
      <c r="J24" s="169"/>
      <c r="K24" s="169"/>
      <c r="L24" s="169"/>
      <c r="M24" s="169"/>
      <c r="N24" s="173"/>
      <c r="O24" s="170"/>
      <c r="P24" s="169">
        <f>1232+480</f>
        <v>1712</v>
      </c>
      <c r="T24" s="168">
        <f>88704/1.05</f>
        <v>84480</v>
      </c>
    </row>
    <row r="25" spans="1:23" s="168" customFormat="1" ht="26.4" x14ac:dyDescent="0.5">
      <c r="A25" s="175" t="s">
        <v>36</v>
      </c>
      <c r="B25" s="172" t="s">
        <v>136</v>
      </c>
      <c r="C25" s="169"/>
      <c r="D25" s="169"/>
      <c r="E25" s="169"/>
      <c r="F25" s="169"/>
      <c r="G25" s="169"/>
      <c r="H25" s="176"/>
      <c r="I25" s="176"/>
      <c r="J25" s="169"/>
      <c r="K25" s="169"/>
      <c r="L25" s="169"/>
      <c r="M25" s="169"/>
      <c r="N25" s="173"/>
      <c r="O25" s="170"/>
      <c r="P25" s="169"/>
      <c r="Q25" s="168">
        <f>79400-5233.33</f>
        <v>74166.67</v>
      </c>
      <c r="R25" s="168">
        <f>Q25*1.05</f>
        <v>77875.003500000006</v>
      </c>
      <c r="W25" s="168">
        <f>1999+1224</f>
        <v>3223</v>
      </c>
    </row>
    <row r="26" spans="1:23" s="168" customFormat="1" ht="26.4" x14ac:dyDescent="0.5">
      <c r="A26" s="175" t="s">
        <v>36</v>
      </c>
      <c r="B26" s="172" t="s">
        <v>135</v>
      </c>
      <c r="C26" s="169"/>
      <c r="D26" s="169"/>
      <c r="E26" s="169"/>
      <c r="F26" s="169"/>
      <c r="G26" s="169"/>
      <c r="H26" s="169"/>
      <c r="I26" s="169"/>
      <c r="J26" s="169"/>
      <c r="K26" s="169"/>
      <c r="L26" s="169"/>
      <c r="M26" s="169"/>
      <c r="N26" s="173"/>
      <c r="O26" s="170" t="s">
        <v>37</v>
      </c>
      <c r="P26" s="169"/>
      <c r="R26" s="168">
        <f>R25+2469</f>
        <v>80344.003500000006</v>
      </c>
    </row>
    <row r="27" spans="1:23" s="168" customFormat="1" ht="26.4" x14ac:dyDescent="0.5">
      <c r="A27" s="175" t="s">
        <v>36</v>
      </c>
      <c r="B27" s="172" t="s">
        <v>134</v>
      </c>
      <c r="C27" s="169"/>
      <c r="D27" s="169"/>
      <c r="E27" s="169"/>
      <c r="F27" s="169"/>
      <c r="G27" s="169"/>
      <c r="H27" s="169"/>
      <c r="I27" s="169"/>
      <c r="J27" s="169"/>
      <c r="K27" s="169"/>
      <c r="L27" s="169"/>
      <c r="M27" s="169"/>
      <c r="N27" s="173"/>
      <c r="O27" s="170">
        <f>129500-110900</f>
        <v>18600</v>
      </c>
      <c r="P27" s="169"/>
      <c r="W27" s="174">
        <f>N7+L14</f>
        <v>5597.0801136687505</v>
      </c>
    </row>
    <row r="28" spans="1:23" s="168" customFormat="1" ht="26.4" x14ac:dyDescent="0.5">
      <c r="B28" s="172" t="s">
        <v>133</v>
      </c>
      <c r="C28" s="169"/>
      <c r="D28" s="169"/>
      <c r="E28" s="169"/>
      <c r="F28" s="169"/>
      <c r="G28" s="169"/>
      <c r="H28" s="169"/>
      <c r="I28" s="169"/>
      <c r="J28" s="169"/>
      <c r="K28" s="169"/>
      <c r="L28" s="169"/>
      <c r="M28" s="169"/>
      <c r="N28" s="173"/>
      <c r="O28" s="170">
        <f>85000-69900</f>
        <v>15100</v>
      </c>
      <c r="P28" s="169"/>
    </row>
    <row r="29" spans="1:23" s="168" customFormat="1" ht="26.4" x14ac:dyDescent="0.5">
      <c r="B29" s="172" t="s">
        <v>132</v>
      </c>
      <c r="C29" s="169"/>
      <c r="D29" s="169"/>
      <c r="E29" s="169"/>
      <c r="F29" s="169"/>
      <c r="G29" s="169"/>
      <c r="H29" s="169"/>
      <c r="I29" s="169"/>
      <c r="J29" s="169"/>
      <c r="K29" s="169"/>
      <c r="L29" s="169"/>
      <c r="M29" s="169"/>
      <c r="N29" s="171"/>
      <c r="O29" s="170"/>
      <c r="P29" s="169"/>
    </row>
    <row r="30" spans="1:23" x14ac:dyDescent="0.3">
      <c r="B30" s="167" t="s">
        <v>38</v>
      </c>
      <c r="C30" s="166"/>
      <c r="D30" s="166"/>
      <c r="E30" s="166"/>
      <c r="F30" s="166"/>
      <c r="G30" s="166"/>
      <c r="H30" s="166"/>
      <c r="I30" s="166"/>
      <c r="J30" s="166"/>
      <c r="K30" s="166"/>
      <c r="L30" s="166"/>
      <c r="M30" s="166"/>
      <c r="N30" s="165"/>
      <c r="O30" s="147"/>
    </row>
    <row r="31" spans="1:23" x14ac:dyDescent="0.3">
      <c r="B31" s="146"/>
      <c r="C31" s="145"/>
      <c r="D31" s="145"/>
      <c r="E31" s="145"/>
      <c r="F31" s="145"/>
      <c r="G31" s="145"/>
      <c r="H31" s="145"/>
      <c r="I31" s="145"/>
      <c r="J31" s="145"/>
      <c r="K31" s="145"/>
      <c r="L31" s="145"/>
      <c r="M31" s="145"/>
      <c r="N31" s="144"/>
      <c r="O31" s="147"/>
    </row>
    <row r="32" spans="1:23" s="86" customFormat="1" ht="20.399999999999999" x14ac:dyDescent="0.35">
      <c r="B32" s="118" t="s">
        <v>39</v>
      </c>
      <c r="C32" s="119"/>
      <c r="D32" s="119"/>
      <c r="E32" s="119"/>
      <c r="F32" s="119"/>
      <c r="G32" s="119"/>
      <c r="H32" s="119"/>
      <c r="I32" s="119"/>
      <c r="J32" s="119"/>
      <c r="K32" s="119"/>
      <c r="L32" s="119"/>
      <c r="M32" s="119"/>
      <c r="N32" s="120"/>
      <c r="O32" s="92"/>
      <c r="P32" s="83"/>
    </row>
    <row r="33" spans="2:16" s="86" customFormat="1" ht="20.399999999999999" x14ac:dyDescent="0.35">
      <c r="B33" s="118" t="s">
        <v>40</v>
      </c>
      <c r="C33" s="119"/>
      <c r="D33" s="119"/>
      <c r="E33" s="119"/>
      <c r="F33" s="119"/>
      <c r="G33" s="119"/>
      <c r="H33" s="119"/>
      <c r="I33" s="119"/>
      <c r="J33" s="119"/>
      <c r="K33" s="119"/>
      <c r="L33" s="119"/>
      <c r="M33" s="119"/>
      <c r="N33" s="120"/>
      <c r="O33" s="92"/>
      <c r="P33" s="83"/>
    </row>
    <row r="34" spans="2:16" s="86" customFormat="1" ht="20.399999999999999" x14ac:dyDescent="0.35">
      <c r="B34" s="107" t="s">
        <v>131</v>
      </c>
      <c r="C34" s="108"/>
      <c r="D34" s="108"/>
      <c r="E34" s="108"/>
      <c r="F34" s="108"/>
      <c r="G34" s="164" t="s">
        <v>130</v>
      </c>
      <c r="H34" s="164"/>
      <c r="I34" s="163"/>
      <c r="J34" s="163"/>
      <c r="K34" s="163"/>
      <c r="L34" s="163"/>
      <c r="M34" s="162" t="s">
        <v>129</v>
      </c>
      <c r="N34" s="161"/>
      <c r="O34" s="83"/>
      <c r="P34" s="83"/>
    </row>
    <row r="35" spans="2:16" x14ac:dyDescent="0.3">
      <c r="B35" s="160"/>
      <c r="C35" s="159"/>
      <c r="D35" s="159"/>
      <c r="E35" s="159"/>
      <c r="F35" s="159"/>
      <c r="G35" s="159"/>
      <c r="H35" s="159"/>
      <c r="I35" s="159"/>
      <c r="J35" s="159"/>
      <c r="K35" s="159"/>
      <c r="L35" s="159"/>
      <c r="M35" s="159"/>
      <c r="N35" s="158"/>
    </row>
    <row r="36" spans="2:16" x14ac:dyDescent="0.3">
      <c r="B36" s="160"/>
      <c r="C36" s="159"/>
      <c r="D36" s="159"/>
      <c r="E36" s="159"/>
      <c r="F36" s="159"/>
      <c r="G36" s="159"/>
      <c r="H36" s="159"/>
      <c r="I36" s="159"/>
      <c r="J36" s="159"/>
      <c r="K36" s="159"/>
      <c r="L36" s="159"/>
      <c r="M36" s="159"/>
      <c r="N36" s="158"/>
    </row>
    <row r="37" spans="2:16" x14ac:dyDescent="0.3">
      <c r="B37" s="160"/>
      <c r="C37" s="159"/>
      <c r="D37" s="159"/>
      <c r="E37" s="159"/>
      <c r="F37" s="159"/>
      <c r="G37" s="159"/>
      <c r="H37" s="159"/>
      <c r="I37" s="159"/>
      <c r="J37" s="159"/>
      <c r="K37" s="159"/>
      <c r="L37" s="159"/>
      <c r="M37" s="159"/>
      <c r="N37" s="158"/>
    </row>
    <row r="38" spans="2:16" ht="16.8" x14ac:dyDescent="0.3">
      <c r="B38" s="149" t="s">
        <v>128</v>
      </c>
      <c r="C38" s="157"/>
      <c r="D38" s="154"/>
      <c r="E38" s="151"/>
      <c r="F38" s="151"/>
      <c r="G38" s="151"/>
      <c r="H38" s="151"/>
      <c r="I38" s="151"/>
      <c r="J38" s="152"/>
      <c r="K38" s="151"/>
      <c r="L38" s="151"/>
      <c r="M38" s="151"/>
      <c r="N38" s="156"/>
    </row>
    <row r="39" spans="2:16" ht="16.8" x14ac:dyDescent="0.3">
      <c r="B39" s="149" t="s">
        <v>127</v>
      </c>
      <c r="C39" s="155"/>
      <c r="D39" s="154"/>
      <c r="E39" s="151"/>
      <c r="F39" s="151"/>
      <c r="G39" s="151"/>
      <c r="H39" s="151"/>
      <c r="I39" s="151"/>
      <c r="J39" s="152"/>
      <c r="K39" s="151"/>
      <c r="L39" s="151"/>
      <c r="M39" s="151"/>
      <c r="N39" s="150"/>
    </row>
    <row r="40" spans="2:16" ht="16.8" x14ac:dyDescent="0.3">
      <c r="B40" s="149" t="s">
        <v>126</v>
      </c>
      <c r="C40" s="153"/>
      <c r="D40" s="151"/>
      <c r="E40" s="151"/>
      <c r="F40" s="151"/>
      <c r="G40" s="151"/>
      <c r="H40" s="151"/>
      <c r="I40" s="151"/>
      <c r="J40" s="152"/>
      <c r="K40" s="151"/>
      <c r="L40" s="151"/>
      <c r="M40" s="151"/>
      <c r="N40" s="150"/>
    </row>
    <row r="41" spans="2:16" ht="16.8" x14ac:dyDescent="0.3">
      <c r="B41" s="149" t="s">
        <v>125</v>
      </c>
      <c r="N41" s="148"/>
    </row>
    <row r="42" spans="2:16" ht="16.8" x14ac:dyDescent="0.3">
      <c r="B42" s="149" t="s">
        <v>124</v>
      </c>
      <c r="N42" s="148"/>
    </row>
    <row r="43" spans="2:16" ht="16.8" x14ac:dyDescent="0.3">
      <c r="B43" s="149" t="s">
        <v>123</v>
      </c>
      <c r="N43" s="148"/>
    </row>
    <row r="44" spans="2:16" ht="16.8" x14ac:dyDescent="0.3">
      <c r="B44" s="149" t="s">
        <v>122</v>
      </c>
      <c r="N44" s="148"/>
    </row>
    <row r="45" spans="2:16" ht="16.8" x14ac:dyDescent="0.3">
      <c r="B45" s="149" t="s">
        <v>121</v>
      </c>
      <c r="N45" s="148"/>
    </row>
    <row r="46" spans="2:16" ht="16.8" x14ac:dyDescent="0.3">
      <c r="B46" s="149" t="s">
        <v>120</v>
      </c>
      <c r="N46" s="148"/>
    </row>
    <row r="47" spans="2:16" x14ac:dyDescent="0.3">
      <c r="B47" s="146" t="s">
        <v>39</v>
      </c>
      <c r="C47" s="145"/>
      <c r="D47" s="145"/>
      <c r="E47" s="145"/>
      <c r="F47" s="145"/>
      <c r="G47" s="145"/>
      <c r="H47" s="145"/>
      <c r="I47" s="145"/>
      <c r="J47" s="145"/>
      <c r="K47" s="145"/>
      <c r="L47" s="145"/>
      <c r="M47" s="145"/>
      <c r="N47" s="144"/>
      <c r="O47" s="147"/>
    </row>
    <row r="48" spans="2:16" x14ac:dyDescent="0.3">
      <c r="B48" s="146" t="s">
        <v>40</v>
      </c>
      <c r="C48" s="145"/>
      <c r="D48" s="145"/>
      <c r="E48" s="145"/>
      <c r="F48" s="145"/>
      <c r="G48" s="145"/>
      <c r="H48" s="145"/>
      <c r="I48" s="145"/>
      <c r="J48" s="145"/>
      <c r="K48" s="145"/>
      <c r="L48" s="145"/>
      <c r="M48" s="145"/>
      <c r="N48" s="144"/>
      <c r="O48" s="147"/>
    </row>
    <row r="49" spans="2:14" x14ac:dyDescent="0.3">
      <c r="B49" s="146" t="s">
        <v>119</v>
      </c>
      <c r="C49" s="145"/>
      <c r="D49" s="145"/>
      <c r="E49" s="145"/>
      <c r="F49" s="145"/>
      <c r="G49" s="145"/>
      <c r="H49" s="145"/>
      <c r="I49" s="145"/>
      <c r="J49" s="145"/>
      <c r="K49" s="145"/>
      <c r="L49" s="145"/>
      <c r="M49" s="145"/>
      <c r="N49" s="144"/>
    </row>
    <row r="50" spans="2:14" ht="25.8" x14ac:dyDescent="0.3">
      <c r="C50" s="15" t="s">
        <v>41</v>
      </c>
    </row>
    <row r="51" spans="2:14" ht="25.8" x14ac:dyDescent="0.3">
      <c r="C51" s="15" t="s">
        <v>42</v>
      </c>
    </row>
    <row r="52" spans="2:14" ht="25.8" x14ac:dyDescent="0.3">
      <c r="C52" s="15" t="s">
        <v>43</v>
      </c>
    </row>
    <row r="53" spans="2:14" ht="25.8" x14ac:dyDescent="0.3">
      <c r="C53" s="15" t="s">
        <v>44</v>
      </c>
    </row>
    <row r="54" spans="2:14" ht="25.8" x14ac:dyDescent="0.3">
      <c r="C54" s="15" t="s">
        <v>45</v>
      </c>
    </row>
  </sheetData>
  <dataConsolidate/>
  <mergeCells count="11">
    <mergeCell ref="F8:G8"/>
    <mergeCell ref="F9:G9"/>
    <mergeCell ref="G19:I19"/>
    <mergeCell ref="B22:N22"/>
    <mergeCell ref="B30:N30"/>
    <mergeCell ref="B32:N32"/>
    <mergeCell ref="B33:N33"/>
    <mergeCell ref="B47:N47"/>
    <mergeCell ref="B48:N48"/>
    <mergeCell ref="B49:N49"/>
    <mergeCell ref="B31:N31"/>
  </mergeCells>
  <dataValidations count="11">
    <dataValidation type="list" allowBlank="1" showInputMessage="1" showErrorMessage="1" sqref="H34" xr:uid="{3BB7457A-F200-4334-BAFF-A674AFDC800C}">
      <formula1>"ALAA HAMMAD,KHALED QASSEM,RAMY RAOUF,SIMON LOBO,MHAREN CLEMENTE GARADO"</formula1>
    </dataValidation>
    <dataValidation type="list" allowBlank="1" showInputMessage="1" showErrorMessage="1" sqref="M34" xr:uid="{5E91EA02-0E10-4684-9439-790B3413AFFE}">
      <formula1>"Alaa Hammad,Bachir Ibrahim Mourad,Khaled Qassem,Ramy Raoof,Simon Lobo,Mharen Clemente Garado,Ranjith"</formula1>
    </dataValidation>
    <dataValidation type="list" allowBlank="1" showInputMessage="1" showErrorMessage="1" sqref="B11" xr:uid="{F3689390-F395-4012-977C-9426B90AB9BE}">
      <formula1>"FO Ceramic+ Intr&amp;Extr CeramicGold WdwTnt,FO Mirror Camera Sensor"</formula1>
    </dataValidation>
    <dataValidation type="list" allowBlank="1" showInputMessage="1" showErrorMessage="1" sqref="B12" xr:uid="{E7FDDE11-6CA7-4FCE-8DFC-8C8B90F88D60}">
      <formula1>"FO Exterior ceramic All Cars SCOTCHGUARD,FO Mirror Camera Sensor,FO PPF Gold Package "</formula1>
    </dataValidation>
    <dataValidation type="list" allowBlank="1" showInputMessage="1" showErrorMessage="1" sqref="K20" xr:uid="{8821AAA5-214C-4345-B390-3101793CC1D5}">
      <formula1>"Esaad,Emirates Platinum,Fazaa,Humat Alwatan,Permissible,ASX,XPMLP,XP,MON,MON G57,OUT,F08,P08,F06,P06,F03,F03-1,P03,EC,G37,G38,G40,G43"</formula1>
    </dataValidation>
    <dataValidation type="list" allowBlank="1" showInputMessage="1" showErrorMessage="1" sqref="B16" xr:uid="{337396AB-3992-4F53-948B-138A5FF59DA3}">
      <formula1>"RMC-10-40KMS,RMC-10-60KMS,RMC-10-70KMS,RMC-10-100000KMS,RMC-40-70KMS,RMC-40-100000KMS"</formula1>
    </dataValidation>
    <dataValidation type="list" allowBlank="1" showInputMessage="1" showErrorMessage="1" sqref="K24" xr:uid="{075858BF-8F45-4EF8-B88A-9AE8D146802F}">
      <formula1>"RMC-10-70K,RMC-10-100000K,RMC-40-70K"</formula1>
    </dataValidation>
    <dataValidation type="list" allowBlank="1" showInputMessage="1" showErrorMessage="1" sqref="D5" xr:uid="{1918565A-DB36-4424-AE7F-DF27F7E59881}">
      <formula1>"MIG09,MIG10,H16,P16,H17,H48,H43,H40,H42,H44,H45,H38,H37,EH40,EH43,ML,HL,PR, MLP,HLP,PRP,XPML,XPHL,XPMLP, XPMLP-01,XC, G10,P10, G03, P03, G06,P06,G12,P12,G05,P05,G08,P08,G09,P09,H57,P57,H64,H59,P59,H61,P61"</formula1>
    </dataValidation>
    <dataValidation type="list" allowBlank="1" showInputMessage="1" showErrorMessage="1" sqref="M21" xr:uid="{B8E7555C-E191-4233-A92F-51FFC2291222}">
      <formula1>"3000-4999,5000-9999,5000-99999,10000-14999,15000-24999,25000-34999,35000-99999,5000-11999,12000-19999,20000-39999,40000-69999,70000-99999"</formula1>
    </dataValidation>
    <dataValidation type="list" allowBlank="1" showInputMessage="1" showErrorMessage="1" sqref="C10:C16 L20 L24:L25 G14:G15 J10" xr:uid="{B80C5240-CB0F-4839-840C-CF9B52DD2347}">
      <formula1>"YES,NO"</formula1>
    </dataValidation>
    <dataValidation type="list" allowBlank="1" showInputMessage="1" showErrorMessage="1" sqref="K21" xr:uid="{6C0D2DFA-6233-4503-B7A6-4A9297810872}">
      <formula1>"ADCB,ADCB PAY IN 2027,Ajman Bank,ADIB,DIB EXPAT,DIB LOCAL GVH,Emirates NBD,EIB,FAB,RAK,SIB STL,SIB NON STL"</formula1>
    </dataValidation>
  </dataValidations>
  <pageMargins left="0.23622047244094491" right="0.23622047244094491" top="0.74803149606299213" bottom="0.74803149606299213" header="0.31496062992125984" footer="0.31496062992125984"/>
  <pageSetup paperSize="9" scale="40" orientation="landscape" horizontalDpi="4294967295" verticalDpi="4294967295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9886E5-5121-4063-BD9F-084188188F17}">
  <sheetPr>
    <pageSetUpPr fitToPage="1"/>
  </sheetPr>
  <dimension ref="A1:AA54"/>
  <sheetViews>
    <sheetView topLeftCell="B1" zoomScaleNormal="100" workbookViewId="0">
      <selection activeCell="D5" sqref="D5"/>
    </sheetView>
  </sheetViews>
  <sheetFormatPr defaultColWidth="9.109375" defaultRowHeight="15.6" x14ac:dyDescent="0.3"/>
  <cols>
    <col min="1" max="1" width="16" style="1" hidden="1" customWidth="1"/>
    <col min="2" max="2" width="75.109375" style="2" customWidth="1"/>
    <col min="3" max="3" width="26.88671875" style="3" customWidth="1"/>
    <col min="4" max="4" width="23.88671875" style="2" customWidth="1"/>
    <col min="5" max="5" width="23.33203125" style="2" customWidth="1"/>
    <col min="6" max="6" width="19.88671875" style="2" customWidth="1"/>
    <col min="7" max="7" width="23.33203125" style="2" customWidth="1"/>
    <col min="8" max="8" width="24.44140625" style="2" customWidth="1"/>
    <col min="9" max="9" width="27.109375" style="2" customWidth="1"/>
    <col min="10" max="10" width="26.6640625" style="2" customWidth="1"/>
    <col min="11" max="11" width="25.44140625" style="2" customWidth="1"/>
    <col min="12" max="12" width="20.5546875" style="2" customWidth="1"/>
    <col min="13" max="13" width="20.109375" style="2" customWidth="1"/>
    <col min="14" max="14" width="19.5546875" style="2" customWidth="1"/>
    <col min="15" max="15" width="15.109375" style="2" bestFit="1" customWidth="1"/>
    <col min="16" max="16" width="12.6640625" style="2" hidden="1" customWidth="1"/>
    <col min="17" max="17" width="12.6640625" style="1" hidden="1" customWidth="1"/>
    <col min="18" max="18" width="15.6640625" style="1" hidden="1" customWidth="1"/>
    <col min="19" max="19" width="13" style="1" hidden="1" customWidth="1"/>
    <col min="20" max="20" width="17.109375" style="1" hidden="1" customWidth="1"/>
    <col min="21" max="21" width="14.5546875" style="1" bestFit="1" customWidth="1"/>
    <col min="22" max="22" width="19" style="1" customWidth="1"/>
    <col min="23" max="23" width="22.5546875" style="1" bestFit="1" customWidth="1"/>
    <col min="24" max="25" width="9.109375" style="1"/>
    <col min="26" max="26" width="14" style="1" bestFit="1" customWidth="1"/>
    <col min="27" max="27" width="22.33203125" style="1" bestFit="1" customWidth="1"/>
    <col min="28" max="16384" width="9.109375" style="1"/>
  </cols>
  <sheetData>
    <row r="1" spans="1:27" ht="15.75" customHeight="1" x14ac:dyDescent="0.3">
      <c r="B1" s="222" t="s">
        <v>148</v>
      </c>
      <c r="C1" s="221"/>
      <c r="D1" s="221"/>
      <c r="E1" s="221"/>
      <c r="F1" s="221"/>
      <c r="G1" s="221"/>
      <c r="H1" s="221"/>
      <c r="I1" s="221"/>
      <c r="J1" s="221"/>
      <c r="K1" s="221"/>
      <c r="L1" s="221"/>
      <c r="M1" s="221"/>
      <c r="N1" s="220"/>
    </row>
    <row r="2" spans="1:27" ht="15.75" customHeight="1" x14ac:dyDescent="0.3">
      <c r="B2" s="219" t="s">
        <v>147</v>
      </c>
      <c r="C2" s="218"/>
      <c r="D2" s="218"/>
      <c r="E2" s="218"/>
      <c r="F2" s="218"/>
      <c r="G2" s="218"/>
      <c r="H2" s="218"/>
      <c r="I2" s="218"/>
      <c r="J2" s="218"/>
      <c r="K2" s="218"/>
      <c r="L2" s="218"/>
      <c r="M2" s="218"/>
      <c r="N2" s="217"/>
      <c r="Q2" s="2"/>
      <c r="S2" s="186"/>
    </row>
    <row r="3" spans="1:27" ht="15.75" customHeight="1" x14ac:dyDescent="0.3">
      <c r="B3" s="219" t="s">
        <v>146</v>
      </c>
      <c r="C3" s="218"/>
      <c r="D3" s="218"/>
      <c r="E3" s="218"/>
      <c r="F3" s="218"/>
      <c r="G3" s="218"/>
      <c r="H3" s="218"/>
      <c r="I3" s="218"/>
      <c r="J3" s="218"/>
      <c r="K3" s="218"/>
      <c r="L3" s="218"/>
      <c r="M3" s="218"/>
      <c r="N3" s="217"/>
      <c r="O3" s="3"/>
      <c r="P3" s="3"/>
      <c r="Q3" s="153"/>
      <c r="R3" s="153"/>
      <c r="S3" s="216" t="e">
        <f>N7+J14</f>
        <v>#VALUE!</v>
      </c>
      <c r="T3" s="216"/>
      <c r="U3" s="153"/>
      <c r="V3" s="153"/>
      <c r="W3" s="153"/>
      <c r="AA3" s="1">
        <f>273000/5</f>
        <v>54600</v>
      </c>
    </row>
    <row r="4" spans="1:27" ht="15.75" customHeight="1" x14ac:dyDescent="0.3">
      <c r="B4" s="215"/>
      <c r="C4" s="214"/>
      <c r="D4" s="214"/>
      <c r="E4" s="214"/>
      <c r="F4" s="214"/>
      <c r="G4" s="214"/>
      <c r="H4" s="214"/>
      <c r="I4" s="214"/>
      <c r="J4" s="214"/>
      <c r="K4" s="214"/>
      <c r="L4" s="214"/>
      <c r="M4" s="214"/>
      <c r="N4" s="213"/>
      <c r="O4" s="212" t="s">
        <v>0</v>
      </c>
      <c r="P4" s="212"/>
      <c r="Q4" s="210"/>
      <c r="R4" s="210"/>
      <c r="S4" s="211"/>
      <c r="T4" s="211"/>
      <c r="U4" s="210" t="s">
        <v>1</v>
      </c>
      <c r="V4" s="210" t="s">
        <v>2</v>
      </c>
      <c r="W4" s="210" t="s">
        <v>3</v>
      </c>
    </row>
    <row r="5" spans="1:27" ht="25.2" thickBot="1" x14ac:dyDescent="0.45">
      <c r="B5" s="17"/>
      <c r="C5" s="18" t="str">
        <f>IF(D5="MIG09","Mirage G09",IF(D5="MIG10","MirageG10",IF(D5="H16","Attrage H16",IF(D5="P16","Attrage P16",IF(D5="H17","Attrage H17",IF(D5="H48","ASX H48",IF(D5="H43","ASX H43",IF(D5="H40","ASX H40",IF(D5="H42","ASX H42",IF(D5="H44","ASX H44",IF(D5="H45","ASX H45",IF(D5="H38","Eclipse H38",IF(D5="H37","Eclipse H37",IF(D5="EH40","Eclipse H40",IF(D5="EH43","Eclipse H43",IF(D5="XPML","Xpander ML",IF(D5="ML","Destinator ML",IF(D5="HL","Destinator HL",IF(D5="PR","Destinator PR",IF(D5="MLP","Destinator MLP",IF(D5="HLP","Destinator HLP",IF(D5="PRP","Destinator PRP",IF(D5="XPHL","Xpander HL",IF(D5="XPMLP","Xpander ML P",IF(D5="XPMLP-01","Xpander ML P-01",IF(D5="XC","Xpander Cross",IF(D5="G03","Outlander G03",IF(D5="P03","Outlander P03",IF(D5="G06","Outlander G06",IF(D5="P06","Outlander P06",IF(D5="OTP06-01","Outlander P06-01",IF(D5="G08","Outlander G08",IF(D5="P08","Outlander P08",IF(D5="H57","Montero H57",IF(D5="P57","Montero P57",IF(D5="H64","Montero G64",IF(D5="H59","Montero G59",IF(D5="P59","Montero G59 P",IF(D5="H61","Montero G61",IF(D5="P61","Montero P61",IF(D5="G10","Outlander G10",IF(D5="P10","Outlander P10",IF(D5="G12","Outlander G12",IF(D5="P12","Outlander P12",IF(D5="G05","Outlander G05",IF(D5="P05","Outlander P05",IF(D5="G09","Outlander G09",IF(D5="P09","Outlander P09",))))))))))))))))))))))))))))))))))))))))))))))))</f>
        <v>Montero G59</v>
      </c>
      <c r="D5" s="19" t="s">
        <v>153</v>
      </c>
      <c r="E5" s="20" t="s">
        <v>145</v>
      </c>
      <c r="F5" s="37"/>
      <c r="G5" s="37"/>
      <c r="H5" s="37"/>
      <c r="I5" s="20"/>
      <c r="J5" s="34"/>
      <c r="K5" s="209">
        <v>0</v>
      </c>
      <c r="L5" s="208">
        <v>3.39E-2</v>
      </c>
      <c r="M5" s="208">
        <v>6.7799999999999999E-2</v>
      </c>
      <c r="N5" s="208">
        <v>0.1017</v>
      </c>
      <c r="O5" s="147">
        <f>K7+K14</f>
        <v>15898.845649224999</v>
      </c>
      <c r="S5" s="186"/>
      <c r="U5" s="186">
        <f>L7+L14</f>
        <v>6564.0808847979151</v>
      </c>
      <c r="V5" s="186">
        <f>M7+M14</f>
        <v>4438.8453006624995</v>
      </c>
      <c r="W5" s="186">
        <f>N7+N14</f>
        <v>3120.3124681312497</v>
      </c>
    </row>
    <row r="6" spans="1:27" s="5" customFormat="1" ht="99" thickBot="1" x14ac:dyDescent="0.35">
      <c r="A6" s="4" t="s">
        <v>4</v>
      </c>
      <c r="B6" s="26" t="s">
        <v>5</v>
      </c>
      <c r="C6" s="27" t="s">
        <v>6</v>
      </c>
      <c r="D6" s="27" t="s">
        <v>144</v>
      </c>
      <c r="E6" s="27" t="s">
        <v>7</v>
      </c>
      <c r="F6" s="27" t="s">
        <v>8</v>
      </c>
      <c r="G6" s="28" t="s">
        <v>9</v>
      </c>
      <c r="H6" s="28" t="s">
        <v>143</v>
      </c>
      <c r="I6" s="28" t="s">
        <v>10</v>
      </c>
      <c r="J6" s="28" t="s">
        <v>142</v>
      </c>
      <c r="K6" s="28" t="s">
        <v>11</v>
      </c>
      <c r="L6" s="28" t="s">
        <v>12</v>
      </c>
      <c r="M6" s="28" t="s">
        <v>13</v>
      </c>
      <c r="N6" s="28" t="s">
        <v>14</v>
      </c>
      <c r="O6" s="207"/>
      <c r="P6" s="206"/>
      <c r="T6" s="205"/>
      <c r="U6" s="205">
        <f>N7+L14</f>
        <v>5186.5735181312493</v>
      </c>
      <c r="V6" s="205">
        <f>N7+K14</f>
        <v>12799.454074224999</v>
      </c>
      <c r="W6" s="205" t="e">
        <f>N7+J14</f>
        <v>#VALUE!</v>
      </c>
    </row>
    <row r="7" spans="1:27" ht="25.2" thickBot="1" x14ac:dyDescent="0.45">
      <c r="A7" s="6">
        <f>B8</f>
        <v>127900</v>
      </c>
      <c r="B7" s="29">
        <f>IF(L20="YES",C8*1,IF(L20="NO",B8*1))</f>
        <v>127900</v>
      </c>
      <c r="C7" s="29">
        <f>B7*5/100</f>
        <v>6395</v>
      </c>
      <c r="D7" s="203">
        <f>B7+C7</f>
        <v>134295</v>
      </c>
      <c r="E7" s="29">
        <f>D17</f>
        <v>20144.578750000001</v>
      </c>
      <c r="F7" s="29">
        <f>(C7)+(D10+D11+D12+D13+D16)*5/100</f>
        <v>6925</v>
      </c>
      <c r="G7" s="30">
        <f>B7+E7+F7</f>
        <v>154969.57874999999</v>
      </c>
      <c r="H7" s="29">
        <f>G7*D20</f>
        <v>30993.91575</v>
      </c>
      <c r="I7" s="30">
        <f>(G7-H7)</f>
        <v>123975.66299999999</v>
      </c>
      <c r="J7" s="30">
        <f>(((I7*D19)*1)+I7)/12</f>
        <v>10733.193024225</v>
      </c>
      <c r="K7" s="30">
        <f>(((I7*D19)*2)+I7)/24</f>
        <v>5567.5403992249994</v>
      </c>
      <c r="L7" s="30">
        <f>(((I7*D19)*3)+I7)/36</f>
        <v>3845.656190891666</v>
      </c>
      <c r="M7" s="30">
        <f>(((I7*D19)*4)+I7)/48</f>
        <v>2984.7140867249996</v>
      </c>
      <c r="N7" s="30">
        <f>((((I7*D19)*5)+I7)/60)</f>
        <v>2468.1488242249998</v>
      </c>
      <c r="O7" s="147"/>
      <c r="P7" s="2">
        <f>H7+H16</f>
        <v>32295.660211499999</v>
      </c>
      <c r="T7" s="186">
        <f>25973/2</f>
        <v>12986.5</v>
      </c>
    </row>
    <row r="8" spans="1:27" ht="24.6" x14ac:dyDescent="0.4">
      <c r="A8" s="7">
        <v>0.2</v>
      </c>
      <c r="B8" s="31">
        <f>IF(D5="MIG09",39900,IF(D5="MIG10",41900,IF(D5="H16",41900,IF(D5="P16",47400,IF(D5="H17",47900,IF(D5="H48",67900,IF(D5="H43",70900,IF(D5="H40",72900,IF(D5="H42",74900,IF(D5="H44",73900,IF(D5="H45",79900,IF(D5="H38",86900,IF(D5="H37",79900,IF(D5="EH40",99900,IF(D5="EH43",106900,IF(D5="ML",71900,IF(D5="HL",83900,IF(D5="PR",95900,IF(D5="MLP",80900,IF(D5="HLP",91900,IF(D5="PRP",102900,IF(D5="XPML",69900,IF(D5="XPHL",71000,IF(D5="XPMLP",75900,IF(D5="XPMLP-01",77800,IF(D5="XC",84900,IF(D5="G10",81900,IF(D5="P10",93900,IF(D5="G12",97900,IF(D5="P12",105900,IF(D5="G05",104900,IF(D5="P05",105900,IF(D5="G03",92900,IF(D5="P03",100900,IF(D5="G06",109900,IF(D5="P06",114900,IF(D5="OTP06-01",118900,IF(D5="G08",125900,IF(D5="P08",132900,IF(D5="OTP06-01",109900,IF(D5="G09",129900,IF(D5="P09",134900,IF(D5="H57",105900,IF(D5="P57",113900,IF(D5="H64",116900,IF(D5="H59",127900,IF(D5="P59",134900,IF(D5="H61",134900,IF(D5="P61",138900)))))))))))))))))))))))))))))))))))))))))))))))))</f>
        <v>127900</v>
      </c>
      <c r="C8" s="32">
        <f>IF(L20="YES",N20,IF(L20="NO",N20))</f>
        <v>127900</v>
      </c>
      <c r="D8" s="29">
        <v>0</v>
      </c>
      <c r="E8" s="33"/>
      <c r="F8" s="139"/>
      <c r="G8" s="140"/>
      <c r="H8" s="110">
        <f>G7*20/100</f>
        <v>30993.915749999996</v>
      </c>
      <c r="I8" s="34"/>
      <c r="J8" s="34" t="s">
        <v>15</v>
      </c>
      <c r="K8" s="34">
        <f>(I7*K5+I7)/24</f>
        <v>5165.6526249999997</v>
      </c>
      <c r="L8" s="34">
        <f>(I7*L5+I7)/36</f>
        <v>3560.5121659916663</v>
      </c>
      <c r="M8" s="34">
        <f>(I7*M5+I7)/48</f>
        <v>2757.9419364874998</v>
      </c>
      <c r="N8" s="34">
        <f>(I7*N5+I7)/60</f>
        <v>2276.3997987849998</v>
      </c>
      <c r="O8" s="147">
        <v>0</v>
      </c>
      <c r="P8" s="2">
        <f>P7/12</f>
        <v>2691.3050176249999</v>
      </c>
      <c r="T8" s="1">
        <f>25973-12973</f>
        <v>13000</v>
      </c>
    </row>
    <row r="9" spans="1:27" ht="24.6" x14ac:dyDescent="0.4">
      <c r="A9" s="8">
        <f>B8/(100%-A8)</f>
        <v>159875</v>
      </c>
      <c r="B9" s="109">
        <f>B7-B8</f>
        <v>0</v>
      </c>
      <c r="C9" s="109"/>
      <c r="D9" s="36"/>
      <c r="E9" s="33"/>
      <c r="F9" s="139"/>
      <c r="G9" s="140"/>
      <c r="H9" s="33"/>
      <c r="I9" s="37" t="s">
        <v>16</v>
      </c>
      <c r="J9" s="38">
        <f>(J7*12)-I7</f>
        <v>4822.6532907000073</v>
      </c>
      <c r="K9" s="38">
        <f>(K7*24)-I7</f>
        <v>9645.3065814000001</v>
      </c>
      <c r="L9" s="38">
        <f>(L7*36)-I7</f>
        <v>14467.959872099993</v>
      </c>
      <c r="M9" s="38">
        <f>(M7*48)-I7</f>
        <v>19290.613162799986</v>
      </c>
      <c r="N9" s="38">
        <f>(N7*60)-I7</f>
        <v>24113.266453500008</v>
      </c>
      <c r="O9" s="147"/>
      <c r="T9" s="1">
        <f>T8/12</f>
        <v>1083.3333333333333</v>
      </c>
      <c r="Z9" s="1" t="s">
        <v>86</v>
      </c>
    </row>
    <row r="10" spans="1:27" ht="24.6" x14ac:dyDescent="0.4">
      <c r="A10" s="8"/>
      <c r="B10" s="37" t="s">
        <v>141</v>
      </c>
      <c r="C10" s="20" t="s">
        <v>17</v>
      </c>
      <c r="D10" s="36">
        <f>IF(C10="YES",700,IF(C10="NO",0))</f>
        <v>0</v>
      </c>
      <c r="E10" s="39"/>
      <c r="F10" s="40"/>
      <c r="G10" s="40"/>
      <c r="H10" s="33"/>
      <c r="I10" s="44" t="s">
        <v>85</v>
      </c>
      <c r="J10" s="117" t="s">
        <v>19</v>
      </c>
      <c r="K10" s="117">
        <f>IF(J10="YES",Z10,IF(J10="NO",0))</f>
        <v>1000</v>
      </c>
      <c r="L10" s="41">
        <f>(L8*36)-I7</f>
        <v>4202.7749756999983</v>
      </c>
      <c r="M10" s="41">
        <f>(M8*48)-I7</f>
        <v>8405.5499514000112</v>
      </c>
      <c r="N10" s="41">
        <f>(N8*60)-I7</f>
        <v>12608.324927099995</v>
      </c>
      <c r="O10" s="147">
        <f>IF(D5="XC",3690,IF(D5="XPML",3690,IF(D5="XPHL",3690,IF(D5="XPMLP",3690,IF(D5="XPMLP-01",3690,IF(D5="Xpander P",3690,IF(D5="ML",3690,IF(D5="HL",3690,IF(D5="PR",(U19*3/100+510)*1.05,IF(D5="MLP",3690,IF(D5="HLP",(U19*3/100+510)*1.05,IF(D5="PRP",(U19*3/100+510)*1.05,IF(D5="H57",(U19*2.75/100+510)*1.05,IF(D5="P57",(U19*2.75/100+510)*1.05,IF(D5="H64",(U19*2.75/100+510)*1.05,IF(D5="H59",(U19*2.75/100+510)*1.05,IF(D5="P59",(U19*2.75/100+510)*1.05,IF(D5="H61",(U19*2.75/100+510)*1.05,IF(D5="P61",(U19*2.75/100+510)*1.05,IF(D5="G03",(U19*3/100+510)*1.05,IF(D5="G10",(U19*3/100+510)*1.05,IF(D5="P10",(U19*3/100+510)*1.05,IF(D5="G12",(U19*3/100+510)*1.05,IF(D5="P12",(U19*3/100+510)*1.05,IF(D5="G05",(U19*3/100+510)*1.05,IF(D5="P05",(U19*3/100+510)*1.05,IF(D5="P03",(U19*3/100+510)*1.05,IF(D5="G06",(U19*3/100+510)*1.05,IF(D5="P06",(U19*3/100+510)*1.05,IF(D5="OTP06-01",(U19*3/100+510)*1.05,IF(D5="G08",(U19*3/100+510)*1.05,IF(D5="P08",(U19*3/100+510)*1.05,IF(D5="G09",(U19*3/100+510)*1.05,IF(D5="P09",(U19*3/100+510)*1.05,IF(D5="H38",3625,IF(D5="H37",3625,IF(D5="EH40",(U19*3/100+450)*1.05,IF(D5="EH43",(U19*3/100+450)*1.05,IF(D5="H48",3625,IF(D5="H43",3625,IF(D5="H40",3625,IF(D5="H42",3625,IF(D5="H44",3625,IF(D5="H45",3625,IF(D5="ASX HL 4WD",3625,IF(D5="H16",3625,IF(D5="H17",3625,IF(D5="P16",3625,IF(D5="Attrage S",3625,IF(D5="MIG09",3625,IF(D5="MIG10",3625,IF(D5="Xpander HL",3690))))))))))))))))))))))))))))))))))))))))))))))))))))</f>
        <v>4734.6468750000004</v>
      </c>
      <c r="P10" s="204"/>
      <c r="Q10" s="204">
        <f>5.25*3</f>
        <v>15.75</v>
      </c>
      <c r="Z10" s="1">
        <f>IF(D5="MIG09",1000,IF(D5="MIG10",1000,IF(D5="H16",1000,IF(D5="P16",1000,IF(D5="H17",1000,IF(D5="H48",1000,IF(D5="H43",1000,IF(D5="H40",1000,IF(D5="H42",1000,IF(D5="H44",1000,IF(D5="H45",1000,IF(D5="H38",1000,IF(D5="H37",1000,IF(D5="EH40",1000,IF(D5="EH43",1000,IF(D5="ML",1000,IF(D5="HL",1000,IF(D5="PR",1000,IF(D5="MLP",1000,IF(D5="HLP",1000,IF(D5="PRP",1000,IF(D5="XPML",1000,IF(D5="XPHL",1000,IF(D5="XPMLP",1000,IF(D5="XPMLP-01",1000,IF(D5="XC",1000,IF(D5="G10",1000,IF(D5="P10",1000,IF(D5="G12",1000,IF(D5="P12",1000,IF(D5="G05",1000,IF(D5="P05",1000,IF(D5="G03",1000,IF(D5="P03",1000,IF(D5="G06",1000,IF(D5="P06",1000,IF(D5="OTP06-01",1000,IF(D5="G08",1000,IF(D5="P08",1000,IF(D5="OTP06-01",1000,IF(D5="G09",1000,IF(D5="P09",1000,IF(D5="H57",1000,IF(D5="P57",1000,IF(D5="H64",1000,IF(D5="H59",1000,IF(D5="P59",1000,IF(D5="H61",1000,IF(D5="P61",1000)))))))))))))))))))))))))))))))))))))))))))))))))</f>
        <v>1000</v>
      </c>
    </row>
    <row r="11" spans="1:27" ht="24.6" x14ac:dyDescent="0.4">
      <c r="A11" s="8"/>
      <c r="B11" s="37" t="s">
        <v>18</v>
      </c>
      <c r="C11" s="20" t="s">
        <v>19</v>
      </c>
      <c r="D11" s="203">
        <f>IF(C11="YES",O17,IF(C11="NO",0))</f>
        <v>2700</v>
      </c>
      <c r="E11" s="39"/>
      <c r="F11" s="40"/>
      <c r="G11" s="40"/>
      <c r="H11" s="33"/>
      <c r="I11" s="33"/>
      <c r="J11" s="44" t="s">
        <v>76</v>
      </c>
      <c r="K11" s="44">
        <f>H8-K10</f>
        <v>29993.915749999996</v>
      </c>
      <c r="L11" s="37"/>
      <c r="M11" s="37"/>
      <c r="N11" s="38"/>
      <c r="O11" s="147">
        <f>IF(D5="XC",6100,IF(D5="XPML",6100,IF(D5="XPHL",6100,IF(D5="XPMLP",6100,IF(D5="XPMLP-01",6100,IF(D5="Xpander P",6100,IF(D5="ML",6600,IF(D5="HL",6600,IF(D5="PR",6600,IF(D5="MLP",6600,IF(D5="HLP",6600,IF(D5="PRP",6600,IF(D5="H57",5900,IF(D5="P57",5900,IF(D5="H64",5900,IF(D5="H59",5900,IF(D5="P59",5900,IF(D5="H61",5900,IF(D5="P61",5900,IF(D5="G03",6700,IF(D5="G10",6700,IF(D5="P10",6700,IF(D5="G12",6700,IF(D5="P12",6700,IF(D5="G05",6700,IF(D5="P05",6700,IF(D5="P03",6700,IF(D5="G06",6700,IF(D5="P06",6700,IF(D5="OTP06-01",6700,IF(D5="G08",6700,IF(D5="G09",6700,IF(D5="G08",6700,IF(D5="P08",6700,IF(D5="P09",6700,IF(D5="H37",6400,IF(D5="H38",6400,IF(D5="EH40",6400,IF(D5="EH43",6400,IF(D5="H48",6600,IF(D5="H43",6600,IF(D5="H40",6600,IF(D5="H42",6600,IF(D5="H44",6600,IF(D5="H45",6600,IF(D5="ASX HL 4WD",6600,IF(D5="H16",5400,IF(D5="H17",5400,IF(D5="P16",5400,IF(D5="Attrage S",5400,IF(D5="MIG09",5400,IF(D5="MIG10",5400,IF(D5="Xpander HL",6000)))))))))))))))))))))))))))))))))))))))))))))))))))))</f>
        <v>5900</v>
      </c>
      <c r="P11" s="147"/>
      <c r="Q11" s="147"/>
      <c r="R11" s="147"/>
      <c r="S11" s="147"/>
      <c r="T11" s="147"/>
      <c r="U11" s="147">
        <f>IF(D5="XC",4900,IF(D5="XPML",4900,IF(D5="XPHL",4900,IF(D5="XPMLP",4900,IF(D5="XPMLP-01",4900,IF(D5="Xpander P",4900,IF(D5="ML",5400,IF(D5="HL",5400,IF(D5="PR",5400,IF(D5="MLP",5400,IF(D5="HLP",5400,IF(D5="PRP",5400,IF(D5="H57",4600,IF(D5="P57",4600,IF(D5="MOG64",4600,IF(D5="H59",4600,IF(D5="P59",4600,IF(D5="H61",4600,IF(D5="P61",4600,IF(D5="G03",5500,IF(D5="P03",5500,IF(D5="G10",5500,IF(D5="P10",5500,IF(D5="G12",5500,IF(D5="P12",5500,IF(D5="G05",5500,IF(D5="P05",5500,IF(D5="G06",5500,IF(D5="P06",5500,IF(D5="OTP06-01",5500,IF(D5="F08",5500,IF(D5="P08",5500,IF(D5="G09",5500,IF(D5="P09",5500,IF(D5="H38",5200,IF(D5="H37",5200,IF(D5="EH40",5200,IF(D5="EH43",5200,IF(D5="H48",5300,IF(D5="H43",5300,IF(D5="H40",5300,IF(D5="H42",5300,IF(D5="H44",5300,IF(D5="H45",5300,IF(D5="ASX HL",5300,IF(D5="ASX P",5300,IF(D5="ASX HL 4WD",5300,IF(D5="H16",4200,IF(D5="H17",4200,IF(D5="P16",4200,IF(D5="Attrage S",4200,IF(D5="MIG09",4200,IF(D5="MIG10",4200,IF(D5="Xpander HL",4900))))))))))))))))))))))))))))))))))))))))))))))))))))))</f>
        <v>4600</v>
      </c>
      <c r="V11" s="147">
        <f>IF(D5="XC",9700,IF(D5="XPML",9700,IF(D5="XPHL",9700,IF(D5="XPMLP",9700,IF(D5="XPMLP-01",9700,IF(D5="XPMLP-01",9700,IF(D5="Xpander P",9700,IF(D5="ML",10800,IF(D5="HL",10800,IF(D5="PR",10800,IF(D5="MLP",10800,IF(D5="HLP",10800,IF(D5="PRP",10800,IF(D5="H57",9300,IF(D5="P57",9300,IF(D5="MG64",9300,IF(D5="H59",9300,IF(D5="P59",9300,IF(D5="H61",9300,IF(D5="P61",9300,IF(D5="G03",11000,IF(D5="G10",11000,IF(D5="P10",11000,IF(D5="G12",11000,IF(D5="P12",11000,IF(D5="G05",11000,IF(D5="P05",11000,IF(D5="P03",11000,IF(D5="G06",11000,IF(D5="P06",11000,IF(D5="OTP06-01",11000,IF(D5="G08",11000,IF(D5="P08",11000,IF(D5="G09",11000,IF(D5="P09",11000,IF(D5="H38",10400,IF(D5="H37",10400,IF(D5="EH40",10400,IF(D5="EH43",10400,IF(D5="H48",10700,IF(D5="H43",10700,IF(D5="H40",10700,IF(D5="H42",10700,IF(D5="H44",10800,IF(D5="H45",10800,IF(D5="ASX HL",12200,IF(D5="ASX P",12200,IF(D5="ASX HL 4WD",12200,IF(D5="H16",8500,IF(D5="H17",8500,IF(D5="P16",8500,IF(D5="Attrage S",9600,IF(D5="MIG09",8500,IF(D5="MIG10",8500,IF(D5="Xpander HL",11300)))))))))))))))))))))))))))))))))))))))))))))))))))))))</f>
        <v>9300</v>
      </c>
      <c r="W11" s="147">
        <f>IF(D5="XC",9200,IF(D5="XPML",9200,IF(D5="XPHL",9200,IF(D5="XPMLP",9200,IF(D5="XPMLP-01",9200,IF(D5="Xpander P",9200,IF(D5="ML",10000,IF(D5="HL",10000,IF(D5="PR",10000,IF(D5="MLP",10000,IF(D5="HLP",10000,IF(D5="PRP",10000,IF(D5="H57",8700,IF(D5="P57",8700,IF(D5="H64",8700,IF(D5="H59",8700,IF(D5="P59",8700,IF(D5="H61",8700,IF(D5="P61",8700,IF(D5="G03",10400,IF(D5="P03",10400,IF(D5="G10",10400,IF(D5="P10",10400,IF(D5="G12",10400,IF(D5="P12",10400,IF(D5="G05",10400,IF(D5="P05",10400,IF(D5="G06",10400,IF(D5="P06",10400,IF(D5="OTP06-01",10400,IF(D5="G08",10400,IF(D5="P08",10400,IF(D5="G09",10400,IF(D5="P09",10400,IF(D5="H38",9800,IF(D5="H37",9800,IF(D5="EH40",9800,IF(D5="EH43",9800,IF(D5="H48",10100,IF(D5="H43",10100,IF(D5="H40",10100,IF(D5="H42",10100,IF(D5="H44",10100,IF(D5="H45",10100,IF(D5="ASX HL",10100,IF(D5="ASX P",10100,IF(D5="ASX HL 4WD",10100,IF(D5="H16",7900,IF(D5="H17",7900,IF(D5="P16",7900,IF(D5="Attrage S",7900,IF(D5="MIG09",7900,IF(D5="MIG10",7900,IF(D5="Xpander HL",9200))))))))))))))))))))))))))))))))))))))))))))))))))))))</f>
        <v>8700</v>
      </c>
      <c r="X11" s="147">
        <f>IF(D5="XC",4500,IF(D5="XPML",4500,IF(D5="XPHL",4500,IF(D5="XPMLP",4500,IF(D5="XPMLP-01",4500,IF(D5="Xpander P",4500,IF(D5="ML",5000,IF(D5="HL",5000,IF(D5="PR",5000,IF(D5="MLP",5000,IF(D5="HLP",5000,IF(D5="PRP",5000,IF(D5="H57",8700,IF(D5="P57",8700,IF(D5="MOG64",4300,IF(D5="H59",4300,IF(D5="P59",4300,IF(D5="H61",4300,IF(D5="P61",4300,IF(D5="G03",5000,IF(D5="P03",5000,IF(D5="G10",5000,IF(D5="P10",5000,IF(D5="G12",5000,IF(D5="P12",5000,IF(D5="G05",5000,IF(D5="P05",5000,IF(D5="G06",5000,IF(D5="P06",5000,IF(D5="OTP06-01",5000,IF(D5="G08",5000,IF(D5="P08",5000,IF(D5="G09",5000,IF(D5="P09",5000,IF(D5="H38",4900,IF(D5="H37",4900,IF(D5="EH40",4900,IF(D5="EH43",4900,IF(D5="H48",4900,IF(D5="H43",4900,IF(D5="H40",4900,IF(D5="H42",4900,IF(D5="H44",4900,IF(D5="H45",4900,IF(D5="ASX HL",4900,IF(D5="ASX P",4900,IF(D5="ASX HL 4WD",4900,IF(D5="H16",3700,IF(D5="H17",3700,IF(D5="P16",3700,IF(D5="Attrage S",3700,IF(D5="MIG09",3700,IF(D5="MIG10",3700,IF(D5="Xpander HL",4500))))))))))))))))))))))))))))))))))))))))))))))))))))))</f>
        <v>4300</v>
      </c>
      <c r="Y11" s="147">
        <f>IF(D5="XC",5400,IF(D5="XPML ",5400,IF(D5="XPHL",5400,IF(D5="XPMLP",5400,IF(D5="XPMLP-01",5400,IF(D5="Xpander P",5400,IF(D5="ML",6000,IF(D5="HL",6000,IF(D5="PR",6000,IF(D5="MLP",6000,IF(D5="HLP",6000,IF(D5="PRP",6000,IF(D5="H57",5200,IF(D5="57",5200,IF(D5="H64",5200,IF(D5="H59",5200,IF(D5="P59",5200,IF(D5="H61",5200,IF(D5="P61",5200,IF(D5="G03",6000,IF(D5="P03",6000,IF(D5="G10",6000,IF(D5="P10",6000,IF(D5="G12",6000,IF(D5="P12",6000,IF(D5="G05",6000,IF(D5="P05",6000,IF(D5="G06",6000,IF(D5="P06",6000,IF(D5="OTP06-01",6000,IF(D5="G08",6000,IF(D5="P08",6000,IF(D5="G09",6000,IF(D5="P09",6000,IF(D5="H38",5700,IF(D5="H37",5700,IF(D5="EH40",5700,IF(D5="EH43",5700,IF(D5="H48",5900,IF(D5="H43",5900,IF(D5="H40",5900,IF(D5="H42",5900,IF(D5="H44",5900,IF(D5="H45",5900,IF(D5="ASX HL",5900,IF(D5="ASX P",5900,IF(D5="ASX HL 4WD",5900,IF(D5="H16",4500,IF(D5="H17",4500,IF(D5="P16",4500,IF(D5="Attrage S",4500,IF(D5="MIG09",4500,IF(D5="MIG10",4500,IF(D5="Xpander HL",5400))))))))))))))))))))))))))))))))))))))))))))))))))))))</f>
        <v>5200</v>
      </c>
    </row>
    <row r="12" spans="1:27" ht="24.6" x14ac:dyDescent="0.4">
      <c r="A12" s="8"/>
      <c r="B12" s="37" t="s">
        <v>20</v>
      </c>
      <c r="C12" s="20" t="s">
        <v>17</v>
      </c>
      <c r="D12" s="36">
        <f>IF(C12="YES",2000,IF(C12="NO",0))</f>
        <v>0</v>
      </c>
      <c r="E12" s="43"/>
      <c r="F12" s="43" t="s">
        <v>21</v>
      </c>
      <c r="G12" s="40"/>
      <c r="H12" s="33">
        <v>600</v>
      </c>
      <c r="I12" s="33"/>
      <c r="J12" s="202" t="s">
        <v>140</v>
      </c>
      <c r="K12" s="45">
        <v>0</v>
      </c>
      <c r="L12" s="45">
        <v>5.2499999999999998E-2</v>
      </c>
      <c r="M12" s="45">
        <v>0.126</v>
      </c>
      <c r="N12" s="201">
        <v>0.26250000000000001</v>
      </c>
      <c r="O12" s="147">
        <f>IF(K20="Esaad",B8*3/100,IF(K20="Emirates Platinum",B8*3/100,IF(K20="Fazaa",B8*3/100,IF(K20="Humat Alwatan",B8*3/100,IF(K20="Permissible",2000,IF(K20="ASX",8400,IF(K20="XPMLP",15100,IF(K20="XP",7200,IF(K20="G43",11000,IF(K20="EC",17000,IF(K20="G37",17000,IF(K20="G38",15000,IF(K20="G40",11000,IF(K20="OUT",3000,IF(K20="F08",14400,IF(K20="P08",11100,IF(K20="F06",13100,IF(K20="P06",13400,IF(K20="F03",3500,IF(K20="F03-1",13500,IF(K20="P03",13100,IF(K20="MON",10000,IF(K20="MON G57",9000,0)))))))))))))))))))))))</f>
        <v>2000</v>
      </c>
      <c r="Z12" s="86" t="s">
        <v>83</v>
      </c>
      <c r="AA12" s="86" t="s">
        <v>84</v>
      </c>
    </row>
    <row r="13" spans="1:27" ht="24.6" x14ac:dyDescent="0.4">
      <c r="A13" s="8">
        <f>B8*1.26582</f>
        <v>161898.378</v>
      </c>
      <c r="B13" s="37" t="s">
        <v>23</v>
      </c>
      <c r="C13" s="20" t="s">
        <v>19</v>
      </c>
      <c r="D13" s="36">
        <f>IF(C13="YES",2000,IF(C13="NO",0))</f>
        <v>2000</v>
      </c>
      <c r="E13" s="47"/>
      <c r="F13" s="47" t="s">
        <v>75</v>
      </c>
      <c r="G13" s="51"/>
      <c r="H13" s="39">
        <v>315</v>
      </c>
      <c r="I13" s="33"/>
      <c r="J13" s="44" t="s">
        <v>54</v>
      </c>
      <c r="K13" s="29" t="s">
        <v>79</v>
      </c>
      <c r="L13" s="29" t="s">
        <v>25</v>
      </c>
      <c r="M13" s="29" t="s">
        <v>0</v>
      </c>
      <c r="N13" s="57" t="s">
        <v>26</v>
      </c>
      <c r="O13" s="9">
        <f>IF(M21="3000-4999",6%,IF(M21="5000-9999",4.75%,IF(M21="10000-14999",3.15%,IF(M21="15000-24999",2.5%,IF(M21="25000-34999",2.25%,IF(M21="35000-99999",2.15%))))))</f>
        <v>4.7500000000000001E-2</v>
      </c>
      <c r="Q13" s="2">
        <f>H7/12</f>
        <v>2582.8263124999999</v>
      </c>
      <c r="U13" s="9">
        <f>IF(M21="3000-4999",6%,IF(M21="5000-9999",3.25%,IF(M21="10000-14999",3%,IF(M21="15000-24999",2.25%,IF(M21="25000-34999",2.15%,IF(M21="35000-99999",1.99%))))))</f>
        <v>3.2500000000000001E-2</v>
      </c>
      <c r="Z13" s="99">
        <f>IF(M21="5000-9999",2.49%,IF(M21="10000-19999",2.19%,IF(M21="20000-34999",2.09%,IF(M21="35000-49999",1.89%,IF(M21="50000-99999",1.79%)))))</f>
        <v>2.4900000000000002E-2</v>
      </c>
      <c r="AA13" s="99">
        <f>IF(M21="5000-9999",2.59%,IF(M21="10000-19999",2.29%,IF(M21="20000-34999",2.19%,IF(M21="35000-49999",1.99%,IF(M21="50000-99999",1.89%)))))</f>
        <v>2.5899999999999999E-2</v>
      </c>
    </row>
    <row r="14" spans="1:27" ht="24.6" x14ac:dyDescent="0.4">
      <c r="A14" s="10" t="s">
        <v>27</v>
      </c>
      <c r="B14" s="37" t="s">
        <v>24</v>
      </c>
      <c r="C14" s="20" t="s">
        <v>19</v>
      </c>
      <c r="D14" s="50">
        <f>IF(C14="YES",U19*3.15*1.05/100,IF(C14="NO",U19*0/100))</f>
        <v>4809.9318750000002</v>
      </c>
      <c r="E14" s="48"/>
      <c r="F14" s="48" t="s">
        <v>24</v>
      </c>
      <c r="G14" s="51" t="s">
        <v>17</v>
      </c>
      <c r="H14" s="39">
        <f>IF(G14="YES",U19*3.15*1.05/100,IF(G14="NO",U19*0/100))</f>
        <v>0</v>
      </c>
      <c r="I14" s="33"/>
      <c r="J14" s="44" t="s">
        <v>55</v>
      </c>
      <c r="K14" s="44">
        <f>(H8*K12+H8)/3</f>
        <v>10331.305249999999</v>
      </c>
      <c r="L14" s="44">
        <f>(H8*L12+H8)/12</f>
        <v>2718.4246939062496</v>
      </c>
      <c r="M14" s="44">
        <f>(H8*M12+H8)/24</f>
        <v>1454.1312139374998</v>
      </c>
      <c r="N14" s="200">
        <f>(H7*N12+H7)/60</f>
        <v>652.16364390624994</v>
      </c>
      <c r="O14" s="9">
        <f>IF(M21="3000-4999",3.89%,IF(M21="5000-9999",3.89%,IF(M21="10000-14999",3.89%,IF(M21="15000-24999",2.69%,IF(M21="25000-34999",2.69%,IF(M21="35000-99999",2.39%,IF(M21="76000-99999",2.5%)))))))</f>
        <v>3.8900000000000004E-2</v>
      </c>
    </row>
    <row r="15" spans="1:27" ht="24.6" x14ac:dyDescent="0.4">
      <c r="A15" s="11">
        <f>(B7*3%)+10+120</f>
        <v>3967</v>
      </c>
      <c r="B15" s="37" t="s">
        <v>28</v>
      </c>
      <c r="C15" s="20" t="s">
        <v>19</v>
      </c>
      <c r="D15" s="29">
        <f>IF(C15="YES",O10,IF(C15="NO",0))</f>
        <v>4734.6468750000004</v>
      </c>
      <c r="E15" s="48"/>
      <c r="F15" s="48" t="s">
        <v>53</v>
      </c>
      <c r="G15" s="51" t="s">
        <v>17</v>
      </c>
      <c r="H15" s="39">
        <f>IF(G15="YES",O10,IF(G15="NO",0))</f>
        <v>0</v>
      </c>
      <c r="I15" s="33"/>
      <c r="J15" s="44"/>
      <c r="K15" s="44"/>
      <c r="L15" s="44"/>
      <c r="M15" s="44"/>
      <c r="N15" s="198"/>
      <c r="O15" s="9" t="b">
        <f>IF(M21="3000-4999",4.99%, IF(M21="5000-11999",2.75%,IF(M21="12000-19999",2.75%,IF(M21="20000-39999",2.25%,IF(M21="40000-69999",2.25%,IF(M21="70000-99999",2.25%))))))</f>
        <v>0</v>
      </c>
      <c r="P15" s="191"/>
    </row>
    <row r="16" spans="1:27" ht="24.6" x14ac:dyDescent="0.4">
      <c r="A16" s="11">
        <f>((B7-B8)*3%+10+120)</f>
        <v>130</v>
      </c>
      <c r="B16" s="37" t="s">
        <v>78</v>
      </c>
      <c r="C16" s="20" t="s">
        <v>19</v>
      </c>
      <c r="D16" s="29">
        <f>IF(C16="YES",O16,IF(C16="NO",0))</f>
        <v>5900</v>
      </c>
      <c r="E16" s="47"/>
      <c r="F16" s="47" t="s">
        <v>74</v>
      </c>
      <c r="G16" s="54"/>
      <c r="H16" s="33">
        <f>I7*1.05%</f>
        <v>1301.7444614999999</v>
      </c>
      <c r="I16" s="33"/>
      <c r="J16" s="44" t="s">
        <v>16</v>
      </c>
      <c r="K16" s="44">
        <f>(K14*3)-H8</f>
        <v>0</v>
      </c>
      <c r="L16" s="44">
        <f>(L14*12)-H8</f>
        <v>1627.1805768749982</v>
      </c>
      <c r="M16" s="44">
        <f>(M14*24)-H8</f>
        <v>3905.2333844999994</v>
      </c>
      <c r="N16" s="198"/>
      <c r="O16" s="147">
        <f>IF(B16="RMC-10-70KMS",O11,IF(B16="RMC-10-100000KMS",V11,IF(B16="RMC-40-70KMS",U11, IF(B16="RMC-10-40KMS",X11, IF(B16="RMC-10-60KMS",Y11, IF(B16="RMC-40-100000KMS",W11,0))))))</f>
        <v>5900</v>
      </c>
    </row>
    <row r="17" spans="1:23" ht="24.6" x14ac:dyDescent="0.4">
      <c r="A17" s="11">
        <f>A15+A16</f>
        <v>4097</v>
      </c>
      <c r="B17" s="37"/>
      <c r="C17" s="20"/>
      <c r="D17" s="29">
        <f>SUM(D10:D16)</f>
        <v>20144.578750000001</v>
      </c>
      <c r="E17" s="48"/>
      <c r="F17" s="48"/>
      <c r="G17" s="54"/>
      <c r="H17" s="33">
        <f>+SUM(H12:H16)+(H7)</f>
        <v>33210.660211499999</v>
      </c>
      <c r="I17" s="33"/>
      <c r="J17" s="20"/>
      <c r="K17" s="199"/>
      <c r="L17" s="199"/>
      <c r="M17" s="199"/>
      <c r="N17" s="198"/>
      <c r="O17" s="147">
        <f>IF(B11="FO Ceramic+ Intr&amp;Extr CeramicGold WdwTnt",2700,IF(B11="FO Mirror Camera Sensor",2000))</f>
        <v>2700</v>
      </c>
      <c r="T17" s="1">
        <f>19615-791</f>
        <v>18824</v>
      </c>
    </row>
    <row r="18" spans="1:23" ht="24.6" x14ac:dyDescent="0.4">
      <c r="A18" s="12" t="s">
        <v>29</v>
      </c>
      <c r="B18" s="55" t="s">
        <v>30</v>
      </c>
      <c r="C18" s="197"/>
      <c r="D18" s="57">
        <v>0</v>
      </c>
      <c r="E18" s="38"/>
      <c r="F18" s="20"/>
      <c r="G18" s="20"/>
      <c r="H18" s="37"/>
      <c r="I18" s="37"/>
      <c r="J18" s="37"/>
      <c r="K18" s="37"/>
      <c r="L18" s="37"/>
      <c r="M18" s="37"/>
      <c r="N18" s="37"/>
      <c r="O18" s="9" t="b">
        <f>IF(M21="5000-99999",1.99%)</f>
        <v>0</v>
      </c>
      <c r="U18" s="196" t="s">
        <v>52</v>
      </c>
      <c r="V18" s="196" t="s">
        <v>52</v>
      </c>
    </row>
    <row r="19" spans="1:23" ht="24.6" x14ac:dyDescent="0.4">
      <c r="A19" s="11">
        <f>B8*3.15%</f>
        <v>4028.85</v>
      </c>
      <c r="B19" s="58" t="s">
        <v>31</v>
      </c>
      <c r="C19" s="59"/>
      <c r="D19" s="60">
        <f>IF(K21="DIB EXPAT",O13,IF(K21="DIB LOCAL GVH",U13,IF(K21="Emirates NBD",O14,IF(K21="ADCB",O15,IF(K21="ADCB PAY IN 2027",O19,IF(K21="Ajman Bank",O18,IF(K21="SIB STL",Z13,IF(K21="SIB NON STL",AA13,))))))))</f>
        <v>3.8900000000000004E-2</v>
      </c>
      <c r="E19" s="20"/>
      <c r="F19" s="195"/>
      <c r="G19" s="141" t="s">
        <v>73</v>
      </c>
      <c r="H19" s="142"/>
      <c r="I19" s="143"/>
      <c r="J19" s="109">
        <f>(U19*20/100)/365</f>
        <v>79.68493150684931</v>
      </c>
      <c r="K19" s="37"/>
      <c r="L19" s="37"/>
      <c r="M19" s="37"/>
      <c r="N19" s="34">
        <f>D7</f>
        <v>134295</v>
      </c>
      <c r="O19" s="194" t="b">
        <f>IF(M21="5000-11999",3.35%,IF(M21="12000-19999",3.35%,IF(M21="20000-39999",2.85%,IF(M21="40000-69999",2.85%,IF(M21="70000-99999",2.85%)))))</f>
        <v>0</v>
      </c>
      <c r="P19" s="2">
        <f>81400-2500</f>
        <v>78900</v>
      </c>
      <c r="U19" s="193">
        <f>V19</f>
        <v>145425</v>
      </c>
      <c r="V19" s="192">
        <f>(B7+D10+D11+D12+D13+D16)*1.05</f>
        <v>145425</v>
      </c>
    </row>
    <row r="20" spans="1:23" ht="24.6" x14ac:dyDescent="0.4">
      <c r="A20" s="11"/>
      <c r="B20" s="58" t="s">
        <v>32</v>
      </c>
      <c r="C20" s="59"/>
      <c r="D20" s="63">
        <v>0.2</v>
      </c>
      <c r="E20" s="37"/>
      <c r="F20" s="37"/>
      <c r="G20" s="38"/>
      <c r="H20" s="38"/>
      <c r="I20" s="38"/>
      <c r="J20" s="103"/>
      <c r="K20" s="104" t="s">
        <v>33</v>
      </c>
      <c r="L20" s="104" t="s">
        <v>17</v>
      </c>
      <c r="M20" s="104">
        <f>IF(L20="YES",O12,IF(L20="NO",0))</f>
        <v>0</v>
      </c>
      <c r="N20" s="34">
        <f>B8-M20</f>
        <v>127900</v>
      </c>
      <c r="O20" s="187"/>
      <c r="P20" s="191"/>
      <c r="T20" s="1">
        <f>1992+1084</f>
        <v>3076</v>
      </c>
      <c r="U20" s="186"/>
      <c r="V20" s="2"/>
    </row>
    <row r="21" spans="1:23" ht="24.6" x14ac:dyDescent="0.4">
      <c r="A21" s="13">
        <f>A19+A20</f>
        <v>4028.85</v>
      </c>
      <c r="B21" s="37"/>
      <c r="C21" s="20"/>
      <c r="D21" s="37"/>
      <c r="E21" s="37"/>
      <c r="F21" s="37"/>
      <c r="G21" s="37"/>
      <c r="H21" s="37"/>
      <c r="I21" s="37"/>
      <c r="J21" s="190" t="s">
        <v>34</v>
      </c>
      <c r="K21" s="16" t="s">
        <v>139</v>
      </c>
      <c r="L21" s="16" t="s">
        <v>35</v>
      </c>
      <c r="M21" s="189" t="s">
        <v>80</v>
      </c>
      <c r="N21" s="188"/>
      <c r="O21" s="187"/>
      <c r="T21" s="1">
        <f>25973-12973</f>
        <v>13000</v>
      </c>
      <c r="U21" s="186">
        <f>M14+N7</f>
        <v>3922.2800381624993</v>
      </c>
    </row>
    <row r="22" spans="1:23" s="179" customFormat="1" ht="24.6" x14ac:dyDescent="0.4">
      <c r="A22" s="185"/>
      <c r="B22" s="184" t="s">
        <v>51</v>
      </c>
      <c r="C22" s="183"/>
      <c r="D22" s="183"/>
      <c r="E22" s="183"/>
      <c r="F22" s="183"/>
      <c r="G22" s="183"/>
      <c r="H22" s="183"/>
      <c r="I22" s="183"/>
      <c r="J22" s="183"/>
      <c r="K22" s="183"/>
      <c r="L22" s="183"/>
      <c r="M22" s="183"/>
      <c r="N22" s="182"/>
      <c r="O22" s="181"/>
      <c r="P22" s="180"/>
    </row>
    <row r="23" spans="1:23" s="168" customFormat="1" ht="26.4" x14ac:dyDescent="0.5">
      <c r="A23" s="175" t="s">
        <v>36</v>
      </c>
      <c r="B23" s="172" t="s">
        <v>138</v>
      </c>
      <c r="C23" s="169"/>
      <c r="D23" s="169"/>
      <c r="E23" s="169"/>
      <c r="F23" s="169"/>
      <c r="G23" s="169"/>
      <c r="H23" s="176"/>
      <c r="I23" s="176"/>
      <c r="J23" s="169"/>
      <c r="K23" s="169"/>
      <c r="L23" s="169"/>
      <c r="M23" s="169"/>
      <c r="N23" s="178"/>
      <c r="O23" s="170"/>
      <c r="P23" s="169"/>
    </row>
    <row r="24" spans="1:23" s="168" customFormat="1" ht="26.4" x14ac:dyDescent="0.5">
      <c r="A24" s="175" t="s">
        <v>36</v>
      </c>
      <c r="B24" s="172" t="s">
        <v>137</v>
      </c>
      <c r="C24" s="169"/>
      <c r="D24" s="169"/>
      <c r="E24" s="169"/>
      <c r="F24" s="169"/>
      <c r="G24" s="169"/>
      <c r="H24" s="177">
        <f>H7/365</f>
        <v>84.914837671232874</v>
      </c>
      <c r="I24" s="177">
        <f>H7+H12+H16</f>
        <v>32895.660211499999</v>
      </c>
      <c r="J24" s="169"/>
      <c r="K24" s="169"/>
      <c r="L24" s="169"/>
      <c r="M24" s="169"/>
      <c r="N24" s="173"/>
      <c r="O24" s="170"/>
      <c r="P24" s="169">
        <f>1232+480</f>
        <v>1712</v>
      </c>
      <c r="T24" s="168">
        <f>88704/1.05</f>
        <v>84480</v>
      </c>
    </row>
    <row r="25" spans="1:23" s="168" customFormat="1" ht="26.4" x14ac:dyDescent="0.5">
      <c r="A25" s="175" t="s">
        <v>36</v>
      </c>
      <c r="B25" s="172" t="s">
        <v>136</v>
      </c>
      <c r="C25" s="169"/>
      <c r="D25" s="169"/>
      <c r="E25" s="169"/>
      <c r="F25" s="169"/>
      <c r="G25" s="169"/>
      <c r="H25" s="176"/>
      <c r="I25" s="176"/>
      <c r="J25" s="169"/>
      <c r="K25" s="169"/>
      <c r="L25" s="169"/>
      <c r="M25" s="169"/>
      <c r="N25" s="173"/>
      <c r="O25" s="170"/>
      <c r="P25" s="169"/>
      <c r="Q25" s="168">
        <f>79400-5233.33</f>
        <v>74166.67</v>
      </c>
      <c r="R25" s="168">
        <f>Q25*1.05</f>
        <v>77875.003500000006</v>
      </c>
      <c r="W25" s="168">
        <f>1999+1224</f>
        <v>3223</v>
      </c>
    </row>
    <row r="26" spans="1:23" s="168" customFormat="1" ht="26.4" x14ac:dyDescent="0.5">
      <c r="A26" s="175" t="s">
        <v>36</v>
      </c>
      <c r="B26" s="172" t="s">
        <v>135</v>
      </c>
      <c r="C26" s="169"/>
      <c r="D26" s="169"/>
      <c r="E26" s="169"/>
      <c r="F26" s="169"/>
      <c r="G26" s="169"/>
      <c r="H26" s="169"/>
      <c r="I26" s="169"/>
      <c r="J26" s="169"/>
      <c r="K26" s="169"/>
      <c r="L26" s="169"/>
      <c r="M26" s="169"/>
      <c r="N26" s="173"/>
      <c r="O26" s="170" t="s">
        <v>37</v>
      </c>
      <c r="P26" s="169"/>
      <c r="R26" s="168">
        <f>R25+2469</f>
        <v>80344.003500000006</v>
      </c>
    </row>
    <row r="27" spans="1:23" s="168" customFormat="1" ht="26.4" x14ac:dyDescent="0.5">
      <c r="A27" s="175" t="s">
        <v>36</v>
      </c>
      <c r="B27" s="172" t="s">
        <v>134</v>
      </c>
      <c r="C27" s="169"/>
      <c r="D27" s="169"/>
      <c r="E27" s="169"/>
      <c r="F27" s="169"/>
      <c r="G27" s="169"/>
      <c r="H27" s="169"/>
      <c r="I27" s="169"/>
      <c r="J27" s="169"/>
      <c r="K27" s="169"/>
      <c r="L27" s="169"/>
      <c r="M27" s="169"/>
      <c r="N27" s="173"/>
      <c r="O27" s="170">
        <f>129500-110900</f>
        <v>18600</v>
      </c>
      <c r="P27" s="169"/>
      <c r="W27" s="174">
        <f>N7+L14</f>
        <v>5186.5735181312493</v>
      </c>
    </row>
    <row r="28" spans="1:23" s="168" customFormat="1" ht="26.4" x14ac:dyDescent="0.5">
      <c r="B28" s="172" t="s">
        <v>133</v>
      </c>
      <c r="C28" s="169"/>
      <c r="D28" s="169"/>
      <c r="E28" s="169"/>
      <c r="F28" s="169"/>
      <c r="G28" s="169"/>
      <c r="H28" s="169"/>
      <c r="I28" s="169"/>
      <c r="J28" s="169"/>
      <c r="K28" s="169"/>
      <c r="L28" s="169"/>
      <c r="M28" s="169"/>
      <c r="N28" s="173"/>
      <c r="O28" s="170">
        <f>85000-69900</f>
        <v>15100</v>
      </c>
      <c r="P28" s="169"/>
    </row>
    <row r="29" spans="1:23" s="168" customFormat="1" ht="26.4" x14ac:dyDescent="0.5">
      <c r="B29" s="172" t="s">
        <v>132</v>
      </c>
      <c r="C29" s="169"/>
      <c r="D29" s="169"/>
      <c r="E29" s="169"/>
      <c r="F29" s="169"/>
      <c r="G29" s="169"/>
      <c r="H29" s="169"/>
      <c r="I29" s="169"/>
      <c r="J29" s="169"/>
      <c r="K29" s="169"/>
      <c r="L29" s="169"/>
      <c r="M29" s="169"/>
      <c r="N29" s="171"/>
      <c r="O29" s="170"/>
      <c r="P29" s="169"/>
    </row>
    <row r="30" spans="1:23" x14ac:dyDescent="0.3">
      <c r="B30" s="167" t="s">
        <v>38</v>
      </c>
      <c r="C30" s="166"/>
      <c r="D30" s="166"/>
      <c r="E30" s="166"/>
      <c r="F30" s="166"/>
      <c r="G30" s="166"/>
      <c r="H30" s="166"/>
      <c r="I30" s="166"/>
      <c r="J30" s="166"/>
      <c r="K30" s="166"/>
      <c r="L30" s="166"/>
      <c r="M30" s="166"/>
      <c r="N30" s="165"/>
      <c r="O30" s="147"/>
    </row>
    <row r="31" spans="1:23" x14ac:dyDescent="0.3">
      <c r="B31" s="146"/>
      <c r="C31" s="145"/>
      <c r="D31" s="145"/>
      <c r="E31" s="145"/>
      <c r="F31" s="145"/>
      <c r="G31" s="145"/>
      <c r="H31" s="145"/>
      <c r="I31" s="145"/>
      <c r="J31" s="145"/>
      <c r="K31" s="145"/>
      <c r="L31" s="145"/>
      <c r="M31" s="145"/>
      <c r="N31" s="144"/>
      <c r="O31" s="147"/>
    </row>
    <row r="32" spans="1:23" s="86" customFormat="1" ht="20.399999999999999" x14ac:dyDescent="0.35">
      <c r="B32" s="118" t="s">
        <v>39</v>
      </c>
      <c r="C32" s="119"/>
      <c r="D32" s="119"/>
      <c r="E32" s="119"/>
      <c r="F32" s="119"/>
      <c r="G32" s="119"/>
      <c r="H32" s="119"/>
      <c r="I32" s="119"/>
      <c r="J32" s="119"/>
      <c r="K32" s="119"/>
      <c r="L32" s="119"/>
      <c r="M32" s="119"/>
      <c r="N32" s="120"/>
      <c r="O32" s="92"/>
      <c r="P32" s="83"/>
    </row>
    <row r="33" spans="2:16" s="86" customFormat="1" ht="20.399999999999999" x14ac:dyDescent="0.35">
      <c r="B33" s="118" t="s">
        <v>40</v>
      </c>
      <c r="C33" s="119"/>
      <c r="D33" s="119"/>
      <c r="E33" s="119"/>
      <c r="F33" s="119"/>
      <c r="G33" s="119"/>
      <c r="H33" s="119"/>
      <c r="I33" s="119"/>
      <c r="J33" s="119"/>
      <c r="K33" s="119"/>
      <c r="L33" s="119"/>
      <c r="M33" s="119"/>
      <c r="N33" s="120"/>
      <c r="O33" s="92"/>
      <c r="P33" s="83"/>
    </row>
    <row r="34" spans="2:16" s="86" customFormat="1" ht="20.399999999999999" x14ac:dyDescent="0.35">
      <c r="B34" s="107" t="s">
        <v>131</v>
      </c>
      <c r="C34" s="108"/>
      <c r="D34" s="108"/>
      <c r="E34" s="108"/>
      <c r="F34" s="108"/>
      <c r="G34" s="164" t="s">
        <v>130</v>
      </c>
      <c r="H34" s="164"/>
      <c r="I34" s="163"/>
      <c r="J34" s="163"/>
      <c r="K34" s="163"/>
      <c r="L34" s="163"/>
      <c r="M34" s="162" t="s">
        <v>129</v>
      </c>
      <c r="N34" s="161"/>
      <c r="O34" s="83"/>
      <c r="P34" s="83"/>
    </row>
    <row r="35" spans="2:16" x14ac:dyDescent="0.3">
      <c r="B35" s="160"/>
      <c r="C35" s="159"/>
      <c r="D35" s="159"/>
      <c r="E35" s="159"/>
      <c r="F35" s="159"/>
      <c r="G35" s="159"/>
      <c r="H35" s="159"/>
      <c r="I35" s="159"/>
      <c r="J35" s="159"/>
      <c r="K35" s="159"/>
      <c r="L35" s="159"/>
      <c r="M35" s="159"/>
      <c r="N35" s="158"/>
    </row>
    <row r="36" spans="2:16" x14ac:dyDescent="0.3">
      <c r="B36" s="160"/>
      <c r="C36" s="159"/>
      <c r="D36" s="159"/>
      <c r="E36" s="159"/>
      <c r="F36" s="159"/>
      <c r="G36" s="159"/>
      <c r="H36" s="159"/>
      <c r="I36" s="159"/>
      <c r="J36" s="159"/>
      <c r="K36" s="159"/>
      <c r="L36" s="159"/>
      <c r="M36" s="159"/>
      <c r="N36" s="158"/>
    </row>
    <row r="37" spans="2:16" x14ac:dyDescent="0.3">
      <c r="B37" s="160"/>
      <c r="C37" s="159"/>
      <c r="D37" s="159"/>
      <c r="E37" s="159"/>
      <c r="F37" s="159"/>
      <c r="G37" s="159"/>
      <c r="H37" s="159"/>
      <c r="I37" s="159"/>
      <c r="J37" s="159"/>
      <c r="K37" s="159"/>
      <c r="L37" s="159"/>
      <c r="M37" s="159"/>
      <c r="N37" s="158"/>
    </row>
    <row r="38" spans="2:16" ht="16.8" x14ac:dyDescent="0.3">
      <c r="B38" s="149" t="s">
        <v>128</v>
      </c>
      <c r="C38" s="157"/>
      <c r="D38" s="154"/>
      <c r="E38" s="151"/>
      <c r="F38" s="151"/>
      <c r="G38" s="151"/>
      <c r="H38" s="151"/>
      <c r="I38" s="151"/>
      <c r="J38" s="152"/>
      <c r="K38" s="151"/>
      <c r="L38" s="151"/>
      <c r="M38" s="151"/>
      <c r="N38" s="156"/>
    </row>
    <row r="39" spans="2:16" ht="16.8" x14ac:dyDescent="0.3">
      <c r="B39" s="149" t="s">
        <v>127</v>
      </c>
      <c r="C39" s="155"/>
      <c r="D39" s="154"/>
      <c r="E39" s="151"/>
      <c r="F39" s="151"/>
      <c r="G39" s="151"/>
      <c r="H39" s="151"/>
      <c r="I39" s="151"/>
      <c r="J39" s="152"/>
      <c r="K39" s="151"/>
      <c r="L39" s="151"/>
      <c r="M39" s="151"/>
      <c r="N39" s="150"/>
    </row>
    <row r="40" spans="2:16" ht="16.8" x14ac:dyDescent="0.3">
      <c r="B40" s="149" t="s">
        <v>126</v>
      </c>
      <c r="C40" s="153"/>
      <c r="D40" s="151"/>
      <c r="E40" s="151"/>
      <c r="F40" s="151"/>
      <c r="G40" s="151"/>
      <c r="H40" s="151"/>
      <c r="I40" s="151"/>
      <c r="J40" s="152"/>
      <c r="K40" s="151"/>
      <c r="L40" s="151"/>
      <c r="M40" s="151"/>
      <c r="N40" s="150"/>
    </row>
    <row r="41" spans="2:16" ht="16.8" x14ac:dyDescent="0.3">
      <c r="B41" s="149" t="s">
        <v>125</v>
      </c>
      <c r="N41" s="148"/>
    </row>
    <row r="42" spans="2:16" ht="16.8" x14ac:dyDescent="0.3">
      <c r="B42" s="149" t="s">
        <v>124</v>
      </c>
      <c r="N42" s="148"/>
    </row>
    <row r="43" spans="2:16" ht="16.8" x14ac:dyDescent="0.3">
      <c r="B43" s="149" t="s">
        <v>123</v>
      </c>
      <c r="N43" s="148"/>
    </row>
    <row r="44" spans="2:16" ht="16.8" x14ac:dyDescent="0.3">
      <c r="B44" s="149" t="s">
        <v>122</v>
      </c>
      <c r="N44" s="148"/>
    </row>
    <row r="45" spans="2:16" ht="16.8" x14ac:dyDescent="0.3">
      <c r="B45" s="149" t="s">
        <v>121</v>
      </c>
      <c r="N45" s="148"/>
    </row>
    <row r="46" spans="2:16" ht="16.8" x14ac:dyDescent="0.3">
      <c r="B46" s="149" t="s">
        <v>120</v>
      </c>
      <c r="N46" s="148"/>
    </row>
    <row r="47" spans="2:16" x14ac:dyDescent="0.3">
      <c r="B47" s="146" t="s">
        <v>39</v>
      </c>
      <c r="C47" s="145"/>
      <c r="D47" s="145"/>
      <c r="E47" s="145"/>
      <c r="F47" s="145"/>
      <c r="G47" s="145"/>
      <c r="H47" s="145"/>
      <c r="I47" s="145"/>
      <c r="J47" s="145"/>
      <c r="K47" s="145"/>
      <c r="L47" s="145"/>
      <c r="M47" s="145"/>
      <c r="N47" s="144"/>
      <c r="O47" s="147"/>
    </row>
    <row r="48" spans="2:16" x14ac:dyDescent="0.3">
      <c r="B48" s="146" t="s">
        <v>40</v>
      </c>
      <c r="C48" s="145"/>
      <c r="D48" s="145"/>
      <c r="E48" s="145"/>
      <c r="F48" s="145"/>
      <c r="G48" s="145"/>
      <c r="H48" s="145"/>
      <c r="I48" s="145"/>
      <c r="J48" s="145"/>
      <c r="K48" s="145"/>
      <c r="L48" s="145"/>
      <c r="M48" s="145"/>
      <c r="N48" s="144"/>
      <c r="O48" s="147"/>
    </row>
    <row r="49" spans="2:14" x14ac:dyDescent="0.3">
      <c r="B49" s="146" t="s">
        <v>119</v>
      </c>
      <c r="C49" s="145"/>
      <c r="D49" s="145"/>
      <c r="E49" s="145"/>
      <c r="F49" s="145"/>
      <c r="G49" s="145"/>
      <c r="H49" s="145"/>
      <c r="I49" s="145"/>
      <c r="J49" s="145"/>
      <c r="K49" s="145"/>
      <c r="L49" s="145"/>
      <c r="M49" s="145"/>
      <c r="N49" s="144"/>
    </row>
    <row r="50" spans="2:14" ht="25.8" x14ac:dyDescent="0.3">
      <c r="C50" s="15" t="s">
        <v>41</v>
      </c>
    </row>
    <row r="51" spans="2:14" ht="25.8" x14ac:dyDescent="0.3">
      <c r="C51" s="15" t="s">
        <v>42</v>
      </c>
    </row>
    <row r="52" spans="2:14" ht="25.8" x14ac:dyDescent="0.3">
      <c r="C52" s="15" t="s">
        <v>43</v>
      </c>
    </row>
    <row r="53" spans="2:14" ht="25.8" x14ac:dyDescent="0.3">
      <c r="C53" s="15" t="s">
        <v>44</v>
      </c>
    </row>
    <row r="54" spans="2:14" ht="25.8" x14ac:dyDescent="0.3">
      <c r="C54" s="15" t="s">
        <v>45</v>
      </c>
    </row>
  </sheetData>
  <dataConsolidate/>
  <mergeCells count="11">
    <mergeCell ref="F8:G8"/>
    <mergeCell ref="F9:G9"/>
    <mergeCell ref="G19:I19"/>
    <mergeCell ref="B22:N22"/>
    <mergeCell ref="B30:N30"/>
    <mergeCell ref="B32:N32"/>
    <mergeCell ref="B33:N33"/>
    <mergeCell ref="B47:N47"/>
    <mergeCell ref="B48:N48"/>
    <mergeCell ref="B49:N49"/>
    <mergeCell ref="B31:N31"/>
  </mergeCells>
  <dataValidations count="11">
    <dataValidation type="list" allowBlank="1" showInputMessage="1" showErrorMessage="1" sqref="H34" xr:uid="{BB06B33F-1E44-48F8-9430-7C3FAC0C0478}">
      <formula1>"ALAA HAMMAD,KHALED QASSEM,RAMY RAOUF,SIMON LOBO,MHAREN CLEMENTE GARADO"</formula1>
    </dataValidation>
    <dataValidation type="list" allowBlank="1" showInputMessage="1" showErrorMessage="1" sqref="M34" xr:uid="{7724D2F4-75E6-43DB-B207-1663077286F5}">
      <formula1>"Alaa Hammad,Bachir Ibrahim Mourad,Khaled Qassem,Ramy Raoof,Simon Lobo,Mharen Clemente Garado,Ranjith"</formula1>
    </dataValidation>
    <dataValidation type="list" allowBlank="1" showInputMessage="1" showErrorMessage="1" sqref="B11" xr:uid="{024A05A3-FA0E-4245-BE34-96AF46F9DA49}">
      <formula1>"FO Ceramic+ Intr&amp;Extr CeramicGold WdwTnt,FO Mirror Camera Sensor"</formula1>
    </dataValidation>
    <dataValidation type="list" allowBlank="1" showInputMessage="1" showErrorMessage="1" sqref="B12" xr:uid="{625941A5-284F-4ADD-B0BF-34D572FBAA22}">
      <formula1>"FO Exterior ceramic All Cars SCOTCHGUARD,FO Mirror Camera Sensor,FO PPF Gold Package "</formula1>
    </dataValidation>
    <dataValidation type="list" allowBlank="1" showInputMessage="1" showErrorMessage="1" sqref="K20" xr:uid="{A656C624-863F-4A35-AE6B-96464073DB99}">
      <formula1>"Esaad,Emirates Platinum,Fazaa,Humat Alwatan,Permissible,ASX,XPMLP,XP,MON,MON G57,OUT,F08,P08,F06,P06,F03,F03-1,P03,EC,G37,G38,G40,G43"</formula1>
    </dataValidation>
    <dataValidation type="list" allowBlank="1" showInputMessage="1" showErrorMessage="1" sqref="B16" xr:uid="{280038FA-0911-4F70-81DA-327E0A6496B8}">
      <formula1>"RMC-10-40KMS,RMC-10-60KMS,RMC-10-70KMS,RMC-10-100000KMS,RMC-40-70KMS,RMC-40-100000KMS"</formula1>
    </dataValidation>
    <dataValidation type="list" allowBlank="1" showInputMessage="1" showErrorMessage="1" sqref="K24" xr:uid="{E287FDA9-A48E-4F96-850C-50248AD89F14}">
      <formula1>"RMC-10-70K,RMC-10-100000K,RMC-40-70K"</formula1>
    </dataValidation>
    <dataValidation type="list" allowBlank="1" showInputMessage="1" showErrorMessage="1" sqref="D5" xr:uid="{2D936E5B-D202-4EB6-9655-0AB7D13ECE78}">
      <formula1>"MIG09,MIG10,H16,P16,H17,H48,H43,H40,H42,H44,H45,H38,H37,EH40,EH43,ML,HL,PR, MLP,HLP,PRP,XPML,XPHL,XPMLP, XPMLP-01,XC, G10,P10, G03, P03, G06,P06,G12,P12,G05,P05,G08,P08,G09,P09,H57,P57,H64,H59,P59,H61,P61"</formula1>
    </dataValidation>
    <dataValidation type="list" allowBlank="1" showInputMessage="1" showErrorMessage="1" sqref="M21" xr:uid="{B6D0EEE1-4196-4FFF-8E78-EB363877D78F}">
      <formula1>"3000-4999,5000-9999,5000-99999,10000-14999,15000-24999,25000-34999,35000-99999,5000-11999,12000-19999,20000-39999,40000-69999,70000-99999"</formula1>
    </dataValidation>
    <dataValidation type="list" allowBlank="1" showInputMessage="1" showErrorMessage="1" sqref="C10:C16 L20 L24:L25 G14:G15 J10" xr:uid="{A1555B66-6643-4C56-925B-26C48F51B497}">
      <formula1>"YES,NO"</formula1>
    </dataValidation>
    <dataValidation type="list" allowBlank="1" showInputMessage="1" showErrorMessage="1" sqref="K21" xr:uid="{16A631ED-A4A9-4973-B226-9E695612D35B}">
      <formula1>"ADCB,ADCB PAY IN 2027,Ajman Bank,ADIB,DIB EXPAT,DIB LOCAL GVH,Emirates NBD,EIB,FAB,RAK,SIB STL,SIB NON STL"</formula1>
    </dataValidation>
  </dataValidations>
  <pageMargins left="0.23622047244094491" right="0.23622047244094491" top="0.74803149606299213" bottom="0.74803149606299213" header="0.31496062992125984" footer="0.31496062992125984"/>
  <pageSetup paperSize="9" scale="40" orientation="landscape" horizontalDpi="4294967295" verticalDpi="4294967295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A6B58-B8E1-412C-B1DD-D0A7C968C691}">
  <sheetPr>
    <pageSetUpPr fitToPage="1"/>
  </sheetPr>
  <dimension ref="A1:AA54"/>
  <sheetViews>
    <sheetView topLeftCell="B1" zoomScaleNormal="100" workbookViewId="0">
      <selection activeCell="D5" sqref="D5"/>
    </sheetView>
  </sheetViews>
  <sheetFormatPr defaultColWidth="9.109375" defaultRowHeight="15.6" x14ac:dyDescent="0.3"/>
  <cols>
    <col min="1" max="1" width="16" style="1" hidden="1" customWidth="1"/>
    <col min="2" max="2" width="75.109375" style="2" customWidth="1"/>
    <col min="3" max="3" width="26.88671875" style="3" customWidth="1"/>
    <col min="4" max="4" width="23.88671875" style="2" customWidth="1"/>
    <col min="5" max="5" width="23.33203125" style="2" customWidth="1"/>
    <col min="6" max="6" width="19.88671875" style="2" customWidth="1"/>
    <col min="7" max="7" width="23.33203125" style="2" customWidth="1"/>
    <col min="8" max="8" width="24.44140625" style="2" customWidth="1"/>
    <col min="9" max="9" width="27.109375" style="2" customWidth="1"/>
    <col min="10" max="10" width="26.6640625" style="2" customWidth="1"/>
    <col min="11" max="11" width="25.44140625" style="2" customWidth="1"/>
    <col min="12" max="12" width="20.5546875" style="2" customWidth="1"/>
    <col min="13" max="13" width="20.109375" style="2" customWidth="1"/>
    <col min="14" max="14" width="19.5546875" style="2" customWidth="1"/>
    <col min="15" max="15" width="15.109375" style="2" bestFit="1" customWidth="1"/>
    <col min="16" max="16" width="12.6640625" style="2" hidden="1" customWidth="1"/>
    <col min="17" max="17" width="12.6640625" style="1" hidden="1" customWidth="1"/>
    <col min="18" max="18" width="15.6640625" style="1" hidden="1" customWidth="1"/>
    <col min="19" max="19" width="13" style="1" hidden="1" customWidth="1"/>
    <col min="20" max="20" width="17.109375" style="1" hidden="1" customWidth="1"/>
    <col min="21" max="21" width="14.5546875" style="1" bestFit="1" customWidth="1"/>
    <col min="22" max="22" width="19" style="1" customWidth="1"/>
    <col min="23" max="23" width="22.5546875" style="1" bestFit="1" customWidth="1"/>
    <col min="24" max="25" width="9.109375" style="1"/>
    <col min="26" max="26" width="14" style="1" bestFit="1" customWidth="1"/>
    <col min="27" max="27" width="22.33203125" style="1" bestFit="1" customWidth="1"/>
    <col min="28" max="16384" width="9.109375" style="1"/>
  </cols>
  <sheetData>
    <row r="1" spans="1:27" ht="15.75" customHeight="1" x14ac:dyDescent="0.3">
      <c r="B1" s="222" t="s">
        <v>148</v>
      </c>
      <c r="C1" s="221"/>
      <c r="D1" s="221"/>
      <c r="E1" s="221"/>
      <c r="F1" s="221"/>
      <c r="G1" s="221"/>
      <c r="H1" s="221"/>
      <c r="I1" s="221"/>
      <c r="J1" s="221"/>
      <c r="K1" s="221"/>
      <c r="L1" s="221"/>
      <c r="M1" s="221"/>
      <c r="N1" s="220"/>
    </row>
    <row r="2" spans="1:27" ht="15.75" customHeight="1" x14ac:dyDescent="0.3">
      <c r="B2" s="219" t="s">
        <v>147</v>
      </c>
      <c r="C2" s="218"/>
      <c r="D2" s="218"/>
      <c r="E2" s="218"/>
      <c r="F2" s="218"/>
      <c r="G2" s="218"/>
      <c r="H2" s="218"/>
      <c r="I2" s="218"/>
      <c r="J2" s="218"/>
      <c r="K2" s="218"/>
      <c r="L2" s="218"/>
      <c r="M2" s="218"/>
      <c r="N2" s="217"/>
      <c r="Q2" s="2"/>
      <c r="S2" s="186"/>
    </row>
    <row r="3" spans="1:27" ht="15.75" customHeight="1" x14ac:dyDescent="0.3">
      <c r="B3" s="219" t="s">
        <v>146</v>
      </c>
      <c r="C3" s="218"/>
      <c r="D3" s="218"/>
      <c r="E3" s="218"/>
      <c r="F3" s="218"/>
      <c r="G3" s="218"/>
      <c r="H3" s="218"/>
      <c r="I3" s="218"/>
      <c r="J3" s="218"/>
      <c r="K3" s="218"/>
      <c r="L3" s="218"/>
      <c r="M3" s="218"/>
      <c r="N3" s="217"/>
      <c r="O3" s="3"/>
      <c r="P3" s="3"/>
      <c r="Q3" s="153"/>
      <c r="R3" s="153"/>
      <c r="S3" s="216" t="e">
        <f>N7+J14</f>
        <v>#VALUE!</v>
      </c>
      <c r="T3" s="216"/>
      <c r="U3" s="153"/>
      <c r="V3" s="153"/>
      <c r="W3" s="153"/>
      <c r="AA3" s="1">
        <f>273000/5</f>
        <v>54600</v>
      </c>
    </row>
    <row r="4" spans="1:27" ht="15.75" customHeight="1" x14ac:dyDescent="0.3">
      <c r="B4" s="215"/>
      <c r="C4" s="214"/>
      <c r="D4" s="214"/>
      <c r="E4" s="214"/>
      <c r="F4" s="214"/>
      <c r="G4" s="214"/>
      <c r="H4" s="214"/>
      <c r="I4" s="214"/>
      <c r="J4" s="214"/>
      <c r="K4" s="214"/>
      <c r="L4" s="214"/>
      <c r="M4" s="214"/>
      <c r="N4" s="213"/>
      <c r="O4" s="212" t="s">
        <v>0</v>
      </c>
      <c r="P4" s="212"/>
      <c r="Q4" s="210"/>
      <c r="R4" s="210"/>
      <c r="S4" s="211"/>
      <c r="T4" s="211"/>
      <c r="U4" s="210" t="s">
        <v>1</v>
      </c>
      <c r="V4" s="210" t="s">
        <v>2</v>
      </c>
      <c r="W4" s="210" t="s">
        <v>3</v>
      </c>
    </row>
    <row r="5" spans="1:27" ht="25.2" thickBot="1" x14ac:dyDescent="0.45">
      <c r="B5" s="17"/>
      <c r="C5" s="18" t="str">
        <f>IF(D5="MIG09","Mirage G09",IF(D5="MIG10","MirageG10",IF(D5="H16","Attrage H16",IF(D5="P16","Attrage P16",IF(D5="H17","Attrage H17",IF(D5="H48","ASX H48",IF(D5="H43","ASX H43",IF(D5="H40","ASX H40",IF(D5="H42","ASX H42",IF(D5="H44","ASX H44",IF(D5="H45","ASX H45",IF(D5="H38","Eclipse H38",IF(D5="H37","Eclipse H37",IF(D5="EH40","Eclipse H40",IF(D5="EH43","Eclipse H43",IF(D5="XPML","Xpander ML",IF(D5="ML","Destinator ML",IF(D5="HL","Destinator HL",IF(D5="PR","Destinator PR",IF(D5="MLP","Destinator MLP",IF(D5="HLP","Destinator HLP",IF(D5="PRP","Destinator PRP",IF(D5="XPHL","Xpander HL",IF(D5="XPMLP","Xpander ML P",IF(D5="XPMLP-01","Xpander ML P-01",IF(D5="XC","Xpander Cross",IF(D5="G03","Outlander G03",IF(D5="P03","Outlander P03",IF(D5="G06","Outlander G06",IF(D5="P06","Outlander P06",IF(D5="OTP06-01","Outlander P06-01",IF(D5="G08","Outlander G08",IF(D5="P08","Outlander P08",IF(D5="H57","Montero H57",IF(D5="P57","Montero P57",IF(D5="H64","Montero G64",IF(D5="H59","Montero G59",IF(D5="P59","Montero G59 P",IF(D5="H61","Montero G61",IF(D5="P61","Montero P61",IF(D5="G10","Outlander G10",IF(D5="P10","Outlander P10",IF(D5="G12","Outlander G12",IF(D5="P12","Outlander P12",IF(D5="G05","Outlander G05",IF(D5="P05","Outlander P05",IF(D5="G09","Outlander G09",IF(D5="P09","Outlander P09",))))))))))))))))))))))))))))))))))))))))))))))))</f>
        <v>Attrage H17</v>
      </c>
      <c r="D5" s="19" t="s">
        <v>152</v>
      </c>
      <c r="E5" s="20" t="s">
        <v>145</v>
      </c>
      <c r="F5" s="37"/>
      <c r="G5" s="37"/>
      <c r="H5" s="37"/>
      <c r="I5" s="20"/>
      <c r="J5" s="34"/>
      <c r="K5" s="209">
        <v>0</v>
      </c>
      <c r="L5" s="208">
        <v>3.39E-2</v>
      </c>
      <c r="M5" s="208">
        <v>6.7799999999999999E-2</v>
      </c>
      <c r="N5" s="208">
        <v>0.1017</v>
      </c>
      <c r="O5" s="147">
        <f>K7+K14</f>
        <v>6826.4852503833336</v>
      </c>
      <c r="S5" s="186"/>
      <c r="U5" s="186">
        <f>L7+L14</f>
        <v>2818.4185400013894</v>
      </c>
      <c r="V5" s="186">
        <f>M7+M14</f>
        <v>1905.9064187583335</v>
      </c>
      <c r="W5" s="186">
        <f>N7+N14</f>
        <v>1339.7681511125002</v>
      </c>
    </row>
    <row r="6" spans="1:27" s="5" customFormat="1" ht="99" thickBot="1" x14ac:dyDescent="0.35">
      <c r="A6" s="4" t="s">
        <v>4</v>
      </c>
      <c r="B6" s="26" t="s">
        <v>5</v>
      </c>
      <c r="C6" s="27" t="s">
        <v>6</v>
      </c>
      <c r="D6" s="27" t="s">
        <v>144</v>
      </c>
      <c r="E6" s="27" t="s">
        <v>7</v>
      </c>
      <c r="F6" s="27" t="s">
        <v>8</v>
      </c>
      <c r="G6" s="28" t="s">
        <v>9</v>
      </c>
      <c r="H6" s="28" t="s">
        <v>143</v>
      </c>
      <c r="I6" s="28" t="s">
        <v>10</v>
      </c>
      <c r="J6" s="28" t="s">
        <v>142</v>
      </c>
      <c r="K6" s="28" t="s">
        <v>11</v>
      </c>
      <c r="L6" s="28" t="s">
        <v>12</v>
      </c>
      <c r="M6" s="28" t="s">
        <v>13</v>
      </c>
      <c r="N6" s="28" t="s">
        <v>14</v>
      </c>
      <c r="O6" s="207"/>
      <c r="P6" s="206"/>
      <c r="T6" s="205"/>
      <c r="U6" s="205">
        <f>N7+L14</f>
        <v>2226.9583844458334</v>
      </c>
      <c r="V6" s="205">
        <f>N7+K14</f>
        <v>5495.6999003833334</v>
      </c>
      <c r="W6" s="205" t="e">
        <f>N7+J14</f>
        <v>#VALUE!</v>
      </c>
    </row>
    <row r="7" spans="1:27" ht="25.2" thickBot="1" x14ac:dyDescent="0.45">
      <c r="A7" s="6">
        <f>B8</f>
        <v>47900</v>
      </c>
      <c r="B7" s="29">
        <f>IF(L20="YES",C8*1,IF(L20="NO",B8*1))</f>
        <v>47900</v>
      </c>
      <c r="C7" s="29">
        <f>B7*5/100</f>
        <v>2395</v>
      </c>
      <c r="D7" s="203">
        <f>B7+C7</f>
        <v>50295</v>
      </c>
      <c r="E7" s="29">
        <f>D17</f>
        <v>15739.2675</v>
      </c>
      <c r="F7" s="29">
        <f>(C7)+(D10+D11+D12+D13+D16)*5/100</f>
        <v>2900</v>
      </c>
      <c r="G7" s="30">
        <f>B7+E7+F7</f>
        <v>66539.267500000002</v>
      </c>
      <c r="H7" s="29">
        <f>G7*D20</f>
        <v>13307.853500000001</v>
      </c>
      <c r="I7" s="30">
        <f>(G7-H7)</f>
        <v>53231.414000000004</v>
      </c>
      <c r="J7" s="30">
        <f>(((I7*D19)*1)+I7)/12</f>
        <v>4608.5096670500006</v>
      </c>
      <c r="K7" s="30">
        <f>(((I7*D19)*2)+I7)/24</f>
        <v>2390.5340837166668</v>
      </c>
      <c r="L7" s="30">
        <f>(((I7*D19)*3)+I7)/36</f>
        <v>1651.2088892722225</v>
      </c>
      <c r="M7" s="30">
        <f>(((I7*D19)*4)+I7)/48</f>
        <v>1281.5462920500001</v>
      </c>
      <c r="N7" s="30">
        <f>((((I7*D19)*5)+I7)/60)</f>
        <v>1059.7487337166667</v>
      </c>
      <c r="O7" s="147"/>
      <c r="P7" s="2">
        <f>H7+H16</f>
        <v>13866.783347000001</v>
      </c>
      <c r="T7" s="186">
        <f>25973/2</f>
        <v>12986.5</v>
      </c>
    </row>
    <row r="8" spans="1:27" ht="24.6" x14ac:dyDescent="0.4">
      <c r="A8" s="7">
        <v>0.2</v>
      </c>
      <c r="B8" s="31">
        <f>IF(D5="MIG09",39900,IF(D5="MIG10",41900,IF(D5="H16",41900,IF(D5="P16",47400,IF(D5="H17",47900,IF(D5="H48",67900,IF(D5="H43",70900,IF(D5="H40",72900,IF(D5="H42",74900,IF(D5="H44",73900,IF(D5="H45",79900,IF(D5="H38",86900,IF(D5="H37",79900,IF(D5="EH40",99900,IF(D5="EH43",106900,IF(D5="ML",71900,IF(D5="HL",83900,IF(D5="PR",95900,IF(D5="MLP",80900,IF(D5="HLP",91900,IF(D5="PRP",102900,IF(D5="XPML",69900,IF(D5="XPHL",71000,IF(D5="XPMLP",75900,IF(D5="XPMLP-01",77800,IF(D5="XC",84900,IF(D5="G10",81900,IF(D5="P10",93900,IF(D5="G12",97900,IF(D5="P12",105900,IF(D5="G05",104900,IF(D5="P05",105900,IF(D5="G03",92900,IF(D5="P03",100900,IF(D5="G06",109900,IF(D5="P06",114900,IF(D5="OTP06-01",118900,IF(D5="G08",125900,IF(D5="P08",132900,IF(D5="OTP06-01",109900,IF(D5="G09",129900,IF(D5="P09",134900,IF(D5="H57",105900,IF(D5="P57",113900,IF(D5="H64",116900,IF(D5="H59",127900,IF(D5="P59",134900,IF(D5="H61",134900,IF(D5="P61",138900)))))))))))))))))))))))))))))))))))))))))))))))))</f>
        <v>47900</v>
      </c>
      <c r="C8" s="32">
        <f>IF(L20="YES",N20,IF(L20="NO",N20))</f>
        <v>47900</v>
      </c>
      <c r="D8" s="29">
        <v>0</v>
      </c>
      <c r="E8" s="33"/>
      <c r="F8" s="139"/>
      <c r="G8" s="140"/>
      <c r="H8" s="110">
        <f>G7*20/100</f>
        <v>13307.853500000001</v>
      </c>
      <c r="I8" s="34"/>
      <c r="J8" s="34" t="s">
        <v>15</v>
      </c>
      <c r="K8" s="34">
        <f>(I7*K5+I7)/24</f>
        <v>2217.9755833333334</v>
      </c>
      <c r="L8" s="34">
        <f>(I7*L5+I7)/36</f>
        <v>1528.7766370722225</v>
      </c>
      <c r="M8" s="34">
        <f>(I7*M5+I7)/48</f>
        <v>1184.1771639416668</v>
      </c>
      <c r="N8" s="34">
        <f>(I7*N5+I7)/60</f>
        <v>977.41748006333341</v>
      </c>
      <c r="O8" s="147">
        <v>0</v>
      </c>
      <c r="P8" s="2">
        <f>P7/12</f>
        <v>1155.5652789166668</v>
      </c>
      <c r="T8" s="1">
        <f>25973-12973</f>
        <v>13000</v>
      </c>
    </row>
    <row r="9" spans="1:27" ht="24.6" x14ac:dyDescent="0.4">
      <c r="A9" s="8">
        <f>B8/(100%-A8)</f>
        <v>59875</v>
      </c>
      <c r="B9" s="109">
        <f>B7-B8</f>
        <v>0</v>
      </c>
      <c r="C9" s="109"/>
      <c r="D9" s="36"/>
      <c r="E9" s="33"/>
      <c r="F9" s="139"/>
      <c r="G9" s="140"/>
      <c r="H9" s="33"/>
      <c r="I9" s="37" t="s">
        <v>16</v>
      </c>
      <c r="J9" s="38">
        <f>(J7*12)-I7</f>
        <v>2070.7020046000034</v>
      </c>
      <c r="K9" s="38">
        <f>(K7*24)-I7</f>
        <v>4141.4040091999996</v>
      </c>
      <c r="L9" s="38">
        <f>(L7*36)-I7</f>
        <v>6212.106013800003</v>
      </c>
      <c r="M9" s="38">
        <f>(M7*48)-I7</f>
        <v>8282.8080183999991</v>
      </c>
      <c r="N9" s="38">
        <f>(N7*60)-I7</f>
        <v>10353.510022999995</v>
      </c>
      <c r="O9" s="147"/>
      <c r="T9" s="1">
        <f>T8/12</f>
        <v>1083.3333333333333</v>
      </c>
      <c r="Z9" s="1" t="s">
        <v>86</v>
      </c>
    </row>
    <row r="10" spans="1:27" ht="24.6" x14ac:dyDescent="0.4">
      <c r="A10" s="8"/>
      <c r="B10" s="37" t="s">
        <v>141</v>
      </c>
      <c r="C10" s="20" t="s">
        <v>17</v>
      </c>
      <c r="D10" s="36">
        <f>IF(C10="YES",700,IF(C10="NO",0))</f>
        <v>0</v>
      </c>
      <c r="E10" s="39"/>
      <c r="F10" s="40"/>
      <c r="G10" s="40"/>
      <c r="H10" s="33"/>
      <c r="I10" s="44" t="s">
        <v>85</v>
      </c>
      <c r="J10" s="117" t="s">
        <v>19</v>
      </c>
      <c r="K10" s="117">
        <f>IF(J10="YES",Z10,IF(J10="NO",0))</f>
        <v>1000</v>
      </c>
      <c r="L10" s="41">
        <f>(L8*36)-I7</f>
        <v>1804.5449346000023</v>
      </c>
      <c r="M10" s="41">
        <f>(M8*48)-I7</f>
        <v>3609.0898692000046</v>
      </c>
      <c r="N10" s="41">
        <f>(N8*60)-I7</f>
        <v>5413.6348037999996</v>
      </c>
      <c r="O10" s="147">
        <f>IF(D5="XC",3690,IF(D5="XPML",3690,IF(D5="XPHL",3690,IF(D5="XPMLP",3690,IF(D5="XPMLP-01",3690,IF(D5="Xpander P",3690,IF(D5="ML",3690,IF(D5="HL",3690,IF(D5="PR",(U19*3/100+510)*1.05,IF(D5="MLP",3690,IF(D5="HLP",(U19*3/100+510)*1.05,IF(D5="PRP",(U19*3/100+510)*1.05,IF(D5="H57",(U19*2.75/100+510)*1.05,IF(D5="P57",(U19*2.75/100+510)*1.05,IF(D5="H64",(U19*2.75/100+510)*1.05,IF(D5="H59",(U19*2.75/100+510)*1.05,IF(D5="P59",(U19*2.75/100+510)*1.05,IF(D5="H61",(U19*2.75/100+510)*1.05,IF(D5="P61",(U19*2.75/100+510)*1.05,IF(D5="G03",(U19*3/100+510)*1.05,IF(D5="G10",(U19*3/100+510)*1.05,IF(D5="P10",(U19*3/100+510)*1.05,IF(D5="G12",(U19*3/100+510)*1.05,IF(D5="P12",(U19*3/100+510)*1.05,IF(D5="G05",(U19*3/100+510)*1.05,IF(D5="P05",(U19*3/100+510)*1.05,IF(D5="P03",(U19*3/100+510)*1.05,IF(D5="G06",(U19*3/100+510)*1.05,IF(D5="P06",(U19*3/100+510)*1.05,IF(D5="OTP06-01",(U19*3/100+510)*1.05,IF(D5="G08",(U19*3/100+510)*1.05,IF(D5="P08",(U19*3/100+510)*1.05,IF(D5="G09",(U19*3/100+510)*1.05,IF(D5="P09",(U19*3/100+510)*1.05,IF(D5="H38",3625,IF(D5="H37",3625,IF(D5="EH40",(U19*3/100+450)*1.05,IF(D5="EH43",(U19*3/100+450)*1.05,IF(D5="H48",3625,IF(D5="H43",3625,IF(D5="H40",3625,IF(D5="H42",3625,IF(D5="H44",3625,IF(D5="H45",3625,IF(D5="ASX HL 4WD",3625,IF(D5="H16",3625,IF(D5="H17",3625,IF(D5="P16",3625,IF(D5="Attrage S",3625,IF(D5="MIG09",3625,IF(D5="MIG10",3625,IF(D5="Xpander HL",3690))))))))))))))))))))))))))))))))))))))))))))))))))))</f>
        <v>3625</v>
      </c>
      <c r="P10" s="204"/>
      <c r="Q10" s="204">
        <f>5.25*3</f>
        <v>15.75</v>
      </c>
      <c r="Z10" s="1">
        <f>IF(D5="MIG09",1000,IF(D5="MIG10",1000,IF(D5="H16",1000,IF(D5="P16",1000,IF(D5="H17",1000,IF(D5="H48",1000,IF(D5="H43",1000,IF(D5="H40",1000,IF(D5="H42",1000,IF(D5="H44",1000,IF(D5="H45",1000,IF(D5="H38",1000,IF(D5="H37",1000,IF(D5="EH40",1000,IF(D5="EH43",1000,IF(D5="ML",1000,IF(D5="HL",1000,IF(D5="PR",1000,IF(D5="MLP",1000,IF(D5="HLP",1000,IF(D5="PRP",1000,IF(D5="XPML",1000,IF(D5="XPHL",1000,IF(D5="XPMLP",1000,IF(D5="XPMLP-01",1000,IF(D5="XC",1000,IF(D5="G10",1000,IF(D5="P10",1000,IF(D5="G12",1000,IF(D5="P12",1000,IF(D5="G05",1000,IF(D5="P05",1000,IF(D5="G03",1000,IF(D5="P03",1000,IF(D5="G06",1000,IF(D5="P06",1000,IF(D5="OTP06-01",1000,IF(D5="G08",1000,IF(D5="P08",1000,IF(D5="OTP06-01",1000,IF(D5="G09",1000,IF(D5="P09",1000,IF(D5="H57",1000,IF(D5="P57",1000,IF(D5="H64",1000,IF(D5="H59",1000,IF(D5="P59",1000,IF(D5="H61",1000,IF(D5="P61",1000)))))))))))))))))))))))))))))))))))))))))))))))))</f>
        <v>1000</v>
      </c>
    </row>
    <row r="11" spans="1:27" ht="24.6" x14ac:dyDescent="0.4">
      <c r="A11" s="8"/>
      <c r="B11" s="37" t="s">
        <v>18</v>
      </c>
      <c r="C11" s="20" t="s">
        <v>19</v>
      </c>
      <c r="D11" s="203">
        <f>IF(C11="YES",O17,IF(C11="NO",0))</f>
        <v>2700</v>
      </c>
      <c r="E11" s="39"/>
      <c r="F11" s="40"/>
      <c r="G11" s="40"/>
      <c r="H11" s="33"/>
      <c r="I11" s="33"/>
      <c r="J11" s="44" t="s">
        <v>76</v>
      </c>
      <c r="K11" s="44">
        <f>H8-K10</f>
        <v>12307.853500000001</v>
      </c>
      <c r="L11" s="37"/>
      <c r="M11" s="37"/>
      <c r="N11" s="38"/>
      <c r="O11" s="147">
        <f>IF(D5="XC",6100,IF(D5="XPML",6100,IF(D5="XPHL",6100,IF(D5="XPMLP",6100,IF(D5="XPMLP-01",6100,IF(D5="Xpander P",6100,IF(D5="ML",6600,IF(D5="HL",6600,IF(D5="PR",6600,IF(D5="MLP",6600,IF(D5="HLP",6600,IF(D5="PRP",6600,IF(D5="H57",5900,IF(D5="P57",5900,IF(D5="H64",5900,IF(D5="H59",5900,IF(D5="P59",5900,IF(D5="H61",5900,IF(D5="P61",5900,IF(D5="G03",6700,IF(D5="G10",6700,IF(D5="P10",6700,IF(D5="G12",6700,IF(D5="P12",6700,IF(D5="G05",6700,IF(D5="P05",6700,IF(D5="P03",6700,IF(D5="G06",6700,IF(D5="P06",6700,IF(D5="OTP06-01",6700,IF(D5="G08",6700,IF(D5="G09",6700,IF(D5="G08",6700,IF(D5="P08",6700,IF(D5="P09",6700,IF(D5="H37",6400,IF(D5="H38",6400,IF(D5="EH40",6400,IF(D5="EH43",6400,IF(D5="H48",6600,IF(D5="H43",6600,IF(D5="H40",6600,IF(D5="H42",6600,IF(D5="H44",6600,IF(D5="H45",6600,IF(D5="ASX HL 4WD",6600,IF(D5="H16",5400,IF(D5="H17",5400,IF(D5="P16",5400,IF(D5="Attrage S",5400,IF(D5="MIG09",5400,IF(D5="MIG10",5400,IF(D5="Xpander HL",6000)))))))))))))))))))))))))))))))))))))))))))))))))))))</f>
        <v>5400</v>
      </c>
      <c r="P11" s="147"/>
      <c r="Q11" s="147"/>
      <c r="R11" s="147"/>
      <c r="S11" s="147"/>
      <c r="T11" s="147"/>
      <c r="U11" s="147">
        <f>IF(D5="XC",4900,IF(D5="XPML",4900,IF(D5="XPHL",4900,IF(D5="XPMLP",4900,IF(D5="XPMLP-01",4900,IF(D5="Xpander P",4900,IF(D5="ML",5400,IF(D5="HL",5400,IF(D5="PR",5400,IF(D5="MLP",5400,IF(D5="HLP",5400,IF(D5="PRP",5400,IF(D5="H57",4600,IF(D5="P57",4600,IF(D5="MOG64",4600,IF(D5="H59",4600,IF(D5="P59",4600,IF(D5="H61",4600,IF(D5="P61",4600,IF(D5="G03",5500,IF(D5="P03",5500,IF(D5="G10",5500,IF(D5="P10",5500,IF(D5="G12",5500,IF(D5="P12",5500,IF(D5="G05",5500,IF(D5="P05",5500,IF(D5="G06",5500,IF(D5="P06",5500,IF(D5="OTP06-01",5500,IF(D5="F08",5500,IF(D5="P08",5500,IF(D5="G09",5500,IF(D5="P09",5500,IF(D5="H38",5200,IF(D5="H37",5200,IF(D5="EH40",5200,IF(D5="EH43",5200,IF(D5="H48",5300,IF(D5="H43",5300,IF(D5="H40",5300,IF(D5="H42",5300,IF(D5="H44",5300,IF(D5="H45",5300,IF(D5="ASX HL",5300,IF(D5="ASX P",5300,IF(D5="ASX HL 4WD",5300,IF(D5="H16",4200,IF(D5="H17",4200,IF(D5="P16",4200,IF(D5="Attrage S",4200,IF(D5="MIG09",4200,IF(D5="MIG10",4200,IF(D5="Xpander HL",4900))))))))))))))))))))))))))))))))))))))))))))))))))))))</f>
        <v>4200</v>
      </c>
      <c r="V11" s="147">
        <f>IF(D5="XC",9700,IF(D5="XPML",9700,IF(D5="XPHL",9700,IF(D5="XPMLP",9700,IF(D5="XPMLP-01",9700,IF(D5="XPMLP-01",9700,IF(D5="Xpander P",9700,IF(D5="ML",10800,IF(D5="HL",10800,IF(D5="PR",10800,IF(D5="MLP",10800,IF(D5="HLP",10800,IF(D5="PRP",10800,IF(D5="H57",9300,IF(D5="P57",9300,IF(D5="MG64",9300,IF(D5="H59",9300,IF(D5="P59",9300,IF(D5="H61",9300,IF(D5="P61",9300,IF(D5="G03",11000,IF(D5="G10",11000,IF(D5="P10",11000,IF(D5="G12",11000,IF(D5="P12",11000,IF(D5="G05",11000,IF(D5="P05",11000,IF(D5="P03",11000,IF(D5="G06",11000,IF(D5="P06",11000,IF(D5="OTP06-01",11000,IF(D5="G08",11000,IF(D5="P08",11000,IF(D5="G09",11000,IF(D5="P09",11000,IF(D5="H38",10400,IF(D5="H37",10400,IF(D5="EH40",10400,IF(D5="EH43",10400,IF(D5="H48",10700,IF(D5="H43",10700,IF(D5="H40",10700,IF(D5="H42",10700,IF(D5="H44",10800,IF(D5="H45",10800,IF(D5="ASX HL",12200,IF(D5="ASX P",12200,IF(D5="ASX HL 4WD",12200,IF(D5="H16",8500,IF(D5="H17",8500,IF(D5="P16",8500,IF(D5="Attrage S",9600,IF(D5="MIG09",8500,IF(D5="MIG10",8500,IF(D5="Xpander HL",11300)))))))))))))))))))))))))))))))))))))))))))))))))))))))</f>
        <v>8500</v>
      </c>
      <c r="W11" s="147">
        <f>IF(D5="XC",9200,IF(D5="XPML",9200,IF(D5="XPHL",9200,IF(D5="XPMLP",9200,IF(D5="XPMLP-01",9200,IF(D5="Xpander P",9200,IF(D5="ML",10000,IF(D5="HL",10000,IF(D5="PR",10000,IF(D5="MLP",10000,IF(D5="HLP",10000,IF(D5="PRP",10000,IF(D5="H57",8700,IF(D5="P57",8700,IF(D5="H64",8700,IF(D5="H59",8700,IF(D5="P59",8700,IF(D5="H61",8700,IF(D5="P61",8700,IF(D5="G03",10400,IF(D5="P03",10400,IF(D5="G10",10400,IF(D5="P10",10400,IF(D5="G12",10400,IF(D5="P12",10400,IF(D5="G05",10400,IF(D5="P05",10400,IF(D5="G06",10400,IF(D5="P06",10400,IF(D5="OTP06-01",10400,IF(D5="G08",10400,IF(D5="P08",10400,IF(D5="G09",10400,IF(D5="P09",10400,IF(D5="H38",9800,IF(D5="H37",9800,IF(D5="EH40",9800,IF(D5="EH43",9800,IF(D5="H48",10100,IF(D5="H43",10100,IF(D5="H40",10100,IF(D5="H42",10100,IF(D5="H44",10100,IF(D5="H45",10100,IF(D5="ASX HL",10100,IF(D5="ASX P",10100,IF(D5="ASX HL 4WD",10100,IF(D5="H16",7900,IF(D5="H17",7900,IF(D5="P16",7900,IF(D5="Attrage S",7900,IF(D5="MIG09",7900,IF(D5="MIG10",7900,IF(D5="Xpander HL",9200))))))))))))))))))))))))))))))))))))))))))))))))))))))</f>
        <v>7900</v>
      </c>
      <c r="X11" s="147">
        <f>IF(D5="XC",4500,IF(D5="XPML",4500,IF(D5="XPHL",4500,IF(D5="XPMLP",4500,IF(D5="XPMLP-01",4500,IF(D5="Xpander P",4500,IF(D5="ML",5000,IF(D5="HL",5000,IF(D5="PR",5000,IF(D5="MLP",5000,IF(D5="HLP",5000,IF(D5="PRP",5000,IF(D5="H57",8700,IF(D5="P57",8700,IF(D5="MOG64",4300,IF(D5="H59",4300,IF(D5="P59",4300,IF(D5="H61",4300,IF(D5="P61",4300,IF(D5="G03",5000,IF(D5="P03",5000,IF(D5="G10",5000,IF(D5="P10",5000,IF(D5="G12",5000,IF(D5="P12",5000,IF(D5="G05",5000,IF(D5="P05",5000,IF(D5="G06",5000,IF(D5="P06",5000,IF(D5="OTP06-01",5000,IF(D5="G08",5000,IF(D5="P08",5000,IF(D5="G09",5000,IF(D5="P09",5000,IF(D5="H38",4900,IF(D5="H37",4900,IF(D5="EH40",4900,IF(D5="EH43",4900,IF(D5="H48",4900,IF(D5="H43",4900,IF(D5="H40",4900,IF(D5="H42",4900,IF(D5="H44",4900,IF(D5="H45",4900,IF(D5="ASX HL",4900,IF(D5="ASX P",4900,IF(D5="ASX HL 4WD",4900,IF(D5="H16",3700,IF(D5="H17",3700,IF(D5="P16",3700,IF(D5="Attrage S",3700,IF(D5="MIG09",3700,IF(D5="MIG10",3700,IF(D5="Xpander HL",4500))))))))))))))))))))))))))))))))))))))))))))))))))))))</f>
        <v>3700</v>
      </c>
      <c r="Y11" s="147">
        <f>IF(D5="XC",5400,IF(D5="XPML ",5400,IF(D5="XPHL",5400,IF(D5="XPMLP",5400,IF(D5="XPMLP-01",5400,IF(D5="Xpander P",5400,IF(D5="ML",6000,IF(D5="HL",6000,IF(D5="PR",6000,IF(D5="MLP",6000,IF(D5="HLP",6000,IF(D5="PRP",6000,IF(D5="H57",5200,IF(D5="57",5200,IF(D5="H64",5200,IF(D5="H59",5200,IF(D5="P59",5200,IF(D5="H61",5200,IF(D5="P61",5200,IF(D5="G03",6000,IF(D5="P03",6000,IF(D5="G10",6000,IF(D5="P10",6000,IF(D5="G12",6000,IF(D5="P12",6000,IF(D5="G05",6000,IF(D5="P05",6000,IF(D5="G06",6000,IF(D5="P06",6000,IF(D5="OTP06-01",6000,IF(D5="G08",6000,IF(D5="P08",6000,IF(D5="G09",6000,IF(D5="P09",6000,IF(D5="H38",5700,IF(D5="H37",5700,IF(D5="EH40",5700,IF(D5="EH43",5700,IF(D5="H48",5900,IF(D5="H43",5900,IF(D5="H40",5900,IF(D5="H42",5900,IF(D5="H44",5900,IF(D5="H45",5900,IF(D5="ASX HL",5900,IF(D5="ASX P",5900,IF(D5="ASX HL 4WD",5900,IF(D5="H16",4500,IF(D5="H17",4500,IF(D5="P16",4500,IF(D5="Attrage S",4500,IF(D5="MIG09",4500,IF(D5="MIG10",4500,IF(D5="Xpander HL",5400))))))))))))))))))))))))))))))))))))))))))))))))))))))</f>
        <v>4500</v>
      </c>
    </row>
    <row r="12" spans="1:27" ht="24.6" x14ac:dyDescent="0.4">
      <c r="A12" s="8"/>
      <c r="B12" s="37" t="s">
        <v>20</v>
      </c>
      <c r="C12" s="20" t="s">
        <v>17</v>
      </c>
      <c r="D12" s="36">
        <f>IF(C12="YES",2000,IF(C12="NO",0))</f>
        <v>0</v>
      </c>
      <c r="E12" s="43"/>
      <c r="F12" s="43" t="s">
        <v>21</v>
      </c>
      <c r="G12" s="40"/>
      <c r="H12" s="33">
        <v>600</v>
      </c>
      <c r="I12" s="33"/>
      <c r="J12" s="202" t="s">
        <v>140</v>
      </c>
      <c r="K12" s="45">
        <v>0</v>
      </c>
      <c r="L12" s="45">
        <v>5.2499999999999998E-2</v>
      </c>
      <c r="M12" s="45">
        <v>0.126</v>
      </c>
      <c r="N12" s="201">
        <v>0.26250000000000001</v>
      </c>
      <c r="O12" s="147">
        <f>IF(K20="Esaad",B8*3/100,IF(K20="Emirates Platinum",B8*3/100,IF(K20="Fazaa",B8*3/100,IF(K20="Humat Alwatan",B8*3/100,IF(K20="Permissible",2000,IF(K20="ASX",8400,IF(K20="XPMLP",15100,IF(K20="XP",7200,IF(K20="G43",11000,IF(K20="EC",17000,IF(K20="G37",17000,IF(K20="G38",15000,IF(K20="G40",11000,IF(K20="OUT",3000,IF(K20="F08",14400,IF(K20="P08",11100,IF(K20="F06",13100,IF(K20="P06",13400,IF(K20="F03",3500,IF(K20="F03-1",13500,IF(K20="P03",13100,IF(K20="MON",10000,IF(K20="MON G57",9000,0)))))))))))))))))))))))</f>
        <v>2000</v>
      </c>
      <c r="Z12" s="86" t="s">
        <v>83</v>
      </c>
      <c r="AA12" s="86" t="s">
        <v>84</v>
      </c>
    </row>
    <row r="13" spans="1:27" ht="24.6" x14ac:dyDescent="0.4">
      <c r="A13" s="8">
        <f>B8*1.26582</f>
        <v>60632.777999999998</v>
      </c>
      <c r="B13" s="37" t="s">
        <v>23</v>
      </c>
      <c r="C13" s="20" t="s">
        <v>19</v>
      </c>
      <c r="D13" s="36">
        <f>IF(C13="YES",2000,IF(C13="NO",0))</f>
        <v>2000</v>
      </c>
      <c r="E13" s="47"/>
      <c r="F13" s="47" t="s">
        <v>75</v>
      </c>
      <c r="G13" s="51"/>
      <c r="H13" s="39">
        <v>315</v>
      </c>
      <c r="I13" s="33"/>
      <c r="J13" s="44" t="s">
        <v>54</v>
      </c>
      <c r="K13" s="29" t="s">
        <v>79</v>
      </c>
      <c r="L13" s="29" t="s">
        <v>25</v>
      </c>
      <c r="M13" s="29" t="s">
        <v>0</v>
      </c>
      <c r="N13" s="57" t="s">
        <v>26</v>
      </c>
      <c r="O13" s="9">
        <f>IF(M21="3000-4999",6%,IF(M21="5000-9999",4.75%,IF(M21="10000-14999",3.15%,IF(M21="15000-24999",2.5%,IF(M21="25000-34999",2.25%,IF(M21="35000-99999",2.15%))))))</f>
        <v>4.7500000000000001E-2</v>
      </c>
      <c r="Q13" s="2">
        <f>H7/12</f>
        <v>1108.9877916666667</v>
      </c>
      <c r="U13" s="9">
        <f>IF(M21="3000-4999",6%,IF(M21="5000-9999",3.25%,IF(M21="10000-14999",3%,IF(M21="15000-24999",2.25%,IF(M21="25000-34999",2.15%,IF(M21="35000-99999",1.99%))))))</f>
        <v>3.2500000000000001E-2</v>
      </c>
      <c r="Z13" s="99">
        <f>IF(M21="5000-9999",2.49%,IF(M21="10000-19999",2.19%,IF(M21="20000-34999",2.09%,IF(M21="35000-49999",1.89%,IF(M21="50000-99999",1.79%)))))</f>
        <v>2.4900000000000002E-2</v>
      </c>
      <c r="AA13" s="99">
        <f>IF(M21="5000-9999",2.59%,IF(M21="10000-19999",2.29%,IF(M21="20000-34999",2.19%,IF(M21="35000-49999",1.99%,IF(M21="50000-99999",1.89%)))))</f>
        <v>2.5899999999999999E-2</v>
      </c>
    </row>
    <row r="14" spans="1:27" ht="24.6" x14ac:dyDescent="0.4">
      <c r="A14" s="10" t="s">
        <v>27</v>
      </c>
      <c r="B14" s="37" t="s">
        <v>24</v>
      </c>
      <c r="C14" s="20" t="s">
        <v>19</v>
      </c>
      <c r="D14" s="50">
        <f>IF(C14="YES",U19*3.15*1.05/100,IF(C14="NO",U19*0/100))</f>
        <v>2014.2674999999999</v>
      </c>
      <c r="E14" s="48"/>
      <c r="F14" s="48" t="s">
        <v>24</v>
      </c>
      <c r="G14" s="51" t="s">
        <v>17</v>
      </c>
      <c r="H14" s="39">
        <f>IF(G14="YES",U19*3.15*1.05/100,IF(G14="NO",U19*0/100))</f>
        <v>0</v>
      </c>
      <c r="I14" s="33"/>
      <c r="J14" s="44" t="s">
        <v>55</v>
      </c>
      <c r="K14" s="44">
        <f>(H8*K12+H8)/3</f>
        <v>4435.9511666666667</v>
      </c>
      <c r="L14" s="44">
        <f>(H8*L12+H8)/12</f>
        <v>1167.2096507291667</v>
      </c>
      <c r="M14" s="44">
        <f>(H8*M12+H8)/24</f>
        <v>624.36012670833338</v>
      </c>
      <c r="N14" s="200">
        <f>(H7*N12+H7)/60</f>
        <v>280.01941739583339</v>
      </c>
      <c r="O14" s="9">
        <f>IF(M21="3000-4999",3.89%,IF(M21="5000-9999",3.89%,IF(M21="10000-14999",3.89%,IF(M21="15000-24999",2.69%,IF(M21="25000-34999",2.69%,IF(M21="35000-99999",2.39%,IF(M21="76000-99999",2.5%)))))))</f>
        <v>3.8900000000000004E-2</v>
      </c>
    </row>
    <row r="15" spans="1:27" ht="24.6" x14ac:dyDescent="0.4">
      <c r="A15" s="11">
        <f>(B7*3%)+10+120</f>
        <v>1567</v>
      </c>
      <c r="B15" s="37" t="s">
        <v>28</v>
      </c>
      <c r="C15" s="20" t="s">
        <v>19</v>
      </c>
      <c r="D15" s="29">
        <f>IF(C15="YES",O10,IF(C15="NO",0))</f>
        <v>3625</v>
      </c>
      <c r="E15" s="48"/>
      <c r="F15" s="48" t="s">
        <v>53</v>
      </c>
      <c r="G15" s="51" t="s">
        <v>17</v>
      </c>
      <c r="H15" s="39">
        <f>IF(G15="YES",O10,IF(G15="NO",0))</f>
        <v>0</v>
      </c>
      <c r="I15" s="33"/>
      <c r="J15" s="44"/>
      <c r="K15" s="44"/>
      <c r="L15" s="44"/>
      <c r="M15" s="44"/>
      <c r="N15" s="198"/>
      <c r="O15" s="9" t="b">
        <f>IF(M21="3000-4999",4.99%, IF(M21="5000-11999",2.75%,IF(M21="12000-19999",2.75%,IF(M21="20000-39999",2.25%,IF(M21="40000-69999",2.25%,IF(M21="70000-99999",2.25%))))))</f>
        <v>0</v>
      </c>
      <c r="P15" s="191"/>
    </row>
    <row r="16" spans="1:27" ht="24.6" x14ac:dyDescent="0.4">
      <c r="A16" s="11">
        <f>((B7-B8)*3%+10+120)</f>
        <v>130</v>
      </c>
      <c r="B16" s="37" t="s">
        <v>78</v>
      </c>
      <c r="C16" s="20" t="s">
        <v>19</v>
      </c>
      <c r="D16" s="29">
        <f>IF(C16="YES",O16,IF(C16="NO",0))</f>
        <v>5400</v>
      </c>
      <c r="E16" s="47"/>
      <c r="F16" s="47" t="s">
        <v>74</v>
      </c>
      <c r="G16" s="54"/>
      <c r="H16" s="33">
        <f>I7*1.05%</f>
        <v>558.92984700000011</v>
      </c>
      <c r="I16" s="33"/>
      <c r="J16" s="44" t="s">
        <v>16</v>
      </c>
      <c r="K16" s="44">
        <f>(K14*3)-H8</f>
        <v>0</v>
      </c>
      <c r="L16" s="44">
        <f>(L14*12)-H8</f>
        <v>698.66230874999928</v>
      </c>
      <c r="M16" s="44">
        <f>(M14*24)-H8</f>
        <v>1676.7895410000001</v>
      </c>
      <c r="N16" s="198"/>
      <c r="O16" s="147">
        <f>IF(B16="RMC-10-70KMS",O11,IF(B16="RMC-10-100000KMS",V11,IF(B16="RMC-40-70KMS",U11, IF(B16="RMC-10-40KMS",X11, IF(B16="RMC-10-60KMS",Y11, IF(B16="RMC-40-100000KMS",W11,0))))))</f>
        <v>5400</v>
      </c>
    </row>
    <row r="17" spans="1:23" ht="24.6" x14ac:dyDescent="0.4">
      <c r="A17" s="11">
        <f>A15+A16</f>
        <v>1697</v>
      </c>
      <c r="B17" s="37"/>
      <c r="C17" s="20"/>
      <c r="D17" s="29">
        <f>SUM(D10:D16)</f>
        <v>15739.2675</v>
      </c>
      <c r="E17" s="48"/>
      <c r="F17" s="48"/>
      <c r="G17" s="54"/>
      <c r="H17" s="33">
        <f>+SUM(H12:H16)+(H7)</f>
        <v>14781.783347000001</v>
      </c>
      <c r="I17" s="33"/>
      <c r="J17" s="20"/>
      <c r="K17" s="199"/>
      <c r="L17" s="199"/>
      <c r="M17" s="199"/>
      <c r="N17" s="198"/>
      <c r="O17" s="147">
        <f>IF(B11="FO Ceramic+ Intr&amp;Extr CeramicGold WdwTnt",2700,IF(B11="FO Mirror Camera Sensor",2000))</f>
        <v>2700</v>
      </c>
      <c r="T17" s="1">
        <f>19615-791</f>
        <v>18824</v>
      </c>
    </row>
    <row r="18" spans="1:23" ht="24.6" x14ac:dyDescent="0.4">
      <c r="A18" s="12" t="s">
        <v>29</v>
      </c>
      <c r="B18" s="55" t="s">
        <v>30</v>
      </c>
      <c r="C18" s="197"/>
      <c r="D18" s="57">
        <v>0</v>
      </c>
      <c r="E18" s="38"/>
      <c r="F18" s="20"/>
      <c r="G18" s="20"/>
      <c r="H18" s="37"/>
      <c r="I18" s="37"/>
      <c r="J18" s="37"/>
      <c r="K18" s="37"/>
      <c r="L18" s="37"/>
      <c r="M18" s="37"/>
      <c r="N18" s="37"/>
      <c r="O18" s="9" t="b">
        <f>IF(M21="5000-99999",1.99%)</f>
        <v>0</v>
      </c>
      <c r="U18" s="196" t="s">
        <v>52</v>
      </c>
      <c r="V18" s="196" t="s">
        <v>52</v>
      </c>
    </row>
    <row r="19" spans="1:23" ht="24.6" x14ac:dyDescent="0.4">
      <c r="A19" s="11">
        <f>B8*3.15%</f>
        <v>1508.85</v>
      </c>
      <c r="B19" s="58" t="s">
        <v>31</v>
      </c>
      <c r="C19" s="59"/>
      <c r="D19" s="60">
        <f>IF(K21="DIB EXPAT",O13,IF(K21="DIB LOCAL GVH",U13,IF(K21="Emirates NBD",O14,IF(K21="ADCB",O15,IF(K21="ADCB PAY IN 2027",O19,IF(K21="Ajman Bank",O18,IF(K21="SIB STL",Z13,IF(K21="SIB NON STL",AA13,))))))))</f>
        <v>3.8900000000000004E-2</v>
      </c>
      <c r="E19" s="20"/>
      <c r="F19" s="195"/>
      <c r="G19" s="141" t="s">
        <v>73</v>
      </c>
      <c r="H19" s="142"/>
      <c r="I19" s="143"/>
      <c r="J19" s="109">
        <f>(U19*20/100)/365</f>
        <v>33.369863013698627</v>
      </c>
      <c r="K19" s="37"/>
      <c r="L19" s="37"/>
      <c r="M19" s="37"/>
      <c r="N19" s="34">
        <f>D7</f>
        <v>50295</v>
      </c>
      <c r="O19" s="194" t="b">
        <f>IF(M21="5000-11999",3.35%,IF(M21="12000-19999",3.35%,IF(M21="20000-39999",2.85%,IF(M21="40000-69999",2.85%,IF(M21="70000-99999",2.85%)))))</f>
        <v>0</v>
      </c>
      <c r="P19" s="2">
        <f>81400-2500</f>
        <v>78900</v>
      </c>
      <c r="U19" s="193">
        <f>V19</f>
        <v>60900</v>
      </c>
      <c r="V19" s="192">
        <f>(B7+D10+D11+D12+D13+D16)*1.05</f>
        <v>60900</v>
      </c>
    </row>
    <row r="20" spans="1:23" ht="24.6" x14ac:dyDescent="0.4">
      <c r="A20" s="11"/>
      <c r="B20" s="58" t="s">
        <v>32</v>
      </c>
      <c r="C20" s="59"/>
      <c r="D20" s="63">
        <v>0.2</v>
      </c>
      <c r="E20" s="37"/>
      <c r="F20" s="37"/>
      <c r="G20" s="38"/>
      <c r="H20" s="38"/>
      <c r="I20" s="38"/>
      <c r="J20" s="103"/>
      <c r="K20" s="104" t="s">
        <v>33</v>
      </c>
      <c r="L20" s="104" t="s">
        <v>17</v>
      </c>
      <c r="M20" s="104">
        <f>IF(L20="YES",O12,IF(L20="NO",0))</f>
        <v>0</v>
      </c>
      <c r="N20" s="34">
        <f>B8-M20</f>
        <v>47900</v>
      </c>
      <c r="O20" s="187"/>
      <c r="P20" s="191"/>
      <c r="T20" s="1">
        <f>1992+1084</f>
        <v>3076</v>
      </c>
      <c r="U20" s="186"/>
      <c r="V20" s="2"/>
    </row>
    <row r="21" spans="1:23" ht="24.6" x14ac:dyDescent="0.4">
      <c r="A21" s="13">
        <f>A19+A20</f>
        <v>1508.85</v>
      </c>
      <c r="B21" s="37"/>
      <c r="C21" s="20"/>
      <c r="D21" s="37"/>
      <c r="E21" s="37"/>
      <c r="F21" s="37"/>
      <c r="G21" s="37"/>
      <c r="H21" s="37"/>
      <c r="I21" s="37"/>
      <c r="J21" s="190" t="s">
        <v>34</v>
      </c>
      <c r="K21" s="16" t="s">
        <v>139</v>
      </c>
      <c r="L21" s="16" t="s">
        <v>35</v>
      </c>
      <c r="M21" s="189" t="s">
        <v>80</v>
      </c>
      <c r="N21" s="188"/>
      <c r="O21" s="187"/>
      <c r="T21" s="1">
        <f>25973-12973</f>
        <v>13000</v>
      </c>
      <c r="U21" s="186">
        <f>M14+N7</f>
        <v>1684.1088604250001</v>
      </c>
    </row>
    <row r="22" spans="1:23" s="179" customFormat="1" ht="24.6" x14ac:dyDescent="0.4">
      <c r="A22" s="185"/>
      <c r="B22" s="184" t="s">
        <v>51</v>
      </c>
      <c r="C22" s="183"/>
      <c r="D22" s="183"/>
      <c r="E22" s="183"/>
      <c r="F22" s="183"/>
      <c r="G22" s="183"/>
      <c r="H22" s="183"/>
      <c r="I22" s="183"/>
      <c r="J22" s="183"/>
      <c r="K22" s="183"/>
      <c r="L22" s="183"/>
      <c r="M22" s="183"/>
      <c r="N22" s="182"/>
      <c r="O22" s="181"/>
      <c r="P22" s="180"/>
    </row>
    <row r="23" spans="1:23" s="168" customFormat="1" ht="26.4" x14ac:dyDescent="0.5">
      <c r="A23" s="175" t="s">
        <v>36</v>
      </c>
      <c r="B23" s="172" t="s">
        <v>138</v>
      </c>
      <c r="C23" s="169"/>
      <c r="D23" s="169"/>
      <c r="E23" s="169"/>
      <c r="F23" s="169"/>
      <c r="G23" s="169"/>
      <c r="H23" s="176"/>
      <c r="I23" s="176"/>
      <c r="J23" s="169"/>
      <c r="K23" s="169"/>
      <c r="L23" s="169"/>
      <c r="M23" s="169"/>
      <c r="N23" s="178"/>
      <c r="O23" s="170"/>
      <c r="P23" s="169"/>
    </row>
    <row r="24" spans="1:23" s="168" customFormat="1" ht="26.4" x14ac:dyDescent="0.5">
      <c r="A24" s="175" t="s">
        <v>36</v>
      </c>
      <c r="B24" s="172" t="s">
        <v>137</v>
      </c>
      <c r="C24" s="169"/>
      <c r="D24" s="169"/>
      <c r="E24" s="169"/>
      <c r="F24" s="169"/>
      <c r="G24" s="169"/>
      <c r="H24" s="177">
        <f>H7/365</f>
        <v>36.459872602739729</v>
      </c>
      <c r="I24" s="177">
        <f>H7+H12+H16</f>
        <v>14466.783347000001</v>
      </c>
      <c r="J24" s="169"/>
      <c r="K24" s="169"/>
      <c r="L24" s="169"/>
      <c r="M24" s="169"/>
      <c r="N24" s="173"/>
      <c r="O24" s="170"/>
      <c r="P24" s="169">
        <f>1232+480</f>
        <v>1712</v>
      </c>
      <c r="T24" s="168">
        <f>88704/1.05</f>
        <v>84480</v>
      </c>
    </row>
    <row r="25" spans="1:23" s="168" customFormat="1" ht="26.4" x14ac:dyDescent="0.5">
      <c r="A25" s="175" t="s">
        <v>36</v>
      </c>
      <c r="B25" s="172" t="s">
        <v>136</v>
      </c>
      <c r="C25" s="169"/>
      <c r="D25" s="169"/>
      <c r="E25" s="169"/>
      <c r="F25" s="169"/>
      <c r="G25" s="169"/>
      <c r="H25" s="176"/>
      <c r="I25" s="176"/>
      <c r="J25" s="169"/>
      <c r="K25" s="169"/>
      <c r="L25" s="169"/>
      <c r="M25" s="169"/>
      <c r="N25" s="173"/>
      <c r="O25" s="170"/>
      <c r="P25" s="169"/>
      <c r="Q25" s="168">
        <f>79400-5233.33</f>
        <v>74166.67</v>
      </c>
      <c r="R25" s="168">
        <f>Q25*1.05</f>
        <v>77875.003500000006</v>
      </c>
      <c r="W25" s="168">
        <f>1999+1224</f>
        <v>3223</v>
      </c>
    </row>
    <row r="26" spans="1:23" s="168" customFormat="1" ht="26.4" x14ac:dyDescent="0.5">
      <c r="A26" s="175" t="s">
        <v>36</v>
      </c>
      <c r="B26" s="172" t="s">
        <v>135</v>
      </c>
      <c r="C26" s="169"/>
      <c r="D26" s="169"/>
      <c r="E26" s="169"/>
      <c r="F26" s="169"/>
      <c r="G26" s="169"/>
      <c r="H26" s="169"/>
      <c r="I26" s="169"/>
      <c r="J26" s="169"/>
      <c r="K26" s="169"/>
      <c r="L26" s="169"/>
      <c r="M26" s="169"/>
      <c r="N26" s="173"/>
      <c r="O26" s="170" t="s">
        <v>37</v>
      </c>
      <c r="P26" s="169"/>
      <c r="R26" s="168">
        <f>R25+2469</f>
        <v>80344.003500000006</v>
      </c>
    </row>
    <row r="27" spans="1:23" s="168" customFormat="1" ht="26.4" x14ac:dyDescent="0.5">
      <c r="A27" s="175" t="s">
        <v>36</v>
      </c>
      <c r="B27" s="172" t="s">
        <v>134</v>
      </c>
      <c r="C27" s="169"/>
      <c r="D27" s="169"/>
      <c r="E27" s="169"/>
      <c r="F27" s="169"/>
      <c r="G27" s="169"/>
      <c r="H27" s="169"/>
      <c r="I27" s="169"/>
      <c r="J27" s="169"/>
      <c r="K27" s="169"/>
      <c r="L27" s="169"/>
      <c r="M27" s="169"/>
      <c r="N27" s="173"/>
      <c r="O27" s="170">
        <f>129500-110900</f>
        <v>18600</v>
      </c>
      <c r="P27" s="169"/>
      <c r="W27" s="174">
        <f>N7+L14</f>
        <v>2226.9583844458334</v>
      </c>
    </row>
    <row r="28" spans="1:23" s="168" customFormat="1" ht="26.4" x14ac:dyDescent="0.5">
      <c r="B28" s="172" t="s">
        <v>133</v>
      </c>
      <c r="C28" s="169"/>
      <c r="D28" s="169"/>
      <c r="E28" s="169"/>
      <c r="F28" s="169"/>
      <c r="G28" s="169"/>
      <c r="H28" s="169"/>
      <c r="I28" s="169"/>
      <c r="J28" s="169"/>
      <c r="K28" s="169"/>
      <c r="L28" s="169"/>
      <c r="M28" s="169"/>
      <c r="N28" s="173"/>
      <c r="O28" s="170">
        <f>85000-69900</f>
        <v>15100</v>
      </c>
      <c r="P28" s="169"/>
    </row>
    <row r="29" spans="1:23" s="168" customFormat="1" ht="26.4" x14ac:dyDescent="0.5">
      <c r="B29" s="172" t="s">
        <v>132</v>
      </c>
      <c r="C29" s="169"/>
      <c r="D29" s="169"/>
      <c r="E29" s="169"/>
      <c r="F29" s="169"/>
      <c r="G29" s="169"/>
      <c r="H29" s="169"/>
      <c r="I29" s="169"/>
      <c r="J29" s="169"/>
      <c r="K29" s="169"/>
      <c r="L29" s="169"/>
      <c r="M29" s="169"/>
      <c r="N29" s="171"/>
      <c r="O29" s="170"/>
      <c r="P29" s="169"/>
    </row>
    <row r="30" spans="1:23" x14ac:dyDescent="0.3">
      <c r="B30" s="167" t="s">
        <v>38</v>
      </c>
      <c r="C30" s="166"/>
      <c r="D30" s="166"/>
      <c r="E30" s="166"/>
      <c r="F30" s="166"/>
      <c r="G30" s="166"/>
      <c r="H30" s="166"/>
      <c r="I30" s="166"/>
      <c r="J30" s="166"/>
      <c r="K30" s="166"/>
      <c r="L30" s="166"/>
      <c r="M30" s="166"/>
      <c r="N30" s="165"/>
      <c r="O30" s="147"/>
    </row>
    <row r="31" spans="1:23" x14ac:dyDescent="0.3">
      <c r="B31" s="146"/>
      <c r="C31" s="145"/>
      <c r="D31" s="145"/>
      <c r="E31" s="145"/>
      <c r="F31" s="145"/>
      <c r="G31" s="145"/>
      <c r="H31" s="145"/>
      <c r="I31" s="145"/>
      <c r="J31" s="145"/>
      <c r="K31" s="145"/>
      <c r="L31" s="145"/>
      <c r="M31" s="145"/>
      <c r="N31" s="144"/>
      <c r="O31" s="147"/>
    </row>
    <row r="32" spans="1:23" s="86" customFormat="1" ht="20.399999999999999" x14ac:dyDescent="0.35">
      <c r="B32" s="118" t="s">
        <v>39</v>
      </c>
      <c r="C32" s="119"/>
      <c r="D32" s="119"/>
      <c r="E32" s="119"/>
      <c r="F32" s="119"/>
      <c r="G32" s="119"/>
      <c r="H32" s="119"/>
      <c r="I32" s="119"/>
      <c r="J32" s="119"/>
      <c r="K32" s="119"/>
      <c r="L32" s="119"/>
      <c r="M32" s="119"/>
      <c r="N32" s="120"/>
      <c r="O32" s="92"/>
      <c r="P32" s="83"/>
    </row>
    <row r="33" spans="2:16" s="86" customFormat="1" ht="20.399999999999999" x14ac:dyDescent="0.35">
      <c r="B33" s="118" t="s">
        <v>40</v>
      </c>
      <c r="C33" s="119"/>
      <c r="D33" s="119"/>
      <c r="E33" s="119"/>
      <c r="F33" s="119"/>
      <c r="G33" s="119"/>
      <c r="H33" s="119"/>
      <c r="I33" s="119"/>
      <c r="J33" s="119"/>
      <c r="K33" s="119"/>
      <c r="L33" s="119"/>
      <c r="M33" s="119"/>
      <c r="N33" s="120"/>
      <c r="O33" s="92"/>
      <c r="P33" s="83"/>
    </row>
    <row r="34" spans="2:16" s="86" customFormat="1" ht="20.399999999999999" x14ac:dyDescent="0.35">
      <c r="B34" s="107" t="s">
        <v>131</v>
      </c>
      <c r="C34" s="108"/>
      <c r="D34" s="108"/>
      <c r="E34" s="108"/>
      <c r="F34" s="108"/>
      <c r="G34" s="164" t="s">
        <v>130</v>
      </c>
      <c r="H34" s="164"/>
      <c r="I34" s="163"/>
      <c r="J34" s="163"/>
      <c r="K34" s="163"/>
      <c r="L34" s="163"/>
      <c r="M34" s="162" t="s">
        <v>129</v>
      </c>
      <c r="N34" s="161"/>
      <c r="O34" s="83"/>
      <c r="P34" s="83"/>
    </row>
    <row r="35" spans="2:16" x14ac:dyDescent="0.3">
      <c r="B35" s="160"/>
      <c r="C35" s="159"/>
      <c r="D35" s="159"/>
      <c r="E35" s="159"/>
      <c r="F35" s="159"/>
      <c r="G35" s="159"/>
      <c r="H35" s="159"/>
      <c r="I35" s="159"/>
      <c r="J35" s="159"/>
      <c r="K35" s="159"/>
      <c r="L35" s="159"/>
      <c r="M35" s="159"/>
      <c r="N35" s="158"/>
    </row>
    <row r="36" spans="2:16" x14ac:dyDescent="0.3">
      <c r="B36" s="160"/>
      <c r="C36" s="159"/>
      <c r="D36" s="159"/>
      <c r="E36" s="159"/>
      <c r="F36" s="159"/>
      <c r="G36" s="159"/>
      <c r="H36" s="159"/>
      <c r="I36" s="159"/>
      <c r="J36" s="159"/>
      <c r="K36" s="159"/>
      <c r="L36" s="159"/>
      <c r="M36" s="159"/>
      <c r="N36" s="158"/>
    </row>
    <row r="37" spans="2:16" x14ac:dyDescent="0.3">
      <c r="B37" s="160"/>
      <c r="C37" s="159"/>
      <c r="D37" s="159"/>
      <c r="E37" s="159"/>
      <c r="F37" s="159"/>
      <c r="G37" s="159"/>
      <c r="H37" s="159"/>
      <c r="I37" s="159"/>
      <c r="J37" s="159"/>
      <c r="K37" s="159"/>
      <c r="L37" s="159"/>
      <c r="M37" s="159"/>
      <c r="N37" s="158"/>
    </row>
    <row r="38" spans="2:16" ht="16.8" x14ac:dyDescent="0.3">
      <c r="B38" s="149" t="s">
        <v>128</v>
      </c>
      <c r="C38" s="157"/>
      <c r="D38" s="154"/>
      <c r="E38" s="151"/>
      <c r="F38" s="151"/>
      <c r="G38" s="151"/>
      <c r="H38" s="151"/>
      <c r="I38" s="151"/>
      <c r="J38" s="152"/>
      <c r="K38" s="151"/>
      <c r="L38" s="151"/>
      <c r="M38" s="151"/>
      <c r="N38" s="156"/>
    </row>
    <row r="39" spans="2:16" ht="16.8" x14ac:dyDescent="0.3">
      <c r="B39" s="149" t="s">
        <v>127</v>
      </c>
      <c r="C39" s="155"/>
      <c r="D39" s="154"/>
      <c r="E39" s="151"/>
      <c r="F39" s="151"/>
      <c r="G39" s="151"/>
      <c r="H39" s="151"/>
      <c r="I39" s="151"/>
      <c r="J39" s="152"/>
      <c r="K39" s="151"/>
      <c r="L39" s="151"/>
      <c r="M39" s="151"/>
      <c r="N39" s="150"/>
    </row>
    <row r="40" spans="2:16" ht="16.8" x14ac:dyDescent="0.3">
      <c r="B40" s="149" t="s">
        <v>126</v>
      </c>
      <c r="C40" s="153"/>
      <c r="D40" s="151"/>
      <c r="E40" s="151"/>
      <c r="F40" s="151"/>
      <c r="G40" s="151"/>
      <c r="H40" s="151"/>
      <c r="I40" s="151"/>
      <c r="J40" s="152"/>
      <c r="K40" s="151"/>
      <c r="L40" s="151"/>
      <c r="M40" s="151"/>
      <c r="N40" s="150"/>
    </row>
    <row r="41" spans="2:16" ht="16.8" x14ac:dyDescent="0.3">
      <c r="B41" s="149" t="s">
        <v>125</v>
      </c>
      <c r="N41" s="148"/>
    </row>
    <row r="42" spans="2:16" ht="16.8" x14ac:dyDescent="0.3">
      <c r="B42" s="149" t="s">
        <v>124</v>
      </c>
      <c r="N42" s="148"/>
    </row>
    <row r="43" spans="2:16" ht="16.8" x14ac:dyDescent="0.3">
      <c r="B43" s="149" t="s">
        <v>123</v>
      </c>
      <c r="N43" s="148"/>
    </row>
    <row r="44" spans="2:16" ht="16.8" x14ac:dyDescent="0.3">
      <c r="B44" s="149" t="s">
        <v>122</v>
      </c>
      <c r="N44" s="148"/>
    </row>
    <row r="45" spans="2:16" ht="16.8" x14ac:dyDescent="0.3">
      <c r="B45" s="149" t="s">
        <v>121</v>
      </c>
      <c r="N45" s="148"/>
    </row>
    <row r="46" spans="2:16" ht="16.8" x14ac:dyDescent="0.3">
      <c r="B46" s="149" t="s">
        <v>120</v>
      </c>
      <c r="N46" s="148"/>
    </row>
    <row r="47" spans="2:16" x14ac:dyDescent="0.3">
      <c r="B47" s="146" t="s">
        <v>39</v>
      </c>
      <c r="C47" s="145"/>
      <c r="D47" s="145"/>
      <c r="E47" s="145"/>
      <c r="F47" s="145"/>
      <c r="G47" s="145"/>
      <c r="H47" s="145"/>
      <c r="I47" s="145"/>
      <c r="J47" s="145"/>
      <c r="K47" s="145"/>
      <c r="L47" s="145"/>
      <c r="M47" s="145"/>
      <c r="N47" s="144"/>
      <c r="O47" s="147"/>
    </row>
    <row r="48" spans="2:16" x14ac:dyDescent="0.3">
      <c r="B48" s="146" t="s">
        <v>40</v>
      </c>
      <c r="C48" s="145"/>
      <c r="D48" s="145"/>
      <c r="E48" s="145"/>
      <c r="F48" s="145"/>
      <c r="G48" s="145"/>
      <c r="H48" s="145"/>
      <c r="I48" s="145"/>
      <c r="J48" s="145"/>
      <c r="K48" s="145"/>
      <c r="L48" s="145"/>
      <c r="M48" s="145"/>
      <c r="N48" s="144"/>
      <c r="O48" s="147"/>
    </row>
    <row r="49" spans="2:14" x14ac:dyDescent="0.3">
      <c r="B49" s="146" t="s">
        <v>119</v>
      </c>
      <c r="C49" s="145"/>
      <c r="D49" s="145"/>
      <c r="E49" s="145"/>
      <c r="F49" s="145"/>
      <c r="G49" s="145"/>
      <c r="H49" s="145"/>
      <c r="I49" s="145"/>
      <c r="J49" s="145"/>
      <c r="K49" s="145"/>
      <c r="L49" s="145"/>
      <c r="M49" s="145"/>
      <c r="N49" s="144"/>
    </row>
    <row r="50" spans="2:14" ht="25.8" x14ac:dyDescent="0.3">
      <c r="C50" s="15" t="s">
        <v>41</v>
      </c>
    </row>
    <row r="51" spans="2:14" ht="25.8" x14ac:dyDescent="0.3">
      <c r="C51" s="15" t="s">
        <v>42</v>
      </c>
    </row>
    <row r="52" spans="2:14" ht="25.8" x14ac:dyDescent="0.3">
      <c r="C52" s="15" t="s">
        <v>43</v>
      </c>
    </row>
    <row r="53" spans="2:14" ht="25.8" x14ac:dyDescent="0.3">
      <c r="C53" s="15" t="s">
        <v>44</v>
      </c>
    </row>
    <row r="54" spans="2:14" ht="25.8" x14ac:dyDescent="0.3">
      <c r="C54" s="15" t="s">
        <v>45</v>
      </c>
    </row>
  </sheetData>
  <dataConsolidate/>
  <mergeCells count="11">
    <mergeCell ref="F8:G8"/>
    <mergeCell ref="F9:G9"/>
    <mergeCell ref="G19:I19"/>
    <mergeCell ref="B22:N22"/>
    <mergeCell ref="B30:N30"/>
    <mergeCell ref="B32:N32"/>
    <mergeCell ref="B33:N33"/>
    <mergeCell ref="B47:N47"/>
    <mergeCell ref="B48:N48"/>
    <mergeCell ref="B49:N49"/>
    <mergeCell ref="B31:N31"/>
  </mergeCells>
  <dataValidations count="11">
    <dataValidation type="list" allowBlank="1" showInputMessage="1" showErrorMessage="1" sqref="H34" xr:uid="{AB334F3F-6327-4876-BA57-98DF517FFFD0}">
      <formula1>"ALAA HAMMAD,KHALED QASSEM,RAMY RAOUF,SIMON LOBO,MHAREN CLEMENTE GARADO"</formula1>
    </dataValidation>
    <dataValidation type="list" allowBlank="1" showInputMessage="1" showErrorMessage="1" sqref="M34" xr:uid="{1C248100-2359-4820-BBD8-7D3D431641FB}">
      <formula1>"Alaa Hammad,Bachir Ibrahim Mourad,Khaled Qassem,Ramy Raoof,Simon Lobo,Mharen Clemente Garado,Ranjith"</formula1>
    </dataValidation>
    <dataValidation type="list" allowBlank="1" showInputMessage="1" showErrorMessage="1" sqref="B11" xr:uid="{8505F521-8110-47BD-8993-AAB9EC7A86DF}">
      <formula1>"FO Ceramic+ Intr&amp;Extr CeramicGold WdwTnt,FO Mirror Camera Sensor"</formula1>
    </dataValidation>
    <dataValidation type="list" allowBlank="1" showInputMessage="1" showErrorMessage="1" sqref="B12" xr:uid="{2F8EA14B-A392-4C63-9E4A-8EC60346CF89}">
      <formula1>"FO Exterior ceramic All Cars SCOTCHGUARD,FO Mirror Camera Sensor,FO PPF Gold Package "</formula1>
    </dataValidation>
    <dataValidation type="list" allowBlank="1" showInputMessage="1" showErrorMessage="1" sqref="K20" xr:uid="{50569A4F-C619-4649-82B9-94D8FED5BCD2}">
      <formula1>"Esaad,Emirates Platinum,Fazaa,Humat Alwatan,Permissible,ASX,XPMLP,XP,MON,MON G57,OUT,F08,P08,F06,P06,F03,F03-1,P03,EC,G37,G38,G40,G43"</formula1>
    </dataValidation>
    <dataValidation type="list" allowBlank="1" showInputMessage="1" showErrorMessage="1" sqref="B16" xr:uid="{43F8C740-E4A0-42A6-85BC-3437F72F084F}">
      <formula1>"RMC-10-40KMS,RMC-10-60KMS,RMC-10-70KMS,RMC-10-100000KMS,RMC-40-70KMS,RMC-40-100000KMS"</formula1>
    </dataValidation>
    <dataValidation type="list" allowBlank="1" showInputMessage="1" showErrorMessage="1" sqref="K24" xr:uid="{730B46E5-9168-41EE-BEA9-7C69C49A8774}">
      <formula1>"RMC-10-70K,RMC-10-100000K,RMC-40-70K"</formula1>
    </dataValidation>
    <dataValidation type="list" allowBlank="1" showInputMessage="1" showErrorMessage="1" sqref="D5" xr:uid="{913A8C05-8E99-4B44-B44A-2BDD8A16C84D}">
      <formula1>"MIG09,MIG10,H16,P16,H17,H48,H43,H40,H42,H44,H45,H38,H37,EH40,EH43,ML,HL,PR, MLP,HLP,PRP,XPML,XPHL,XPMLP, XPMLP-01,XC, G10,P10, G03, P03, G06,P06,G12,P12,G05,P05,G08,P08,G09,P09,H57,P57,H64,H59,P59,H61,P61"</formula1>
    </dataValidation>
    <dataValidation type="list" allowBlank="1" showInputMessage="1" showErrorMessage="1" sqref="M21" xr:uid="{35C30A25-4F2F-4DBF-8E9A-E735381605FC}">
      <formula1>"3000-4999,5000-9999,5000-99999,10000-14999,15000-24999,25000-34999,35000-99999,5000-11999,12000-19999,20000-39999,40000-69999,70000-99999"</formula1>
    </dataValidation>
    <dataValidation type="list" allowBlank="1" showInputMessage="1" showErrorMessage="1" sqref="C10:C16 L20 L24:L25 G14:G15 J10" xr:uid="{57A1CFB2-5170-4B38-BFF8-8464A23AFA23}">
      <formula1>"YES,NO"</formula1>
    </dataValidation>
    <dataValidation type="list" allowBlank="1" showInputMessage="1" showErrorMessage="1" sqref="K21" xr:uid="{7189478B-7A3D-4108-8CF6-86B2ED856059}">
      <formula1>"ADCB,ADCB PAY IN 2027,Ajman Bank,ADIB,DIB EXPAT,DIB LOCAL GVH,Emirates NBD,EIB,FAB,RAK,SIB STL,SIB NON STL"</formula1>
    </dataValidation>
  </dataValidations>
  <pageMargins left="0.23622047244094491" right="0.23622047244094491" top="0.74803149606299213" bottom="0.74803149606299213" header="0.31496062992125984" footer="0.31496062992125984"/>
  <pageSetup paperSize="9" scale="40" orientation="landscape" horizontalDpi="4294967295" verticalDpi="4294967295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1976FE-164F-4195-9AEA-1FEFC71C8C97}">
  <sheetPr>
    <pageSetUpPr fitToPage="1"/>
  </sheetPr>
  <dimension ref="A1:AA54"/>
  <sheetViews>
    <sheetView topLeftCell="B1" zoomScaleNormal="100" workbookViewId="0">
      <selection activeCell="D5" sqref="D5"/>
    </sheetView>
  </sheetViews>
  <sheetFormatPr defaultColWidth="9.109375" defaultRowHeight="15.6" x14ac:dyDescent="0.3"/>
  <cols>
    <col min="1" max="1" width="16" style="1" hidden="1" customWidth="1"/>
    <col min="2" max="2" width="75.109375" style="2" customWidth="1"/>
    <col min="3" max="3" width="26.88671875" style="3" customWidth="1"/>
    <col min="4" max="4" width="23.88671875" style="2" customWidth="1"/>
    <col min="5" max="5" width="23.33203125" style="2" customWidth="1"/>
    <col min="6" max="6" width="19.88671875" style="2" customWidth="1"/>
    <col min="7" max="7" width="23.33203125" style="2" customWidth="1"/>
    <col min="8" max="8" width="24.44140625" style="2" customWidth="1"/>
    <col min="9" max="9" width="27.109375" style="2" customWidth="1"/>
    <col min="10" max="10" width="26.6640625" style="2" customWidth="1"/>
    <col min="11" max="11" width="25.44140625" style="2" customWidth="1"/>
    <col min="12" max="12" width="20.5546875" style="2" customWidth="1"/>
    <col min="13" max="13" width="20.109375" style="2" customWidth="1"/>
    <col min="14" max="14" width="19.5546875" style="2" customWidth="1"/>
    <col min="15" max="15" width="15.109375" style="2" bestFit="1" customWidth="1"/>
    <col min="16" max="16" width="12.6640625" style="2" hidden="1" customWidth="1"/>
    <col min="17" max="17" width="12.6640625" style="1" hidden="1" customWidth="1"/>
    <col min="18" max="18" width="15.6640625" style="1" hidden="1" customWidth="1"/>
    <col min="19" max="19" width="13" style="1" hidden="1" customWidth="1"/>
    <col min="20" max="20" width="17.109375" style="1" hidden="1" customWidth="1"/>
    <col min="21" max="21" width="14.5546875" style="1" bestFit="1" customWidth="1"/>
    <col min="22" max="22" width="19" style="1" customWidth="1"/>
    <col min="23" max="23" width="22.5546875" style="1" bestFit="1" customWidth="1"/>
    <col min="24" max="25" width="9.109375" style="1"/>
    <col min="26" max="26" width="14" style="1" bestFit="1" customWidth="1"/>
    <col min="27" max="27" width="22.33203125" style="1" bestFit="1" customWidth="1"/>
    <col min="28" max="16384" width="9.109375" style="1"/>
  </cols>
  <sheetData>
    <row r="1" spans="1:27" ht="15.75" customHeight="1" x14ac:dyDescent="0.3">
      <c r="B1" s="222" t="s">
        <v>148</v>
      </c>
      <c r="C1" s="221"/>
      <c r="D1" s="221"/>
      <c r="E1" s="221"/>
      <c r="F1" s="221"/>
      <c r="G1" s="221"/>
      <c r="H1" s="221"/>
      <c r="I1" s="221"/>
      <c r="J1" s="221"/>
      <c r="K1" s="221"/>
      <c r="L1" s="221"/>
      <c r="M1" s="221"/>
      <c r="N1" s="220"/>
    </row>
    <row r="2" spans="1:27" ht="15.75" customHeight="1" x14ac:dyDescent="0.3">
      <c r="B2" s="219" t="s">
        <v>147</v>
      </c>
      <c r="C2" s="218"/>
      <c r="D2" s="218"/>
      <c r="E2" s="218"/>
      <c r="F2" s="218"/>
      <c r="G2" s="218"/>
      <c r="H2" s="218"/>
      <c r="I2" s="218"/>
      <c r="J2" s="218"/>
      <c r="K2" s="218"/>
      <c r="L2" s="218"/>
      <c r="M2" s="218"/>
      <c r="N2" s="217"/>
      <c r="Q2" s="2"/>
      <c r="S2" s="186"/>
    </row>
    <row r="3" spans="1:27" ht="15.75" customHeight="1" x14ac:dyDescent="0.3">
      <c r="B3" s="219" t="s">
        <v>146</v>
      </c>
      <c r="C3" s="218"/>
      <c r="D3" s="218"/>
      <c r="E3" s="218"/>
      <c r="F3" s="218"/>
      <c r="G3" s="218"/>
      <c r="H3" s="218"/>
      <c r="I3" s="218"/>
      <c r="J3" s="218"/>
      <c r="K3" s="218"/>
      <c r="L3" s="218"/>
      <c r="M3" s="218"/>
      <c r="N3" s="217"/>
      <c r="O3" s="3"/>
      <c r="P3" s="3"/>
      <c r="Q3" s="153"/>
      <c r="R3" s="153"/>
      <c r="S3" s="216" t="e">
        <f>N7+J14</f>
        <v>#VALUE!</v>
      </c>
      <c r="T3" s="216"/>
      <c r="U3" s="153"/>
      <c r="V3" s="153"/>
      <c r="W3" s="153"/>
      <c r="AA3" s="1">
        <f>273000/5</f>
        <v>54600</v>
      </c>
    </row>
    <row r="4" spans="1:27" ht="15.75" customHeight="1" x14ac:dyDescent="0.3">
      <c r="B4" s="215"/>
      <c r="C4" s="214"/>
      <c r="D4" s="214"/>
      <c r="E4" s="214"/>
      <c r="F4" s="214"/>
      <c r="G4" s="214"/>
      <c r="H4" s="214"/>
      <c r="I4" s="214"/>
      <c r="J4" s="214"/>
      <c r="K4" s="214"/>
      <c r="L4" s="214"/>
      <c r="M4" s="214"/>
      <c r="N4" s="213"/>
      <c r="O4" s="212" t="s">
        <v>0</v>
      </c>
      <c r="P4" s="212"/>
      <c r="Q4" s="210"/>
      <c r="R4" s="210"/>
      <c r="S4" s="211"/>
      <c r="T4" s="211"/>
      <c r="U4" s="210" t="s">
        <v>1</v>
      </c>
      <c r="V4" s="210" t="s">
        <v>2</v>
      </c>
      <c r="W4" s="210" t="s">
        <v>3</v>
      </c>
    </row>
    <row r="5" spans="1:27" ht="25.2" thickBot="1" x14ac:dyDescent="0.45">
      <c r="B5" s="17"/>
      <c r="C5" s="18" t="str">
        <f>IF(D5="MIG09","Mirage G09",IF(D5="MIG10","MirageG10",IF(D5="H16","Attrage H16",IF(D5="P16","Attrage P16",IF(D5="H17","Attrage H17",IF(D5="H48","ASX H48",IF(D5="H43","ASX H43",IF(D5="H40","ASX H40",IF(D5="H42","ASX H42",IF(D5="H44","ASX H44",IF(D5="H45","ASX H45",IF(D5="H38","Eclipse H38",IF(D5="H37","Eclipse H37",IF(D5="EH40","Eclipse H40",IF(D5="EH43","Eclipse H43",IF(D5="XPML","Xpander ML",IF(D5="ML","Destinator ML",IF(D5="HL","Destinator HL",IF(D5="PR","Destinator PR",IF(D5="MLP","Destinator MLP",IF(D5="HLP","Destinator HLP",IF(D5="PRP","Destinator PRP",IF(D5="XPHL","Xpander HL",IF(D5="XPMLP","Xpander ML P",IF(D5="XPMLP-01","Xpander ML P-01",IF(D5="XC","Xpander Cross",IF(D5="G03","Outlander G03",IF(D5="P03","Outlander P03",IF(D5="G06","Outlander G06",IF(D5="P06","Outlander P06",IF(D5="OTP06-01","Outlander P06-01",IF(D5="G08","Outlander G08",IF(D5="P08","Outlander P08",IF(D5="H57","Montero H57",IF(D5="P57","Montero P57",IF(D5="H64","Montero G64",IF(D5="H59","Montero G59",IF(D5="P59","Montero G59 P",IF(D5="H61","Montero G61",IF(D5="P61","Montero P61",IF(D5="G10","Outlander G10",IF(D5="P10","Outlander P10",IF(D5="G12","Outlander G12",IF(D5="P12","Outlander P12",IF(D5="G05","Outlander G05",IF(D5="P05","Outlander P05",IF(D5="G09","Outlander G09",IF(D5="P09","Outlander P09",))))))))))))))))))))))))))))))))))))))))))))))))</f>
        <v>Destinator HL</v>
      </c>
      <c r="D5" s="19" t="s">
        <v>151</v>
      </c>
      <c r="E5" s="20" t="s">
        <v>145</v>
      </c>
      <c r="F5" s="37"/>
      <c r="G5" s="37"/>
      <c r="H5" s="37"/>
      <c r="I5" s="20"/>
      <c r="J5" s="34"/>
      <c r="K5" s="209">
        <v>0</v>
      </c>
      <c r="L5" s="208">
        <v>3.39E-2</v>
      </c>
      <c r="M5" s="208">
        <v>6.7799999999999999E-2</v>
      </c>
      <c r="N5" s="208">
        <v>0.1017</v>
      </c>
      <c r="O5" s="147">
        <f>K7+K14</f>
        <v>10972.990719019999</v>
      </c>
      <c r="S5" s="186"/>
      <c r="U5" s="186">
        <f>L7+L14</f>
        <v>4530.3665572283335</v>
      </c>
      <c r="V5" s="186">
        <f>M7+M14</f>
        <v>3063.5814298699997</v>
      </c>
      <c r="W5" s="186">
        <f>N7+N14</f>
        <v>2153.5626238949999</v>
      </c>
    </row>
    <row r="6" spans="1:27" s="5" customFormat="1" ht="99" thickBot="1" x14ac:dyDescent="0.35">
      <c r="A6" s="4" t="s">
        <v>4</v>
      </c>
      <c r="B6" s="26" t="s">
        <v>5</v>
      </c>
      <c r="C6" s="27" t="s">
        <v>6</v>
      </c>
      <c r="D6" s="27" t="s">
        <v>144</v>
      </c>
      <c r="E6" s="27" t="s">
        <v>7</v>
      </c>
      <c r="F6" s="27" t="s">
        <v>8</v>
      </c>
      <c r="G6" s="28" t="s">
        <v>9</v>
      </c>
      <c r="H6" s="28" t="s">
        <v>143</v>
      </c>
      <c r="I6" s="28" t="s">
        <v>10</v>
      </c>
      <c r="J6" s="28" t="s">
        <v>142</v>
      </c>
      <c r="K6" s="28" t="s">
        <v>11</v>
      </c>
      <c r="L6" s="28" t="s">
        <v>12</v>
      </c>
      <c r="M6" s="28" t="s">
        <v>13</v>
      </c>
      <c r="N6" s="28" t="s">
        <v>14</v>
      </c>
      <c r="O6" s="207"/>
      <c r="P6" s="206"/>
      <c r="T6" s="205"/>
      <c r="U6" s="205">
        <f>N7+L14</f>
        <v>3579.6449838950002</v>
      </c>
      <c r="V6" s="205">
        <f>N7+K14</f>
        <v>8833.8671790200005</v>
      </c>
      <c r="W6" s="205" t="e">
        <f>N7+J14</f>
        <v>#VALUE!</v>
      </c>
    </row>
    <row r="7" spans="1:27" ht="25.2" thickBot="1" x14ac:dyDescent="0.45">
      <c r="A7" s="6">
        <f>B8</f>
        <v>83900</v>
      </c>
      <c r="B7" s="29">
        <f>IF(L20="YES",C8*1,IF(L20="NO",B8*1))</f>
        <v>83900</v>
      </c>
      <c r="C7" s="29">
        <f>B7*5/100</f>
        <v>4195</v>
      </c>
      <c r="D7" s="203">
        <f>B7+C7</f>
        <v>88095</v>
      </c>
      <c r="E7" s="29">
        <f>D17</f>
        <v>18296.177</v>
      </c>
      <c r="F7" s="29">
        <f>(C7)+(D10+D11+D12+D13+D16)*5/100</f>
        <v>4760</v>
      </c>
      <c r="G7" s="30">
        <f>B7+E7+F7</f>
        <v>106956.177</v>
      </c>
      <c r="H7" s="29">
        <f>G7*D20</f>
        <v>21391.235400000001</v>
      </c>
      <c r="I7" s="30">
        <f>(G7-H7)</f>
        <v>85564.941599999991</v>
      </c>
      <c r="J7" s="30">
        <f>(((I7*D19)*1)+I7)/12</f>
        <v>7407.7848190199993</v>
      </c>
      <c r="K7" s="30">
        <f>(((I7*D19)*2)+I7)/24</f>
        <v>3842.5789190199994</v>
      </c>
      <c r="L7" s="30">
        <f>(((I7*D19)*3)+I7)/36</f>
        <v>2654.176952353333</v>
      </c>
      <c r="M7" s="30">
        <f>(((I7*D19)*4)+I7)/48</f>
        <v>2059.9759690199999</v>
      </c>
      <c r="N7" s="30">
        <f>((((I7*D19)*5)+I7)/60)</f>
        <v>1703.4553790199998</v>
      </c>
      <c r="O7" s="147"/>
      <c r="P7" s="2">
        <f>H7+H16</f>
        <v>22289.667286800002</v>
      </c>
      <c r="T7" s="186">
        <f>25973/2</f>
        <v>12986.5</v>
      </c>
    </row>
    <row r="8" spans="1:27" ht="24.6" x14ac:dyDescent="0.4">
      <c r="A8" s="7">
        <v>0.2</v>
      </c>
      <c r="B8" s="31">
        <f>IF(D5="MIG09",39900,IF(D5="MIG10",41900,IF(D5="H16",41900,IF(D5="P16",47400,IF(D5="H17",47900,IF(D5="H48",67900,IF(D5="H43",70900,IF(D5="H40",72900,IF(D5="H42",74900,IF(D5="H44",73900,IF(D5="H45",79900,IF(D5="H38",86900,IF(D5="H37",79900,IF(D5="EH40",99900,IF(D5="EH43",106900,IF(D5="ML",71900,IF(D5="HL",83900,IF(D5="PR",95900,IF(D5="MLP",80900,IF(D5="HLP",91900,IF(D5="PRP",102900,IF(D5="XPML",69900,IF(D5="XPHL",71000,IF(D5="XPMLP",75900,IF(D5="XPMLP-01",77800,IF(D5="XC",84900,IF(D5="G10",81900,IF(D5="P10",93900,IF(D5="G12",97900,IF(D5="P12",105900,IF(D5="G05",104900,IF(D5="P05",105900,IF(D5="G03",92900,IF(D5="P03",100900,IF(D5="G06",109900,IF(D5="P06",114900,IF(D5="OTP06-01",118900,IF(D5="G08",125900,IF(D5="P08",132900,IF(D5="OTP06-01",109900,IF(D5="G09",129900,IF(D5="P09",134900,IF(D5="H57",105900,IF(D5="P57",113900,IF(D5="H64",116900,IF(D5="H59",127900,IF(D5="P59",134900,IF(D5="H61",134900,IF(D5="P61",138900)))))))))))))))))))))))))))))))))))))))))))))))))</f>
        <v>83900</v>
      </c>
      <c r="C8" s="32">
        <f>IF(L20="YES",N20,IF(L20="NO",N20))</f>
        <v>83900</v>
      </c>
      <c r="D8" s="29">
        <v>0</v>
      </c>
      <c r="E8" s="33"/>
      <c r="F8" s="139"/>
      <c r="G8" s="140"/>
      <c r="H8" s="110">
        <f>G7*20/100</f>
        <v>21391.235400000001</v>
      </c>
      <c r="I8" s="34"/>
      <c r="J8" s="34" t="s">
        <v>15</v>
      </c>
      <c r="K8" s="34">
        <f>(I7*K5+I7)/24</f>
        <v>3565.2058999999995</v>
      </c>
      <c r="L8" s="34">
        <f>(I7*L5+I7)/36</f>
        <v>2457.3775866733331</v>
      </c>
      <c r="M8" s="34">
        <f>(I7*M5+I7)/48</f>
        <v>1903.4634300099997</v>
      </c>
      <c r="N8" s="34">
        <f>(I7*N5+I7)/60</f>
        <v>1571.1149360119998</v>
      </c>
      <c r="O8" s="147">
        <v>0</v>
      </c>
      <c r="P8" s="2">
        <f>P7/12</f>
        <v>1857.4722739000001</v>
      </c>
      <c r="T8" s="1">
        <f>25973-12973</f>
        <v>13000</v>
      </c>
    </row>
    <row r="9" spans="1:27" ht="24.6" x14ac:dyDescent="0.4">
      <c r="A9" s="8">
        <f>B8/(100%-A8)</f>
        <v>104875</v>
      </c>
      <c r="B9" s="109">
        <f>B7-B8</f>
        <v>0</v>
      </c>
      <c r="C9" s="109"/>
      <c r="D9" s="36"/>
      <c r="E9" s="33"/>
      <c r="F9" s="139"/>
      <c r="G9" s="140"/>
      <c r="H9" s="33"/>
      <c r="I9" s="37" t="s">
        <v>16</v>
      </c>
      <c r="J9" s="38">
        <f>(J7*12)-I7</f>
        <v>3328.4762282400043</v>
      </c>
      <c r="K9" s="38">
        <f>(K7*24)-I7</f>
        <v>6656.952456479994</v>
      </c>
      <c r="L9" s="38">
        <f>(L7*36)-I7</f>
        <v>9985.4286847199983</v>
      </c>
      <c r="M9" s="38">
        <f>(M7*48)-I7</f>
        <v>13313.904912960003</v>
      </c>
      <c r="N9" s="38">
        <f>(N7*60)-I7</f>
        <v>16642.381141199992</v>
      </c>
      <c r="O9" s="147"/>
      <c r="T9" s="1">
        <f>T8/12</f>
        <v>1083.3333333333333</v>
      </c>
      <c r="Z9" s="1" t="s">
        <v>86</v>
      </c>
    </row>
    <row r="10" spans="1:27" ht="24.6" x14ac:dyDescent="0.4">
      <c r="A10" s="8"/>
      <c r="B10" s="37" t="s">
        <v>141</v>
      </c>
      <c r="C10" s="20" t="s">
        <v>17</v>
      </c>
      <c r="D10" s="36">
        <f>IF(C10="YES",700,IF(C10="NO",0))</f>
        <v>0</v>
      </c>
      <c r="E10" s="39"/>
      <c r="F10" s="40"/>
      <c r="G10" s="40"/>
      <c r="H10" s="33"/>
      <c r="I10" s="44" t="s">
        <v>85</v>
      </c>
      <c r="J10" s="117" t="s">
        <v>19</v>
      </c>
      <c r="K10" s="117">
        <f>IF(J10="YES",Z10,IF(J10="NO",0))</f>
        <v>1000</v>
      </c>
      <c r="L10" s="41">
        <f>(L8*36)-I7</f>
        <v>2900.6515202400042</v>
      </c>
      <c r="M10" s="41">
        <f>(M8*48)-I7</f>
        <v>5801.3030404799938</v>
      </c>
      <c r="N10" s="41">
        <f>(N8*60)-I7</f>
        <v>8701.954560719998</v>
      </c>
      <c r="O10" s="147">
        <f>IF(D5="XC",3690,IF(D5="XPML",3690,IF(D5="XPHL",3690,IF(D5="XPMLP",3690,IF(D5="XPMLP-01",3690,IF(D5="Xpander P",3690,IF(D5="ML",3690,IF(D5="HL",3690,IF(D5="PR",(U19*3/100+510)*1.05,IF(D5="MLP",3690,IF(D5="HLP",(U19*3/100+510)*1.05,IF(D5="PRP",(U19*3/100+510)*1.05,IF(D5="H57",(U19*2.75/100+510)*1.05,IF(D5="P57",(U19*2.75/100+510)*1.05,IF(D5="H64",(U19*2.75/100+510)*1.05,IF(D5="H59",(U19*2.75/100+510)*1.05,IF(D5="P59",(U19*2.75/100+510)*1.05,IF(D5="H61",(U19*2.75/100+510)*1.05,IF(D5="P61",(U19*2.75/100+510)*1.05,IF(D5="G03",(U19*3/100+510)*1.05,IF(D5="G10",(U19*3/100+510)*1.05,IF(D5="P10",(U19*3/100+510)*1.05,IF(D5="G12",(U19*3/100+510)*1.05,IF(D5="P12",(U19*3/100+510)*1.05,IF(D5="G05",(U19*3/100+510)*1.05,IF(D5="P05",(U19*3/100+510)*1.05,IF(D5="P03",(U19*3/100+510)*1.05,IF(D5="G06",(U19*3/100+510)*1.05,IF(D5="P06",(U19*3/100+510)*1.05,IF(D5="OTP06-01",(U19*3/100+510)*1.05,IF(D5="G08",(U19*3/100+510)*1.05,IF(D5="P08",(U19*3/100+510)*1.05,IF(D5="G09",(U19*3/100+510)*1.05,IF(D5="P09",(U19*3/100+510)*1.05,IF(D5="H38",3625,IF(D5="H37",3625,IF(D5="EH40",(U19*3/100+450)*1.05,IF(D5="EH43",(U19*3/100+450)*1.05,IF(D5="H48",3625,IF(D5="H43",3625,IF(D5="H40",3625,IF(D5="H42",3625,IF(D5="H44",3625,IF(D5="H45",3625,IF(D5="ASX HL 4WD",3625,IF(D5="H16",3625,IF(D5="H17",3625,IF(D5="P16",3625,IF(D5="Attrage S",3625,IF(D5="MIG09",3625,IF(D5="MIG10",3625,IF(D5="Xpander HL",3690))))))))))))))))))))))))))))))))))))))))))))))))))))</f>
        <v>3690</v>
      </c>
      <c r="P10" s="204"/>
      <c r="Q10" s="204">
        <f>5.25*3</f>
        <v>15.75</v>
      </c>
      <c r="Z10" s="1">
        <f>IF(D5="MIG09",1000,IF(D5="MIG10",1000,IF(D5="H16",1000,IF(D5="P16",1000,IF(D5="H17",1000,IF(D5="H48",1000,IF(D5="H43",1000,IF(D5="H40",1000,IF(D5="H42",1000,IF(D5="H44",1000,IF(D5="H45",1000,IF(D5="H38",1000,IF(D5="H37",1000,IF(D5="EH40",1000,IF(D5="EH43",1000,IF(D5="ML",1000,IF(D5="HL",1000,IF(D5="PR",1000,IF(D5="MLP",1000,IF(D5="HLP",1000,IF(D5="PRP",1000,IF(D5="XPML",1000,IF(D5="XPHL",1000,IF(D5="XPMLP",1000,IF(D5="XPMLP-01",1000,IF(D5="XC",1000,IF(D5="G10",1000,IF(D5="P10",1000,IF(D5="G12",1000,IF(D5="P12",1000,IF(D5="G05",1000,IF(D5="P05",1000,IF(D5="G03",1000,IF(D5="P03",1000,IF(D5="G06",1000,IF(D5="P06",1000,IF(D5="OTP06-01",1000,IF(D5="G08",1000,IF(D5="P08",1000,IF(D5="OTP06-01",1000,IF(D5="G09",1000,IF(D5="P09",1000,IF(D5="H57",1000,IF(D5="P57",1000,IF(D5="H64",1000,IF(D5="H59",1000,IF(D5="P59",1000,IF(D5="H61",1000,IF(D5="P61",1000)))))))))))))))))))))))))))))))))))))))))))))))))</f>
        <v>1000</v>
      </c>
    </row>
    <row r="11" spans="1:27" ht="24.6" x14ac:dyDescent="0.4">
      <c r="A11" s="8"/>
      <c r="B11" s="37" t="s">
        <v>18</v>
      </c>
      <c r="C11" s="20" t="s">
        <v>19</v>
      </c>
      <c r="D11" s="203">
        <f>IF(C11="YES",O17,IF(C11="NO",0))</f>
        <v>2700</v>
      </c>
      <c r="E11" s="39"/>
      <c r="F11" s="40"/>
      <c r="G11" s="40"/>
      <c r="H11" s="33"/>
      <c r="I11" s="33"/>
      <c r="J11" s="44" t="s">
        <v>76</v>
      </c>
      <c r="K11" s="44">
        <f>H8-K10</f>
        <v>20391.235400000001</v>
      </c>
      <c r="L11" s="37"/>
      <c r="M11" s="37"/>
      <c r="N11" s="38"/>
      <c r="O11" s="147">
        <f>IF(D5="XC",6100,IF(D5="XPML",6100,IF(D5="XPHL",6100,IF(D5="XPMLP",6100,IF(D5="XPMLP-01",6100,IF(D5="Xpander P",6100,IF(D5="ML",6600,IF(D5="HL",6600,IF(D5="PR",6600,IF(D5="MLP",6600,IF(D5="HLP",6600,IF(D5="PRP",6600,IF(D5="H57",5900,IF(D5="P57",5900,IF(D5="H64",5900,IF(D5="H59",5900,IF(D5="P59",5900,IF(D5="H61",5900,IF(D5="P61",5900,IF(D5="G03",6700,IF(D5="G10",6700,IF(D5="P10",6700,IF(D5="G12",6700,IF(D5="P12",6700,IF(D5="G05",6700,IF(D5="P05",6700,IF(D5="P03",6700,IF(D5="G06",6700,IF(D5="P06",6700,IF(D5="OTP06-01",6700,IF(D5="G08",6700,IF(D5="G09",6700,IF(D5="G08",6700,IF(D5="P08",6700,IF(D5="P09",6700,IF(D5="H37",6400,IF(D5="H38",6400,IF(D5="EH40",6400,IF(D5="EH43",6400,IF(D5="H48",6600,IF(D5="H43",6600,IF(D5="H40",6600,IF(D5="H42",6600,IF(D5="H44",6600,IF(D5="H45",6600,IF(D5="ASX HL 4WD",6600,IF(D5="H16",5400,IF(D5="H17",5400,IF(D5="P16",5400,IF(D5="Attrage S",5400,IF(D5="MIG09",5400,IF(D5="MIG10",5400,IF(D5="Xpander HL",6000)))))))))))))))))))))))))))))))))))))))))))))))))))))</f>
        <v>6600</v>
      </c>
      <c r="P11" s="147"/>
      <c r="Q11" s="147"/>
      <c r="R11" s="147"/>
      <c r="S11" s="147"/>
      <c r="T11" s="147"/>
      <c r="U11" s="147">
        <f>IF(D5="XC",4900,IF(D5="XPML",4900,IF(D5="XPHL",4900,IF(D5="XPMLP",4900,IF(D5="XPMLP-01",4900,IF(D5="Xpander P",4900,IF(D5="ML",5400,IF(D5="HL",5400,IF(D5="PR",5400,IF(D5="MLP",5400,IF(D5="HLP",5400,IF(D5="PRP",5400,IF(D5="H57",4600,IF(D5="P57",4600,IF(D5="MOG64",4600,IF(D5="H59",4600,IF(D5="P59",4600,IF(D5="H61",4600,IF(D5="P61",4600,IF(D5="G03",5500,IF(D5="P03",5500,IF(D5="G10",5500,IF(D5="P10",5500,IF(D5="G12",5500,IF(D5="P12",5500,IF(D5="G05",5500,IF(D5="P05",5500,IF(D5="G06",5500,IF(D5="P06",5500,IF(D5="OTP06-01",5500,IF(D5="F08",5500,IF(D5="P08",5500,IF(D5="G09",5500,IF(D5="P09",5500,IF(D5="H38",5200,IF(D5="H37",5200,IF(D5="EH40",5200,IF(D5="EH43",5200,IF(D5="H48",5300,IF(D5="H43",5300,IF(D5="H40",5300,IF(D5="H42",5300,IF(D5="H44",5300,IF(D5="H45",5300,IF(D5="ASX HL",5300,IF(D5="ASX P",5300,IF(D5="ASX HL 4WD",5300,IF(D5="H16",4200,IF(D5="H17",4200,IF(D5="P16",4200,IF(D5="Attrage S",4200,IF(D5="MIG09",4200,IF(D5="MIG10",4200,IF(D5="Xpander HL",4900))))))))))))))))))))))))))))))))))))))))))))))))))))))</f>
        <v>5400</v>
      </c>
      <c r="V11" s="147">
        <f>IF(D5="XC",9700,IF(D5="XPML",9700,IF(D5="XPHL",9700,IF(D5="XPMLP",9700,IF(D5="XPMLP-01",9700,IF(D5="XPMLP-01",9700,IF(D5="Xpander P",9700,IF(D5="ML",10800,IF(D5="HL",10800,IF(D5="PR",10800,IF(D5="MLP",10800,IF(D5="HLP",10800,IF(D5="PRP",10800,IF(D5="H57",9300,IF(D5="P57",9300,IF(D5="MG64",9300,IF(D5="H59",9300,IF(D5="P59",9300,IF(D5="H61",9300,IF(D5="P61",9300,IF(D5="G03",11000,IF(D5="G10",11000,IF(D5="P10",11000,IF(D5="G12",11000,IF(D5="P12",11000,IF(D5="G05",11000,IF(D5="P05",11000,IF(D5="P03",11000,IF(D5="G06",11000,IF(D5="P06",11000,IF(D5="OTP06-01",11000,IF(D5="G08",11000,IF(D5="P08",11000,IF(D5="G09",11000,IF(D5="P09",11000,IF(D5="H38",10400,IF(D5="H37",10400,IF(D5="EH40",10400,IF(D5="EH43",10400,IF(D5="H48",10700,IF(D5="H43",10700,IF(D5="H40",10700,IF(D5="H42",10700,IF(D5="H44",10800,IF(D5="H45",10800,IF(D5="ASX HL",12200,IF(D5="ASX P",12200,IF(D5="ASX HL 4WD",12200,IF(D5="H16",8500,IF(D5="H17",8500,IF(D5="P16",8500,IF(D5="Attrage S",9600,IF(D5="MIG09",8500,IF(D5="MIG10",8500,IF(D5="Xpander HL",11300)))))))))))))))))))))))))))))))))))))))))))))))))))))))</f>
        <v>10800</v>
      </c>
      <c r="W11" s="147">
        <f>IF(D5="XC",9200,IF(D5="XPML",9200,IF(D5="XPHL",9200,IF(D5="XPMLP",9200,IF(D5="XPMLP-01",9200,IF(D5="Xpander P",9200,IF(D5="ML",10000,IF(D5="HL",10000,IF(D5="PR",10000,IF(D5="MLP",10000,IF(D5="HLP",10000,IF(D5="PRP",10000,IF(D5="H57",8700,IF(D5="P57",8700,IF(D5="H64",8700,IF(D5="H59",8700,IF(D5="P59",8700,IF(D5="H61",8700,IF(D5="P61",8700,IF(D5="G03",10400,IF(D5="P03",10400,IF(D5="G10",10400,IF(D5="P10",10400,IF(D5="G12",10400,IF(D5="P12",10400,IF(D5="G05",10400,IF(D5="P05",10400,IF(D5="G06",10400,IF(D5="P06",10400,IF(D5="OTP06-01",10400,IF(D5="G08",10400,IF(D5="P08",10400,IF(D5="G09",10400,IF(D5="P09",10400,IF(D5="H38",9800,IF(D5="H37",9800,IF(D5="EH40",9800,IF(D5="EH43",9800,IF(D5="H48",10100,IF(D5="H43",10100,IF(D5="H40",10100,IF(D5="H42",10100,IF(D5="H44",10100,IF(D5="H45",10100,IF(D5="ASX HL",10100,IF(D5="ASX P",10100,IF(D5="ASX HL 4WD",10100,IF(D5="H16",7900,IF(D5="H17",7900,IF(D5="P16",7900,IF(D5="Attrage S",7900,IF(D5="MIG09",7900,IF(D5="MIG10",7900,IF(D5="Xpander HL",9200))))))))))))))))))))))))))))))))))))))))))))))))))))))</f>
        <v>10000</v>
      </c>
      <c r="X11" s="147">
        <f>IF(D5="XC",4500,IF(D5="XPML",4500,IF(D5="XPHL",4500,IF(D5="XPMLP",4500,IF(D5="XPMLP-01",4500,IF(D5="Xpander P",4500,IF(D5="ML",5000,IF(D5="HL",5000,IF(D5="PR",5000,IF(D5="MLP",5000,IF(D5="HLP",5000,IF(D5="PRP",5000,IF(D5="H57",8700,IF(D5="P57",8700,IF(D5="MOG64",4300,IF(D5="H59",4300,IF(D5="P59",4300,IF(D5="H61",4300,IF(D5="P61",4300,IF(D5="G03",5000,IF(D5="P03",5000,IF(D5="G10",5000,IF(D5="P10",5000,IF(D5="G12",5000,IF(D5="P12",5000,IF(D5="G05",5000,IF(D5="P05",5000,IF(D5="G06",5000,IF(D5="P06",5000,IF(D5="OTP06-01",5000,IF(D5="G08",5000,IF(D5="P08",5000,IF(D5="G09",5000,IF(D5="P09",5000,IF(D5="H38",4900,IF(D5="H37",4900,IF(D5="EH40",4900,IF(D5="EH43",4900,IF(D5="H48",4900,IF(D5="H43",4900,IF(D5="H40",4900,IF(D5="H42",4900,IF(D5="H44",4900,IF(D5="H45",4900,IF(D5="ASX HL",4900,IF(D5="ASX P",4900,IF(D5="ASX HL 4WD",4900,IF(D5="H16",3700,IF(D5="H17",3700,IF(D5="P16",3700,IF(D5="Attrage S",3700,IF(D5="MIG09",3700,IF(D5="MIG10",3700,IF(D5="Xpander HL",4500))))))))))))))))))))))))))))))))))))))))))))))))))))))</f>
        <v>5000</v>
      </c>
      <c r="Y11" s="147">
        <f>IF(D5="XC",5400,IF(D5="XPML ",5400,IF(D5="XPHL",5400,IF(D5="XPMLP",5400,IF(D5="XPMLP-01",5400,IF(D5="Xpander P",5400,IF(D5="ML",6000,IF(D5="HL",6000,IF(D5="PR",6000,IF(D5="MLP",6000,IF(D5="HLP",6000,IF(D5="PRP",6000,IF(D5="H57",5200,IF(D5="57",5200,IF(D5="H64",5200,IF(D5="H59",5200,IF(D5="P59",5200,IF(D5="H61",5200,IF(D5="P61",5200,IF(D5="G03",6000,IF(D5="P03",6000,IF(D5="G10",6000,IF(D5="P10",6000,IF(D5="G12",6000,IF(D5="P12",6000,IF(D5="G05",6000,IF(D5="P05",6000,IF(D5="G06",6000,IF(D5="P06",6000,IF(D5="OTP06-01",6000,IF(D5="G08",6000,IF(D5="P08",6000,IF(D5="G09",6000,IF(D5="P09",6000,IF(D5="H38",5700,IF(D5="H37",5700,IF(D5="EH40",5700,IF(D5="EH43",5700,IF(D5="H48",5900,IF(D5="H43",5900,IF(D5="H40",5900,IF(D5="H42",5900,IF(D5="H44",5900,IF(D5="H45",5900,IF(D5="ASX HL",5900,IF(D5="ASX P",5900,IF(D5="ASX HL 4WD",5900,IF(D5="H16",4500,IF(D5="H17",4500,IF(D5="P16",4500,IF(D5="Attrage S",4500,IF(D5="MIG09",4500,IF(D5="MIG10",4500,IF(D5="Xpander HL",5400))))))))))))))))))))))))))))))))))))))))))))))))))))))</f>
        <v>6000</v>
      </c>
    </row>
    <row r="12" spans="1:27" ht="24.6" x14ac:dyDescent="0.4">
      <c r="A12" s="8"/>
      <c r="B12" s="37" t="s">
        <v>20</v>
      </c>
      <c r="C12" s="20" t="s">
        <v>17</v>
      </c>
      <c r="D12" s="36">
        <f>IF(C12="YES",2000,IF(C12="NO",0))</f>
        <v>0</v>
      </c>
      <c r="E12" s="43"/>
      <c r="F12" s="43" t="s">
        <v>21</v>
      </c>
      <c r="G12" s="40"/>
      <c r="H12" s="33">
        <v>600</v>
      </c>
      <c r="I12" s="33"/>
      <c r="J12" s="202" t="s">
        <v>140</v>
      </c>
      <c r="K12" s="45">
        <v>0</v>
      </c>
      <c r="L12" s="45">
        <v>5.2499999999999998E-2</v>
      </c>
      <c r="M12" s="45">
        <v>0.126</v>
      </c>
      <c r="N12" s="201">
        <v>0.26250000000000001</v>
      </c>
      <c r="O12" s="147">
        <f>IF(K20="Esaad",B8*3/100,IF(K20="Emirates Platinum",B8*3/100,IF(K20="Fazaa",B8*3/100,IF(K20="Humat Alwatan",B8*3/100,IF(K20="Permissible",2000,IF(K20="ASX",8400,IF(K20="XPMLP",15100,IF(K20="XP",7200,IF(K20="G43",11000,IF(K20="EC",17000,IF(K20="G37",17000,IF(K20="G38",15000,IF(K20="G40",11000,IF(K20="OUT",3000,IF(K20="F08",14400,IF(K20="P08",11100,IF(K20="F06",13100,IF(K20="P06",13400,IF(K20="F03",3500,IF(K20="F03-1",13500,IF(K20="P03",13100,IF(K20="MON",10000,IF(K20="MON G57",9000,0)))))))))))))))))))))))</f>
        <v>2000</v>
      </c>
      <c r="Z12" s="86" t="s">
        <v>83</v>
      </c>
      <c r="AA12" s="86" t="s">
        <v>84</v>
      </c>
    </row>
    <row r="13" spans="1:27" ht="24.6" x14ac:dyDescent="0.4">
      <c r="A13" s="8">
        <f>B8*1.26582</f>
        <v>106202.298</v>
      </c>
      <c r="B13" s="37" t="s">
        <v>23</v>
      </c>
      <c r="C13" s="20" t="s">
        <v>19</v>
      </c>
      <c r="D13" s="36">
        <f>IF(C13="YES",2000,IF(C13="NO",0))</f>
        <v>2000</v>
      </c>
      <c r="E13" s="47"/>
      <c r="F13" s="47" t="s">
        <v>75</v>
      </c>
      <c r="G13" s="51"/>
      <c r="H13" s="39">
        <v>315</v>
      </c>
      <c r="I13" s="33"/>
      <c r="J13" s="44" t="s">
        <v>54</v>
      </c>
      <c r="K13" s="29" t="s">
        <v>79</v>
      </c>
      <c r="L13" s="29" t="s">
        <v>25</v>
      </c>
      <c r="M13" s="29" t="s">
        <v>0</v>
      </c>
      <c r="N13" s="57" t="s">
        <v>26</v>
      </c>
      <c r="O13" s="9">
        <f>IF(M21="3000-4999",6%,IF(M21="5000-9999",4.75%,IF(M21="10000-14999",3.15%,IF(M21="15000-24999",2.5%,IF(M21="25000-34999",2.25%,IF(M21="35000-99999",2.15%))))))</f>
        <v>4.7500000000000001E-2</v>
      </c>
      <c r="Q13" s="2">
        <f>H7/12</f>
        <v>1782.6029500000002</v>
      </c>
      <c r="U13" s="9">
        <f>IF(M21="3000-4999",6%,IF(M21="5000-9999",3.25%,IF(M21="10000-14999",3%,IF(M21="15000-24999",2.25%,IF(M21="25000-34999",2.15%,IF(M21="35000-99999",1.99%))))))</f>
        <v>3.2500000000000001E-2</v>
      </c>
      <c r="Z13" s="99">
        <f>IF(M21="5000-9999",2.49%,IF(M21="10000-19999",2.19%,IF(M21="20000-34999",2.09%,IF(M21="35000-49999",1.89%,IF(M21="50000-99999",1.79%)))))</f>
        <v>2.4900000000000002E-2</v>
      </c>
      <c r="AA13" s="99">
        <f>IF(M21="5000-9999",2.59%,IF(M21="10000-19999",2.29%,IF(M21="20000-34999",2.19%,IF(M21="35000-49999",1.99%,IF(M21="50000-99999",1.89%)))))</f>
        <v>2.5899999999999999E-2</v>
      </c>
    </row>
    <row r="14" spans="1:27" ht="24.6" x14ac:dyDescent="0.4">
      <c r="A14" s="10" t="s">
        <v>27</v>
      </c>
      <c r="B14" s="37" t="s">
        <v>24</v>
      </c>
      <c r="C14" s="20" t="s">
        <v>19</v>
      </c>
      <c r="D14" s="50">
        <f>IF(C14="YES",U19*3.15*1.05/100,IF(C14="NO",U19*0/100))</f>
        <v>3306.1770000000001</v>
      </c>
      <c r="E14" s="48"/>
      <c r="F14" s="48" t="s">
        <v>24</v>
      </c>
      <c r="G14" s="51" t="s">
        <v>17</v>
      </c>
      <c r="H14" s="39">
        <f>IF(G14="YES",U19*3.15*1.05/100,IF(G14="NO",U19*0/100))</f>
        <v>0</v>
      </c>
      <c r="I14" s="33"/>
      <c r="J14" s="44" t="s">
        <v>55</v>
      </c>
      <c r="K14" s="44">
        <f>(H8*K12+H8)/3</f>
        <v>7130.4118000000008</v>
      </c>
      <c r="L14" s="44">
        <f>(H8*L12+H8)/12</f>
        <v>1876.1896048750002</v>
      </c>
      <c r="M14" s="44">
        <f>(H8*M12+H8)/24</f>
        <v>1003.60546085</v>
      </c>
      <c r="N14" s="200">
        <f>(H7*N12+H7)/60</f>
        <v>450.10724487500005</v>
      </c>
      <c r="O14" s="9">
        <f>IF(M21="3000-4999",3.89%,IF(M21="5000-9999",3.89%,IF(M21="10000-14999",3.89%,IF(M21="15000-24999",2.69%,IF(M21="25000-34999",2.69%,IF(M21="35000-99999",2.39%,IF(M21="76000-99999",2.5%)))))))</f>
        <v>3.8900000000000004E-2</v>
      </c>
    </row>
    <row r="15" spans="1:27" ht="24.6" x14ac:dyDescent="0.4">
      <c r="A15" s="11">
        <f>(B7*3%)+10+120</f>
        <v>2647</v>
      </c>
      <c r="B15" s="37" t="s">
        <v>28</v>
      </c>
      <c r="C15" s="20" t="s">
        <v>19</v>
      </c>
      <c r="D15" s="29">
        <f>IF(C15="YES",O10,IF(C15="NO",0))</f>
        <v>3690</v>
      </c>
      <c r="E15" s="48"/>
      <c r="F15" s="48" t="s">
        <v>53</v>
      </c>
      <c r="G15" s="51" t="s">
        <v>17</v>
      </c>
      <c r="H15" s="39">
        <f>IF(G15="YES",O10,IF(G15="NO",0))</f>
        <v>0</v>
      </c>
      <c r="I15" s="33"/>
      <c r="J15" s="44"/>
      <c r="K15" s="44"/>
      <c r="L15" s="44"/>
      <c r="M15" s="44"/>
      <c r="N15" s="198"/>
      <c r="O15" s="9" t="b">
        <f>IF(M21="3000-4999",4.99%, IF(M21="5000-11999",2.75%,IF(M21="12000-19999",2.75%,IF(M21="20000-39999",2.25%,IF(M21="40000-69999",2.25%,IF(M21="70000-99999",2.25%))))))</f>
        <v>0</v>
      </c>
      <c r="P15" s="191"/>
    </row>
    <row r="16" spans="1:27" ht="24.6" x14ac:dyDescent="0.4">
      <c r="A16" s="11">
        <f>((B7-B8)*3%+10+120)</f>
        <v>130</v>
      </c>
      <c r="B16" s="37" t="s">
        <v>78</v>
      </c>
      <c r="C16" s="20" t="s">
        <v>19</v>
      </c>
      <c r="D16" s="29">
        <f>IF(C16="YES",O16,IF(C16="NO",0))</f>
        <v>6600</v>
      </c>
      <c r="E16" s="47"/>
      <c r="F16" s="47" t="s">
        <v>74</v>
      </c>
      <c r="G16" s="54"/>
      <c r="H16" s="33">
        <f>I7*1.05%</f>
        <v>898.43188679999992</v>
      </c>
      <c r="I16" s="33"/>
      <c r="J16" s="44" t="s">
        <v>16</v>
      </c>
      <c r="K16" s="44">
        <f>(K14*3)-H8</f>
        <v>0</v>
      </c>
      <c r="L16" s="44">
        <f>(L14*12)-H8</f>
        <v>1123.0398585000003</v>
      </c>
      <c r="M16" s="44">
        <f>(M14*24)-H8</f>
        <v>2695.2956603999992</v>
      </c>
      <c r="N16" s="198"/>
      <c r="O16" s="147">
        <f>IF(B16="RMC-10-70KMS",O11,IF(B16="RMC-10-100000KMS",V11,IF(B16="RMC-40-70KMS",U11, IF(B16="RMC-10-40KMS",X11, IF(B16="RMC-10-60KMS",Y11, IF(B16="RMC-40-100000KMS",W11,0))))))</f>
        <v>6600</v>
      </c>
    </row>
    <row r="17" spans="1:23" ht="24.6" x14ac:dyDescent="0.4">
      <c r="A17" s="11">
        <f>A15+A16</f>
        <v>2777</v>
      </c>
      <c r="B17" s="37"/>
      <c r="C17" s="20"/>
      <c r="D17" s="29">
        <f>SUM(D10:D16)</f>
        <v>18296.177</v>
      </c>
      <c r="E17" s="48"/>
      <c r="F17" s="48"/>
      <c r="G17" s="54"/>
      <c r="H17" s="33">
        <f>+SUM(H12:H16)+(H7)</f>
        <v>23204.667286800002</v>
      </c>
      <c r="I17" s="33"/>
      <c r="J17" s="20"/>
      <c r="K17" s="199"/>
      <c r="L17" s="199"/>
      <c r="M17" s="199"/>
      <c r="N17" s="198"/>
      <c r="O17" s="147">
        <f>IF(B11="FO Ceramic+ Intr&amp;Extr CeramicGold WdwTnt",2700,IF(B11="FO Mirror Camera Sensor",2000))</f>
        <v>2700</v>
      </c>
      <c r="T17" s="1">
        <f>19615-791</f>
        <v>18824</v>
      </c>
    </row>
    <row r="18" spans="1:23" ht="24.6" x14ac:dyDescent="0.4">
      <c r="A18" s="12" t="s">
        <v>29</v>
      </c>
      <c r="B18" s="55" t="s">
        <v>30</v>
      </c>
      <c r="C18" s="197"/>
      <c r="D18" s="57">
        <v>0</v>
      </c>
      <c r="E18" s="38"/>
      <c r="F18" s="20"/>
      <c r="G18" s="20"/>
      <c r="H18" s="37"/>
      <c r="I18" s="37"/>
      <c r="J18" s="37"/>
      <c r="K18" s="37"/>
      <c r="L18" s="37"/>
      <c r="M18" s="37"/>
      <c r="N18" s="37"/>
      <c r="O18" s="9" t="b">
        <f>IF(M21="5000-99999",1.99%)</f>
        <v>0</v>
      </c>
      <c r="U18" s="196" t="s">
        <v>52</v>
      </c>
      <c r="V18" s="196" t="s">
        <v>52</v>
      </c>
    </row>
    <row r="19" spans="1:23" ht="24.6" x14ac:dyDescent="0.4">
      <c r="A19" s="11">
        <f>B8*3.15%</f>
        <v>2642.85</v>
      </c>
      <c r="B19" s="58" t="s">
        <v>31</v>
      </c>
      <c r="C19" s="59"/>
      <c r="D19" s="60">
        <f>IF(K21="DIB EXPAT",O13,IF(K21="DIB LOCAL GVH",U13,IF(K21="Emirates NBD",O14,IF(K21="ADCB",O15,IF(K21="ADCB PAY IN 2027",O19,IF(K21="Ajman Bank",O18,IF(K21="SIB STL",Z13,IF(K21="SIB NON STL",AA13,))))))))</f>
        <v>3.8900000000000004E-2</v>
      </c>
      <c r="E19" s="20"/>
      <c r="F19" s="195"/>
      <c r="G19" s="141" t="s">
        <v>73</v>
      </c>
      <c r="H19" s="142"/>
      <c r="I19" s="143"/>
      <c r="J19" s="109">
        <f>(U19*20/100)/365</f>
        <v>54.772602739726025</v>
      </c>
      <c r="K19" s="37"/>
      <c r="L19" s="37"/>
      <c r="M19" s="37"/>
      <c r="N19" s="34">
        <f>D7</f>
        <v>88095</v>
      </c>
      <c r="O19" s="194" t="b">
        <f>IF(M21="5000-11999",3.35%,IF(M21="12000-19999",3.35%,IF(M21="20000-39999",2.85%,IF(M21="40000-69999",2.85%,IF(M21="70000-99999",2.85%)))))</f>
        <v>0</v>
      </c>
      <c r="P19" s="2">
        <f>81400-2500</f>
        <v>78900</v>
      </c>
      <c r="U19" s="193">
        <f>V19</f>
        <v>99960</v>
      </c>
      <c r="V19" s="192">
        <f>(B7+D10+D11+D12+D13+D16)*1.05</f>
        <v>99960</v>
      </c>
    </row>
    <row r="20" spans="1:23" ht="24.6" x14ac:dyDescent="0.4">
      <c r="A20" s="11"/>
      <c r="B20" s="58" t="s">
        <v>32</v>
      </c>
      <c r="C20" s="59"/>
      <c r="D20" s="63">
        <v>0.2</v>
      </c>
      <c r="E20" s="37"/>
      <c r="F20" s="37"/>
      <c r="G20" s="38"/>
      <c r="H20" s="38"/>
      <c r="I20" s="38"/>
      <c r="J20" s="103"/>
      <c r="K20" s="104" t="s">
        <v>33</v>
      </c>
      <c r="L20" s="104" t="s">
        <v>17</v>
      </c>
      <c r="M20" s="104">
        <f>IF(L20="YES",O12,IF(L20="NO",0))</f>
        <v>0</v>
      </c>
      <c r="N20" s="34">
        <f>B8-M20</f>
        <v>83900</v>
      </c>
      <c r="O20" s="187"/>
      <c r="P20" s="191"/>
      <c r="T20" s="1">
        <f>1992+1084</f>
        <v>3076</v>
      </c>
      <c r="U20" s="186"/>
      <c r="V20" s="2"/>
    </row>
    <row r="21" spans="1:23" ht="24.6" x14ac:dyDescent="0.4">
      <c r="A21" s="13">
        <f>A19+A20</f>
        <v>2642.85</v>
      </c>
      <c r="B21" s="37"/>
      <c r="C21" s="20"/>
      <c r="D21" s="37"/>
      <c r="E21" s="37"/>
      <c r="F21" s="37"/>
      <c r="G21" s="37"/>
      <c r="H21" s="37"/>
      <c r="I21" s="37"/>
      <c r="J21" s="190" t="s">
        <v>34</v>
      </c>
      <c r="K21" s="16" t="s">
        <v>139</v>
      </c>
      <c r="L21" s="16" t="s">
        <v>35</v>
      </c>
      <c r="M21" s="189" t="s">
        <v>80</v>
      </c>
      <c r="N21" s="188"/>
      <c r="O21" s="187"/>
      <c r="T21" s="1">
        <f>25973-12973</f>
        <v>13000</v>
      </c>
      <c r="U21" s="186">
        <f>M14+N7</f>
        <v>2707.0608398699997</v>
      </c>
    </row>
    <row r="22" spans="1:23" s="179" customFormat="1" ht="24.6" x14ac:dyDescent="0.4">
      <c r="A22" s="185"/>
      <c r="B22" s="184" t="s">
        <v>51</v>
      </c>
      <c r="C22" s="183"/>
      <c r="D22" s="183"/>
      <c r="E22" s="183"/>
      <c r="F22" s="183"/>
      <c r="G22" s="183"/>
      <c r="H22" s="183"/>
      <c r="I22" s="183"/>
      <c r="J22" s="183"/>
      <c r="K22" s="183"/>
      <c r="L22" s="183"/>
      <c r="M22" s="183"/>
      <c r="N22" s="182"/>
      <c r="O22" s="181"/>
      <c r="P22" s="180"/>
    </row>
    <row r="23" spans="1:23" s="168" customFormat="1" ht="26.4" x14ac:dyDescent="0.5">
      <c r="A23" s="175" t="s">
        <v>36</v>
      </c>
      <c r="B23" s="172" t="s">
        <v>138</v>
      </c>
      <c r="C23" s="169"/>
      <c r="D23" s="169"/>
      <c r="E23" s="169"/>
      <c r="F23" s="169"/>
      <c r="G23" s="169"/>
      <c r="H23" s="176"/>
      <c r="I23" s="176"/>
      <c r="J23" s="169"/>
      <c r="K23" s="169"/>
      <c r="L23" s="169"/>
      <c r="M23" s="169"/>
      <c r="N23" s="178"/>
      <c r="O23" s="170"/>
      <c r="P23" s="169"/>
    </row>
    <row r="24" spans="1:23" s="168" customFormat="1" ht="26.4" x14ac:dyDescent="0.5">
      <c r="A24" s="175" t="s">
        <v>36</v>
      </c>
      <c r="B24" s="172" t="s">
        <v>137</v>
      </c>
      <c r="C24" s="169"/>
      <c r="D24" s="169"/>
      <c r="E24" s="169"/>
      <c r="F24" s="169"/>
      <c r="G24" s="169"/>
      <c r="H24" s="177">
        <f>H7/365</f>
        <v>58.606124383561649</v>
      </c>
      <c r="I24" s="177">
        <f>H7+H12+H16</f>
        <v>22889.667286800002</v>
      </c>
      <c r="J24" s="169"/>
      <c r="K24" s="169"/>
      <c r="L24" s="169"/>
      <c r="M24" s="169"/>
      <c r="N24" s="173"/>
      <c r="O24" s="170"/>
      <c r="P24" s="169">
        <f>1232+480</f>
        <v>1712</v>
      </c>
      <c r="T24" s="168">
        <f>88704/1.05</f>
        <v>84480</v>
      </c>
    </row>
    <row r="25" spans="1:23" s="168" customFormat="1" ht="26.4" x14ac:dyDescent="0.5">
      <c r="A25" s="175" t="s">
        <v>36</v>
      </c>
      <c r="B25" s="172" t="s">
        <v>136</v>
      </c>
      <c r="C25" s="169"/>
      <c r="D25" s="169"/>
      <c r="E25" s="169"/>
      <c r="F25" s="169"/>
      <c r="G25" s="169"/>
      <c r="H25" s="176"/>
      <c r="I25" s="176"/>
      <c r="J25" s="169"/>
      <c r="K25" s="169"/>
      <c r="L25" s="169"/>
      <c r="M25" s="169"/>
      <c r="N25" s="173"/>
      <c r="O25" s="170"/>
      <c r="P25" s="169"/>
      <c r="Q25" s="168">
        <f>79400-5233.33</f>
        <v>74166.67</v>
      </c>
      <c r="R25" s="168">
        <f>Q25*1.05</f>
        <v>77875.003500000006</v>
      </c>
      <c r="W25" s="168">
        <f>1999+1224</f>
        <v>3223</v>
      </c>
    </row>
    <row r="26" spans="1:23" s="168" customFormat="1" ht="26.4" x14ac:dyDescent="0.5">
      <c r="A26" s="175" t="s">
        <v>36</v>
      </c>
      <c r="B26" s="172" t="s">
        <v>135</v>
      </c>
      <c r="C26" s="169"/>
      <c r="D26" s="169"/>
      <c r="E26" s="169"/>
      <c r="F26" s="169"/>
      <c r="G26" s="169"/>
      <c r="H26" s="169"/>
      <c r="I26" s="169"/>
      <c r="J26" s="169"/>
      <c r="K26" s="169"/>
      <c r="L26" s="169"/>
      <c r="M26" s="169"/>
      <c r="N26" s="173"/>
      <c r="O26" s="170" t="s">
        <v>37</v>
      </c>
      <c r="P26" s="169"/>
      <c r="R26" s="168">
        <f>R25+2469</f>
        <v>80344.003500000006</v>
      </c>
    </row>
    <row r="27" spans="1:23" s="168" customFormat="1" ht="26.4" x14ac:dyDescent="0.5">
      <c r="A27" s="175" t="s">
        <v>36</v>
      </c>
      <c r="B27" s="172" t="s">
        <v>134</v>
      </c>
      <c r="C27" s="169"/>
      <c r="D27" s="169"/>
      <c r="E27" s="169"/>
      <c r="F27" s="169"/>
      <c r="G27" s="169"/>
      <c r="H27" s="169"/>
      <c r="I27" s="169"/>
      <c r="J27" s="169"/>
      <c r="K27" s="169"/>
      <c r="L27" s="169"/>
      <c r="M27" s="169"/>
      <c r="N27" s="173"/>
      <c r="O27" s="170">
        <f>129500-110900</f>
        <v>18600</v>
      </c>
      <c r="P27" s="169"/>
      <c r="W27" s="174">
        <f>N7+L14</f>
        <v>3579.6449838950002</v>
      </c>
    </row>
    <row r="28" spans="1:23" s="168" customFormat="1" ht="26.4" x14ac:dyDescent="0.5">
      <c r="B28" s="172" t="s">
        <v>133</v>
      </c>
      <c r="C28" s="169"/>
      <c r="D28" s="169"/>
      <c r="E28" s="169"/>
      <c r="F28" s="169"/>
      <c r="G28" s="169"/>
      <c r="H28" s="169"/>
      <c r="I28" s="169"/>
      <c r="J28" s="169"/>
      <c r="K28" s="169"/>
      <c r="L28" s="169"/>
      <c r="M28" s="169"/>
      <c r="N28" s="173"/>
      <c r="O28" s="170">
        <f>85000-69900</f>
        <v>15100</v>
      </c>
      <c r="P28" s="169"/>
    </row>
    <row r="29" spans="1:23" s="168" customFormat="1" ht="26.4" x14ac:dyDescent="0.5">
      <c r="B29" s="172" t="s">
        <v>132</v>
      </c>
      <c r="C29" s="169"/>
      <c r="D29" s="169"/>
      <c r="E29" s="169"/>
      <c r="F29" s="169"/>
      <c r="G29" s="169"/>
      <c r="H29" s="169"/>
      <c r="I29" s="169"/>
      <c r="J29" s="169"/>
      <c r="K29" s="169"/>
      <c r="L29" s="169"/>
      <c r="M29" s="169"/>
      <c r="N29" s="171"/>
      <c r="O29" s="170"/>
      <c r="P29" s="169"/>
    </row>
    <row r="30" spans="1:23" x14ac:dyDescent="0.3">
      <c r="B30" s="167" t="s">
        <v>38</v>
      </c>
      <c r="C30" s="166"/>
      <c r="D30" s="166"/>
      <c r="E30" s="166"/>
      <c r="F30" s="166"/>
      <c r="G30" s="166"/>
      <c r="H30" s="166"/>
      <c r="I30" s="166"/>
      <c r="J30" s="166"/>
      <c r="K30" s="166"/>
      <c r="L30" s="166"/>
      <c r="M30" s="166"/>
      <c r="N30" s="165"/>
      <c r="O30" s="147"/>
    </row>
    <row r="31" spans="1:23" x14ac:dyDescent="0.3">
      <c r="B31" s="146"/>
      <c r="C31" s="145"/>
      <c r="D31" s="145"/>
      <c r="E31" s="145"/>
      <c r="F31" s="145"/>
      <c r="G31" s="145"/>
      <c r="H31" s="145"/>
      <c r="I31" s="145"/>
      <c r="J31" s="145"/>
      <c r="K31" s="145"/>
      <c r="L31" s="145"/>
      <c r="M31" s="145"/>
      <c r="N31" s="144"/>
      <c r="O31" s="147"/>
    </row>
    <row r="32" spans="1:23" s="86" customFormat="1" ht="20.399999999999999" x14ac:dyDescent="0.35">
      <c r="B32" s="118" t="s">
        <v>39</v>
      </c>
      <c r="C32" s="119"/>
      <c r="D32" s="119"/>
      <c r="E32" s="119"/>
      <c r="F32" s="119"/>
      <c r="G32" s="119"/>
      <c r="H32" s="119"/>
      <c r="I32" s="119"/>
      <c r="J32" s="119"/>
      <c r="K32" s="119"/>
      <c r="L32" s="119"/>
      <c r="M32" s="119"/>
      <c r="N32" s="120"/>
      <c r="O32" s="92"/>
      <c r="P32" s="83"/>
    </row>
    <row r="33" spans="2:16" s="86" customFormat="1" ht="20.399999999999999" x14ac:dyDescent="0.35">
      <c r="B33" s="118" t="s">
        <v>40</v>
      </c>
      <c r="C33" s="119"/>
      <c r="D33" s="119"/>
      <c r="E33" s="119"/>
      <c r="F33" s="119"/>
      <c r="G33" s="119"/>
      <c r="H33" s="119"/>
      <c r="I33" s="119"/>
      <c r="J33" s="119"/>
      <c r="K33" s="119"/>
      <c r="L33" s="119"/>
      <c r="M33" s="119"/>
      <c r="N33" s="120"/>
      <c r="O33" s="92"/>
      <c r="P33" s="83"/>
    </row>
    <row r="34" spans="2:16" s="86" customFormat="1" ht="20.399999999999999" x14ac:dyDescent="0.35">
      <c r="B34" s="107" t="s">
        <v>131</v>
      </c>
      <c r="C34" s="108"/>
      <c r="D34" s="108"/>
      <c r="E34" s="108"/>
      <c r="F34" s="108"/>
      <c r="G34" s="164" t="s">
        <v>130</v>
      </c>
      <c r="H34" s="164"/>
      <c r="I34" s="163"/>
      <c r="J34" s="163"/>
      <c r="K34" s="163"/>
      <c r="L34" s="163"/>
      <c r="M34" s="162" t="s">
        <v>129</v>
      </c>
      <c r="N34" s="161"/>
      <c r="O34" s="83"/>
      <c r="P34" s="83"/>
    </row>
    <row r="35" spans="2:16" x14ac:dyDescent="0.3">
      <c r="B35" s="160"/>
      <c r="C35" s="159"/>
      <c r="D35" s="159"/>
      <c r="E35" s="159"/>
      <c r="F35" s="159"/>
      <c r="G35" s="159"/>
      <c r="H35" s="159"/>
      <c r="I35" s="159"/>
      <c r="J35" s="159"/>
      <c r="K35" s="159"/>
      <c r="L35" s="159"/>
      <c r="M35" s="159"/>
      <c r="N35" s="158"/>
    </row>
    <row r="36" spans="2:16" x14ac:dyDescent="0.3">
      <c r="B36" s="160"/>
      <c r="C36" s="159"/>
      <c r="D36" s="159"/>
      <c r="E36" s="159"/>
      <c r="F36" s="159"/>
      <c r="G36" s="159"/>
      <c r="H36" s="159"/>
      <c r="I36" s="159"/>
      <c r="J36" s="159"/>
      <c r="K36" s="159"/>
      <c r="L36" s="159"/>
      <c r="M36" s="159"/>
      <c r="N36" s="158"/>
    </row>
    <row r="37" spans="2:16" x14ac:dyDescent="0.3">
      <c r="B37" s="160"/>
      <c r="C37" s="159"/>
      <c r="D37" s="159"/>
      <c r="E37" s="159"/>
      <c r="F37" s="159"/>
      <c r="G37" s="159"/>
      <c r="H37" s="159"/>
      <c r="I37" s="159"/>
      <c r="J37" s="159"/>
      <c r="K37" s="159"/>
      <c r="L37" s="159"/>
      <c r="M37" s="159"/>
      <c r="N37" s="158"/>
    </row>
    <row r="38" spans="2:16" ht="16.8" x14ac:dyDescent="0.3">
      <c r="B38" s="149" t="s">
        <v>128</v>
      </c>
      <c r="C38" s="157"/>
      <c r="D38" s="154"/>
      <c r="E38" s="151"/>
      <c r="F38" s="151"/>
      <c r="G38" s="151"/>
      <c r="H38" s="151"/>
      <c r="I38" s="151"/>
      <c r="J38" s="152"/>
      <c r="K38" s="151"/>
      <c r="L38" s="151"/>
      <c r="M38" s="151"/>
      <c r="N38" s="156"/>
    </row>
    <row r="39" spans="2:16" ht="16.8" x14ac:dyDescent="0.3">
      <c r="B39" s="149" t="s">
        <v>127</v>
      </c>
      <c r="C39" s="155"/>
      <c r="D39" s="154"/>
      <c r="E39" s="151"/>
      <c r="F39" s="151"/>
      <c r="G39" s="151"/>
      <c r="H39" s="151"/>
      <c r="I39" s="151"/>
      <c r="J39" s="152"/>
      <c r="K39" s="151"/>
      <c r="L39" s="151"/>
      <c r="M39" s="151"/>
      <c r="N39" s="150"/>
    </row>
    <row r="40" spans="2:16" ht="16.8" x14ac:dyDescent="0.3">
      <c r="B40" s="149" t="s">
        <v>126</v>
      </c>
      <c r="C40" s="153"/>
      <c r="D40" s="151"/>
      <c r="E40" s="151"/>
      <c r="F40" s="151"/>
      <c r="G40" s="151"/>
      <c r="H40" s="151"/>
      <c r="I40" s="151"/>
      <c r="J40" s="152"/>
      <c r="K40" s="151"/>
      <c r="L40" s="151"/>
      <c r="M40" s="151"/>
      <c r="N40" s="150"/>
    </row>
    <row r="41" spans="2:16" ht="16.8" x14ac:dyDescent="0.3">
      <c r="B41" s="149" t="s">
        <v>125</v>
      </c>
      <c r="N41" s="148"/>
    </row>
    <row r="42" spans="2:16" ht="16.8" x14ac:dyDescent="0.3">
      <c r="B42" s="149" t="s">
        <v>124</v>
      </c>
      <c r="N42" s="148"/>
    </row>
    <row r="43" spans="2:16" ht="16.8" x14ac:dyDescent="0.3">
      <c r="B43" s="149" t="s">
        <v>123</v>
      </c>
      <c r="N43" s="148"/>
    </row>
    <row r="44" spans="2:16" ht="16.8" x14ac:dyDescent="0.3">
      <c r="B44" s="149" t="s">
        <v>122</v>
      </c>
      <c r="N44" s="148"/>
    </row>
    <row r="45" spans="2:16" ht="16.8" x14ac:dyDescent="0.3">
      <c r="B45" s="149" t="s">
        <v>121</v>
      </c>
      <c r="N45" s="148"/>
    </row>
    <row r="46" spans="2:16" ht="16.8" x14ac:dyDescent="0.3">
      <c r="B46" s="149" t="s">
        <v>120</v>
      </c>
      <c r="N46" s="148"/>
    </row>
    <row r="47" spans="2:16" x14ac:dyDescent="0.3">
      <c r="B47" s="146" t="s">
        <v>39</v>
      </c>
      <c r="C47" s="145"/>
      <c r="D47" s="145"/>
      <c r="E47" s="145"/>
      <c r="F47" s="145"/>
      <c r="G47" s="145"/>
      <c r="H47" s="145"/>
      <c r="I47" s="145"/>
      <c r="J47" s="145"/>
      <c r="K47" s="145"/>
      <c r="L47" s="145"/>
      <c r="M47" s="145"/>
      <c r="N47" s="144"/>
      <c r="O47" s="147"/>
    </row>
    <row r="48" spans="2:16" x14ac:dyDescent="0.3">
      <c r="B48" s="146" t="s">
        <v>40</v>
      </c>
      <c r="C48" s="145"/>
      <c r="D48" s="145"/>
      <c r="E48" s="145"/>
      <c r="F48" s="145"/>
      <c r="G48" s="145"/>
      <c r="H48" s="145"/>
      <c r="I48" s="145"/>
      <c r="J48" s="145"/>
      <c r="K48" s="145"/>
      <c r="L48" s="145"/>
      <c r="M48" s="145"/>
      <c r="N48" s="144"/>
      <c r="O48" s="147"/>
    </row>
    <row r="49" spans="2:14" x14ac:dyDescent="0.3">
      <c r="B49" s="146" t="s">
        <v>119</v>
      </c>
      <c r="C49" s="145"/>
      <c r="D49" s="145"/>
      <c r="E49" s="145"/>
      <c r="F49" s="145"/>
      <c r="G49" s="145"/>
      <c r="H49" s="145"/>
      <c r="I49" s="145"/>
      <c r="J49" s="145"/>
      <c r="K49" s="145"/>
      <c r="L49" s="145"/>
      <c r="M49" s="145"/>
      <c r="N49" s="144"/>
    </row>
    <row r="50" spans="2:14" ht="25.8" x14ac:dyDescent="0.3">
      <c r="C50" s="15" t="s">
        <v>41</v>
      </c>
    </row>
    <row r="51" spans="2:14" ht="25.8" x14ac:dyDescent="0.3">
      <c r="C51" s="15" t="s">
        <v>42</v>
      </c>
    </row>
    <row r="52" spans="2:14" ht="25.8" x14ac:dyDescent="0.3">
      <c r="C52" s="15" t="s">
        <v>43</v>
      </c>
    </row>
    <row r="53" spans="2:14" ht="25.8" x14ac:dyDescent="0.3">
      <c r="C53" s="15" t="s">
        <v>44</v>
      </c>
    </row>
    <row r="54" spans="2:14" ht="25.8" x14ac:dyDescent="0.3">
      <c r="C54" s="15" t="s">
        <v>45</v>
      </c>
    </row>
  </sheetData>
  <dataConsolidate/>
  <mergeCells count="11">
    <mergeCell ref="F8:G8"/>
    <mergeCell ref="F9:G9"/>
    <mergeCell ref="G19:I19"/>
    <mergeCell ref="B22:N22"/>
    <mergeCell ref="B30:N30"/>
    <mergeCell ref="B32:N32"/>
    <mergeCell ref="B33:N33"/>
    <mergeCell ref="B47:N47"/>
    <mergeCell ref="B48:N48"/>
    <mergeCell ref="B49:N49"/>
    <mergeCell ref="B31:N31"/>
  </mergeCells>
  <dataValidations count="11">
    <dataValidation type="list" allowBlank="1" showInputMessage="1" showErrorMessage="1" sqref="H34" xr:uid="{76521CEC-B21A-4709-BCF1-DE3203A3D72A}">
      <formula1>"ALAA HAMMAD,KHALED QASSEM,RAMY RAOUF,SIMON LOBO,MHAREN CLEMENTE GARADO"</formula1>
    </dataValidation>
    <dataValidation type="list" allowBlank="1" showInputMessage="1" showErrorMessage="1" sqref="M34" xr:uid="{F5D9D04F-86DA-4436-9991-B43809C4114F}">
      <formula1>"Alaa Hammad,Bachir Ibrahim Mourad,Khaled Qassem,Ramy Raoof,Simon Lobo,Mharen Clemente Garado,Ranjith"</formula1>
    </dataValidation>
    <dataValidation type="list" allowBlank="1" showInputMessage="1" showErrorMessage="1" sqref="B11" xr:uid="{8BA6DA5A-4A1E-43DB-8894-A26D9FF07A91}">
      <formula1>"FO Ceramic+ Intr&amp;Extr CeramicGold WdwTnt,FO Mirror Camera Sensor"</formula1>
    </dataValidation>
    <dataValidation type="list" allowBlank="1" showInputMessage="1" showErrorMessage="1" sqref="B12" xr:uid="{B431B139-FB0D-455B-9E92-F77285822A14}">
      <formula1>"FO Exterior ceramic All Cars SCOTCHGUARD,FO Mirror Camera Sensor,FO PPF Gold Package "</formula1>
    </dataValidation>
    <dataValidation type="list" allowBlank="1" showInputMessage="1" showErrorMessage="1" sqref="K20" xr:uid="{6D263C7C-373E-4DBC-8EDE-2DA6D9CE9195}">
      <formula1>"Esaad,Emirates Platinum,Fazaa,Humat Alwatan,Permissible,ASX,XPMLP,XP,MON,MON G57,OUT,F08,P08,F06,P06,F03,F03-1,P03,EC,G37,G38,G40,G43"</formula1>
    </dataValidation>
    <dataValidation type="list" allowBlank="1" showInputMessage="1" showErrorMessage="1" sqref="B16" xr:uid="{5D588778-C93E-4AEB-AC12-FF9012DD01AD}">
      <formula1>"RMC-10-40KMS,RMC-10-60KMS,RMC-10-70KMS,RMC-10-100000KMS,RMC-40-70KMS,RMC-40-100000KMS"</formula1>
    </dataValidation>
    <dataValidation type="list" allowBlank="1" showInputMessage="1" showErrorMessage="1" sqref="K24" xr:uid="{E542BF2D-D6A5-4EBD-90E8-7DD7FCA9D883}">
      <formula1>"RMC-10-70K,RMC-10-100000K,RMC-40-70K"</formula1>
    </dataValidation>
    <dataValidation type="list" allowBlank="1" showInputMessage="1" showErrorMessage="1" sqref="D5" xr:uid="{FD01D201-C78B-4833-AABF-CA382C03CDD2}">
      <formula1>"MIG09,MIG10,H16,P16,H17,H48,H43,H40,H42,H44,H45,H38,H37,EH40,EH43,ML,HL,PR, MLP,HLP,PRP,XPML,XPHL,XPMLP, XPMLP-01,XC, G10,P10, G03, P03, G06,P06,G12,P12,G05,P05,G08,P08,G09,P09,H57,P57,H64,H59,P59,H61,P61"</formula1>
    </dataValidation>
    <dataValidation type="list" allowBlank="1" showInputMessage="1" showErrorMessage="1" sqref="M21" xr:uid="{B3EEA318-EB47-40B8-9D2E-C9FE8EF2B329}">
      <formula1>"3000-4999,5000-9999,5000-99999,10000-14999,15000-24999,25000-34999,35000-99999,5000-11999,12000-19999,20000-39999,40000-69999,70000-99999"</formula1>
    </dataValidation>
    <dataValidation type="list" allowBlank="1" showInputMessage="1" showErrorMessage="1" sqref="C10:C16 L20 L24:L25 G14:G15 J10" xr:uid="{C1CD3D6C-D69E-44FA-95CD-066BEE30F8D4}">
      <formula1>"YES,NO"</formula1>
    </dataValidation>
    <dataValidation type="list" allowBlank="1" showInputMessage="1" showErrorMessage="1" sqref="K21" xr:uid="{491546B4-2138-4040-8DC6-22E9324F5D86}">
      <formula1>"ADCB,ADCB PAY IN 2027,Ajman Bank,ADIB,DIB EXPAT,DIB LOCAL GVH,Emirates NBD,EIB,FAB,RAK,SIB STL,SIB NON STL"</formula1>
    </dataValidation>
  </dataValidations>
  <pageMargins left="0.23622047244094491" right="0.23622047244094491" top="0.74803149606299213" bottom="0.74803149606299213" header="0.31496062992125984" footer="0.31496062992125984"/>
  <pageSetup paperSize="9" scale="40" orientation="landscape" horizontalDpi="4294967295" verticalDpi="4294967295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0D40F-59BC-4702-B113-0D562A19D1FD}">
  <sheetPr>
    <pageSetUpPr fitToPage="1"/>
  </sheetPr>
  <dimension ref="A1:AA54"/>
  <sheetViews>
    <sheetView topLeftCell="B1" zoomScaleNormal="100" workbookViewId="0">
      <selection activeCell="D5" sqref="D5"/>
    </sheetView>
  </sheetViews>
  <sheetFormatPr defaultColWidth="9.109375" defaultRowHeight="15.6" x14ac:dyDescent="0.3"/>
  <cols>
    <col min="1" max="1" width="16" style="1" hidden="1" customWidth="1"/>
    <col min="2" max="2" width="75.109375" style="2" customWidth="1"/>
    <col min="3" max="3" width="26.88671875" style="3" customWidth="1"/>
    <col min="4" max="4" width="23.88671875" style="2" customWidth="1"/>
    <col min="5" max="5" width="23.33203125" style="2" customWidth="1"/>
    <col min="6" max="6" width="19.88671875" style="2" customWidth="1"/>
    <col min="7" max="7" width="23.33203125" style="2" customWidth="1"/>
    <col min="8" max="8" width="24.44140625" style="2" customWidth="1"/>
    <col min="9" max="9" width="27.109375" style="2" customWidth="1"/>
    <col min="10" max="10" width="26.6640625" style="2" customWidth="1"/>
    <col min="11" max="11" width="25.44140625" style="2" customWidth="1"/>
    <col min="12" max="12" width="20.5546875" style="2" customWidth="1"/>
    <col min="13" max="13" width="20.109375" style="2" customWidth="1"/>
    <col min="14" max="14" width="19.5546875" style="2" customWidth="1"/>
    <col min="15" max="15" width="15.109375" style="2" bestFit="1" customWidth="1"/>
    <col min="16" max="16" width="12.6640625" style="2" hidden="1" customWidth="1"/>
    <col min="17" max="17" width="12.6640625" style="1" hidden="1" customWidth="1"/>
    <col min="18" max="18" width="15.6640625" style="1" hidden="1" customWidth="1"/>
    <col min="19" max="19" width="13" style="1" hidden="1" customWidth="1"/>
    <col min="20" max="20" width="17.109375" style="1" hidden="1" customWidth="1"/>
    <col min="21" max="21" width="14.5546875" style="1" bestFit="1" customWidth="1"/>
    <col min="22" max="22" width="19" style="1" customWidth="1"/>
    <col min="23" max="23" width="22.5546875" style="1" bestFit="1" customWidth="1"/>
    <col min="24" max="25" width="9.109375" style="1"/>
    <col min="26" max="26" width="14" style="1" bestFit="1" customWidth="1"/>
    <col min="27" max="27" width="22.33203125" style="1" bestFit="1" customWidth="1"/>
    <col min="28" max="16384" width="9.109375" style="1"/>
  </cols>
  <sheetData>
    <row r="1" spans="1:27" ht="15.75" customHeight="1" x14ac:dyDescent="0.3">
      <c r="B1" s="222" t="s">
        <v>148</v>
      </c>
      <c r="C1" s="221"/>
      <c r="D1" s="221"/>
      <c r="E1" s="221"/>
      <c r="F1" s="221"/>
      <c r="G1" s="221"/>
      <c r="H1" s="221"/>
      <c r="I1" s="221"/>
      <c r="J1" s="221"/>
      <c r="K1" s="221"/>
      <c r="L1" s="221"/>
      <c r="M1" s="221"/>
      <c r="N1" s="220"/>
    </row>
    <row r="2" spans="1:27" ht="15.75" customHeight="1" x14ac:dyDescent="0.3">
      <c r="B2" s="219" t="s">
        <v>147</v>
      </c>
      <c r="C2" s="218"/>
      <c r="D2" s="218"/>
      <c r="E2" s="218"/>
      <c r="F2" s="218"/>
      <c r="G2" s="218"/>
      <c r="H2" s="218"/>
      <c r="I2" s="218"/>
      <c r="J2" s="218"/>
      <c r="K2" s="218"/>
      <c r="L2" s="218"/>
      <c r="M2" s="218"/>
      <c r="N2" s="217"/>
      <c r="Q2" s="2"/>
      <c r="S2" s="186"/>
    </row>
    <row r="3" spans="1:27" ht="15.75" customHeight="1" x14ac:dyDescent="0.3">
      <c r="B3" s="219" t="s">
        <v>146</v>
      </c>
      <c r="C3" s="218"/>
      <c r="D3" s="218"/>
      <c r="E3" s="218"/>
      <c r="F3" s="218"/>
      <c r="G3" s="218"/>
      <c r="H3" s="218"/>
      <c r="I3" s="218"/>
      <c r="J3" s="218"/>
      <c r="K3" s="218"/>
      <c r="L3" s="218"/>
      <c r="M3" s="218"/>
      <c r="N3" s="217"/>
      <c r="O3" s="3"/>
      <c r="P3" s="3"/>
      <c r="Q3" s="153"/>
      <c r="R3" s="153"/>
      <c r="S3" s="216" t="e">
        <f>N7+J14</f>
        <v>#VALUE!</v>
      </c>
      <c r="T3" s="216"/>
      <c r="U3" s="153"/>
      <c r="V3" s="153"/>
      <c r="W3" s="153"/>
      <c r="AA3" s="1">
        <f>273000/5</f>
        <v>54600</v>
      </c>
    </row>
    <row r="4" spans="1:27" ht="15.75" customHeight="1" x14ac:dyDescent="0.3">
      <c r="B4" s="215"/>
      <c r="C4" s="214"/>
      <c r="D4" s="214"/>
      <c r="E4" s="214"/>
      <c r="F4" s="214"/>
      <c r="G4" s="214"/>
      <c r="H4" s="214"/>
      <c r="I4" s="214"/>
      <c r="J4" s="214"/>
      <c r="K4" s="214"/>
      <c r="L4" s="214"/>
      <c r="M4" s="214"/>
      <c r="N4" s="213"/>
      <c r="O4" s="212" t="s">
        <v>0</v>
      </c>
      <c r="P4" s="212"/>
      <c r="Q4" s="210"/>
      <c r="R4" s="210"/>
      <c r="S4" s="211"/>
      <c r="T4" s="211"/>
      <c r="U4" s="210" t="s">
        <v>1</v>
      </c>
      <c r="V4" s="210" t="s">
        <v>2</v>
      </c>
      <c r="W4" s="210" t="s">
        <v>3</v>
      </c>
    </row>
    <row r="5" spans="1:27" ht="25.2" thickBot="1" x14ac:dyDescent="0.45">
      <c r="B5" s="17"/>
      <c r="C5" s="18" t="str">
        <f>IF(D5="MIG09","Mirage G09",IF(D5="MIG10","MirageG10",IF(D5="H16","Attrage H16",IF(D5="P16","Attrage P16",IF(D5="H17","Attrage H17",IF(D5="H48","ASX H48",IF(D5="H43","ASX H43",IF(D5="H40","ASX H40",IF(D5="H42","ASX H42",IF(D5="H44","ASX H44",IF(D5="H45","ASX H45",IF(D5="H38","Eclipse H38",IF(D5="H37","Eclipse H37",IF(D5="EH40","Eclipse H40",IF(D5="EH43","Eclipse H43",IF(D5="XPML","Xpander ML",IF(D5="ML","Destinator ML",IF(D5="HL","Destinator HL",IF(D5="PR","Destinator PR",IF(D5="MLP","Destinator MLP",IF(D5="HLP","Destinator HLP",IF(D5="PRP","Destinator PRP",IF(D5="XPHL","Xpander HL",IF(D5="XPMLP","Xpander ML P",IF(D5="XPMLP-01","Xpander ML P-01",IF(D5="XC","Xpander Cross",IF(D5="G03","Outlander G03",IF(D5="P03","Outlander P03",IF(D5="G06","Outlander G06",IF(D5="P06","Outlander P06",IF(D5="OTP06-01","Outlander P06-01",IF(D5="G08","Outlander G08",IF(D5="P08","Outlander P08",IF(D5="H57","Montero H57",IF(D5="P57","Montero P57",IF(D5="H64","Montero G64",IF(D5="H59","Montero G59",IF(D5="P59","Montero G59 P",IF(D5="H61","Montero G61",IF(D5="P61","Montero P61",IF(D5="G10","Outlander G10",IF(D5="P10","Outlander P10",IF(D5="G12","Outlander G12",IF(D5="P12","Outlander P12",IF(D5="G05","Outlander G05",IF(D5="P05","Outlander P05",IF(D5="G09","Outlander G09",IF(D5="P09","Outlander P09",))))))))))))))))))))))))))))))))))))))))))))))))</f>
        <v>Attrage P16</v>
      </c>
      <c r="D5" s="19" t="s">
        <v>150</v>
      </c>
      <c r="E5" s="20" t="s">
        <v>145</v>
      </c>
      <c r="F5" s="37"/>
      <c r="G5" s="37"/>
      <c r="H5" s="37"/>
      <c r="I5" s="20"/>
      <c r="J5" s="34"/>
      <c r="K5" s="209">
        <v>0</v>
      </c>
      <c r="L5" s="208">
        <v>3.39E-2</v>
      </c>
      <c r="M5" s="208">
        <v>6.7799999999999999E-2</v>
      </c>
      <c r="N5" s="208">
        <v>0.1017</v>
      </c>
      <c r="O5" s="147">
        <f>K7+K14</f>
        <v>6770.8422812708341</v>
      </c>
      <c r="S5" s="186"/>
      <c r="U5" s="186">
        <f>L7+L14</f>
        <v>2795.4454916440973</v>
      </c>
      <c r="V5" s="186">
        <f>M7+M14</f>
        <v>1890.3712951770833</v>
      </c>
      <c r="W5" s="186">
        <f>N7+N14</f>
        <v>1328.847644421875</v>
      </c>
    </row>
    <row r="6" spans="1:27" s="5" customFormat="1" ht="99" thickBot="1" x14ac:dyDescent="0.35">
      <c r="A6" s="4" t="s">
        <v>4</v>
      </c>
      <c r="B6" s="26" t="s">
        <v>5</v>
      </c>
      <c r="C6" s="27" t="s">
        <v>6</v>
      </c>
      <c r="D6" s="27" t="s">
        <v>144</v>
      </c>
      <c r="E6" s="27" t="s">
        <v>7</v>
      </c>
      <c r="F6" s="27" t="s">
        <v>8</v>
      </c>
      <c r="G6" s="28" t="s">
        <v>9</v>
      </c>
      <c r="H6" s="28" t="s">
        <v>143</v>
      </c>
      <c r="I6" s="28" t="s">
        <v>10</v>
      </c>
      <c r="J6" s="28" t="s">
        <v>142</v>
      </c>
      <c r="K6" s="28" t="s">
        <v>11</v>
      </c>
      <c r="L6" s="28" t="s">
        <v>12</v>
      </c>
      <c r="M6" s="28" t="s">
        <v>13</v>
      </c>
      <c r="N6" s="28" t="s">
        <v>14</v>
      </c>
      <c r="O6" s="207"/>
      <c r="P6" s="206"/>
      <c r="T6" s="205"/>
      <c r="U6" s="205">
        <f>N7+L14</f>
        <v>2208.8063527552085</v>
      </c>
      <c r="V6" s="205">
        <f>N7+K14</f>
        <v>5450.9042187708337</v>
      </c>
      <c r="W6" s="205" t="e">
        <f>N7+J14</f>
        <v>#VALUE!</v>
      </c>
    </row>
    <row r="7" spans="1:27" ht="25.2" thickBot="1" x14ac:dyDescent="0.45">
      <c r="A7" s="6">
        <f>B8</f>
        <v>47400</v>
      </c>
      <c r="B7" s="29">
        <f>IF(L20="YES",C8*1,IF(L20="NO",B8*1))</f>
        <v>47400</v>
      </c>
      <c r="C7" s="29">
        <f>B7*5/100</f>
        <v>2370</v>
      </c>
      <c r="D7" s="203">
        <f>B7+C7</f>
        <v>49770</v>
      </c>
      <c r="E7" s="29">
        <f>D17</f>
        <v>15721.903125000001</v>
      </c>
      <c r="F7" s="29">
        <f>(C7)+(D10+D11+D12+D13+D16)*5/100</f>
        <v>2875</v>
      </c>
      <c r="G7" s="30">
        <f>B7+E7+F7</f>
        <v>65996.903124999997</v>
      </c>
      <c r="H7" s="29">
        <f>G7*D20</f>
        <v>13199.380625</v>
      </c>
      <c r="I7" s="30">
        <f>(G7-H7)</f>
        <v>52797.522499999999</v>
      </c>
      <c r="J7" s="30">
        <f>(((I7*D19)*1)+I7)/12</f>
        <v>4570.9455104375002</v>
      </c>
      <c r="K7" s="30">
        <f>(((I7*D19)*2)+I7)/24</f>
        <v>2371.0487396041667</v>
      </c>
      <c r="L7" s="30">
        <f>(((I7*D19)*3)+I7)/36</f>
        <v>1637.7498159930556</v>
      </c>
      <c r="M7" s="30">
        <f>(((I7*D19)*4)+I7)/48</f>
        <v>1271.1003541875</v>
      </c>
      <c r="N7" s="30">
        <f>((((I7*D19)*5)+I7)/60)</f>
        <v>1051.1106771041666</v>
      </c>
      <c r="O7" s="147"/>
      <c r="P7" s="2">
        <f>H7+H16</f>
        <v>13753.75461125</v>
      </c>
      <c r="T7" s="186">
        <f>25973/2</f>
        <v>12986.5</v>
      </c>
    </row>
    <row r="8" spans="1:27" ht="24.6" x14ac:dyDescent="0.4">
      <c r="A8" s="7">
        <v>0.2</v>
      </c>
      <c r="B8" s="31">
        <f>IF(D5="MIG09",39900,IF(D5="MIG10",41900,IF(D5="H16",41900,IF(D5="P16",47400,IF(D5="H17",47900,IF(D5="H48",67900,IF(D5="H43",70900,IF(D5="H40",72900,IF(D5="H42",74900,IF(D5="H44",73900,IF(D5="H45",79900,IF(D5="H38",86900,IF(D5="H37",79900,IF(D5="EH40",99900,IF(D5="EH43",106900,IF(D5="ML",71900,IF(D5="HL",83900,IF(D5="PR",95900,IF(D5="MLP",80900,IF(D5="HLP",91900,IF(D5="PRP",102900,IF(D5="XPML",69900,IF(D5="XPHL",71000,IF(D5="XPMLP",75900,IF(D5="XPMLP-01",77800,IF(D5="XC",84900,IF(D5="G10",81900,IF(D5="P10",93900,IF(D5="G12",97900,IF(D5="P12",105900,IF(D5="G05",104900,IF(D5="P05",105900,IF(D5="G03",92900,IF(D5="P03",100900,IF(D5="G06",109900,IF(D5="P06",114900,IF(D5="OTP06-01",118900,IF(D5="G08",125900,IF(D5="P08",132900,IF(D5="OTP06-01",109900,IF(D5="G09",129900,IF(D5="P09",134900,IF(D5="H57",105900,IF(D5="P57",113900,IF(D5="H64",116900,IF(D5="H59",127900,IF(D5="P59",134900,IF(D5="H61",134900,IF(D5="P61",138900)))))))))))))))))))))))))))))))))))))))))))))))))</f>
        <v>47400</v>
      </c>
      <c r="C8" s="32">
        <f>IF(L20="YES",N20,IF(L20="NO",N20))</f>
        <v>47400</v>
      </c>
      <c r="D8" s="29">
        <v>0</v>
      </c>
      <c r="E8" s="33"/>
      <c r="F8" s="139"/>
      <c r="G8" s="140"/>
      <c r="H8" s="110">
        <f>G7*20/100</f>
        <v>13199.380625</v>
      </c>
      <c r="I8" s="34"/>
      <c r="J8" s="34" t="s">
        <v>15</v>
      </c>
      <c r="K8" s="34">
        <f>(I7*K5+I7)/24</f>
        <v>2199.8967708333334</v>
      </c>
      <c r="L8" s="34">
        <f>(I7*L5+I7)/36</f>
        <v>1516.3155142430555</v>
      </c>
      <c r="M8" s="34">
        <f>(I7*M5+I7)/48</f>
        <v>1174.5248859479168</v>
      </c>
      <c r="N8" s="34">
        <f>(I7*N5+I7)/60</f>
        <v>969.45050897083331</v>
      </c>
      <c r="O8" s="147">
        <v>0</v>
      </c>
      <c r="P8" s="2">
        <f>P7/12</f>
        <v>1146.1462176041666</v>
      </c>
      <c r="T8" s="1">
        <f>25973-12973</f>
        <v>13000</v>
      </c>
    </row>
    <row r="9" spans="1:27" ht="24.6" x14ac:dyDescent="0.4">
      <c r="A9" s="8">
        <f>B8/(100%-A8)</f>
        <v>59250</v>
      </c>
      <c r="B9" s="109">
        <f>B7-B8</f>
        <v>0</v>
      </c>
      <c r="C9" s="109"/>
      <c r="D9" s="36"/>
      <c r="E9" s="33"/>
      <c r="F9" s="139"/>
      <c r="G9" s="140"/>
      <c r="H9" s="33"/>
      <c r="I9" s="37" t="s">
        <v>16</v>
      </c>
      <c r="J9" s="38">
        <f>(J7*12)-I7</f>
        <v>2053.8236252499992</v>
      </c>
      <c r="K9" s="38">
        <f>(K7*24)-I7</f>
        <v>4107.6472505000056</v>
      </c>
      <c r="L9" s="38">
        <f>(L7*36)-I7</f>
        <v>6161.4708757499975</v>
      </c>
      <c r="M9" s="38">
        <f>(M7*48)-I7</f>
        <v>8215.2945010000039</v>
      </c>
      <c r="N9" s="38">
        <f>(N7*60)-I7</f>
        <v>10269.118126249996</v>
      </c>
      <c r="O9" s="147"/>
      <c r="T9" s="1">
        <f>T8/12</f>
        <v>1083.3333333333333</v>
      </c>
      <c r="Z9" s="1" t="s">
        <v>86</v>
      </c>
    </row>
    <row r="10" spans="1:27" ht="24.6" x14ac:dyDescent="0.4">
      <c r="A10" s="8"/>
      <c r="B10" s="37" t="s">
        <v>141</v>
      </c>
      <c r="C10" s="20" t="s">
        <v>17</v>
      </c>
      <c r="D10" s="36">
        <f>IF(C10="YES",700,IF(C10="NO",0))</f>
        <v>0</v>
      </c>
      <c r="E10" s="39"/>
      <c r="F10" s="40"/>
      <c r="G10" s="40"/>
      <c r="H10" s="33"/>
      <c r="I10" s="44" t="s">
        <v>85</v>
      </c>
      <c r="J10" s="117" t="s">
        <v>19</v>
      </c>
      <c r="K10" s="117">
        <f>IF(J10="YES",Z10,IF(J10="NO",0))</f>
        <v>1000</v>
      </c>
      <c r="L10" s="41">
        <f>(L8*36)-I7</f>
        <v>1789.8360127499982</v>
      </c>
      <c r="M10" s="41">
        <f>(M8*48)-I7</f>
        <v>3579.6720255000037</v>
      </c>
      <c r="N10" s="41">
        <f>(N8*60)-I7</f>
        <v>5369.5080382500018</v>
      </c>
      <c r="O10" s="147">
        <f>IF(D5="XC",3690,IF(D5="XPML",3690,IF(D5="XPHL",3690,IF(D5="XPMLP",3690,IF(D5="XPMLP-01",3690,IF(D5="Xpander P",3690,IF(D5="ML",3690,IF(D5="HL",3690,IF(D5="PR",(U19*3/100+510)*1.05,IF(D5="MLP",3690,IF(D5="HLP",(U19*3/100+510)*1.05,IF(D5="PRP",(U19*3/100+510)*1.05,IF(D5="H57",(U19*2.75/100+510)*1.05,IF(D5="P57",(U19*2.75/100+510)*1.05,IF(D5="H64",(U19*2.75/100+510)*1.05,IF(D5="H59",(U19*2.75/100+510)*1.05,IF(D5="P59",(U19*2.75/100+510)*1.05,IF(D5="H61",(U19*2.75/100+510)*1.05,IF(D5="P61",(U19*2.75/100+510)*1.05,IF(D5="G03",(U19*3/100+510)*1.05,IF(D5="G10",(U19*3/100+510)*1.05,IF(D5="P10",(U19*3/100+510)*1.05,IF(D5="G12",(U19*3/100+510)*1.05,IF(D5="P12",(U19*3/100+510)*1.05,IF(D5="G05",(U19*3/100+510)*1.05,IF(D5="P05",(U19*3/100+510)*1.05,IF(D5="P03",(U19*3/100+510)*1.05,IF(D5="G06",(U19*3/100+510)*1.05,IF(D5="P06",(U19*3/100+510)*1.05,IF(D5="OTP06-01",(U19*3/100+510)*1.05,IF(D5="G08",(U19*3/100+510)*1.05,IF(D5="P08",(U19*3/100+510)*1.05,IF(D5="G09",(U19*3/100+510)*1.05,IF(D5="P09",(U19*3/100+510)*1.05,IF(D5="H38",3625,IF(D5="H37",3625,IF(D5="EH40",(U19*3/100+450)*1.05,IF(D5="EH43",(U19*3/100+450)*1.05,IF(D5="H48",3625,IF(D5="H43",3625,IF(D5="H40",3625,IF(D5="H42",3625,IF(D5="H44",3625,IF(D5="H45",3625,IF(D5="ASX HL 4WD",3625,IF(D5="H16",3625,IF(D5="H17",3625,IF(D5="P16",3625,IF(D5="Attrage S",3625,IF(D5="MIG09",3625,IF(D5="MIG10",3625,IF(D5="Xpander HL",3690))))))))))))))))))))))))))))))))))))))))))))))))))))</f>
        <v>3625</v>
      </c>
      <c r="P10" s="204"/>
      <c r="Q10" s="204">
        <f>5.25*3</f>
        <v>15.75</v>
      </c>
      <c r="Z10" s="1">
        <f>IF(D5="MIG09",1000,IF(D5="MIG10",1000,IF(D5="H16",1000,IF(D5="P16",1000,IF(D5="H17",1000,IF(D5="H48",1000,IF(D5="H43",1000,IF(D5="H40",1000,IF(D5="H42",1000,IF(D5="H44",1000,IF(D5="H45",1000,IF(D5="H38",1000,IF(D5="H37",1000,IF(D5="EH40",1000,IF(D5="EH43",1000,IF(D5="ML",1000,IF(D5="HL",1000,IF(D5="PR",1000,IF(D5="MLP",1000,IF(D5="HLP",1000,IF(D5="PRP",1000,IF(D5="XPML",1000,IF(D5="XPHL",1000,IF(D5="XPMLP",1000,IF(D5="XPMLP-01",1000,IF(D5="XC",1000,IF(D5="G10",1000,IF(D5="P10",1000,IF(D5="G12",1000,IF(D5="P12",1000,IF(D5="G05",1000,IF(D5="P05",1000,IF(D5="G03",1000,IF(D5="P03",1000,IF(D5="G06",1000,IF(D5="P06",1000,IF(D5="OTP06-01",1000,IF(D5="G08",1000,IF(D5="P08",1000,IF(D5="OTP06-01",1000,IF(D5="G09",1000,IF(D5="P09",1000,IF(D5="H57",1000,IF(D5="P57",1000,IF(D5="H64",1000,IF(D5="H59",1000,IF(D5="P59",1000,IF(D5="H61",1000,IF(D5="P61",1000)))))))))))))))))))))))))))))))))))))))))))))))))</f>
        <v>1000</v>
      </c>
    </row>
    <row r="11" spans="1:27" ht="24.6" x14ac:dyDescent="0.4">
      <c r="A11" s="8"/>
      <c r="B11" s="37" t="s">
        <v>18</v>
      </c>
      <c r="C11" s="20" t="s">
        <v>19</v>
      </c>
      <c r="D11" s="203">
        <f>IF(C11="YES",O17,IF(C11="NO",0))</f>
        <v>2700</v>
      </c>
      <c r="E11" s="39"/>
      <c r="F11" s="40"/>
      <c r="G11" s="40"/>
      <c r="H11" s="33"/>
      <c r="I11" s="33"/>
      <c r="J11" s="44" t="s">
        <v>76</v>
      </c>
      <c r="K11" s="44">
        <f>H8-K10</f>
        <v>12199.380625</v>
      </c>
      <c r="L11" s="37"/>
      <c r="M11" s="37"/>
      <c r="N11" s="38"/>
      <c r="O11" s="147">
        <f>IF(D5="XC",6100,IF(D5="XPML",6100,IF(D5="XPHL",6100,IF(D5="XPMLP",6100,IF(D5="XPMLP-01",6100,IF(D5="Xpander P",6100,IF(D5="ML",6600,IF(D5="HL",6600,IF(D5="PR",6600,IF(D5="MLP",6600,IF(D5="HLP",6600,IF(D5="PRP",6600,IF(D5="H57",5900,IF(D5="P57",5900,IF(D5="H64",5900,IF(D5="H59",5900,IF(D5="P59",5900,IF(D5="H61",5900,IF(D5="P61",5900,IF(D5="G03",6700,IF(D5="G10",6700,IF(D5="P10",6700,IF(D5="G12",6700,IF(D5="P12",6700,IF(D5="G05",6700,IF(D5="P05",6700,IF(D5="P03",6700,IF(D5="G06",6700,IF(D5="P06",6700,IF(D5="OTP06-01",6700,IF(D5="G08",6700,IF(D5="G09",6700,IF(D5="G08",6700,IF(D5="P08",6700,IF(D5="P09",6700,IF(D5="H37",6400,IF(D5="H38",6400,IF(D5="EH40",6400,IF(D5="EH43",6400,IF(D5="H48",6600,IF(D5="H43",6600,IF(D5="H40",6600,IF(D5="H42",6600,IF(D5="H44",6600,IF(D5="H45",6600,IF(D5="ASX HL 4WD",6600,IF(D5="H16",5400,IF(D5="H17",5400,IF(D5="P16",5400,IF(D5="Attrage S",5400,IF(D5="MIG09",5400,IF(D5="MIG10",5400,IF(D5="Xpander HL",6000)))))))))))))))))))))))))))))))))))))))))))))))))))))</f>
        <v>5400</v>
      </c>
      <c r="P11" s="147"/>
      <c r="Q11" s="147"/>
      <c r="R11" s="147"/>
      <c r="S11" s="147"/>
      <c r="T11" s="147"/>
      <c r="U11" s="147">
        <f>IF(D5="XC",4900,IF(D5="XPML",4900,IF(D5="XPHL",4900,IF(D5="XPMLP",4900,IF(D5="XPMLP-01",4900,IF(D5="Xpander P",4900,IF(D5="ML",5400,IF(D5="HL",5400,IF(D5="PR",5400,IF(D5="MLP",5400,IF(D5="HLP",5400,IF(D5="PRP",5400,IF(D5="H57",4600,IF(D5="P57",4600,IF(D5="MOG64",4600,IF(D5="H59",4600,IF(D5="P59",4600,IF(D5="H61",4600,IF(D5="P61",4600,IF(D5="G03",5500,IF(D5="P03",5500,IF(D5="G10",5500,IF(D5="P10",5500,IF(D5="G12",5500,IF(D5="P12",5500,IF(D5="G05",5500,IF(D5="P05",5500,IF(D5="G06",5500,IF(D5="P06",5500,IF(D5="OTP06-01",5500,IF(D5="F08",5500,IF(D5="P08",5500,IF(D5="G09",5500,IF(D5="P09",5500,IF(D5="H38",5200,IF(D5="H37",5200,IF(D5="EH40",5200,IF(D5="EH43",5200,IF(D5="H48",5300,IF(D5="H43",5300,IF(D5="H40",5300,IF(D5="H42",5300,IF(D5="H44",5300,IF(D5="H45",5300,IF(D5="ASX HL",5300,IF(D5="ASX P",5300,IF(D5="ASX HL 4WD",5300,IF(D5="H16",4200,IF(D5="H17",4200,IF(D5="P16",4200,IF(D5="Attrage S",4200,IF(D5="MIG09",4200,IF(D5="MIG10",4200,IF(D5="Xpander HL",4900))))))))))))))))))))))))))))))))))))))))))))))))))))))</f>
        <v>4200</v>
      </c>
      <c r="V11" s="147">
        <f>IF(D5="XC",9700,IF(D5="XPML",9700,IF(D5="XPHL",9700,IF(D5="XPMLP",9700,IF(D5="XPMLP-01",9700,IF(D5="XPMLP-01",9700,IF(D5="Xpander P",9700,IF(D5="ML",10800,IF(D5="HL",10800,IF(D5="PR",10800,IF(D5="MLP",10800,IF(D5="HLP",10800,IF(D5="PRP",10800,IF(D5="H57",9300,IF(D5="P57",9300,IF(D5="MG64",9300,IF(D5="H59",9300,IF(D5="P59",9300,IF(D5="H61",9300,IF(D5="P61",9300,IF(D5="G03",11000,IF(D5="G10",11000,IF(D5="P10",11000,IF(D5="G12",11000,IF(D5="P12",11000,IF(D5="G05",11000,IF(D5="P05",11000,IF(D5="P03",11000,IF(D5="G06",11000,IF(D5="P06",11000,IF(D5="OTP06-01",11000,IF(D5="G08",11000,IF(D5="P08",11000,IF(D5="G09",11000,IF(D5="P09",11000,IF(D5="H38",10400,IF(D5="H37",10400,IF(D5="EH40",10400,IF(D5="EH43",10400,IF(D5="H48",10700,IF(D5="H43",10700,IF(D5="H40",10700,IF(D5="H42",10700,IF(D5="H44",10800,IF(D5="H45",10800,IF(D5="ASX HL",12200,IF(D5="ASX P",12200,IF(D5="ASX HL 4WD",12200,IF(D5="H16",8500,IF(D5="H17",8500,IF(D5="P16",8500,IF(D5="Attrage S",9600,IF(D5="MIG09",8500,IF(D5="MIG10",8500,IF(D5="Xpander HL",11300)))))))))))))))))))))))))))))))))))))))))))))))))))))))</f>
        <v>8500</v>
      </c>
      <c r="W11" s="147">
        <f>IF(D5="XC",9200,IF(D5="XPML",9200,IF(D5="XPHL",9200,IF(D5="XPMLP",9200,IF(D5="XPMLP-01",9200,IF(D5="Xpander P",9200,IF(D5="ML",10000,IF(D5="HL",10000,IF(D5="PR",10000,IF(D5="MLP",10000,IF(D5="HLP",10000,IF(D5="PRP",10000,IF(D5="H57",8700,IF(D5="P57",8700,IF(D5="H64",8700,IF(D5="H59",8700,IF(D5="P59",8700,IF(D5="H61",8700,IF(D5="P61",8700,IF(D5="G03",10400,IF(D5="P03",10400,IF(D5="G10",10400,IF(D5="P10",10400,IF(D5="G12",10400,IF(D5="P12",10400,IF(D5="G05",10400,IF(D5="P05",10400,IF(D5="G06",10400,IF(D5="P06",10400,IF(D5="OTP06-01",10400,IF(D5="G08",10400,IF(D5="P08",10400,IF(D5="G09",10400,IF(D5="P09",10400,IF(D5="H38",9800,IF(D5="H37",9800,IF(D5="EH40",9800,IF(D5="EH43",9800,IF(D5="H48",10100,IF(D5="H43",10100,IF(D5="H40",10100,IF(D5="H42",10100,IF(D5="H44",10100,IF(D5="H45",10100,IF(D5="ASX HL",10100,IF(D5="ASX P",10100,IF(D5="ASX HL 4WD",10100,IF(D5="H16",7900,IF(D5="H17",7900,IF(D5="P16",7900,IF(D5="Attrage S",7900,IF(D5="MIG09",7900,IF(D5="MIG10",7900,IF(D5="Xpander HL",9200))))))))))))))))))))))))))))))))))))))))))))))))))))))</f>
        <v>7900</v>
      </c>
      <c r="X11" s="147">
        <f>IF(D5="XC",4500,IF(D5="XPML",4500,IF(D5="XPHL",4500,IF(D5="XPMLP",4500,IF(D5="XPMLP-01",4500,IF(D5="Xpander P",4500,IF(D5="ML",5000,IF(D5="HL",5000,IF(D5="PR",5000,IF(D5="MLP",5000,IF(D5="HLP",5000,IF(D5="PRP",5000,IF(D5="H57",8700,IF(D5="P57",8700,IF(D5="MOG64",4300,IF(D5="H59",4300,IF(D5="P59",4300,IF(D5="H61",4300,IF(D5="P61",4300,IF(D5="G03",5000,IF(D5="P03",5000,IF(D5="G10",5000,IF(D5="P10",5000,IF(D5="G12",5000,IF(D5="P12",5000,IF(D5="G05",5000,IF(D5="P05",5000,IF(D5="G06",5000,IF(D5="P06",5000,IF(D5="OTP06-01",5000,IF(D5="G08",5000,IF(D5="P08",5000,IF(D5="G09",5000,IF(D5="P09",5000,IF(D5="H38",4900,IF(D5="H37",4900,IF(D5="EH40",4900,IF(D5="EH43",4900,IF(D5="H48",4900,IF(D5="H43",4900,IF(D5="H40",4900,IF(D5="H42",4900,IF(D5="H44",4900,IF(D5="H45",4900,IF(D5="ASX HL",4900,IF(D5="ASX P",4900,IF(D5="ASX HL 4WD",4900,IF(D5="H16",3700,IF(D5="H17",3700,IF(D5="P16",3700,IF(D5="Attrage S",3700,IF(D5="MIG09",3700,IF(D5="MIG10",3700,IF(D5="Xpander HL",4500))))))))))))))))))))))))))))))))))))))))))))))))))))))</f>
        <v>3700</v>
      </c>
      <c r="Y11" s="147">
        <f>IF(D5="XC",5400,IF(D5="XPML ",5400,IF(D5="XPHL",5400,IF(D5="XPMLP",5400,IF(D5="XPMLP-01",5400,IF(D5="Xpander P",5400,IF(D5="ML",6000,IF(D5="HL",6000,IF(D5="PR",6000,IF(D5="MLP",6000,IF(D5="HLP",6000,IF(D5="PRP",6000,IF(D5="H57",5200,IF(D5="57",5200,IF(D5="H64",5200,IF(D5="H59",5200,IF(D5="P59",5200,IF(D5="H61",5200,IF(D5="P61",5200,IF(D5="G03",6000,IF(D5="P03",6000,IF(D5="G10",6000,IF(D5="P10",6000,IF(D5="G12",6000,IF(D5="P12",6000,IF(D5="G05",6000,IF(D5="P05",6000,IF(D5="G06",6000,IF(D5="P06",6000,IF(D5="OTP06-01",6000,IF(D5="G08",6000,IF(D5="P08",6000,IF(D5="G09",6000,IF(D5="P09",6000,IF(D5="H38",5700,IF(D5="H37",5700,IF(D5="EH40",5700,IF(D5="EH43",5700,IF(D5="H48",5900,IF(D5="H43",5900,IF(D5="H40",5900,IF(D5="H42",5900,IF(D5="H44",5900,IF(D5="H45",5900,IF(D5="ASX HL",5900,IF(D5="ASX P",5900,IF(D5="ASX HL 4WD",5900,IF(D5="H16",4500,IF(D5="H17",4500,IF(D5="P16",4500,IF(D5="Attrage S",4500,IF(D5="MIG09",4500,IF(D5="MIG10",4500,IF(D5="Xpander HL",5400))))))))))))))))))))))))))))))))))))))))))))))))))))))</f>
        <v>4500</v>
      </c>
    </row>
    <row r="12" spans="1:27" ht="24.6" x14ac:dyDescent="0.4">
      <c r="A12" s="8"/>
      <c r="B12" s="37" t="s">
        <v>20</v>
      </c>
      <c r="C12" s="20" t="s">
        <v>17</v>
      </c>
      <c r="D12" s="36">
        <f>IF(C12="YES",2000,IF(C12="NO",0))</f>
        <v>0</v>
      </c>
      <c r="E12" s="43"/>
      <c r="F12" s="43" t="s">
        <v>21</v>
      </c>
      <c r="G12" s="40"/>
      <c r="H12" s="33">
        <v>600</v>
      </c>
      <c r="I12" s="33"/>
      <c r="J12" s="202" t="s">
        <v>140</v>
      </c>
      <c r="K12" s="45">
        <v>0</v>
      </c>
      <c r="L12" s="45">
        <v>5.2499999999999998E-2</v>
      </c>
      <c r="M12" s="45">
        <v>0.126</v>
      </c>
      <c r="N12" s="201">
        <v>0.26250000000000001</v>
      </c>
      <c r="O12" s="147">
        <f>IF(K20="Esaad",B8*3/100,IF(K20="Emirates Platinum",B8*3/100,IF(K20="Fazaa",B8*3/100,IF(K20="Humat Alwatan",B8*3/100,IF(K20="Permissible",2000,IF(K20="ASX",8400,IF(K20="XPMLP",15100,IF(K20="XP",7200,IF(K20="G43",11000,IF(K20="EC",17000,IF(K20="G37",17000,IF(K20="G38",15000,IF(K20="G40",11000,IF(K20="OUT",3000,IF(K20="F08",14400,IF(K20="P08",11100,IF(K20="F06",13100,IF(K20="P06",13400,IF(K20="F03",3500,IF(K20="F03-1",13500,IF(K20="P03",13100,IF(K20="MON",10000,IF(K20="MON G57",9000,0)))))))))))))))))))))))</f>
        <v>2000</v>
      </c>
      <c r="Z12" s="86" t="s">
        <v>83</v>
      </c>
      <c r="AA12" s="86" t="s">
        <v>84</v>
      </c>
    </row>
    <row r="13" spans="1:27" ht="24.6" x14ac:dyDescent="0.4">
      <c r="A13" s="8">
        <f>B8*1.26582</f>
        <v>59999.867999999995</v>
      </c>
      <c r="B13" s="37" t="s">
        <v>23</v>
      </c>
      <c r="C13" s="20" t="s">
        <v>19</v>
      </c>
      <c r="D13" s="36">
        <f>IF(C13="YES",2000,IF(C13="NO",0))</f>
        <v>2000</v>
      </c>
      <c r="E13" s="47"/>
      <c r="F13" s="47" t="s">
        <v>75</v>
      </c>
      <c r="G13" s="51"/>
      <c r="H13" s="39">
        <v>315</v>
      </c>
      <c r="I13" s="33"/>
      <c r="J13" s="44" t="s">
        <v>54</v>
      </c>
      <c r="K13" s="29" t="s">
        <v>79</v>
      </c>
      <c r="L13" s="29" t="s">
        <v>25</v>
      </c>
      <c r="M13" s="29" t="s">
        <v>0</v>
      </c>
      <c r="N13" s="57" t="s">
        <v>26</v>
      </c>
      <c r="O13" s="9">
        <f>IF(M21="3000-4999",6%,IF(M21="5000-9999",4.75%,IF(M21="10000-14999",3.15%,IF(M21="15000-24999",2.5%,IF(M21="25000-34999",2.25%,IF(M21="35000-99999",2.15%))))))</f>
        <v>4.7500000000000001E-2</v>
      </c>
      <c r="Q13" s="2">
        <f>H7/12</f>
        <v>1099.9483854166667</v>
      </c>
      <c r="U13" s="9">
        <f>IF(M21="3000-4999",6%,IF(M21="5000-9999",3.25%,IF(M21="10000-14999",3%,IF(M21="15000-24999",2.25%,IF(M21="25000-34999",2.15%,IF(M21="35000-99999",1.99%))))))</f>
        <v>3.2500000000000001E-2</v>
      </c>
      <c r="Z13" s="99">
        <f>IF(M21="5000-9999",2.49%,IF(M21="10000-19999",2.19%,IF(M21="20000-34999",2.09%,IF(M21="35000-49999",1.89%,IF(M21="50000-99999",1.79%)))))</f>
        <v>2.4900000000000002E-2</v>
      </c>
      <c r="AA13" s="99">
        <f>IF(M21="5000-9999",2.59%,IF(M21="10000-19999",2.29%,IF(M21="20000-34999",2.19%,IF(M21="35000-49999",1.99%,IF(M21="50000-99999",1.89%)))))</f>
        <v>2.5899999999999999E-2</v>
      </c>
    </row>
    <row r="14" spans="1:27" ht="24.6" x14ac:dyDescent="0.4">
      <c r="A14" s="10" t="s">
        <v>27</v>
      </c>
      <c r="B14" s="37" t="s">
        <v>24</v>
      </c>
      <c r="C14" s="20" t="s">
        <v>19</v>
      </c>
      <c r="D14" s="50">
        <f>IF(C14="YES",U19*3.15*1.05/100,IF(C14="NO",U19*0/100))</f>
        <v>1996.903125</v>
      </c>
      <c r="E14" s="48"/>
      <c r="F14" s="48" t="s">
        <v>24</v>
      </c>
      <c r="G14" s="51" t="s">
        <v>17</v>
      </c>
      <c r="H14" s="39">
        <f>IF(G14="YES",U19*3.15*1.05/100,IF(G14="NO",U19*0/100))</f>
        <v>0</v>
      </c>
      <c r="I14" s="33"/>
      <c r="J14" s="44" t="s">
        <v>55</v>
      </c>
      <c r="K14" s="44">
        <f>(H8*K12+H8)/3</f>
        <v>4399.7935416666669</v>
      </c>
      <c r="L14" s="44">
        <f>(H8*L12+H8)/12</f>
        <v>1157.6956756510417</v>
      </c>
      <c r="M14" s="44">
        <f>(H8*M12+H8)/24</f>
        <v>619.27094098958332</v>
      </c>
      <c r="N14" s="200">
        <f>(H7*N12+H7)/60</f>
        <v>277.73696731770832</v>
      </c>
      <c r="O14" s="9">
        <f>IF(M21="3000-4999",3.89%,IF(M21="5000-9999",3.89%,IF(M21="10000-14999",3.89%,IF(M21="15000-24999",2.69%,IF(M21="25000-34999",2.69%,IF(M21="35000-99999",2.39%,IF(M21="76000-99999",2.5%)))))))</f>
        <v>3.8900000000000004E-2</v>
      </c>
    </row>
    <row r="15" spans="1:27" ht="24.6" x14ac:dyDescent="0.4">
      <c r="A15" s="11">
        <f>(B7*3%)+10+120</f>
        <v>1552</v>
      </c>
      <c r="B15" s="37" t="s">
        <v>28</v>
      </c>
      <c r="C15" s="20" t="s">
        <v>19</v>
      </c>
      <c r="D15" s="29">
        <f>IF(C15="YES",O10,IF(C15="NO",0))</f>
        <v>3625</v>
      </c>
      <c r="E15" s="48"/>
      <c r="F15" s="48" t="s">
        <v>53</v>
      </c>
      <c r="G15" s="51" t="s">
        <v>17</v>
      </c>
      <c r="H15" s="39">
        <f>IF(G15="YES",O10,IF(G15="NO",0))</f>
        <v>0</v>
      </c>
      <c r="I15" s="33"/>
      <c r="J15" s="44"/>
      <c r="K15" s="44"/>
      <c r="L15" s="44"/>
      <c r="M15" s="44"/>
      <c r="N15" s="198"/>
      <c r="O15" s="9" t="b">
        <f>IF(M21="3000-4999",4.99%, IF(M21="5000-11999",2.75%,IF(M21="12000-19999",2.75%,IF(M21="20000-39999",2.25%,IF(M21="40000-69999",2.25%,IF(M21="70000-99999",2.25%))))))</f>
        <v>0</v>
      </c>
      <c r="P15" s="191"/>
    </row>
    <row r="16" spans="1:27" ht="24.6" x14ac:dyDescent="0.4">
      <c r="A16" s="11">
        <f>((B7-B8)*3%+10+120)</f>
        <v>130</v>
      </c>
      <c r="B16" s="37" t="s">
        <v>78</v>
      </c>
      <c r="C16" s="20" t="s">
        <v>19</v>
      </c>
      <c r="D16" s="29">
        <f>IF(C16="YES",O16,IF(C16="NO",0))</f>
        <v>5400</v>
      </c>
      <c r="E16" s="47"/>
      <c r="F16" s="47" t="s">
        <v>74</v>
      </c>
      <c r="G16" s="54"/>
      <c r="H16" s="33">
        <f>I7*1.05%</f>
        <v>554.37398625000003</v>
      </c>
      <c r="I16" s="33"/>
      <c r="J16" s="44" t="s">
        <v>16</v>
      </c>
      <c r="K16" s="44">
        <f>(K14*3)-H8</f>
        <v>0</v>
      </c>
      <c r="L16" s="44">
        <f>(L14*12)-H8</f>
        <v>692.96748281250075</v>
      </c>
      <c r="M16" s="44">
        <f>(M14*24)-H8</f>
        <v>1663.12195875</v>
      </c>
      <c r="N16" s="198"/>
      <c r="O16" s="147">
        <f>IF(B16="RMC-10-70KMS",O11,IF(B16="RMC-10-100000KMS",V11,IF(B16="RMC-40-70KMS",U11, IF(B16="RMC-10-40KMS",X11, IF(B16="RMC-10-60KMS",Y11, IF(B16="RMC-40-100000KMS",W11,0))))))</f>
        <v>5400</v>
      </c>
    </row>
    <row r="17" spans="1:23" ht="24.6" x14ac:dyDescent="0.4">
      <c r="A17" s="11">
        <f>A15+A16</f>
        <v>1682</v>
      </c>
      <c r="B17" s="37"/>
      <c r="C17" s="20"/>
      <c r="D17" s="29">
        <f>SUM(D10:D16)</f>
        <v>15721.903125000001</v>
      </c>
      <c r="E17" s="48"/>
      <c r="F17" s="48"/>
      <c r="G17" s="54"/>
      <c r="H17" s="33">
        <f>+SUM(H12:H16)+(H7)</f>
        <v>14668.75461125</v>
      </c>
      <c r="I17" s="33"/>
      <c r="J17" s="20"/>
      <c r="K17" s="199"/>
      <c r="L17" s="199"/>
      <c r="M17" s="199"/>
      <c r="N17" s="198"/>
      <c r="O17" s="147">
        <f>IF(B11="FO Ceramic+ Intr&amp;Extr CeramicGold WdwTnt",2700,IF(B11="FO Mirror Camera Sensor",2000))</f>
        <v>2700</v>
      </c>
      <c r="T17" s="1">
        <f>19615-791</f>
        <v>18824</v>
      </c>
    </row>
    <row r="18" spans="1:23" ht="24.6" x14ac:dyDescent="0.4">
      <c r="A18" s="12" t="s">
        <v>29</v>
      </c>
      <c r="B18" s="55" t="s">
        <v>30</v>
      </c>
      <c r="C18" s="197"/>
      <c r="D18" s="57">
        <v>0</v>
      </c>
      <c r="E18" s="38"/>
      <c r="F18" s="20"/>
      <c r="G18" s="20"/>
      <c r="H18" s="37"/>
      <c r="I18" s="37"/>
      <c r="J18" s="37"/>
      <c r="K18" s="37"/>
      <c r="L18" s="37"/>
      <c r="M18" s="37"/>
      <c r="N18" s="37"/>
      <c r="O18" s="9" t="b">
        <f>IF(M21="5000-99999",1.99%)</f>
        <v>0</v>
      </c>
      <c r="U18" s="196" t="s">
        <v>52</v>
      </c>
      <c r="V18" s="196" t="s">
        <v>52</v>
      </c>
    </row>
    <row r="19" spans="1:23" ht="24.6" x14ac:dyDescent="0.4">
      <c r="A19" s="11">
        <f>B8*3.15%</f>
        <v>1493.1</v>
      </c>
      <c r="B19" s="58" t="s">
        <v>31</v>
      </c>
      <c r="C19" s="59"/>
      <c r="D19" s="60">
        <f>IF(K21="DIB EXPAT",O13,IF(K21="DIB LOCAL GVH",U13,IF(K21="Emirates NBD",O14,IF(K21="ADCB",O15,IF(K21="ADCB PAY IN 2027",O19,IF(K21="Ajman Bank",O18,IF(K21="SIB STL",Z13,IF(K21="SIB NON STL",AA13,))))))))</f>
        <v>3.8900000000000004E-2</v>
      </c>
      <c r="E19" s="20"/>
      <c r="F19" s="195"/>
      <c r="G19" s="141" t="s">
        <v>73</v>
      </c>
      <c r="H19" s="142"/>
      <c r="I19" s="143"/>
      <c r="J19" s="109">
        <f>(U19*20/100)/365</f>
        <v>33.082191780821915</v>
      </c>
      <c r="K19" s="37"/>
      <c r="L19" s="37"/>
      <c r="M19" s="37"/>
      <c r="N19" s="34">
        <f>D7</f>
        <v>49770</v>
      </c>
      <c r="O19" s="194" t="b">
        <f>IF(M21="5000-11999",3.35%,IF(M21="12000-19999",3.35%,IF(M21="20000-39999",2.85%,IF(M21="40000-69999",2.85%,IF(M21="70000-99999",2.85%)))))</f>
        <v>0</v>
      </c>
      <c r="P19" s="2">
        <f>81400-2500</f>
        <v>78900</v>
      </c>
      <c r="U19" s="193">
        <f>V19</f>
        <v>60375</v>
      </c>
      <c r="V19" s="192">
        <f>(B7+D10+D11+D12+D13+D16)*1.05</f>
        <v>60375</v>
      </c>
    </row>
    <row r="20" spans="1:23" ht="24.6" x14ac:dyDescent="0.4">
      <c r="A20" s="11"/>
      <c r="B20" s="58" t="s">
        <v>32</v>
      </c>
      <c r="C20" s="59"/>
      <c r="D20" s="63">
        <v>0.2</v>
      </c>
      <c r="E20" s="37"/>
      <c r="F20" s="37"/>
      <c r="G20" s="38"/>
      <c r="H20" s="38"/>
      <c r="I20" s="38"/>
      <c r="J20" s="103"/>
      <c r="K20" s="104" t="s">
        <v>33</v>
      </c>
      <c r="L20" s="104" t="s">
        <v>17</v>
      </c>
      <c r="M20" s="104">
        <f>IF(L20="YES",O12,IF(L20="NO",0))</f>
        <v>0</v>
      </c>
      <c r="N20" s="34">
        <f>B8-M20</f>
        <v>47400</v>
      </c>
      <c r="O20" s="187"/>
      <c r="P20" s="191"/>
      <c r="T20" s="1">
        <f>1992+1084</f>
        <v>3076</v>
      </c>
      <c r="U20" s="186"/>
      <c r="V20" s="2"/>
    </row>
    <row r="21" spans="1:23" ht="24.6" x14ac:dyDescent="0.4">
      <c r="A21" s="13">
        <f>A19+A20</f>
        <v>1493.1</v>
      </c>
      <c r="B21" s="37"/>
      <c r="C21" s="20"/>
      <c r="D21" s="37"/>
      <c r="E21" s="37"/>
      <c r="F21" s="37"/>
      <c r="G21" s="37"/>
      <c r="H21" s="37"/>
      <c r="I21" s="37"/>
      <c r="J21" s="190" t="s">
        <v>34</v>
      </c>
      <c r="K21" s="16" t="s">
        <v>139</v>
      </c>
      <c r="L21" s="16" t="s">
        <v>35</v>
      </c>
      <c r="M21" s="189" t="s">
        <v>80</v>
      </c>
      <c r="N21" s="188"/>
      <c r="O21" s="187"/>
      <c r="T21" s="1">
        <f>25973-12973</f>
        <v>13000</v>
      </c>
      <c r="U21" s="186">
        <f>M14+N7</f>
        <v>1670.3816180937499</v>
      </c>
    </row>
    <row r="22" spans="1:23" s="179" customFormat="1" ht="24.6" x14ac:dyDescent="0.4">
      <c r="A22" s="185"/>
      <c r="B22" s="184" t="s">
        <v>51</v>
      </c>
      <c r="C22" s="183"/>
      <c r="D22" s="183"/>
      <c r="E22" s="183"/>
      <c r="F22" s="183"/>
      <c r="G22" s="183"/>
      <c r="H22" s="183"/>
      <c r="I22" s="183"/>
      <c r="J22" s="183"/>
      <c r="K22" s="183"/>
      <c r="L22" s="183"/>
      <c r="M22" s="183"/>
      <c r="N22" s="182"/>
      <c r="O22" s="181"/>
      <c r="P22" s="180"/>
    </row>
    <row r="23" spans="1:23" s="168" customFormat="1" ht="26.4" x14ac:dyDescent="0.5">
      <c r="A23" s="175" t="s">
        <v>36</v>
      </c>
      <c r="B23" s="172" t="s">
        <v>138</v>
      </c>
      <c r="C23" s="169"/>
      <c r="D23" s="169"/>
      <c r="E23" s="169"/>
      <c r="F23" s="169"/>
      <c r="G23" s="169"/>
      <c r="H23" s="176"/>
      <c r="I23" s="176"/>
      <c r="J23" s="169"/>
      <c r="K23" s="169"/>
      <c r="L23" s="169"/>
      <c r="M23" s="169"/>
      <c r="N23" s="178"/>
      <c r="O23" s="170"/>
      <c r="P23" s="169"/>
    </row>
    <row r="24" spans="1:23" s="168" customFormat="1" ht="26.4" x14ac:dyDescent="0.5">
      <c r="A24" s="175" t="s">
        <v>36</v>
      </c>
      <c r="B24" s="172" t="s">
        <v>137</v>
      </c>
      <c r="C24" s="169"/>
      <c r="D24" s="169"/>
      <c r="E24" s="169"/>
      <c r="F24" s="169"/>
      <c r="G24" s="169"/>
      <c r="H24" s="177">
        <f>H7/365</f>
        <v>36.162686643835613</v>
      </c>
      <c r="I24" s="177">
        <f>H7+H12+H16</f>
        <v>14353.75461125</v>
      </c>
      <c r="J24" s="169"/>
      <c r="K24" s="169"/>
      <c r="L24" s="169"/>
      <c r="M24" s="169"/>
      <c r="N24" s="173"/>
      <c r="O24" s="170"/>
      <c r="P24" s="169">
        <f>1232+480</f>
        <v>1712</v>
      </c>
      <c r="T24" s="168">
        <f>88704/1.05</f>
        <v>84480</v>
      </c>
    </row>
    <row r="25" spans="1:23" s="168" customFormat="1" ht="26.4" x14ac:dyDescent="0.5">
      <c r="A25" s="175" t="s">
        <v>36</v>
      </c>
      <c r="B25" s="172" t="s">
        <v>136</v>
      </c>
      <c r="C25" s="169"/>
      <c r="D25" s="169"/>
      <c r="E25" s="169"/>
      <c r="F25" s="169"/>
      <c r="G25" s="169"/>
      <c r="H25" s="176"/>
      <c r="I25" s="176"/>
      <c r="J25" s="169"/>
      <c r="K25" s="169"/>
      <c r="L25" s="169"/>
      <c r="M25" s="169"/>
      <c r="N25" s="173"/>
      <c r="O25" s="170"/>
      <c r="P25" s="169"/>
      <c r="Q25" s="168">
        <f>79400-5233.33</f>
        <v>74166.67</v>
      </c>
      <c r="R25" s="168">
        <f>Q25*1.05</f>
        <v>77875.003500000006</v>
      </c>
      <c r="W25" s="168">
        <f>1999+1224</f>
        <v>3223</v>
      </c>
    </row>
    <row r="26" spans="1:23" s="168" customFormat="1" ht="26.4" x14ac:dyDescent="0.5">
      <c r="A26" s="175" t="s">
        <v>36</v>
      </c>
      <c r="B26" s="172" t="s">
        <v>135</v>
      </c>
      <c r="C26" s="169"/>
      <c r="D26" s="169"/>
      <c r="E26" s="169"/>
      <c r="F26" s="169"/>
      <c r="G26" s="169"/>
      <c r="H26" s="169"/>
      <c r="I26" s="169"/>
      <c r="J26" s="169"/>
      <c r="K26" s="169"/>
      <c r="L26" s="169"/>
      <c r="M26" s="169"/>
      <c r="N26" s="173"/>
      <c r="O26" s="170" t="s">
        <v>37</v>
      </c>
      <c r="P26" s="169"/>
      <c r="R26" s="168">
        <f>R25+2469</f>
        <v>80344.003500000006</v>
      </c>
    </row>
    <row r="27" spans="1:23" s="168" customFormat="1" ht="26.4" x14ac:dyDescent="0.5">
      <c r="A27" s="175" t="s">
        <v>36</v>
      </c>
      <c r="B27" s="172" t="s">
        <v>134</v>
      </c>
      <c r="C27" s="169"/>
      <c r="D27" s="169"/>
      <c r="E27" s="169"/>
      <c r="F27" s="169"/>
      <c r="G27" s="169"/>
      <c r="H27" s="169"/>
      <c r="I27" s="169"/>
      <c r="J27" s="169"/>
      <c r="K27" s="169"/>
      <c r="L27" s="169"/>
      <c r="M27" s="169"/>
      <c r="N27" s="173"/>
      <c r="O27" s="170">
        <f>129500-110900</f>
        <v>18600</v>
      </c>
      <c r="P27" s="169"/>
      <c r="W27" s="174">
        <f>N7+L14</f>
        <v>2208.8063527552085</v>
      </c>
    </row>
    <row r="28" spans="1:23" s="168" customFormat="1" ht="26.4" x14ac:dyDescent="0.5">
      <c r="B28" s="172" t="s">
        <v>133</v>
      </c>
      <c r="C28" s="169"/>
      <c r="D28" s="169"/>
      <c r="E28" s="169"/>
      <c r="F28" s="169"/>
      <c r="G28" s="169"/>
      <c r="H28" s="169"/>
      <c r="I28" s="169"/>
      <c r="J28" s="169"/>
      <c r="K28" s="169"/>
      <c r="L28" s="169"/>
      <c r="M28" s="169"/>
      <c r="N28" s="173"/>
      <c r="O28" s="170">
        <f>85000-69900</f>
        <v>15100</v>
      </c>
      <c r="P28" s="169"/>
    </row>
    <row r="29" spans="1:23" s="168" customFormat="1" ht="26.4" x14ac:dyDescent="0.5">
      <c r="B29" s="172" t="s">
        <v>132</v>
      </c>
      <c r="C29" s="169"/>
      <c r="D29" s="169"/>
      <c r="E29" s="169"/>
      <c r="F29" s="169"/>
      <c r="G29" s="169"/>
      <c r="H29" s="169"/>
      <c r="I29" s="169"/>
      <c r="J29" s="169"/>
      <c r="K29" s="169"/>
      <c r="L29" s="169"/>
      <c r="M29" s="169"/>
      <c r="N29" s="171"/>
      <c r="O29" s="170"/>
      <c r="P29" s="169"/>
    </row>
    <row r="30" spans="1:23" x14ac:dyDescent="0.3">
      <c r="B30" s="167" t="s">
        <v>38</v>
      </c>
      <c r="C30" s="166"/>
      <c r="D30" s="166"/>
      <c r="E30" s="166"/>
      <c r="F30" s="166"/>
      <c r="G30" s="166"/>
      <c r="H30" s="166"/>
      <c r="I30" s="166"/>
      <c r="J30" s="166"/>
      <c r="K30" s="166"/>
      <c r="L30" s="166"/>
      <c r="M30" s="166"/>
      <c r="N30" s="165"/>
      <c r="O30" s="147"/>
    </row>
    <row r="31" spans="1:23" x14ac:dyDescent="0.3">
      <c r="B31" s="146"/>
      <c r="C31" s="145"/>
      <c r="D31" s="145"/>
      <c r="E31" s="145"/>
      <c r="F31" s="145"/>
      <c r="G31" s="145"/>
      <c r="H31" s="145"/>
      <c r="I31" s="145"/>
      <c r="J31" s="145"/>
      <c r="K31" s="145"/>
      <c r="L31" s="145"/>
      <c r="M31" s="145"/>
      <c r="N31" s="144"/>
      <c r="O31" s="147"/>
    </row>
    <row r="32" spans="1:23" s="86" customFormat="1" ht="20.399999999999999" x14ac:dyDescent="0.35">
      <c r="B32" s="118" t="s">
        <v>39</v>
      </c>
      <c r="C32" s="119"/>
      <c r="D32" s="119"/>
      <c r="E32" s="119"/>
      <c r="F32" s="119"/>
      <c r="G32" s="119"/>
      <c r="H32" s="119"/>
      <c r="I32" s="119"/>
      <c r="J32" s="119"/>
      <c r="K32" s="119"/>
      <c r="L32" s="119"/>
      <c r="M32" s="119"/>
      <c r="N32" s="120"/>
      <c r="O32" s="92"/>
      <c r="P32" s="83"/>
    </row>
    <row r="33" spans="2:16" s="86" customFormat="1" ht="20.399999999999999" x14ac:dyDescent="0.35">
      <c r="B33" s="118" t="s">
        <v>40</v>
      </c>
      <c r="C33" s="119"/>
      <c r="D33" s="119"/>
      <c r="E33" s="119"/>
      <c r="F33" s="119"/>
      <c r="G33" s="119"/>
      <c r="H33" s="119"/>
      <c r="I33" s="119"/>
      <c r="J33" s="119"/>
      <c r="K33" s="119"/>
      <c r="L33" s="119"/>
      <c r="M33" s="119"/>
      <c r="N33" s="120"/>
      <c r="O33" s="92"/>
      <c r="P33" s="83"/>
    </row>
    <row r="34" spans="2:16" s="86" customFormat="1" ht="20.399999999999999" x14ac:dyDescent="0.35">
      <c r="B34" s="107" t="s">
        <v>131</v>
      </c>
      <c r="C34" s="108"/>
      <c r="D34" s="108"/>
      <c r="E34" s="108"/>
      <c r="F34" s="108"/>
      <c r="G34" s="164" t="s">
        <v>130</v>
      </c>
      <c r="H34" s="164"/>
      <c r="I34" s="163"/>
      <c r="J34" s="163"/>
      <c r="K34" s="163"/>
      <c r="L34" s="163"/>
      <c r="M34" s="162" t="s">
        <v>129</v>
      </c>
      <c r="N34" s="161"/>
      <c r="O34" s="83"/>
      <c r="P34" s="83"/>
    </row>
    <row r="35" spans="2:16" x14ac:dyDescent="0.3">
      <c r="B35" s="160"/>
      <c r="C35" s="159"/>
      <c r="D35" s="159"/>
      <c r="E35" s="159"/>
      <c r="F35" s="159"/>
      <c r="G35" s="159"/>
      <c r="H35" s="159"/>
      <c r="I35" s="159"/>
      <c r="J35" s="159"/>
      <c r="K35" s="159"/>
      <c r="L35" s="159"/>
      <c r="M35" s="159"/>
      <c r="N35" s="158"/>
    </row>
    <row r="36" spans="2:16" x14ac:dyDescent="0.3">
      <c r="B36" s="160"/>
      <c r="C36" s="159"/>
      <c r="D36" s="159"/>
      <c r="E36" s="159"/>
      <c r="F36" s="159"/>
      <c r="G36" s="159"/>
      <c r="H36" s="159"/>
      <c r="I36" s="159"/>
      <c r="J36" s="159"/>
      <c r="K36" s="159"/>
      <c r="L36" s="159"/>
      <c r="M36" s="159"/>
      <c r="N36" s="158"/>
    </row>
    <row r="37" spans="2:16" x14ac:dyDescent="0.3">
      <c r="B37" s="160"/>
      <c r="C37" s="159"/>
      <c r="D37" s="159"/>
      <c r="E37" s="159"/>
      <c r="F37" s="159"/>
      <c r="G37" s="159"/>
      <c r="H37" s="159"/>
      <c r="I37" s="159"/>
      <c r="J37" s="159"/>
      <c r="K37" s="159"/>
      <c r="L37" s="159"/>
      <c r="M37" s="159"/>
      <c r="N37" s="158"/>
    </row>
    <row r="38" spans="2:16" ht="16.8" x14ac:dyDescent="0.3">
      <c r="B38" s="149" t="s">
        <v>128</v>
      </c>
      <c r="C38" s="157"/>
      <c r="D38" s="154"/>
      <c r="E38" s="151"/>
      <c r="F38" s="151"/>
      <c r="G38" s="151"/>
      <c r="H38" s="151"/>
      <c r="I38" s="151"/>
      <c r="J38" s="152"/>
      <c r="K38" s="151"/>
      <c r="L38" s="151"/>
      <c r="M38" s="151"/>
      <c r="N38" s="156"/>
    </row>
    <row r="39" spans="2:16" ht="16.8" x14ac:dyDescent="0.3">
      <c r="B39" s="149" t="s">
        <v>127</v>
      </c>
      <c r="C39" s="155"/>
      <c r="D39" s="154"/>
      <c r="E39" s="151"/>
      <c r="F39" s="151"/>
      <c r="G39" s="151"/>
      <c r="H39" s="151"/>
      <c r="I39" s="151"/>
      <c r="J39" s="152"/>
      <c r="K39" s="151"/>
      <c r="L39" s="151"/>
      <c r="M39" s="151"/>
      <c r="N39" s="150"/>
    </row>
    <row r="40" spans="2:16" ht="16.8" x14ac:dyDescent="0.3">
      <c r="B40" s="149" t="s">
        <v>126</v>
      </c>
      <c r="C40" s="153"/>
      <c r="D40" s="151"/>
      <c r="E40" s="151"/>
      <c r="F40" s="151"/>
      <c r="G40" s="151"/>
      <c r="H40" s="151"/>
      <c r="I40" s="151"/>
      <c r="J40" s="152"/>
      <c r="K40" s="151"/>
      <c r="L40" s="151"/>
      <c r="M40" s="151"/>
      <c r="N40" s="150"/>
    </row>
    <row r="41" spans="2:16" ht="16.8" x14ac:dyDescent="0.3">
      <c r="B41" s="149" t="s">
        <v>125</v>
      </c>
      <c r="N41" s="148"/>
    </row>
    <row r="42" spans="2:16" ht="16.8" x14ac:dyDescent="0.3">
      <c r="B42" s="149" t="s">
        <v>124</v>
      </c>
      <c r="N42" s="148"/>
    </row>
    <row r="43" spans="2:16" ht="16.8" x14ac:dyDescent="0.3">
      <c r="B43" s="149" t="s">
        <v>123</v>
      </c>
      <c r="N43" s="148"/>
    </row>
    <row r="44" spans="2:16" ht="16.8" x14ac:dyDescent="0.3">
      <c r="B44" s="149" t="s">
        <v>122</v>
      </c>
      <c r="N44" s="148"/>
    </row>
    <row r="45" spans="2:16" ht="16.8" x14ac:dyDescent="0.3">
      <c r="B45" s="149" t="s">
        <v>121</v>
      </c>
      <c r="N45" s="148"/>
    </row>
    <row r="46" spans="2:16" ht="16.8" x14ac:dyDescent="0.3">
      <c r="B46" s="149" t="s">
        <v>120</v>
      </c>
      <c r="N46" s="148"/>
    </row>
    <row r="47" spans="2:16" x14ac:dyDescent="0.3">
      <c r="B47" s="146" t="s">
        <v>39</v>
      </c>
      <c r="C47" s="145"/>
      <c r="D47" s="145"/>
      <c r="E47" s="145"/>
      <c r="F47" s="145"/>
      <c r="G47" s="145"/>
      <c r="H47" s="145"/>
      <c r="I47" s="145"/>
      <c r="J47" s="145"/>
      <c r="K47" s="145"/>
      <c r="L47" s="145"/>
      <c r="M47" s="145"/>
      <c r="N47" s="144"/>
      <c r="O47" s="147"/>
    </row>
    <row r="48" spans="2:16" x14ac:dyDescent="0.3">
      <c r="B48" s="146" t="s">
        <v>40</v>
      </c>
      <c r="C48" s="145"/>
      <c r="D48" s="145"/>
      <c r="E48" s="145"/>
      <c r="F48" s="145"/>
      <c r="G48" s="145"/>
      <c r="H48" s="145"/>
      <c r="I48" s="145"/>
      <c r="J48" s="145"/>
      <c r="K48" s="145"/>
      <c r="L48" s="145"/>
      <c r="M48" s="145"/>
      <c r="N48" s="144"/>
      <c r="O48" s="147"/>
    </row>
    <row r="49" spans="2:14" x14ac:dyDescent="0.3">
      <c r="B49" s="146" t="s">
        <v>119</v>
      </c>
      <c r="C49" s="145"/>
      <c r="D49" s="145"/>
      <c r="E49" s="145"/>
      <c r="F49" s="145"/>
      <c r="G49" s="145"/>
      <c r="H49" s="145"/>
      <c r="I49" s="145"/>
      <c r="J49" s="145"/>
      <c r="K49" s="145"/>
      <c r="L49" s="145"/>
      <c r="M49" s="145"/>
      <c r="N49" s="144"/>
    </row>
    <row r="50" spans="2:14" ht="25.8" x14ac:dyDescent="0.3">
      <c r="C50" s="15" t="s">
        <v>41</v>
      </c>
    </row>
    <row r="51" spans="2:14" ht="25.8" x14ac:dyDescent="0.3">
      <c r="C51" s="15" t="s">
        <v>42</v>
      </c>
    </row>
    <row r="52" spans="2:14" ht="25.8" x14ac:dyDescent="0.3">
      <c r="C52" s="15" t="s">
        <v>43</v>
      </c>
    </row>
    <row r="53" spans="2:14" ht="25.8" x14ac:dyDescent="0.3">
      <c r="C53" s="15" t="s">
        <v>44</v>
      </c>
    </row>
    <row r="54" spans="2:14" ht="25.8" x14ac:dyDescent="0.3">
      <c r="C54" s="15" t="s">
        <v>45</v>
      </c>
    </row>
  </sheetData>
  <dataConsolidate/>
  <mergeCells count="11">
    <mergeCell ref="F8:G8"/>
    <mergeCell ref="F9:G9"/>
    <mergeCell ref="G19:I19"/>
    <mergeCell ref="B22:N22"/>
    <mergeCell ref="B30:N30"/>
    <mergeCell ref="B32:N32"/>
    <mergeCell ref="B33:N33"/>
    <mergeCell ref="B47:N47"/>
    <mergeCell ref="B48:N48"/>
    <mergeCell ref="B49:N49"/>
    <mergeCell ref="B31:N31"/>
  </mergeCells>
  <dataValidations count="11">
    <dataValidation type="list" allowBlank="1" showInputMessage="1" showErrorMessage="1" sqref="H34" xr:uid="{BD8E3F83-AFCA-4823-9741-9BCEDD7FFEE1}">
      <formula1>"ALAA HAMMAD,KHALED QASSEM,RAMY RAOUF,SIMON LOBO,MHAREN CLEMENTE GARADO"</formula1>
    </dataValidation>
    <dataValidation type="list" allowBlank="1" showInputMessage="1" showErrorMessage="1" sqref="M34" xr:uid="{CF1285AD-33CD-47C6-AE40-EBB9032E58B5}">
      <formula1>"Alaa Hammad,Bachir Ibrahim Mourad,Khaled Qassem,Ramy Raoof,Simon Lobo,Mharen Clemente Garado,Ranjith"</formula1>
    </dataValidation>
    <dataValidation type="list" allowBlank="1" showInputMessage="1" showErrorMessage="1" sqref="B11" xr:uid="{904182F9-0380-4728-836D-136E57C490D8}">
      <formula1>"FO Ceramic+ Intr&amp;Extr CeramicGold WdwTnt,FO Mirror Camera Sensor"</formula1>
    </dataValidation>
    <dataValidation type="list" allowBlank="1" showInputMessage="1" showErrorMessage="1" sqref="B12" xr:uid="{82EC3A02-D06B-45D1-9035-658F71BDC7F0}">
      <formula1>"FO Exterior ceramic All Cars SCOTCHGUARD,FO Mirror Camera Sensor,FO PPF Gold Package "</formula1>
    </dataValidation>
    <dataValidation type="list" allowBlank="1" showInputMessage="1" showErrorMessage="1" sqref="K20" xr:uid="{E0F2771D-DD72-487E-A85A-B3DD9E761EC8}">
      <formula1>"Esaad,Emirates Platinum,Fazaa,Humat Alwatan,Permissible,ASX,XPMLP,XP,MON,MON G57,OUT,F08,P08,F06,P06,F03,F03-1,P03,EC,G37,G38,G40,G43"</formula1>
    </dataValidation>
    <dataValidation type="list" allowBlank="1" showInputMessage="1" showErrorMessage="1" sqref="B16" xr:uid="{76E25024-B0FB-4BF9-B2BB-D4594687641D}">
      <formula1>"RMC-10-40KMS,RMC-10-60KMS,RMC-10-70KMS,RMC-10-100000KMS,RMC-40-70KMS,RMC-40-100000KMS"</formula1>
    </dataValidation>
    <dataValidation type="list" allowBlank="1" showInputMessage="1" showErrorMessage="1" sqref="K24" xr:uid="{7C280B86-D2D9-47ED-8F8B-9C4A0E4E1B48}">
      <formula1>"RMC-10-70K,RMC-10-100000K,RMC-40-70K"</formula1>
    </dataValidation>
    <dataValidation type="list" allowBlank="1" showInputMessage="1" showErrorMessage="1" sqref="D5" xr:uid="{8CF83893-97EA-4E61-AD8D-8A0316ECC5CA}">
      <formula1>"MIG09,MIG10,H16,P16,H17,H48,H43,H40,H42,H44,H45,H38,H37,EH40,EH43,ML,HL,PR, MLP,HLP,PRP,XPML,XPHL,XPMLP, XPMLP-01,XC, G10,P10, G03, P03, G06,P06,G12,P12,G05,P05,G08,P08,G09,P09,H57,P57,H64,H59,P59,H61,P61"</formula1>
    </dataValidation>
    <dataValidation type="list" allowBlank="1" showInputMessage="1" showErrorMessage="1" sqref="M21" xr:uid="{2DBAC951-15F2-4CBF-9F75-93C21DDE1841}">
      <formula1>"3000-4999,5000-9999,5000-99999,10000-14999,15000-24999,25000-34999,35000-99999,5000-11999,12000-19999,20000-39999,40000-69999,70000-99999"</formula1>
    </dataValidation>
    <dataValidation type="list" allowBlank="1" showInputMessage="1" showErrorMessage="1" sqref="C10:C16 L20 L24:L25 G14:G15 J10" xr:uid="{2E8E1734-DEEB-4F8C-AC8C-46CFBD87D6C3}">
      <formula1>"YES,NO"</formula1>
    </dataValidation>
    <dataValidation type="list" allowBlank="1" showInputMessage="1" showErrorMessage="1" sqref="K21" xr:uid="{A73ED569-1A48-4A79-B543-84C9CBAC5CC8}">
      <formula1>"ADCB,ADCB PAY IN 2027,Ajman Bank,ADIB,DIB EXPAT,DIB LOCAL GVH,Emirates NBD,EIB,FAB,RAK,SIB STL,SIB NON STL"</formula1>
    </dataValidation>
  </dataValidations>
  <pageMargins left="0.23622047244094491" right="0.23622047244094491" top="0.74803149606299213" bottom="0.74803149606299213" header="0.31496062992125984" footer="0.31496062992125984"/>
  <pageSetup paperSize="9" scale="40" orientation="landscape" horizontalDpi="4294967295" verticalDpi="4294967295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4635C-154F-4911-9EBE-A4FD534D1FE3}">
  <sheetPr>
    <pageSetUpPr fitToPage="1"/>
  </sheetPr>
  <dimension ref="A1:AA54"/>
  <sheetViews>
    <sheetView topLeftCell="B1" zoomScaleNormal="100" workbookViewId="0">
      <selection activeCell="D5" sqref="D5"/>
    </sheetView>
  </sheetViews>
  <sheetFormatPr defaultColWidth="9.109375" defaultRowHeight="15.6" x14ac:dyDescent="0.3"/>
  <cols>
    <col min="1" max="1" width="16" style="1" hidden="1" customWidth="1"/>
    <col min="2" max="2" width="75.109375" style="2" customWidth="1"/>
    <col min="3" max="3" width="26.88671875" style="3" customWidth="1"/>
    <col min="4" max="4" width="23.88671875" style="2" customWidth="1"/>
    <col min="5" max="5" width="23.33203125" style="2" customWidth="1"/>
    <col min="6" max="6" width="19.88671875" style="2" customWidth="1"/>
    <col min="7" max="7" width="23.33203125" style="2" customWidth="1"/>
    <col min="8" max="8" width="24.44140625" style="2" customWidth="1"/>
    <col min="9" max="9" width="27.109375" style="2" customWidth="1"/>
    <col min="10" max="10" width="26.6640625" style="2" customWidth="1"/>
    <col min="11" max="11" width="25.44140625" style="2" customWidth="1"/>
    <col min="12" max="12" width="20.5546875" style="2" customWidth="1"/>
    <col min="13" max="13" width="20.109375" style="2" customWidth="1"/>
    <col min="14" max="14" width="19.5546875" style="2" customWidth="1"/>
    <col min="15" max="15" width="15.109375" style="2" bestFit="1" customWidth="1"/>
    <col min="16" max="16" width="12.6640625" style="2" hidden="1" customWidth="1"/>
    <col min="17" max="17" width="12.6640625" style="1" hidden="1" customWidth="1"/>
    <col min="18" max="18" width="15.6640625" style="1" hidden="1" customWidth="1"/>
    <col min="19" max="19" width="13" style="1" hidden="1" customWidth="1"/>
    <col min="20" max="20" width="17.109375" style="1" hidden="1" customWidth="1"/>
    <col min="21" max="21" width="14.5546875" style="1" bestFit="1" customWidth="1"/>
    <col min="22" max="22" width="19" style="1" customWidth="1"/>
    <col min="23" max="23" width="22.5546875" style="1" bestFit="1" customWidth="1"/>
    <col min="24" max="25" width="9.109375" style="1"/>
    <col min="26" max="26" width="14" style="1" bestFit="1" customWidth="1"/>
    <col min="27" max="27" width="22.33203125" style="1" bestFit="1" customWidth="1"/>
    <col min="28" max="16384" width="9.109375" style="1"/>
  </cols>
  <sheetData>
    <row r="1" spans="1:27" ht="15.75" customHeight="1" x14ac:dyDescent="0.3">
      <c r="B1" s="222" t="s">
        <v>148</v>
      </c>
      <c r="C1" s="221"/>
      <c r="D1" s="221"/>
      <c r="E1" s="221"/>
      <c r="F1" s="221"/>
      <c r="G1" s="221"/>
      <c r="H1" s="221"/>
      <c r="I1" s="221"/>
      <c r="J1" s="221"/>
      <c r="K1" s="221"/>
      <c r="L1" s="221"/>
      <c r="M1" s="221"/>
      <c r="N1" s="220"/>
    </row>
    <row r="2" spans="1:27" ht="15.75" customHeight="1" x14ac:dyDescent="0.3">
      <c r="B2" s="219" t="s">
        <v>147</v>
      </c>
      <c r="C2" s="218"/>
      <c r="D2" s="218"/>
      <c r="E2" s="218"/>
      <c r="F2" s="218"/>
      <c r="G2" s="218"/>
      <c r="H2" s="218"/>
      <c r="I2" s="218"/>
      <c r="J2" s="218"/>
      <c r="K2" s="218"/>
      <c r="L2" s="218"/>
      <c r="M2" s="218"/>
      <c r="N2" s="217"/>
      <c r="Q2" s="2"/>
      <c r="S2" s="186"/>
    </row>
    <row r="3" spans="1:27" ht="15.75" customHeight="1" x14ac:dyDescent="0.3">
      <c r="B3" s="219" t="s">
        <v>146</v>
      </c>
      <c r="C3" s="218"/>
      <c r="D3" s="218"/>
      <c r="E3" s="218"/>
      <c r="F3" s="218"/>
      <c r="G3" s="218"/>
      <c r="H3" s="218"/>
      <c r="I3" s="218"/>
      <c r="J3" s="218"/>
      <c r="K3" s="218"/>
      <c r="L3" s="218"/>
      <c r="M3" s="218"/>
      <c r="N3" s="217"/>
      <c r="O3" s="3"/>
      <c r="P3" s="3"/>
      <c r="Q3" s="153"/>
      <c r="R3" s="153"/>
      <c r="S3" s="216" t="e">
        <f>N7+J14</f>
        <v>#VALUE!</v>
      </c>
      <c r="T3" s="216"/>
      <c r="U3" s="153"/>
      <c r="V3" s="153"/>
      <c r="W3" s="153"/>
      <c r="AA3" s="1">
        <f>273000/5</f>
        <v>54600</v>
      </c>
    </row>
    <row r="4" spans="1:27" ht="15.75" customHeight="1" x14ac:dyDescent="0.3">
      <c r="B4" s="215"/>
      <c r="C4" s="214"/>
      <c r="D4" s="214"/>
      <c r="E4" s="214"/>
      <c r="F4" s="214"/>
      <c r="G4" s="214"/>
      <c r="H4" s="214"/>
      <c r="I4" s="214"/>
      <c r="J4" s="214"/>
      <c r="K4" s="214"/>
      <c r="L4" s="214"/>
      <c r="M4" s="214"/>
      <c r="N4" s="213"/>
      <c r="O4" s="212" t="s">
        <v>0</v>
      </c>
      <c r="P4" s="212"/>
      <c r="Q4" s="210"/>
      <c r="R4" s="210"/>
      <c r="S4" s="211"/>
      <c r="T4" s="211"/>
      <c r="U4" s="210" t="s">
        <v>1</v>
      </c>
      <c r="V4" s="210" t="s">
        <v>2</v>
      </c>
      <c r="W4" s="210" t="s">
        <v>3</v>
      </c>
    </row>
    <row r="5" spans="1:27" ht="25.2" thickBot="1" x14ac:dyDescent="0.45">
      <c r="B5" s="17"/>
      <c r="C5" s="18" t="str">
        <f>IF(D5="MIG09","Mirage G09",IF(D5="MIG10","MirageG10",IF(D5="H16","Attrage H16",IF(D5="P16","Attrage P16",IF(D5="H17","Attrage H17",IF(D5="H48","ASX H48",IF(D5="H43","ASX H43",IF(D5="H40","ASX H40",IF(D5="H42","ASX H42",IF(D5="H44","ASX H44",IF(D5="H45","ASX H45",IF(D5="H38","Eclipse H38",IF(D5="H37","Eclipse H37",IF(D5="EH40","Eclipse H40",IF(D5="EH43","Eclipse H43",IF(D5="XPML","Xpander ML",IF(D5="ML","Destinator ML",IF(D5="HL","Destinator HL",IF(D5="PR","Destinator PR",IF(D5="MLP","Destinator MLP",IF(D5="HLP","Destinator HLP",IF(D5="PRP","Destinator PRP",IF(D5="XPHL","Xpander HL",IF(D5="XPMLP","Xpander ML P",IF(D5="XPMLP-01","Xpander ML P-01",IF(D5="XC","Xpander Cross",IF(D5="G03","Outlander G03",IF(D5="P03","Outlander P03",IF(D5="G06","Outlander G06",IF(D5="P06","Outlander P06",IF(D5="OTP06-01","Outlander P06-01",IF(D5="G08","Outlander G08",IF(D5="P08","Outlander P08",IF(D5="H57","Montero H57",IF(D5="P57","Montero P57",IF(D5="H64","Montero G64",IF(D5="H59","Montero G59",IF(D5="P59","Montero G59 P",IF(D5="H61","Montero G61",IF(D5="P61","Montero P61",IF(D5="G10","Outlander G10",IF(D5="P10","Outlander P10",IF(D5="G12","Outlander G12",IF(D5="P12","Outlander P12",IF(D5="G05","Outlander G05",IF(D5="P05","Outlander P05",IF(D5="G09","Outlander G09",IF(D5="P09","Outlander P09",))))))))))))))))))))))))))))))))))))))))))))))))</f>
        <v>Attrage H16</v>
      </c>
      <c r="D5" s="19" t="s">
        <v>149</v>
      </c>
      <c r="E5" s="20" t="s">
        <v>145</v>
      </c>
      <c r="F5" s="37"/>
      <c r="G5" s="37"/>
      <c r="H5" s="37"/>
      <c r="I5" s="20"/>
      <c r="J5" s="34"/>
      <c r="K5" s="209">
        <v>0</v>
      </c>
      <c r="L5" s="208">
        <v>3.39E-2</v>
      </c>
      <c r="M5" s="208">
        <v>6.7799999999999999E-2</v>
      </c>
      <c r="N5" s="208">
        <v>0.1017</v>
      </c>
      <c r="O5" s="147">
        <f>K7+K14</f>
        <v>6158.7696210333343</v>
      </c>
      <c r="S5" s="186"/>
      <c r="U5" s="186">
        <f>L7+L14</f>
        <v>2542.7419597138892</v>
      </c>
      <c r="V5" s="186">
        <f>M7+M14</f>
        <v>1719.4849357833336</v>
      </c>
      <c r="W5" s="186">
        <f>N7+N14</f>
        <v>1208.7220708250002</v>
      </c>
    </row>
    <row r="6" spans="1:27" s="5" customFormat="1" ht="99" thickBot="1" x14ac:dyDescent="0.35">
      <c r="A6" s="4" t="s">
        <v>4</v>
      </c>
      <c r="B6" s="26" t="s">
        <v>5</v>
      </c>
      <c r="C6" s="27" t="s">
        <v>6</v>
      </c>
      <c r="D6" s="27" t="s">
        <v>144</v>
      </c>
      <c r="E6" s="27" t="s">
        <v>7</v>
      </c>
      <c r="F6" s="27" t="s">
        <v>8</v>
      </c>
      <c r="G6" s="28" t="s">
        <v>9</v>
      </c>
      <c r="H6" s="28" t="s">
        <v>143</v>
      </c>
      <c r="I6" s="28" t="s">
        <v>10</v>
      </c>
      <c r="J6" s="28" t="s">
        <v>142</v>
      </c>
      <c r="K6" s="28" t="s">
        <v>11</v>
      </c>
      <c r="L6" s="28" t="s">
        <v>12</v>
      </c>
      <c r="M6" s="28" t="s">
        <v>13</v>
      </c>
      <c r="N6" s="28" t="s">
        <v>14</v>
      </c>
      <c r="O6" s="207"/>
      <c r="P6" s="206"/>
      <c r="T6" s="205"/>
      <c r="U6" s="205">
        <f>N7+L14</f>
        <v>2009.1340041583335</v>
      </c>
      <c r="V6" s="205">
        <f>N7+K14</f>
        <v>4958.1517210333341</v>
      </c>
      <c r="W6" s="205" t="e">
        <f>N7+J14</f>
        <v>#VALUE!</v>
      </c>
    </row>
    <row r="7" spans="1:27" ht="25.2" thickBot="1" x14ac:dyDescent="0.45">
      <c r="A7" s="6">
        <f>B8</f>
        <v>41900</v>
      </c>
      <c r="B7" s="29">
        <f>IF(L20="YES",C8*1,IF(L20="NO",B8*1))</f>
        <v>41900</v>
      </c>
      <c r="C7" s="29">
        <f>B7*5/100</f>
        <v>2095</v>
      </c>
      <c r="D7" s="203">
        <f>B7+C7</f>
        <v>43995</v>
      </c>
      <c r="E7" s="29">
        <f>D17</f>
        <v>15530.895</v>
      </c>
      <c r="F7" s="29">
        <f>(C7)+(D10+D11+D12+D13+D16)*5/100</f>
        <v>2600</v>
      </c>
      <c r="G7" s="30">
        <f>B7+E7+F7</f>
        <v>60030.895000000004</v>
      </c>
      <c r="H7" s="29">
        <f>G7*D20</f>
        <v>12006.179000000002</v>
      </c>
      <c r="I7" s="30">
        <f>(G7-H7)</f>
        <v>48024.716</v>
      </c>
      <c r="J7" s="30">
        <f>(((I7*D19)*1)+I7)/12</f>
        <v>4157.7397877000003</v>
      </c>
      <c r="K7" s="30">
        <f>(((I7*D19)*2)+I7)/24</f>
        <v>2156.7099543666668</v>
      </c>
      <c r="L7" s="30">
        <f>(((I7*D19)*3)+I7)/36</f>
        <v>1489.7000099222223</v>
      </c>
      <c r="M7" s="30">
        <f>(((I7*D19)*4)+I7)/48</f>
        <v>1156.1950377000001</v>
      </c>
      <c r="N7" s="30">
        <f>((((I7*D19)*5)+I7)/60)</f>
        <v>956.09205436666673</v>
      </c>
      <c r="O7" s="147"/>
      <c r="P7" s="2">
        <f>H7+H16</f>
        <v>12510.438518000003</v>
      </c>
      <c r="T7" s="186">
        <f>25973/2</f>
        <v>12986.5</v>
      </c>
    </row>
    <row r="8" spans="1:27" ht="24.6" x14ac:dyDescent="0.4">
      <c r="A8" s="7">
        <v>0.2</v>
      </c>
      <c r="B8" s="31">
        <f>IF(D5="MIG09",39900,IF(D5="MIG10",41900,IF(D5="H16",41900,IF(D5="P16",47400,IF(D5="H17",47900,IF(D5="H48",67900,IF(D5="H43",70900,IF(D5="H40",72900,IF(D5="H42",74900,IF(D5="H44",73900,IF(D5="H45",79900,IF(D5="H38",86900,IF(D5="H37",79900,IF(D5="EH40",99900,IF(D5="EH43",106900,IF(D5="ML",71900,IF(D5="HL",83900,IF(D5="PR",95900,IF(D5="MLP",80900,IF(D5="HLP",91900,IF(D5="PRP",102900,IF(D5="XPML",69900,IF(D5="XPHL",71000,IF(D5="XPMLP",75900,IF(D5="XPMLP-01",77800,IF(D5="XC",84900,IF(D5="G10",81900,IF(D5="P10",93900,IF(D5="G12",97900,IF(D5="P12",105900,IF(D5="G05",104900,IF(D5="P05",105900,IF(D5="G03",92900,IF(D5="P03",100900,IF(D5="G06",109900,IF(D5="P06",114900,IF(D5="OTP06-01",118900,IF(D5="G08",125900,IF(D5="P08",132900,IF(D5="OTP06-01",109900,IF(D5="G09",129900,IF(D5="P09",134900,IF(D5="H57",105900,IF(D5="P57",113900,IF(D5="H64",116900,IF(D5="H59",127900,IF(D5="P59",134900,IF(D5="H61",134900,IF(D5="P61",138900)))))))))))))))))))))))))))))))))))))))))))))))))</f>
        <v>41900</v>
      </c>
      <c r="C8" s="32">
        <f>IF(L20="YES",N20,IF(L20="NO",N20))</f>
        <v>41900</v>
      </c>
      <c r="D8" s="29">
        <v>0</v>
      </c>
      <c r="E8" s="33"/>
      <c r="F8" s="139"/>
      <c r="G8" s="140"/>
      <c r="H8" s="110">
        <f>G7*20/100</f>
        <v>12006.179000000002</v>
      </c>
      <c r="I8" s="34"/>
      <c r="J8" s="34" t="s">
        <v>15</v>
      </c>
      <c r="K8" s="34">
        <f>(I7*K5+I7)/24</f>
        <v>2001.0298333333333</v>
      </c>
      <c r="L8" s="34">
        <f>(I7*L5+I7)/36</f>
        <v>1379.2431631222221</v>
      </c>
      <c r="M8" s="34">
        <f>(I7*M5+I7)/48</f>
        <v>1068.3498280166666</v>
      </c>
      <c r="N8" s="34">
        <f>(I7*N5+I7)/60</f>
        <v>881.81382695333332</v>
      </c>
      <c r="O8" s="147">
        <v>0</v>
      </c>
      <c r="P8" s="2">
        <f>P7/12</f>
        <v>1042.5365431666669</v>
      </c>
      <c r="T8" s="1">
        <f>25973-12973</f>
        <v>13000</v>
      </c>
    </row>
    <row r="9" spans="1:27" ht="24.6" x14ac:dyDescent="0.4">
      <c r="A9" s="8">
        <f>B8/(100%-A8)</f>
        <v>52375</v>
      </c>
      <c r="B9" s="109">
        <f>B7-B8</f>
        <v>0</v>
      </c>
      <c r="C9" s="109"/>
      <c r="D9" s="36"/>
      <c r="E9" s="33"/>
      <c r="F9" s="139"/>
      <c r="G9" s="140"/>
      <c r="H9" s="33"/>
      <c r="I9" s="37" t="s">
        <v>16</v>
      </c>
      <c r="J9" s="38">
        <f>(J7*12)-I7</f>
        <v>1868.1614524000033</v>
      </c>
      <c r="K9" s="38">
        <f>(K7*24)-I7</f>
        <v>3736.3229048000067</v>
      </c>
      <c r="L9" s="38">
        <f>(L7*36)-I7</f>
        <v>5604.4843572000027</v>
      </c>
      <c r="M9" s="38">
        <f>(M7*48)-I7</f>
        <v>7472.6458095999988</v>
      </c>
      <c r="N9" s="38">
        <f>(N7*60)-I7</f>
        <v>9340.8072620000021</v>
      </c>
      <c r="O9" s="147"/>
      <c r="T9" s="1">
        <f>T8/12</f>
        <v>1083.3333333333333</v>
      </c>
      <c r="Z9" s="1" t="s">
        <v>86</v>
      </c>
    </row>
    <row r="10" spans="1:27" ht="24.6" x14ac:dyDescent="0.4">
      <c r="A10" s="8"/>
      <c r="B10" s="37" t="s">
        <v>141</v>
      </c>
      <c r="C10" s="20" t="s">
        <v>17</v>
      </c>
      <c r="D10" s="36">
        <f>IF(C10="YES",700,IF(C10="NO",0))</f>
        <v>0</v>
      </c>
      <c r="E10" s="39"/>
      <c r="F10" s="40"/>
      <c r="G10" s="40"/>
      <c r="H10" s="33"/>
      <c r="I10" s="44" t="s">
        <v>85</v>
      </c>
      <c r="J10" s="117" t="s">
        <v>19</v>
      </c>
      <c r="K10" s="117">
        <f>IF(J10="YES",Z10,IF(J10="NO",0))</f>
        <v>1000</v>
      </c>
      <c r="L10" s="41">
        <f>(L8*36)-I7</f>
        <v>1628.0378723999966</v>
      </c>
      <c r="M10" s="41">
        <f>(M8*48)-I7</f>
        <v>3256.0757447999931</v>
      </c>
      <c r="N10" s="41">
        <f>(N8*60)-I7</f>
        <v>4884.113617199997</v>
      </c>
      <c r="O10" s="147">
        <f>IF(D5="XC",3690,IF(D5="XPML",3690,IF(D5="XPHL",3690,IF(D5="XPMLP",3690,IF(D5="XPMLP-01",3690,IF(D5="Xpander P",3690,IF(D5="ML",3690,IF(D5="HL",3690,IF(D5="PR",(U19*3/100+510)*1.05,IF(D5="MLP",3690,IF(D5="HLP",(U19*3/100+510)*1.05,IF(D5="PRP",(U19*3/100+510)*1.05,IF(D5="H57",(U19*2.75/100+510)*1.05,IF(D5="P57",(U19*2.75/100+510)*1.05,IF(D5="H64",(U19*2.75/100+510)*1.05,IF(D5="H59",(U19*2.75/100+510)*1.05,IF(D5="P59",(U19*2.75/100+510)*1.05,IF(D5="H61",(U19*2.75/100+510)*1.05,IF(D5="P61",(U19*2.75/100+510)*1.05,IF(D5="G03",(U19*3/100+510)*1.05,IF(D5="G10",(U19*3/100+510)*1.05,IF(D5="P10",(U19*3/100+510)*1.05,IF(D5="G12",(U19*3/100+510)*1.05,IF(D5="P12",(U19*3/100+510)*1.05,IF(D5="G05",(U19*3/100+510)*1.05,IF(D5="P05",(U19*3/100+510)*1.05,IF(D5="P03",(U19*3/100+510)*1.05,IF(D5="G06",(U19*3/100+510)*1.05,IF(D5="P06",(U19*3/100+510)*1.05,IF(D5="OTP06-01",(U19*3/100+510)*1.05,IF(D5="G08",(U19*3/100+510)*1.05,IF(D5="P08",(U19*3/100+510)*1.05,IF(D5="G09",(U19*3/100+510)*1.05,IF(D5="P09",(U19*3/100+510)*1.05,IF(D5="H38",3625,IF(D5="H37",3625,IF(D5="EH40",(U19*3/100+450)*1.05,IF(D5="EH43",(U19*3/100+450)*1.05,IF(D5="H48",3625,IF(D5="H43",3625,IF(D5="H40",3625,IF(D5="H42",3625,IF(D5="H44",3625,IF(D5="H45",3625,IF(D5="ASX HL 4WD",3625,IF(D5="H16",3625,IF(D5="H17",3625,IF(D5="P16",3625,IF(D5="Attrage S",3625,IF(D5="MIG09",3625,IF(D5="MIG10",3625,IF(D5="Xpander HL",3690))))))))))))))))))))))))))))))))))))))))))))))))))))</f>
        <v>3625</v>
      </c>
      <c r="P10" s="204"/>
      <c r="Q10" s="204">
        <f>5.25*3</f>
        <v>15.75</v>
      </c>
      <c r="Z10" s="1">
        <f>IF(D5="MIG09",1000,IF(D5="MIG10",1000,IF(D5="H16",1000,IF(D5="P16",1000,IF(D5="H17",1000,IF(D5="H48",1000,IF(D5="H43",1000,IF(D5="H40",1000,IF(D5="H42",1000,IF(D5="H44",1000,IF(D5="H45",1000,IF(D5="H38",1000,IF(D5="H37",1000,IF(D5="EH40",1000,IF(D5="EH43",1000,IF(D5="ML",1000,IF(D5="HL",1000,IF(D5="PR",1000,IF(D5="MLP",1000,IF(D5="HLP",1000,IF(D5="PRP",1000,IF(D5="XPML",1000,IF(D5="XPHL",1000,IF(D5="XPMLP",1000,IF(D5="XPMLP-01",1000,IF(D5="XC",1000,IF(D5="G10",1000,IF(D5="P10",1000,IF(D5="G12",1000,IF(D5="P12",1000,IF(D5="G05",1000,IF(D5="P05",1000,IF(D5="G03",1000,IF(D5="P03",1000,IF(D5="G06",1000,IF(D5="P06",1000,IF(D5="OTP06-01",1000,IF(D5="G08",1000,IF(D5="P08",1000,IF(D5="OTP06-01",1000,IF(D5="G09",1000,IF(D5="P09",1000,IF(D5="H57",1000,IF(D5="P57",1000,IF(D5="H64",1000,IF(D5="H59",1000,IF(D5="P59",1000,IF(D5="H61",1000,IF(D5="P61",1000)))))))))))))))))))))))))))))))))))))))))))))))))</f>
        <v>1000</v>
      </c>
    </row>
    <row r="11" spans="1:27" ht="24.6" x14ac:dyDescent="0.4">
      <c r="A11" s="8"/>
      <c r="B11" s="37" t="s">
        <v>18</v>
      </c>
      <c r="C11" s="20" t="s">
        <v>19</v>
      </c>
      <c r="D11" s="203">
        <f>IF(C11="YES",O17,IF(C11="NO",0))</f>
        <v>2700</v>
      </c>
      <c r="E11" s="39"/>
      <c r="F11" s="40"/>
      <c r="G11" s="40"/>
      <c r="H11" s="33"/>
      <c r="I11" s="33"/>
      <c r="J11" s="44" t="s">
        <v>76</v>
      </c>
      <c r="K11" s="44">
        <f>H8-K10</f>
        <v>11006.179000000002</v>
      </c>
      <c r="L11" s="37"/>
      <c r="M11" s="37"/>
      <c r="N11" s="38"/>
      <c r="O11" s="147">
        <f>IF(D5="XC",6100,IF(D5="XPML",6100,IF(D5="XPHL",6100,IF(D5="XPMLP",6100,IF(D5="XPMLP-01",6100,IF(D5="Xpander P",6100,IF(D5="ML",6600,IF(D5="HL",6600,IF(D5="PR",6600,IF(D5="MLP",6600,IF(D5="HLP",6600,IF(D5="PRP",6600,IF(D5="H57",5900,IF(D5="P57",5900,IF(D5="H64",5900,IF(D5="H59",5900,IF(D5="P59",5900,IF(D5="H61",5900,IF(D5="P61",5900,IF(D5="G03",6700,IF(D5="G10",6700,IF(D5="P10",6700,IF(D5="G12",6700,IF(D5="P12",6700,IF(D5="G05",6700,IF(D5="P05",6700,IF(D5="P03",6700,IF(D5="G06",6700,IF(D5="P06",6700,IF(D5="OTP06-01",6700,IF(D5="G08",6700,IF(D5="G09",6700,IF(D5="G08",6700,IF(D5="P08",6700,IF(D5="P09",6700,IF(D5="H37",6400,IF(D5="H38",6400,IF(D5="EH40",6400,IF(D5="EH43",6400,IF(D5="H48",6600,IF(D5="H43",6600,IF(D5="H40",6600,IF(D5="H42",6600,IF(D5="H44",6600,IF(D5="H45",6600,IF(D5="ASX HL 4WD",6600,IF(D5="H16",5400,IF(D5="H17",5400,IF(D5="P16",5400,IF(D5="Attrage S",5400,IF(D5="MIG09",5400,IF(D5="MIG10",5400,IF(D5="Xpander HL",6000)))))))))))))))))))))))))))))))))))))))))))))))))))))</f>
        <v>5400</v>
      </c>
      <c r="P11" s="147"/>
      <c r="Q11" s="147"/>
      <c r="R11" s="147"/>
      <c r="S11" s="147"/>
      <c r="T11" s="147"/>
      <c r="U11" s="147">
        <f>IF(D5="XC",4900,IF(D5="XPML",4900,IF(D5="XPHL",4900,IF(D5="XPMLP",4900,IF(D5="XPMLP-01",4900,IF(D5="Xpander P",4900,IF(D5="ML",5400,IF(D5="HL",5400,IF(D5="PR",5400,IF(D5="MLP",5400,IF(D5="HLP",5400,IF(D5="PRP",5400,IF(D5="H57",4600,IF(D5="P57",4600,IF(D5="MOG64",4600,IF(D5="H59",4600,IF(D5="P59",4600,IF(D5="H61",4600,IF(D5="P61",4600,IF(D5="G03",5500,IF(D5="P03",5500,IF(D5="G10",5500,IF(D5="P10",5500,IF(D5="G12",5500,IF(D5="P12",5500,IF(D5="G05",5500,IF(D5="P05",5500,IF(D5="G06",5500,IF(D5="P06",5500,IF(D5="OTP06-01",5500,IF(D5="F08",5500,IF(D5="P08",5500,IF(D5="G09",5500,IF(D5="P09",5500,IF(D5="H38",5200,IF(D5="H37",5200,IF(D5="EH40",5200,IF(D5="EH43",5200,IF(D5="H48",5300,IF(D5="H43",5300,IF(D5="H40",5300,IF(D5="H42",5300,IF(D5="H44",5300,IF(D5="H45",5300,IF(D5="ASX HL",5300,IF(D5="ASX P",5300,IF(D5="ASX HL 4WD",5300,IF(D5="H16",4200,IF(D5="H17",4200,IF(D5="P16",4200,IF(D5="Attrage S",4200,IF(D5="MIG09",4200,IF(D5="MIG10",4200,IF(D5="Xpander HL",4900))))))))))))))))))))))))))))))))))))))))))))))))))))))</f>
        <v>4200</v>
      </c>
      <c r="V11" s="147">
        <f>IF(D5="XC",9700,IF(D5="XPML",9700,IF(D5="XPHL",9700,IF(D5="XPMLP",9700,IF(D5="XPMLP-01",9700,IF(D5="XPMLP-01",9700,IF(D5="Xpander P",9700,IF(D5="ML",10800,IF(D5="HL",10800,IF(D5="PR",10800,IF(D5="MLP",10800,IF(D5="HLP",10800,IF(D5="PRP",10800,IF(D5="H57",9300,IF(D5="P57",9300,IF(D5="MG64",9300,IF(D5="H59",9300,IF(D5="P59",9300,IF(D5="H61",9300,IF(D5="P61",9300,IF(D5="G03",11000,IF(D5="G10",11000,IF(D5="P10",11000,IF(D5="G12",11000,IF(D5="P12",11000,IF(D5="G05",11000,IF(D5="P05",11000,IF(D5="P03",11000,IF(D5="G06",11000,IF(D5="P06",11000,IF(D5="OTP06-01",11000,IF(D5="G08",11000,IF(D5="P08",11000,IF(D5="G09",11000,IF(D5="P09",11000,IF(D5="H38",10400,IF(D5="H37",10400,IF(D5="EH40",10400,IF(D5="EH43",10400,IF(D5="H48",10700,IF(D5="H43",10700,IF(D5="H40",10700,IF(D5="H42",10700,IF(D5="H44",10800,IF(D5="H45",10800,IF(D5="ASX HL",12200,IF(D5="ASX P",12200,IF(D5="ASX HL 4WD",12200,IF(D5="H16",8500,IF(D5="H17",8500,IF(D5="P16",8500,IF(D5="Attrage S",9600,IF(D5="MIG09",8500,IF(D5="MIG10",8500,IF(D5="Xpander HL",11300)))))))))))))))))))))))))))))))))))))))))))))))))))))))</f>
        <v>8500</v>
      </c>
      <c r="W11" s="147">
        <f>IF(D5="XC",9200,IF(D5="XPML",9200,IF(D5="XPHL",9200,IF(D5="XPMLP",9200,IF(D5="XPMLP-01",9200,IF(D5="Xpander P",9200,IF(D5="ML",10000,IF(D5="HL",10000,IF(D5="PR",10000,IF(D5="MLP",10000,IF(D5="HLP",10000,IF(D5="PRP",10000,IF(D5="H57",8700,IF(D5="P57",8700,IF(D5="H64",8700,IF(D5="H59",8700,IF(D5="P59",8700,IF(D5="H61",8700,IF(D5="P61",8700,IF(D5="G03",10400,IF(D5="P03",10400,IF(D5="G10",10400,IF(D5="P10",10400,IF(D5="G12",10400,IF(D5="P12",10400,IF(D5="G05",10400,IF(D5="P05",10400,IF(D5="G06",10400,IF(D5="P06",10400,IF(D5="OTP06-01",10400,IF(D5="G08",10400,IF(D5="P08",10400,IF(D5="G09",10400,IF(D5="P09",10400,IF(D5="H38",9800,IF(D5="H37",9800,IF(D5="EH40",9800,IF(D5="EH43",9800,IF(D5="H48",10100,IF(D5="H43",10100,IF(D5="H40",10100,IF(D5="H42",10100,IF(D5="H44",10100,IF(D5="H45",10100,IF(D5="ASX HL",10100,IF(D5="ASX P",10100,IF(D5="ASX HL 4WD",10100,IF(D5="H16",7900,IF(D5="H17",7900,IF(D5="P16",7900,IF(D5="Attrage S",7900,IF(D5="MIG09",7900,IF(D5="MIG10",7900,IF(D5="Xpander HL",9200))))))))))))))))))))))))))))))))))))))))))))))))))))))</f>
        <v>7900</v>
      </c>
      <c r="X11" s="147">
        <f>IF(D5="XC",4500,IF(D5="XPML",4500,IF(D5="XPHL",4500,IF(D5="XPMLP",4500,IF(D5="XPMLP-01",4500,IF(D5="Xpander P",4500,IF(D5="ML",5000,IF(D5="HL",5000,IF(D5="PR",5000,IF(D5="MLP",5000,IF(D5="HLP",5000,IF(D5="PRP",5000,IF(D5="H57",8700,IF(D5="P57",8700,IF(D5="MOG64",4300,IF(D5="H59",4300,IF(D5="P59",4300,IF(D5="H61",4300,IF(D5="P61",4300,IF(D5="G03",5000,IF(D5="P03",5000,IF(D5="G10",5000,IF(D5="P10",5000,IF(D5="G12",5000,IF(D5="P12",5000,IF(D5="G05",5000,IF(D5="P05",5000,IF(D5="G06",5000,IF(D5="P06",5000,IF(D5="OTP06-01",5000,IF(D5="G08",5000,IF(D5="P08",5000,IF(D5="G09",5000,IF(D5="P09",5000,IF(D5="H38",4900,IF(D5="H37",4900,IF(D5="EH40",4900,IF(D5="EH43",4900,IF(D5="H48",4900,IF(D5="H43",4900,IF(D5="H40",4900,IF(D5="H42",4900,IF(D5="H44",4900,IF(D5="H45",4900,IF(D5="ASX HL",4900,IF(D5="ASX P",4900,IF(D5="ASX HL 4WD",4900,IF(D5="H16",3700,IF(D5="H17",3700,IF(D5="P16",3700,IF(D5="Attrage S",3700,IF(D5="MIG09",3700,IF(D5="MIG10",3700,IF(D5="Xpander HL",4500))))))))))))))))))))))))))))))))))))))))))))))))))))))</f>
        <v>3700</v>
      </c>
      <c r="Y11" s="147">
        <f>IF(D5="XC",5400,IF(D5="XPML ",5400,IF(D5="XPHL",5400,IF(D5="XPMLP",5400,IF(D5="XPMLP-01",5400,IF(D5="Xpander P",5400,IF(D5="ML",6000,IF(D5="HL",6000,IF(D5="PR",6000,IF(D5="MLP",6000,IF(D5="HLP",6000,IF(D5="PRP",6000,IF(D5="H57",5200,IF(D5="57",5200,IF(D5="H64",5200,IF(D5="H59",5200,IF(D5="P59",5200,IF(D5="H61",5200,IF(D5="P61",5200,IF(D5="G03",6000,IF(D5="P03",6000,IF(D5="G10",6000,IF(D5="P10",6000,IF(D5="G12",6000,IF(D5="P12",6000,IF(D5="G05",6000,IF(D5="P05",6000,IF(D5="G06",6000,IF(D5="P06",6000,IF(D5="OTP06-01",6000,IF(D5="G08",6000,IF(D5="P08",6000,IF(D5="G09",6000,IF(D5="P09",6000,IF(D5="H38",5700,IF(D5="H37",5700,IF(D5="EH40",5700,IF(D5="EH43",5700,IF(D5="H48",5900,IF(D5="H43",5900,IF(D5="H40",5900,IF(D5="H42",5900,IF(D5="H44",5900,IF(D5="H45",5900,IF(D5="ASX HL",5900,IF(D5="ASX P",5900,IF(D5="ASX HL 4WD",5900,IF(D5="H16",4500,IF(D5="H17",4500,IF(D5="P16",4500,IF(D5="Attrage S",4500,IF(D5="MIG09",4500,IF(D5="MIG10",4500,IF(D5="Xpander HL",5400))))))))))))))))))))))))))))))))))))))))))))))))))))))</f>
        <v>4500</v>
      </c>
    </row>
    <row r="12" spans="1:27" ht="24.6" x14ac:dyDescent="0.4">
      <c r="A12" s="8"/>
      <c r="B12" s="37" t="s">
        <v>20</v>
      </c>
      <c r="C12" s="20" t="s">
        <v>17</v>
      </c>
      <c r="D12" s="36">
        <f>IF(C12="YES",2000,IF(C12="NO",0))</f>
        <v>0</v>
      </c>
      <c r="E12" s="43"/>
      <c r="F12" s="43" t="s">
        <v>21</v>
      </c>
      <c r="G12" s="40"/>
      <c r="H12" s="33">
        <v>600</v>
      </c>
      <c r="I12" s="33"/>
      <c r="J12" s="202" t="s">
        <v>140</v>
      </c>
      <c r="K12" s="45">
        <v>0</v>
      </c>
      <c r="L12" s="45">
        <v>5.2499999999999998E-2</v>
      </c>
      <c r="M12" s="45">
        <v>0.126</v>
      </c>
      <c r="N12" s="201">
        <v>0.26250000000000001</v>
      </c>
      <c r="O12" s="147">
        <f>IF(K20="Esaad",B8*3/100,IF(K20="Emirates Platinum",B8*3/100,IF(K20="Fazaa",B8*3/100,IF(K20="Humat Alwatan",B8*3/100,IF(K20="Permissible",2000,IF(K20="ASX",8400,IF(K20="XPMLP",15100,IF(K20="XP",7200,IF(K20="G43",11000,IF(K20="EC",17000,IF(K20="G37",17000,IF(K20="G38",15000,IF(K20="G40",11000,IF(K20="OUT",3000,IF(K20="F08",14400,IF(K20="P08",11100,IF(K20="F06",13100,IF(K20="P06",13400,IF(K20="F03",3500,IF(K20="F03-1",13500,IF(K20="P03",13100,IF(K20="MON",10000,IF(K20="MON G57",9000,0)))))))))))))))))))))))</f>
        <v>2000</v>
      </c>
      <c r="Z12" s="86" t="s">
        <v>83</v>
      </c>
      <c r="AA12" s="86" t="s">
        <v>84</v>
      </c>
    </row>
    <row r="13" spans="1:27" ht="24.6" x14ac:dyDescent="0.4">
      <c r="A13" s="8">
        <f>B8*1.26582</f>
        <v>53037.858</v>
      </c>
      <c r="B13" s="37" t="s">
        <v>23</v>
      </c>
      <c r="C13" s="20" t="s">
        <v>19</v>
      </c>
      <c r="D13" s="36">
        <f>IF(C13="YES",2000,IF(C13="NO",0))</f>
        <v>2000</v>
      </c>
      <c r="E13" s="47"/>
      <c r="F13" s="47" t="s">
        <v>75</v>
      </c>
      <c r="G13" s="51"/>
      <c r="H13" s="39">
        <v>315</v>
      </c>
      <c r="I13" s="33"/>
      <c r="J13" s="44" t="s">
        <v>54</v>
      </c>
      <c r="K13" s="29" t="s">
        <v>79</v>
      </c>
      <c r="L13" s="29" t="s">
        <v>25</v>
      </c>
      <c r="M13" s="29" t="s">
        <v>0</v>
      </c>
      <c r="N13" s="57" t="s">
        <v>26</v>
      </c>
      <c r="O13" s="9">
        <f>IF(M21="3000-4999",6%,IF(M21="5000-9999",4.75%,IF(M21="10000-14999",3.15%,IF(M21="15000-24999",2.5%,IF(M21="25000-34999",2.25%,IF(M21="35000-99999",2.15%))))))</f>
        <v>4.7500000000000001E-2</v>
      </c>
      <c r="Q13" s="2">
        <f>H7/12</f>
        <v>1000.5149166666669</v>
      </c>
      <c r="U13" s="9">
        <f>IF(M21="3000-4999",6%,IF(M21="5000-9999",3.25%,IF(M21="10000-14999",3%,IF(M21="15000-24999",2.25%,IF(M21="25000-34999",2.15%,IF(M21="35000-99999",1.99%))))))</f>
        <v>3.2500000000000001E-2</v>
      </c>
      <c r="Z13" s="99">
        <f>IF(M21="5000-9999",2.49%,IF(M21="10000-19999",2.19%,IF(M21="20000-34999",2.09%,IF(M21="35000-49999",1.89%,IF(M21="50000-99999",1.79%)))))</f>
        <v>2.4900000000000002E-2</v>
      </c>
      <c r="AA13" s="99">
        <f>IF(M21="5000-9999",2.59%,IF(M21="10000-19999",2.29%,IF(M21="20000-34999",2.19%,IF(M21="35000-49999",1.99%,IF(M21="50000-99999",1.89%)))))</f>
        <v>2.5899999999999999E-2</v>
      </c>
    </row>
    <row r="14" spans="1:27" ht="24.6" x14ac:dyDescent="0.4">
      <c r="A14" s="10" t="s">
        <v>27</v>
      </c>
      <c r="B14" s="37" t="s">
        <v>24</v>
      </c>
      <c r="C14" s="20" t="s">
        <v>19</v>
      </c>
      <c r="D14" s="50">
        <f>IF(C14="YES",U19*3.15*1.05/100,IF(C14="NO",U19*0/100))</f>
        <v>1805.895</v>
      </c>
      <c r="E14" s="48"/>
      <c r="F14" s="48" t="s">
        <v>24</v>
      </c>
      <c r="G14" s="51" t="s">
        <v>17</v>
      </c>
      <c r="H14" s="39">
        <f>IF(G14="YES",U19*3.15*1.05/100,IF(G14="NO",U19*0/100))</f>
        <v>0</v>
      </c>
      <c r="I14" s="33"/>
      <c r="J14" s="44" t="s">
        <v>55</v>
      </c>
      <c r="K14" s="44">
        <f>(H8*K12+H8)/3</f>
        <v>4002.0596666666675</v>
      </c>
      <c r="L14" s="44">
        <f>(H8*L12+H8)/12</f>
        <v>1053.0419497916669</v>
      </c>
      <c r="M14" s="44">
        <f>(H8*M12+H8)/24</f>
        <v>563.28989808333347</v>
      </c>
      <c r="N14" s="200">
        <f>(H7*N12+H7)/60</f>
        <v>252.63001645833339</v>
      </c>
      <c r="O14" s="9">
        <f>IF(M21="3000-4999",3.89%,IF(M21="5000-9999",3.89%,IF(M21="10000-14999",3.89%,IF(M21="15000-24999",2.69%,IF(M21="25000-34999",2.69%,IF(M21="35000-99999",2.39%,IF(M21="76000-99999",2.5%)))))))</f>
        <v>3.8900000000000004E-2</v>
      </c>
    </row>
    <row r="15" spans="1:27" ht="24.6" x14ac:dyDescent="0.4">
      <c r="A15" s="11">
        <f>(B7*3%)+10+120</f>
        <v>1387</v>
      </c>
      <c r="B15" s="37" t="s">
        <v>28</v>
      </c>
      <c r="C15" s="20" t="s">
        <v>19</v>
      </c>
      <c r="D15" s="29">
        <f>IF(C15="YES",O10,IF(C15="NO",0))</f>
        <v>3625</v>
      </c>
      <c r="E15" s="48"/>
      <c r="F15" s="48" t="s">
        <v>53</v>
      </c>
      <c r="G15" s="51" t="s">
        <v>17</v>
      </c>
      <c r="H15" s="39">
        <f>IF(G15="YES",O10,IF(G15="NO",0))</f>
        <v>0</v>
      </c>
      <c r="I15" s="33"/>
      <c r="J15" s="44"/>
      <c r="K15" s="44"/>
      <c r="L15" s="44"/>
      <c r="M15" s="44"/>
      <c r="N15" s="198"/>
      <c r="O15" s="9" t="b">
        <f>IF(M21="3000-4999",4.99%, IF(M21="5000-11999",2.75%,IF(M21="12000-19999",2.75%,IF(M21="20000-39999",2.25%,IF(M21="40000-69999",2.25%,IF(M21="70000-99999",2.25%))))))</f>
        <v>0</v>
      </c>
      <c r="P15" s="191"/>
    </row>
    <row r="16" spans="1:27" ht="24.6" x14ac:dyDescent="0.4">
      <c r="A16" s="11">
        <f>((B7-B8)*3%+10+120)</f>
        <v>130</v>
      </c>
      <c r="B16" s="37" t="s">
        <v>78</v>
      </c>
      <c r="C16" s="20" t="s">
        <v>19</v>
      </c>
      <c r="D16" s="29">
        <f>IF(C16="YES",O16,IF(C16="NO",0))</f>
        <v>5400</v>
      </c>
      <c r="E16" s="47"/>
      <c r="F16" s="47" t="s">
        <v>74</v>
      </c>
      <c r="G16" s="54"/>
      <c r="H16" s="33">
        <f>I7*1.05%</f>
        <v>504.25951800000001</v>
      </c>
      <c r="I16" s="33"/>
      <c r="J16" s="44" t="s">
        <v>16</v>
      </c>
      <c r="K16" s="44">
        <f>(K14*3)-H8</f>
        <v>0</v>
      </c>
      <c r="L16" s="44">
        <f>(L14*12)-H8</f>
        <v>630.32439750000049</v>
      </c>
      <c r="M16" s="44">
        <f>(M14*24)-H8</f>
        <v>1512.7785540000023</v>
      </c>
      <c r="N16" s="198"/>
      <c r="O16" s="147">
        <f>IF(B16="RMC-10-70KMS",O11,IF(B16="RMC-10-100000KMS",V11,IF(B16="RMC-40-70KMS",U11, IF(B16="RMC-10-40KMS",X11, IF(B16="RMC-10-60KMS",Y11, IF(B16="RMC-40-100000KMS",W11,0))))))</f>
        <v>5400</v>
      </c>
    </row>
    <row r="17" spans="1:23" ht="24.6" x14ac:dyDescent="0.4">
      <c r="A17" s="11">
        <f>A15+A16</f>
        <v>1517</v>
      </c>
      <c r="B17" s="37"/>
      <c r="C17" s="20"/>
      <c r="D17" s="29">
        <f>SUM(D10:D16)</f>
        <v>15530.895</v>
      </c>
      <c r="E17" s="48"/>
      <c r="F17" s="48"/>
      <c r="G17" s="54"/>
      <c r="H17" s="33">
        <f>+SUM(H12:H16)+(H7)</f>
        <v>13425.438518000003</v>
      </c>
      <c r="I17" s="33"/>
      <c r="J17" s="20"/>
      <c r="K17" s="199"/>
      <c r="L17" s="199"/>
      <c r="M17" s="199"/>
      <c r="N17" s="198"/>
      <c r="O17" s="147">
        <f>IF(B11="FO Ceramic+ Intr&amp;Extr CeramicGold WdwTnt",2700,IF(B11="FO Mirror Camera Sensor",2000))</f>
        <v>2700</v>
      </c>
      <c r="T17" s="1">
        <f>19615-791</f>
        <v>18824</v>
      </c>
    </row>
    <row r="18" spans="1:23" ht="24.6" x14ac:dyDescent="0.4">
      <c r="A18" s="12" t="s">
        <v>29</v>
      </c>
      <c r="B18" s="55" t="s">
        <v>30</v>
      </c>
      <c r="C18" s="197"/>
      <c r="D18" s="57">
        <v>0</v>
      </c>
      <c r="E18" s="38"/>
      <c r="F18" s="20"/>
      <c r="G18" s="20"/>
      <c r="H18" s="37"/>
      <c r="I18" s="37"/>
      <c r="J18" s="37"/>
      <c r="K18" s="37"/>
      <c r="L18" s="37"/>
      <c r="M18" s="37"/>
      <c r="N18" s="37"/>
      <c r="O18" s="9" t="b">
        <f>IF(M21="5000-99999",1.99%)</f>
        <v>0</v>
      </c>
      <c r="U18" s="196" t="s">
        <v>52</v>
      </c>
      <c r="V18" s="196" t="s">
        <v>52</v>
      </c>
    </row>
    <row r="19" spans="1:23" ht="24.6" x14ac:dyDescent="0.4">
      <c r="A19" s="11">
        <f>B8*3.15%</f>
        <v>1319.85</v>
      </c>
      <c r="B19" s="58" t="s">
        <v>31</v>
      </c>
      <c r="C19" s="59"/>
      <c r="D19" s="60">
        <f>IF(K21="DIB EXPAT",O13,IF(K21="DIB LOCAL GVH",U13,IF(K21="Emirates NBD",O14,IF(K21="ADCB",O15,IF(K21="ADCB PAY IN 2027",O19,IF(K21="Ajman Bank",O18,IF(K21="SIB STL",Z13,IF(K21="SIB NON STL",AA13,))))))))</f>
        <v>3.8900000000000004E-2</v>
      </c>
      <c r="E19" s="20"/>
      <c r="F19" s="195"/>
      <c r="G19" s="141" t="s">
        <v>73</v>
      </c>
      <c r="H19" s="142"/>
      <c r="I19" s="143"/>
      <c r="J19" s="109">
        <f>(U19*20/100)/365</f>
        <v>29.917808219178081</v>
      </c>
      <c r="K19" s="37"/>
      <c r="L19" s="37"/>
      <c r="M19" s="37"/>
      <c r="N19" s="34">
        <f>D7</f>
        <v>43995</v>
      </c>
      <c r="O19" s="194" t="b">
        <f>IF(M21="5000-11999",3.35%,IF(M21="12000-19999",3.35%,IF(M21="20000-39999",2.85%,IF(M21="40000-69999",2.85%,IF(M21="70000-99999",2.85%)))))</f>
        <v>0</v>
      </c>
      <c r="P19" s="2">
        <f>81400-2500</f>
        <v>78900</v>
      </c>
      <c r="U19" s="193">
        <f>V19</f>
        <v>54600</v>
      </c>
      <c r="V19" s="192">
        <f>(B7+D10+D11+D12+D13+D16)*1.05</f>
        <v>54600</v>
      </c>
    </row>
    <row r="20" spans="1:23" ht="24.6" x14ac:dyDescent="0.4">
      <c r="A20" s="11"/>
      <c r="B20" s="58" t="s">
        <v>32</v>
      </c>
      <c r="C20" s="59"/>
      <c r="D20" s="63">
        <v>0.2</v>
      </c>
      <c r="E20" s="37"/>
      <c r="F20" s="37"/>
      <c r="G20" s="38"/>
      <c r="H20" s="38"/>
      <c r="I20" s="38"/>
      <c r="J20" s="103"/>
      <c r="K20" s="104" t="s">
        <v>33</v>
      </c>
      <c r="L20" s="104" t="s">
        <v>17</v>
      </c>
      <c r="M20" s="104">
        <f>IF(L20="YES",O12,IF(L20="NO",0))</f>
        <v>0</v>
      </c>
      <c r="N20" s="34">
        <f>B8-M20</f>
        <v>41900</v>
      </c>
      <c r="O20" s="187"/>
      <c r="P20" s="191"/>
      <c r="T20" s="1">
        <f>1992+1084</f>
        <v>3076</v>
      </c>
      <c r="U20" s="186"/>
      <c r="V20" s="2"/>
    </row>
    <row r="21" spans="1:23" ht="24.6" x14ac:dyDescent="0.4">
      <c r="A21" s="13">
        <f>A19+A20</f>
        <v>1319.85</v>
      </c>
      <c r="B21" s="37"/>
      <c r="C21" s="20"/>
      <c r="D21" s="37"/>
      <c r="E21" s="37"/>
      <c r="F21" s="37"/>
      <c r="G21" s="37"/>
      <c r="H21" s="37"/>
      <c r="I21" s="37"/>
      <c r="J21" s="190" t="s">
        <v>34</v>
      </c>
      <c r="K21" s="16" t="s">
        <v>139</v>
      </c>
      <c r="L21" s="16" t="s">
        <v>35</v>
      </c>
      <c r="M21" s="189" t="s">
        <v>80</v>
      </c>
      <c r="N21" s="188"/>
      <c r="O21" s="187"/>
      <c r="T21" s="1">
        <f>25973-12973</f>
        <v>13000</v>
      </c>
      <c r="U21" s="186">
        <f>M14+N7</f>
        <v>1519.3819524500002</v>
      </c>
    </row>
    <row r="22" spans="1:23" s="179" customFormat="1" ht="24.6" x14ac:dyDescent="0.4">
      <c r="A22" s="185"/>
      <c r="B22" s="184" t="s">
        <v>51</v>
      </c>
      <c r="C22" s="183"/>
      <c r="D22" s="183"/>
      <c r="E22" s="183"/>
      <c r="F22" s="183"/>
      <c r="G22" s="183"/>
      <c r="H22" s="183"/>
      <c r="I22" s="183"/>
      <c r="J22" s="183"/>
      <c r="K22" s="183"/>
      <c r="L22" s="183"/>
      <c r="M22" s="183"/>
      <c r="N22" s="182"/>
      <c r="O22" s="181"/>
      <c r="P22" s="180"/>
    </row>
    <row r="23" spans="1:23" s="168" customFormat="1" ht="26.4" x14ac:dyDescent="0.5">
      <c r="A23" s="175" t="s">
        <v>36</v>
      </c>
      <c r="B23" s="172" t="s">
        <v>138</v>
      </c>
      <c r="C23" s="169"/>
      <c r="D23" s="169"/>
      <c r="E23" s="169"/>
      <c r="F23" s="169"/>
      <c r="G23" s="169"/>
      <c r="H23" s="176"/>
      <c r="I23" s="176"/>
      <c r="J23" s="169"/>
      <c r="K23" s="169"/>
      <c r="L23" s="169"/>
      <c r="M23" s="169"/>
      <c r="N23" s="178"/>
      <c r="O23" s="170"/>
      <c r="P23" s="169"/>
    </row>
    <row r="24" spans="1:23" s="168" customFormat="1" ht="26.4" x14ac:dyDescent="0.5">
      <c r="A24" s="175" t="s">
        <v>36</v>
      </c>
      <c r="B24" s="172" t="s">
        <v>137</v>
      </c>
      <c r="C24" s="169"/>
      <c r="D24" s="169"/>
      <c r="E24" s="169"/>
      <c r="F24" s="169"/>
      <c r="G24" s="169"/>
      <c r="H24" s="177">
        <f>H7/365</f>
        <v>32.893641095890416</v>
      </c>
      <c r="I24" s="177">
        <f>H7+H12+H16</f>
        <v>13110.438518000003</v>
      </c>
      <c r="J24" s="169"/>
      <c r="K24" s="169"/>
      <c r="L24" s="169"/>
      <c r="M24" s="169"/>
      <c r="N24" s="173"/>
      <c r="O24" s="170"/>
      <c r="P24" s="169">
        <f>1232+480</f>
        <v>1712</v>
      </c>
      <c r="T24" s="168">
        <f>88704/1.05</f>
        <v>84480</v>
      </c>
    </row>
    <row r="25" spans="1:23" s="168" customFormat="1" ht="26.4" x14ac:dyDescent="0.5">
      <c r="A25" s="175" t="s">
        <v>36</v>
      </c>
      <c r="B25" s="172" t="s">
        <v>136</v>
      </c>
      <c r="C25" s="169"/>
      <c r="D25" s="169"/>
      <c r="E25" s="169"/>
      <c r="F25" s="169"/>
      <c r="G25" s="169"/>
      <c r="H25" s="176"/>
      <c r="I25" s="176"/>
      <c r="J25" s="169"/>
      <c r="K25" s="169"/>
      <c r="L25" s="169"/>
      <c r="M25" s="169"/>
      <c r="N25" s="173"/>
      <c r="O25" s="170"/>
      <c r="P25" s="169"/>
      <c r="Q25" s="168">
        <f>79400-5233.33</f>
        <v>74166.67</v>
      </c>
      <c r="R25" s="168">
        <f>Q25*1.05</f>
        <v>77875.003500000006</v>
      </c>
      <c r="W25" s="168">
        <f>1999+1224</f>
        <v>3223</v>
      </c>
    </row>
    <row r="26" spans="1:23" s="168" customFormat="1" ht="26.4" x14ac:dyDescent="0.5">
      <c r="A26" s="175" t="s">
        <v>36</v>
      </c>
      <c r="B26" s="172" t="s">
        <v>135</v>
      </c>
      <c r="C26" s="169"/>
      <c r="D26" s="169"/>
      <c r="E26" s="169"/>
      <c r="F26" s="169"/>
      <c r="G26" s="169"/>
      <c r="H26" s="169"/>
      <c r="I26" s="169"/>
      <c r="J26" s="169"/>
      <c r="K26" s="169"/>
      <c r="L26" s="169"/>
      <c r="M26" s="169"/>
      <c r="N26" s="173"/>
      <c r="O26" s="170" t="s">
        <v>37</v>
      </c>
      <c r="P26" s="169"/>
      <c r="R26" s="168">
        <f>R25+2469</f>
        <v>80344.003500000006</v>
      </c>
    </row>
    <row r="27" spans="1:23" s="168" customFormat="1" ht="26.4" x14ac:dyDescent="0.5">
      <c r="A27" s="175" t="s">
        <v>36</v>
      </c>
      <c r="B27" s="172" t="s">
        <v>134</v>
      </c>
      <c r="C27" s="169"/>
      <c r="D27" s="169"/>
      <c r="E27" s="169"/>
      <c r="F27" s="169"/>
      <c r="G27" s="169"/>
      <c r="H27" s="169"/>
      <c r="I27" s="169"/>
      <c r="J27" s="169"/>
      <c r="K27" s="169"/>
      <c r="L27" s="169"/>
      <c r="M27" s="169"/>
      <c r="N27" s="173"/>
      <c r="O27" s="170">
        <f>129500-110900</f>
        <v>18600</v>
      </c>
      <c r="P27" s="169"/>
      <c r="W27" s="174">
        <f>N7+L14</f>
        <v>2009.1340041583335</v>
      </c>
    </row>
    <row r="28" spans="1:23" s="168" customFormat="1" ht="26.4" x14ac:dyDescent="0.5">
      <c r="B28" s="172" t="s">
        <v>133</v>
      </c>
      <c r="C28" s="169"/>
      <c r="D28" s="169"/>
      <c r="E28" s="169"/>
      <c r="F28" s="169"/>
      <c r="G28" s="169"/>
      <c r="H28" s="169"/>
      <c r="I28" s="169"/>
      <c r="J28" s="169"/>
      <c r="K28" s="169"/>
      <c r="L28" s="169"/>
      <c r="M28" s="169"/>
      <c r="N28" s="173"/>
      <c r="O28" s="170">
        <f>85000-69900</f>
        <v>15100</v>
      </c>
      <c r="P28" s="169"/>
    </row>
    <row r="29" spans="1:23" s="168" customFormat="1" ht="26.4" x14ac:dyDescent="0.5">
      <c r="B29" s="172" t="s">
        <v>132</v>
      </c>
      <c r="C29" s="169"/>
      <c r="D29" s="169"/>
      <c r="E29" s="169"/>
      <c r="F29" s="169"/>
      <c r="G29" s="169"/>
      <c r="H29" s="169"/>
      <c r="I29" s="169"/>
      <c r="J29" s="169"/>
      <c r="K29" s="169"/>
      <c r="L29" s="169"/>
      <c r="M29" s="169"/>
      <c r="N29" s="171"/>
      <c r="O29" s="170"/>
      <c r="P29" s="169"/>
    </row>
    <row r="30" spans="1:23" x14ac:dyDescent="0.3">
      <c r="B30" s="167" t="s">
        <v>38</v>
      </c>
      <c r="C30" s="166"/>
      <c r="D30" s="166"/>
      <c r="E30" s="166"/>
      <c r="F30" s="166"/>
      <c r="G30" s="166"/>
      <c r="H30" s="166"/>
      <c r="I30" s="166"/>
      <c r="J30" s="166"/>
      <c r="K30" s="166"/>
      <c r="L30" s="166"/>
      <c r="M30" s="166"/>
      <c r="N30" s="165"/>
      <c r="O30" s="147"/>
    </row>
    <row r="31" spans="1:23" x14ac:dyDescent="0.3">
      <c r="B31" s="146"/>
      <c r="C31" s="145"/>
      <c r="D31" s="145"/>
      <c r="E31" s="145"/>
      <c r="F31" s="145"/>
      <c r="G31" s="145"/>
      <c r="H31" s="145"/>
      <c r="I31" s="145"/>
      <c r="J31" s="145"/>
      <c r="K31" s="145"/>
      <c r="L31" s="145"/>
      <c r="M31" s="145"/>
      <c r="N31" s="144"/>
      <c r="O31" s="147"/>
    </row>
    <row r="32" spans="1:23" s="86" customFormat="1" ht="20.399999999999999" x14ac:dyDescent="0.35">
      <c r="B32" s="118" t="s">
        <v>39</v>
      </c>
      <c r="C32" s="119"/>
      <c r="D32" s="119"/>
      <c r="E32" s="119"/>
      <c r="F32" s="119"/>
      <c r="G32" s="119"/>
      <c r="H32" s="119"/>
      <c r="I32" s="119"/>
      <c r="J32" s="119"/>
      <c r="K32" s="119"/>
      <c r="L32" s="119"/>
      <c r="M32" s="119"/>
      <c r="N32" s="120"/>
      <c r="O32" s="92"/>
      <c r="P32" s="83"/>
    </row>
    <row r="33" spans="2:16" s="86" customFormat="1" ht="20.399999999999999" x14ac:dyDescent="0.35">
      <c r="B33" s="118" t="s">
        <v>40</v>
      </c>
      <c r="C33" s="119"/>
      <c r="D33" s="119"/>
      <c r="E33" s="119"/>
      <c r="F33" s="119"/>
      <c r="G33" s="119"/>
      <c r="H33" s="119"/>
      <c r="I33" s="119"/>
      <c r="J33" s="119"/>
      <c r="K33" s="119"/>
      <c r="L33" s="119"/>
      <c r="M33" s="119"/>
      <c r="N33" s="120"/>
      <c r="O33" s="92"/>
      <c r="P33" s="83"/>
    </row>
    <row r="34" spans="2:16" s="86" customFormat="1" ht="20.399999999999999" x14ac:dyDescent="0.35">
      <c r="B34" s="107" t="s">
        <v>131</v>
      </c>
      <c r="C34" s="108"/>
      <c r="D34" s="108"/>
      <c r="E34" s="108"/>
      <c r="F34" s="108"/>
      <c r="G34" s="164" t="s">
        <v>130</v>
      </c>
      <c r="H34" s="164"/>
      <c r="I34" s="163"/>
      <c r="J34" s="163"/>
      <c r="K34" s="163"/>
      <c r="L34" s="163"/>
      <c r="M34" s="162" t="s">
        <v>129</v>
      </c>
      <c r="N34" s="161"/>
      <c r="O34" s="83"/>
      <c r="P34" s="83"/>
    </row>
    <row r="35" spans="2:16" x14ac:dyDescent="0.3">
      <c r="B35" s="160"/>
      <c r="C35" s="159"/>
      <c r="D35" s="159"/>
      <c r="E35" s="159"/>
      <c r="F35" s="159"/>
      <c r="G35" s="159"/>
      <c r="H35" s="159"/>
      <c r="I35" s="159"/>
      <c r="J35" s="159"/>
      <c r="K35" s="159"/>
      <c r="L35" s="159"/>
      <c r="M35" s="159"/>
      <c r="N35" s="158"/>
    </row>
    <row r="36" spans="2:16" x14ac:dyDescent="0.3">
      <c r="B36" s="160"/>
      <c r="C36" s="159"/>
      <c r="D36" s="159"/>
      <c r="E36" s="159"/>
      <c r="F36" s="159"/>
      <c r="G36" s="159"/>
      <c r="H36" s="159"/>
      <c r="I36" s="159"/>
      <c r="J36" s="159"/>
      <c r="K36" s="159"/>
      <c r="L36" s="159"/>
      <c r="M36" s="159"/>
      <c r="N36" s="158"/>
    </row>
    <row r="37" spans="2:16" x14ac:dyDescent="0.3">
      <c r="B37" s="160"/>
      <c r="C37" s="159"/>
      <c r="D37" s="159"/>
      <c r="E37" s="159"/>
      <c r="F37" s="159"/>
      <c r="G37" s="159"/>
      <c r="H37" s="159"/>
      <c r="I37" s="159"/>
      <c r="J37" s="159"/>
      <c r="K37" s="159"/>
      <c r="L37" s="159"/>
      <c r="M37" s="159"/>
      <c r="N37" s="158"/>
    </row>
    <row r="38" spans="2:16" ht="16.8" x14ac:dyDescent="0.3">
      <c r="B38" s="149" t="s">
        <v>128</v>
      </c>
      <c r="C38" s="157"/>
      <c r="D38" s="154"/>
      <c r="E38" s="151"/>
      <c r="F38" s="151"/>
      <c r="G38" s="151"/>
      <c r="H38" s="151"/>
      <c r="I38" s="151"/>
      <c r="J38" s="152"/>
      <c r="K38" s="151"/>
      <c r="L38" s="151"/>
      <c r="M38" s="151"/>
      <c r="N38" s="156"/>
    </row>
    <row r="39" spans="2:16" ht="16.8" x14ac:dyDescent="0.3">
      <c r="B39" s="149" t="s">
        <v>127</v>
      </c>
      <c r="C39" s="155"/>
      <c r="D39" s="154"/>
      <c r="E39" s="151"/>
      <c r="F39" s="151"/>
      <c r="G39" s="151"/>
      <c r="H39" s="151"/>
      <c r="I39" s="151"/>
      <c r="J39" s="152"/>
      <c r="K39" s="151"/>
      <c r="L39" s="151"/>
      <c r="M39" s="151"/>
      <c r="N39" s="150"/>
    </row>
    <row r="40" spans="2:16" ht="16.8" x14ac:dyDescent="0.3">
      <c r="B40" s="149" t="s">
        <v>126</v>
      </c>
      <c r="C40" s="153"/>
      <c r="D40" s="151"/>
      <c r="E40" s="151"/>
      <c r="F40" s="151"/>
      <c r="G40" s="151"/>
      <c r="H40" s="151"/>
      <c r="I40" s="151"/>
      <c r="J40" s="152"/>
      <c r="K40" s="151"/>
      <c r="L40" s="151"/>
      <c r="M40" s="151"/>
      <c r="N40" s="150"/>
    </row>
    <row r="41" spans="2:16" ht="16.8" x14ac:dyDescent="0.3">
      <c r="B41" s="149" t="s">
        <v>125</v>
      </c>
      <c r="N41" s="148"/>
    </row>
    <row r="42" spans="2:16" ht="16.8" x14ac:dyDescent="0.3">
      <c r="B42" s="149" t="s">
        <v>124</v>
      </c>
      <c r="N42" s="148"/>
    </row>
    <row r="43" spans="2:16" ht="16.8" x14ac:dyDescent="0.3">
      <c r="B43" s="149" t="s">
        <v>123</v>
      </c>
      <c r="N43" s="148"/>
    </row>
    <row r="44" spans="2:16" ht="16.8" x14ac:dyDescent="0.3">
      <c r="B44" s="149" t="s">
        <v>122</v>
      </c>
      <c r="N44" s="148"/>
    </row>
    <row r="45" spans="2:16" ht="16.8" x14ac:dyDescent="0.3">
      <c r="B45" s="149" t="s">
        <v>121</v>
      </c>
      <c r="N45" s="148"/>
    </row>
    <row r="46" spans="2:16" ht="16.8" x14ac:dyDescent="0.3">
      <c r="B46" s="149" t="s">
        <v>120</v>
      </c>
      <c r="N46" s="148"/>
    </row>
    <row r="47" spans="2:16" x14ac:dyDescent="0.3">
      <c r="B47" s="146" t="s">
        <v>39</v>
      </c>
      <c r="C47" s="145"/>
      <c r="D47" s="145"/>
      <c r="E47" s="145"/>
      <c r="F47" s="145"/>
      <c r="G47" s="145"/>
      <c r="H47" s="145"/>
      <c r="I47" s="145"/>
      <c r="J47" s="145"/>
      <c r="K47" s="145"/>
      <c r="L47" s="145"/>
      <c r="M47" s="145"/>
      <c r="N47" s="144"/>
      <c r="O47" s="147"/>
    </row>
    <row r="48" spans="2:16" x14ac:dyDescent="0.3">
      <c r="B48" s="146" t="s">
        <v>40</v>
      </c>
      <c r="C48" s="145"/>
      <c r="D48" s="145"/>
      <c r="E48" s="145"/>
      <c r="F48" s="145"/>
      <c r="G48" s="145"/>
      <c r="H48" s="145"/>
      <c r="I48" s="145"/>
      <c r="J48" s="145"/>
      <c r="K48" s="145"/>
      <c r="L48" s="145"/>
      <c r="M48" s="145"/>
      <c r="N48" s="144"/>
      <c r="O48" s="147"/>
    </row>
    <row r="49" spans="2:14" x14ac:dyDescent="0.3">
      <c r="B49" s="146" t="s">
        <v>119</v>
      </c>
      <c r="C49" s="145"/>
      <c r="D49" s="145"/>
      <c r="E49" s="145"/>
      <c r="F49" s="145"/>
      <c r="G49" s="145"/>
      <c r="H49" s="145"/>
      <c r="I49" s="145"/>
      <c r="J49" s="145"/>
      <c r="K49" s="145"/>
      <c r="L49" s="145"/>
      <c r="M49" s="145"/>
      <c r="N49" s="144"/>
    </row>
    <row r="50" spans="2:14" ht="25.8" x14ac:dyDescent="0.3">
      <c r="C50" s="15" t="s">
        <v>41</v>
      </c>
    </row>
    <row r="51" spans="2:14" ht="25.8" x14ac:dyDescent="0.3">
      <c r="C51" s="15" t="s">
        <v>42</v>
      </c>
    </row>
    <row r="52" spans="2:14" ht="25.8" x14ac:dyDescent="0.3">
      <c r="C52" s="15" t="s">
        <v>43</v>
      </c>
    </row>
    <row r="53" spans="2:14" ht="25.8" x14ac:dyDescent="0.3">
      <c r="C53" s="15" t="s">
        <v>44</v>
      </c>
    </row>
    <row r="54" spans="2:14" ht="25.8" x14ac:dyDescent="0.3">
      <c r="C54" s="15" t="s">
        <v>45</v>
      </c>
    </row>
  </sheetData>
  <dataConsolidate/>
  <mergeCells count="11">
    <mergeCell ref="F8:G8"/>
    <mergeCell ref="F9:G9"/>
    <mergeCell ref="G19:I19"/>
    <mergeCell ref="B22:N22"/>
    <mergeCell ref="B30:N30"/>
    <mergeCell ref="B32:N32"/>
    <mergeCell ref="B33:N33"/>
    <mergeCell ref="B47:N47"/>
    <mergeCell ref="B48:N48"/>
    <mergeCell ref="B49:N49"/>
    <mergeCell ref="B31:N31"/>
  </mergeCells>
  <dataValidations count="11">
    <dataValidation type="list" allowBlank="1" showInputMessage="1" showErrorMessage="1" sqref="H34" xr:uid="{01890847-A929-4BF8-A1DB-E244FB7A6010}">
      <formula1>"ALAA HAMMAD,KHALED QASSEM,RAMY RAOUF,SIMON LOBO,MHAREN CLEMENTE GARADO"</formula1>
    </dataValidation>
    <dataValidation type="list" allowBlank="1" showInputMessage="1" showErrorMessage="1" sqref="M34" xr:uid="{7C96E96A-ECB5-452E-AFAF-A02F3037C6B8}">
      <formula1>"Alaa Hammad,Bachir Ibrahim Mourad,Khaled Qassem,Ramy Raoof,Simon Lobo,Mharen Clemente Garado,Ranjith"</formula1>
    </dataValidation>
    <dataValidation type="list" allowBlank="1" showInputMessage="1" showErrorMessage="1" sqref="B11" xr:uid="{08E46107-AE0B-4BB9-A2D5-DFCF394C6566}">
      <formula1>"FO Ceramic+ Intr&amp;Extr CeramicGold WdwTnt,FO Mirror Camera Sensor"</formula1>
    </dataValidation>
    <dataValidation type="list" allowBlank="1" showInputMessage="1" showErrorMessage="1" sqref="B12" xr:uid="{945335B5-639C-476F-9F4C-FC6B6A8D2383}">
      <formula1>"FO Exterior ceramic All Cars SCOTCHGUARD,FO Mirror Camera Sensor,FO PPF Gold Package "</formula1>
    </dataValidation>
    <dataValidation type="list" allowBlank="1" showInputMessage="1" showErrorMessage="1" sqref="K20" xr:uid="{F7B7ABB4-1401-4CA1-A2E8-A34DD592D452}">
      <formula1>"Esaad,Emirates Platinum,Fazaa,Humat Alwatan,Permissible,ASX,XPMLP,XP,MON,MON G57,OUT,F08,P08,F06,P06,F03,F03-1,P03,EC,G37,G38,G40,G43"</formula1>
    </dataValidation>
    <dataValidation type="list" allowBlank="1" showInputMessage="1" showErrorMessage="1" sqref="B16" xr:uid="{91CFEFF2-8147-49B7-91D7-D571A0570B76}">
      <formula1>"RMC-10-40KMS,RMC-10-60KMS,RMC-10-70KMS,RMC-10-100000KMS,RMC-40-70KMS,RMC-40-100000KMS"</formula1>
    </dataValidation>
    <dataValidation type="list" allowBlank="1" showInputMessage="1" showErrorMessage="1" sqref="K24" xr:uid="{D286CD2E-A8E1-43BF-9A9A-7502E3DC519D}">
      <formula1>"RMC-10-70K,RMC-10-100000K,RMC-40-70K"</formula1>
    </dataValidation>
    <dataValidation type="list" allowBlank="1" showInputMessage="1" showErrorMessage="1" sqref="D5" xr:uid="{9ABA126B-1BB3-4F96-9534-02F55C9BF1BF}">
      <formula1>"MIG09,MIG10,H16,P16,H17,H48,H43,H40,H42,H44,H45,H38,H37,EH40,EH43,ML,HL,PR, MLP,HLP,PRP,XPML,XPHL,XPMLP, XPMLP-01,XC, G10,P10, G03, P03, G06,P06,G12,P12,G05,P05,G08,P08,G09,P09,H57,P57,H64,H59,P59,H61,P61"</formula1>
    </dataValidation>
    <dataValidation type="list" allowBlank="1" showInputMessage="1" showErrorMessage="1" sqref="M21" xr:uid="{1A4784C2-E70A-4CA5-B433-029D31ADCF5C}">
      <formula1>"3000-4999,5000-9999,5000-99999,10000-14999,15000-24999,25000-34999,35000-99999,5000-11999,12000-19999,20000-39999,40000-69999,70000-99999"</formula1>
    </dataValidation>
    <dataValidation type="list" allowBlank="1" showInputMessage="1" showErrorMessage="1" sqref="C10:C16 L20 L24:L25 G14:G15 J10" xr:uid="{3B1ECC2A-2CCC-4A64-85AF-430C4D4E62D6}">
      <formula1>"YES,NO"</formula1>
    </dataValidation>
    <dataValidation type="list" allowBlank="1" showInputMessage="1" showErrorMessage="1" sqref="K21" xr:uid="{7388F20C-7D56-4592-A6B9-E969B22F367F}">
      <formula1>"ADCB,ADCB PAY IN 2027,Ajman Bank,ADIB,DIB EXPAT,DIB LOCAL GVH,Emirates NBD,EIB,FAB,RAK,SIB STL,SIB NON STL"</formula1>
    </dataValidation>
  </dataValidations>
  <pageMargins left="0.23622047244094491" right="0.23622047244094491" top="0.74803149606299213" bottom="0.74803149606299213" header="0.31496062992125984" footer="0.31496062992125984"/>
  <pageSetup paperSize="9" scale="40" orientation="landscape" horizontalDpi="4294967295" verticalDpi="4294967295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A4F063-5502-46D2-B9FD-47809E9DC73A}">
  <sheetPr>
    <pageSetUpPr fitToPage="1"/>
  </sheetPr>
  <dimension ref="A1:AA54"/>
  <sheetViews>
    <sheetView topLeftCell="B1" zoomScaleNormal="100" workbookViewId="0">
      <selection activeCell="D5" sqref="D5"/>
    </sheetView>
  </sheetViews>
  <sheetFormatPr defaultColWidth="9.109375" defaultRowHeight="15.6" x14ac:dyDescent="0.3"/>
  <cols>
    <col min="1" max="1" width="16" style="1" hidden="1" customWidth="1"/>
    <col min="2" max="2" width="75.109375" style="2" customWidth="1"/>
    <col min="3" max="3" width="26.88671875" style="3" customWidth="1"/>
    <col min="4" max="4" width="23.88671875" style="2" customWidth="1"/>
    <col min="5" max="5" width="23.33203125" style="2" customWidth="1"/>
    <col min="6" max="6" width="19.88671875" style="2" customWidth="1"/>
    <col min="7" max="7" width="23.33203125" style="2" customWidth="1"/>
    <col min="8" max="8" width="24.44140625" style="2" customWidth="1"/>
    <col min="9" max="9" width="27.109375" style="2" customWidth="1"/>
    <col min="10" max="10" width="26.6640625" style="2" customWidth="1"/>
    <col min="11" max="11" width="25.44140625" style="2" customWidth="1"/>
    <col min="12" max="12" width="20.5546875" style="2" customWidth="1"/>
    <col min="13" max="13" width="20.109375" style="2" customWidth="1"/>
    <col min="14" max="14" width="19.5546875" style="2" customWidth="1"/>
    <col min="15" max="15" width="15.109375" style="2" bestFit="1" customWidth="1"/>
    <col min="16" max="16" width="12.6640625" style="2" hidden="1" customWidth="1"/>
    <col min="17" max="17" width="12.6640625" style="1" hidden="1" customWidth="1"/>
    <col min="18" max="18" width="15.6640625" style="1" hidden="1" customWidth="1"/>
    <col min="19" max="19" width="13" style="1" hidden="1" customWidth="1"/>
    <col min="20" max="20" width="17.109375" style="1" hidden="1" customWidth="1"/>
    <col min="21" max="21" width="14.5546875" style="1" bestFit="1" customWidth="1"/>
    <col min="22" max="22" width="19" style="1" customWidth="1"/>
    <col min="23" max="23" width="22.5546875" style="1" bestFit="1" customWidth="1"/>
    <col min="24" max="25" width="9.109375" style="1"/>
    <col min="26" max="26" width="14" style="1" bestFit="1" customWidth="1"/>
    <col min="27" max="27" width="22.33203125" style="1" bestFit="1" customWidth="1"/>
    <col min="28" max="16384" width="9.109375" style="1"/>
  </cols>
  <sheetData>
    <row r="1" spans="1:27" ht="15.75" customHeight="1" x14ac:dyDescent="0.3">
      <c r="B1" s="222" t="s">
        <v>148</v>
      </c>
      <c r="C1" s="221"/>
      <c r="D1" s="221"/>
      <c r="E1" s="221"/>
      <c r="F1" s="221"/>
      <c r="G1" s="221"/>
      <c r="H1" s="221"/>
      <c r="I1" s="221"/>
      <c r="J1" s="221"/>
      <c r="K1" s="221"/>
      <c r="L1" s="221"/>
      <c r="M1" s="221"/>
      <c r="N1" s="220"/>
    </row>
    <row r="2" spans="1:27" ht="15.75" customHeight="1" x14ac:dyDescent="0.3">
      <c r="B2" s="219" t="s">
        <v>147</v>
      </c>
      <c r="C2" s="218"/>
      <c r="D2" s="218"/>
      <c r="E2" s="218"/>
      <c r="F2" s="218"/>
      <c r="G2" s="218"/>
      <c r="H2" s="218"/>
      <c r="I2" s="218"/>
      <c r="J2" s="218"/>
      <c r="K2" s="218"/>
      <c r="L2" s="218"/>
      <c r="M2" s="218"/>
      <c r="N2" s="217"/>
      <c r="Q2" s="2"/>
      <c r="S2" s="186"/>
    </row>
    <row r="3" spans="1:27" ht="15.75" customHeight="1" x14ac:dyDescent="0.3">
      <c r="B3" s="219" t="s">
        <v>146</v>
      </c>
      <c r="C3" s="218"/>
      <c r="D3" s="218"/>
      <c r="E3" s="218"/>
      <c r="F3" s="218"/>
      <c r="G3" s="218"/>
      <c r="H3" s="218"/>
      <c r="I3" s="218"/>
      <c r="J3" s="218"/>
      <c r="K3" s="218"/>
      <c r="L3" s="218"/>
      <c r="M3" s="218"/>
      <c r="N3" s="217"/>
      <c r="O3" s="3"/>
      <c r="P3" s="3"/>
      <c r="Q3" s="153"/>
      <c r="R3" s="153"/>
      <c r="S3" s="216" t="e">
        <f>N7+J14</f>
        <v>#VALUE!</v>
      </c>
      <c r="T3" s="216"/>
      <c r="U3" s="153"/>
      <c r="V3" s="153"/>
      <c r="W3" s="153"/>
      <c r="AA3" s="1">
        <f>273000/5</f>
        <v>54600</v>
      </c>
    </row>
    <row r="4" spans="1:27" ht="15.75" customHeight="1" x14ac:dyDescent="0.3">
      <c r="B4" s="215"/>
      <c r="C4" s="214"/>
      <c r="D4" s="214"/>
      <c r="E4" s="214"/>
      <c r="F4" s="214"/>
      <c r="G4" s="214"/>
      <c r="H4" s="214"/>
      <c r="I4" s="214"/>
      <c r="J4" s="214"/>
      <c r="K4" s="214"/>
      <c r="L4" s="214"/>
      <c r="M4" s="214"/>
      <c r="N4" s="213"/>
      <c r="O4" s="212" t="s">
        <v>0</v>
      </c>
      <c r="P4" s="212"/>
      <c r="Q4" s="210"/>
      <c r="R4" s="210"/>
      <c r="S4" s="211"/>
      <c r="T4" s="211"/>
      <c r="U4" s="210" t="s">
        <v>1</v>
      </c>
      <c r="V4" s="210" t="s">
        <v>2</v>
      </c>
      <c r="W4" s="210" t="s">
        <v>3</v>
      </c>
    </row>
    <row r="5" spans="1:27" ht="25.2" thickBot="1" x14ac:dyDescent="0.45">
      <c r="B5" s="17"/>
      <c r="C5" s="18" t="str">
        <f>IF(D5="MIG09","Mirage G09",IF(D5="MIG10","MirageG10",IF(D5="H16","Attrage H16",IF(D5="P16","Attrage P16",IF(D5="H17","Attrage H17",IF(D5="H48","ASX H48",IF(D5="H43","ASX H43",IF(D5="H40","ASX H40",IF(D5="H42","ASX H42",IF(D5="H44","ASX H44",IF(D5="H45","ASX H45",IF(D5="H38","Eclipse H38",IF(D5="H37","Eclipse H37",IF(D5="EH40","Eclipse H40",IF(D5="EH43","Eclipse H43",IF(D5="XPML","Xpander ML",IF(D5="ML","Destinator ML",IF(D5="HL","Destinator HL",IF(D5="PR","Destinator PR",IF(D5="MLP","Destinator MLP",IF(D5="HLP","Destinator HLP",IF(D5="PRP","Destinator PRP",IF(D5="XPHL","Xpander HL",IF(D5="XPMLP","Xpander ML P",IF(D5="XPMLP-01","Xpander ML P-01",IF(D5="XC","Xpander Cross",IF(D5="G03","Outlander G03",IF(D5="P03","Outlander P03",IF(D5="G06","Outlander G06",IF(D5="P06","Outlander P06",IF(D5="OTP06-01","Outlander P06-01",IF(D5="G08","Outlander G08",IF(D5="P08","Outlander P08",IF(D5="H57","Montero H57",IF(D5="P57","Montero P57",IF(D5="H64","Montero G64",IF(D5="H59","Montero G59",IF(D5="P59","Montero G59 P",IF(D5="H61","Montero G61",IF(D5="P61","Montero P61",IF(D5="G10","Outlander G10",IF(D5="P10","Outlander P10",IF(D5="G12","Outlander G12",IF(D5="P12","Outlander P12",IF(D5="G05","Outlander G05",IF(D5="P05","Outlander P05",IF(D5="G09","Outlander G09",IF(D5="P09","Outlander P09",))))))))))))))))))))))))))))))))))))))))))))))))</f>
        <v>MirageG10</v>
      </c>
      <c r="D5" s="19" t="s">
        <v>89</v>
      </c>
      <c r="E5" s="20" t="s">
        <v>145</v>
      </c>
      <c r="F5" s="37"/>
      <c r="G5" s="37"/>
      <c r="H5" s="37"/>
      <c r="I5" s="20"/>
      <c r="J5" s="34"/>
      <c r="K5" s="209">
        <v>0</v>
      </c>
      <c r="L5" s="208">
        <v>3.39E-2</v>
      </c>
      <c r="M5" s="208">
        <v>6.7799999999999999E-2</v>
      </c>
      <c r="N5" s="208">
        <v>0.1017</v>
      </c>
      <c r="O5" s="147">
        <f>K7+K14</f>
        <v>6158.7696210333343</v>
      </c>
      <c r="S5" s="186"/>
      <c r="U5" s="186">
        <f>L7+L14</f>
        <v>2542.7419597138892</v>
      </c>
      <c r="V5" s="186">
        <f>M7+M14</f>
        <v>1719.4849357833336</v>
      </c>
      <c r="W5" s="186">
        <f>N7+N14</f>
        <v>1208.7220708250002</v>
      </c>
    </row>
    <row r="6" spans="1:27" s="5" customFormat="1" ht="99" thickBot="1" x14ac:dyDescent="0.35">
      <c r="A6" s="4" t="s">
        <v>4</v>
      </c>
      <c r="B6" s="26" t="s">
        <v>5</v>
      </c>
      <c r="C6" s="27" t="s">
        <v>6</v>
      </c>
      <c r="D6" s="27" t="s">
        <v>144</v>
      </c>
      <c r="E6" s="27" t="s">
        <v>7</v>
      </c>
      <c r="F6" s="27" t="s">
        <v>8</v>
      </c>
      <c r="G6" s="28" t="s">
        <v>9</v>
      </c>
      <c r="H6" s="28" t="s">
        <v>143</v>
      </c>
      <c r="I6" s="28" t="s">
        <v>10</v>
      </c>
      <c r="J6" s="28" t="s">
        <v>142</v>
      </c>
      <c r="K6" s="28" t="s">
        <v>11</v>
      </c>
      <c r="L6" s="28" t="s">
        <v>12</v>
      </c>
      <c r="M6" s="28" t="s">
        <v>13</v>
      </c>
      <c r="N6" s="28" t="s">
        <v>14</v>
      </c>
      <c r="O6" s="207"/>
      <c r="P6" s="206"/>
      <c r="T6" s="205"/>
      <c r="U6" s="205">
        <f>N7+L14</f>
        <v>2009.1340041583335</v>
      </c>
      <c r="V6" s="205">
        <f>N7+K14</f>
        <v>4958.1517210333341</v>
      </c>
      <c r="W6" s="205" t="e">
        <f>N7+J14</f>
        <v>#VALUE!</v>
      </c>
    </row>
    <row r="7" spans="1:27" ht="25.2" thickBot="1" x14ac:dyDescent="0.45">
      <c r="A7" s="6">
        <f>B8</f>
        <v>41900</v>
      </c>
      <c r="B7" s="29">
        <f>IF(L20="YES",C8*1,IF(L20="NO",B8*1))</f>
        <v>41900</v>
      </c>
      <c r="C7" s="29">
        <f>B7*5/100</f>
        <v>2095</v>
      </c>
      <c r="D7" s="203">
        <f>B7+C7</f>
        <v>43995</v>
      </c>
      <c r="E7" s="29">
        <f>D17</f>
        <v>15530.895</v>
      </c>
      <c r="F7" s="29">
        <f>(C7)+(D10+D11+D12+D13+D16)*5/100</f>
        <v>2600</v>
      </c>
      <c r="G7" s="30">
        <f>B7+E7+F7</f>
        <v>60030.895000000004</v>
      </c>
      <c r="H7" s="29">
        <f>G7*D20</f>
        <v>12006.179000000002</v>
      </c>
      <c r="I7" s="30">
        <f>(G7-H7)</f>
        <v>48024.716</v>
      </c>
      <c r="J7" s="30">
        <f>(((I7*D19)*1)+I7)/12</f>
        <v>4157.7397877000003</v>
      </c>
      <c r="K7" s="30">
        <f>(((I7*D19)*2)+I7)/24</f>
        <v>2156.7099543666668</v>
      </c>
      <c r="L7" s="30">
        <f>(((I7*D19)*3)+I7)/36</f>
        <v>1489.7000099222223</v>
      </c>
      <c r="M7" s="30">
        <f>(((I7*D19)*4)+I7)/48</f>
        <v>1156.1950377000001</v>
      </c>
      <c r="N7" s="30">
        <f>((((I7*D19)*5)+I7)/60)</f>
        <v>956.09205436666673</v>
      </c>
      <c r="O7" s="147"/>
      <c r="P7" s="2">
        <f>H7+H16</f>
        <v>12510.438518000003</v>
      </c>
      <c r="T7" s="186">
        <f>25973/2</f>
        <v>12986.5</v>
      </c>
    </row>
    <row r="8" spans="1:27" ht="24.6" x14ac:dyDescent="0.4">
      <c r="A8" s="7">
        <v>0.2</v>
      </c>
      <c r="B8" s="31">
        <f>IF(D5="MIG09",39900,IF(D5="MIG10",41900,IF(D5="H16",41900,IF(D5="P16",47400,IF(D5="H17",47900,IF(D5="H48",67900,IF(D5="H43",70900,IF(D5="H40",72900,IF(D5="H42",74900,IF(D5="H44",73900,IF(D5="H45",79900,IF(D5="H38",86900,IF(D5="H37",79900,IF(D5="EH40",99900,IF(D5="EH43",106900,IF(D5="ML",71900,IF(D5="HL",83900,IF(D5="PR",95900,IF(D5="MLP",80900,IF(D5="HLP",91900,IF(D5="PRP",102900,IF(D5="XPML",69900,IF(D5="XPHL",71000,IF(D5="XPMLP",75900,IF(D5="XPMLP-01",77800,IF(D5="XC",84900,IF(D5="G10",81900,IF(D5="P10",93900,IF(D5="G12",97900,IF(D5="P12",105900,IF(D5="G05",104900,IF(D5="P05",105900,IF(D5="G03",92900,IF(D5="P03",100900,IF(D5="G06",109900,IF(D5="P06",114900,IF(D5="OTP06-01",118900,IF(D5="G08",125900,IF(D5="P08",132900,IF(D5="OTP06-01",109900,IF(D5="G09",129900,IF(D5="P09",134900,IF(D5="H57",105900,IF(D5="P57",113900,IF(D5="H64",116900,IF(D5="H59",127900,IF(D5="P59",134900,IF(D5="H61",134900,IF(D5="P61",138900)))))))))))))))))))))))))))))))))))))))))))))))))</f>
        <v>41900</v>
      </c>
      <c r="C8" s="32">
        <f>IF(L20="YES",N20,IF(L20="NO",N20))</f>
        <v>41900</v>
      </c>
      <c r="D8" s="29">
        <v>0</v>
      </c>
      <c r="E8" s="33"/>
      <c r="F8" s="139"/>
      <c r="G8" s="140"/>
      <c r="H8" s="110">
        <f>G7*20/100</f>
        <v>12006.179000000002</v>
      </c>
      <c r="I8" s="34"/>
      <c r="J8" s="34" t="s">
        <v>15</v>
      </c>
      <c r="K8" s="34">
        <f>(I7*K5+I7)/24</f>
        <v>2001.0298333333333</v>
      </c>
      <c r="L8" s="34">
        <f>(I7*L5+I7)/36</f>
        <v>1379.2431631222221</v>
      </c>
      <c r="M8" s="34">
        <f>(I7*M5+I7)/48</f>
        <v>1068.3498280166666</v>
      </c>
      <c r="N8" s="34">
        <f>(I7*N5+I7)/60</f>
        <v>881.81382695333332</v>
      </c>
      <c r="O8" s="147">
        <v>0</v>
      </c>
      <c r="P8" s="2">
        <f>P7/12</f>
        <v>1042.5365431666669</v>
      </c>
      <c r="T8" s="1">
        <f>25973-12973</f>
        <v>13000</v>
      </c>
    </row>
    <row r="9" spans="1:27" ht="24.6" x14ac:dyDescent="0.4">
      <c r="A9" s="8">
        <f>B8/(100%-A8)</f>
        <v>52375</v>
      </c>
      <c r="B9" s="109">
        <f>B7-B8</f>
        <v>0</v>
      </c>
      <c r="C9" s="109"/>
      <c r="D9" s="36"/>
      <c r="E9" s="33"/>
      <c r="F9" s="139"/>
      <c r="G9" s="140"/>
      <c r="H9" s="33"/>
      <c r="I9" s="37" t="s">
        <v>16</v>
      </c>
      <c r="J9" s="38">
        <f>(J7*12)-I7</f>
        <v>1868.1614524000033</v>
      </c>
      <c r="K9" s="38">
        <f>(K7*24)-I7</f>
        <v>3736.3229048000067</v>
      </c>
      <c r="L9" s="38">
        <f>(L7*36)-I7</f>
        <v>5604.4843572000027</v>
      </c>
      <c r="M9" s="38">
        <f>(M7*48)-I7</f>
        <v>7472.6458095999988</v>
      </c>
      <c r="N9" s="38">
        <f>(N7*60)-I7</f>
        <v>9340.8072620000021</v>
      </c>
      <c r="O9" s="147"/>
      <c r="T9" s="1">
        <f>T8/12</f>
        <v>1083.3333333333333</v>
      </c>
      <c r="Z9" s="1" t="s">
        <v>86</v>
      </c>
    </row>
    <row r="10" spans="1:27" ht="24.6" x14ac:dyDescent="0.4">
      <c r="A10" s="8"/>
      <c r="B10" s="37" t="s">
        <v>141</v>
      </c>
      <c r="C10" s="20" t="s">
        <v>17</v>
      </c>
      <c r="D10" s="36">
        <f>IF(C10="YES",700,IF(C10="NO",0))</f>
        <v>0</v>
      </c>
      <c r="E10" s="39"/>
      <c r="F10" s="40"/>
      <c r="G10" s="40"/>
      <c r="H10" s="33"/>
      <c r="I10" s="44" t="s">
        <v>85</v>
      </c>
      <c r="J10" s="117" t="s">
        <v>19</v>
      </c>
      <c r="K10" s="117">
        <f>IF(J10="YES",Z10,IF(J10="NO",0))</f>
        <v>1000</v>
      </c>
      <c r="L10" s="41">
        <f>(L8*36)-I7</f>
        <v>1628.0378723999966</v>
      </c>
      <c r="M10" s="41">
        <f>(M8*48)-I7</f>
        <v>3256.0757447999931</v>
      </c>
      <c r="N10" s="41">
        <f>(N8*60)-I7</f>
        <v>4884.113617199997</v>
      </c>
      <c r="O10" s="147">
        <f>IF(D5="XC",3690,IF(D5="XPML",3690,IF(D5="XPHL",3690,IF(D5="XPMLP",3690,IF(D5="XPMLP-01",3690,IF(D5="Xpander P",3690,IF(D5="ML",3690,IF(D5="HL",3690,IF(D5="PR",(U19*3/100+510)*1.05,IF(D5="MLP",3690,IF(D5="HLP",(U19*3/100+510)*1.05,IF(D5="PRP",(U19*3/100+510)*1.05,IF(D5="H57",(U19*2.75/100+510)*1.05,IF(D5="P57",(U19*2.75/100+510)*1.05,IF(D5="H64",(U19*2.75/100+510)*1.05,IF(D5="H59",(U19*2.75/100+510)*1.05,IF(D5="P59",(U19*2.75/100+510)*1.05,IF(D5="H61",(U19*2.75/100+510)*1.05,IF(D5="P61",(U19*2.75/100+510)*1.05,IF(D5="G03",(U19*3/100+510)*1.05,IF(D5="G10",(U19*3/100+510)*1.05,IF(D5="P10",(U19*3/100+510)*1.05,IF(D5="G12",(U19*3/100+510)*1.05,IF(D5="P12",(U19*3/100+510)*1.05,IF(D5="G05",(U19*3/100+510)*1.05,IF(D5="P05",(U19*3/100+510)*1.05,IF(D5="P03",(U19*3/100+510)*1.05,IF(D5="G06",(U19*3/100+510)*1.05,IF(D5="P06",(U19*3/100+510)*1.05,IF(D5="OTP06-01",(U19*3/100+510)*1.05,IF(D5="G08",(U19*3/100+510)*1.05,IF(D5="P08",(U19*3/100+510)*1.05,IF(D5="G09",(U19*3/100+510)*1.05,IF(D5="P09",(U19*3/100+510)*1.05,IF(D5="H38",3625,IF(D5="H37",3625,IF(D5="EH40",(U19*3/100+450)*1.05,IF(D5="EH43",(U19*3/100+450)*1.05,IF(D5="H48",3625,IF(D5="H43",3625,IF(D5="H40",3625,IF(D5="H42",3625,IF(D5="H44",3625,IF(D5="H45",3625,IF(D5="ASX HL 4WD",3625,IF(D5="H16",3625,IF(D5="H17",3625,IF(D5="P16",3625,IF(D5="Attrage S",3625,IF(D5="MIG09",3625,IF(D5="MIG10",3625,IF(D5="Xpander HL",3690))))))))))))))))))))))))))))))))))))))))))))))))))))</f>
        <v>3625</v>
      </c>
      <c r="P10" s="204"/>
      <c r="Q10" s="204">
        <f>5.25*3</f>
        <v>15.75</v>
      </c>
      <c r="Z10" s="1">
        <f>IF(D5="MIG09",1000,IF(D5="MIG10",1000,IF(D5="H16",1000,IF(D5="P16",1000,IF(D5="H17",1000,IF(D5="H48",1000,IF(D5="H43",1000,IF(D5="H40",1000,IF(D5="H42",1000,IF(D5="H44",1000,IF(D5="H45",1000,IF(D5="H38",1000,IF(D5="H37",1000,IF(D5="EH40",1000,IF(D5="EH43",1000,IF(D5="ML",1000,IF(D5="HL",1000,IF(D5="PR",1000,IF(D5="MLP",1000,IF(D5="HLP",1000,IF(D5="PRP",1000,IF(D5="XPML",1000,IF(D5="XPHL",1000,IF(D5="XPMLP",1000,IF(D5="XPMLP-01",1000,IF(D5="XC",1000,IF(D5="G10",1000,IF(D5="P10",1000,IF(D5="G12",1000,IF(D5="P12",1000,IF(D5="G05",1000,IF(D5="P05",1000,IF(D5="G03",1000,IF(D5="P03",1000,IF(D5="G06",1000,IF(D5="P06",1000,IF(D5="OTP06-01",1000,IF(D5="G08",1000,IF(D5="P08",1000,IF(D5="OTP06-01",1000,IF(D5="G09",1000,IF(D5="P09",1000,IF(D5="H57",1000,IF(D5="P57",1000,IF(D5="H64",1000,IF(D5="H59",1000,IF(D5="P59",1000,IF(D5="H61",1000,IF(D5="P61",1000)))))))))))))))))))))))))))))))))))))))))))))))))</f>
        <v>1000</v>
      </c>
    </row>
    <row r="11" spans="1:27" ht="24.6" x14ac:dyDescent="0.4">
      <c r="A11" s="8"/>
      <c r="B11" s="37" t="s">
        <v>18</v>
      </c>
      <c r="C11" s="20" t="s">
        <v>19</v>
      </c>
      <c r="D11" s="203">
        <f>IF(C11="YES",O17,IF(C11="NO",0))</f>
        <v>2700</v>
      </c>
      <c r="E11" s="39"/>
      <c r="F11" s="40"/>
      <c r="G11" s="40"/>
      <c r="H11" s="33"/>
      <c r="I11" s="33"/>
      <c r="J11" s="44" t="s">
        <v>76</v>
      </c>
      <c r="K11" s="44">
        <f>H8-K10</f>
        <v>11006.179000000002</v>
      </c>
      <c r="L11" s="37"/>
      <c r="M11" s="37"/>
      <c r="N11" s="38"/>
      <c r="O11" s="147">
        <f>IF(D5="XC",6100,IF(D5="XPML",6100,IF(D5="XPHL",6100,IF(D5="XPMLP",6100,IF(D5="XPMLP-01",6100,IF(D5="Xpander P",6100,IF(D5="ML",6600,IF(D5="HL",6600,IF(D5="PR",6600,IF(D5="MLP",6600,IF(D5="HLP",6600,IF(D5="PRP",6600,IF(D5="H57",5900,IF(D5="P57",5900,IF(D5="H64",5900,IF(D5="H59",5900,IF(D5="P59",5900,IF(D5="H61",5900,IF(D5="P61",5900,IF(D5="G03",6700,IF(D5="G10",6700,IF(D5="P10",6700,IF(D5="G12",6700,IF(D5="P12",6700,IF(D5="G05",6700,IF(D5="P05",6700,IF(D5="P03",6700,IF(D5="G06",6700,IF(D5="P06",6700,IF(D5="OTP06-01",6700,IF(D5="G08",6700,IF(D5="G09",6700,IF(D5="G08",6700,IF(D5="P08",6700,IF(D5="P09",6700,IF(D5="H37",6400,IF(D5="H38",6400,IF(D5="EH40",6400,IF(D5="EH43",6400,IF(D5="H48",6600,IF(D5="H43",6600,IF(D5="H40",6600,IF(D5="H42",6600,IF(D5="H44",6600,IF(D5="H45",6600,IF(D5="ASX HL 4WD",6600,IF(D5="H16",5400,IF(D5="H17",5400,IF(D5="P16",5400,IF(D5="Attrage S",5400,IF(D5="MIG09",5400,IF(D5="MIG10",5400,IF(D5="Xpander HL",6000)))))))))))))))))))))))))))))))))))))))))))))))))))))</f>
        <v>5400</v>
      </c>
      <c r="P11" s="147"/>
      <c r="Q11" s="147"/>
      <c r="R11" s="147"/>
      <c r="S11" s="147"/>
      <c r="T11" s="147"/>
      <c r="U11" s="147">
        <f>IF(D5="XC",4900,IF(D5="XPML",4900,IF(D5="XPHL",4900,IF(D5="XPMLP",4900,IF(D5="XPMLP-01",4900,IF(D5="Xpander P",4900,IF(D5="ML",5400,IF(D5="HL",5400,IF(D5="PR",5400,IF(D5="MLP",5400,IF(D5="HLP",5400,IF(D5="PRP",5400,IF(D5="H57",4600,IF(D5="P57",4600,IF(D5="MOG64",4600,IF(D5="H59",4600,IF(D5="P59",4600,IF(D5="H61",4600,IF(D5="P61",4600,IF(D5="G03",5500,IF(D5="P03",5500,IF(D5="G10",5500,IF(D5="P10",5500,IF(D5="G12",5500,IF(D5="P12",5500,IF(D5="G05",5500,IF(D5="P05",5500,IF(D5="G06",5500,IF(D5="P06",5500,IF(D5="OTP06-01",5500,IF(D5="F08",5500,IF(D5="P08",5500,IF(D5="G09",5500,IF(D5="P09",5500,IF(D5="H38",5200,IF(D5="H37",5200,IF(D5="EH40",5200,IF(D5="EH43",5200,IF(D5="H48",5300,IF(D5="H43",5300,IF(D5="H40",5300,IF(D5="H42",5300,IF(D5="H44",5300,IF(D5="H45",5300,IF(D5="ASX HL",5300,IF(D5="ASX P",5300,IF(D5="ASX HL 4WD",5300,IF(D5="H16",4200,IF(D5="H17",4200,IF(D5="P16",4200,IF(D5="Attrage S",4200,IF(D5="MIG09",4200,IF(D5="MIG10",4200,IF(D5="Xpander HL",4900))))))))))))))))))))))))))))))))))))))))))))))))))))))</f>
        <v>4200</v>
      </c>
      <c r="V11" s="147">
        <f>IF(D5="XC",9700,IF(D5="XPML",9700,IF(D5="XPHL",9700,IF(D5="XPMLP",9700,IF(D5="XPMLP-01",9700,IF(D5="XPMLP-01",9700,IF(D5="Xpander P",9700,IF(D5="ML",10800,IF(D5="HL",10800,IF(D5="PR",10800,IF(D5="MLP",10800,IF(D5="HLP",10800,IF(D5="PRP",10800,IF(D5="H57",9300,IF(D5="P57",9300,IF(D5="MG64",9300,IF(D5="H59",9300,IF(D5="P59",9300,IF(D5="H61",9300,IF(D5="P61",9300,IF(D5="G03",11000,IF(D5="G10",11000,IF(D5="P10",11000,IF(D5="G12",11000,IF(D5="P12",11000,IF(D5="G05",11000,IF(D5="P05",11000,IF(D5="P03",11000,IF(D5="G06",11000,IF(D5="P06",11000,IF(D5="OTP06-01",11000,IF(D5="G08",11000,IF(D5="P08",11000,IF(D5="G09",11000,IF(D5="P09",11000,IF(D5="H38",10400,IF(D5="H37",10400,IF(D5="EH40",10400,IF(D5="EH43",10400,IF(D5="H48",10700,IF(D5="H43",10700,IF(D5="H40",10700,IF(D5="H42",10700,IF(D5="H44",10800,IF(D5="H45",10800,IF(D5="ASX HL",12200,IF(D5="ASX P",12200,IF(D5="ASX HL 4WD",12200,IF(D5="H16",8500,IF(D5="H17",8500,IF(D5="P16",8500,IF(D5="Attrage S",9600,IF(D5="MIG09",8500,IF(D5="MIG10",8500,IF(D5="Xpander HL",11300)))))))))))))))))))))))))))))))))))))))))))))))))))))))</f>
        <v>8500</v>
      </c>
      <c r="W11" s="147">
        <f>IF(D5="XC",9200,IF(D5="XPML",9200,IF(D5="XPHL",9200,IF(D5="XPMLP",9200,IF(D5="XPMLP-01",9200,IF(D5="Xpander P",9200,IF(D5="ML",10000,IF(D5="HL",10000,IF(D5="PR",10000,IF(D5="MLP",10000,IF(D5="HLP",10000,IF(D5="PRP",10000,IF(D5="H57",8700,IF(D5="P57",8700,IF(D5="H64",8700,IF(D5="H59",8700,IF(D5="P59",8700,IF(D5="H61",8700,IF(D5="P61",8700,IF(D5="G03",10400,IF(D5="P03",10400,IF(D5="G10",10400,IF(D5="P10",10400,IF(D5="G12",10400,IF(D5="P12",10400,IF(D5="G05",10400,IF(D5="P05",10400,IF(D5="G06",10400,IF(D5="P06",10400,IF(D5="OTP06-01",10400,IF(D5="G08",10400,IF(D5="P08",10400,IF(D5="G09",10400,IF(D5="P09",10400,IF(D5="H38",9800,IF(D5="H37",9800,IF(D5="EH40",9800,IF(D5="EH43",9800,IF(D5="H48",10100,IF(D5="H43",10100,IF(D5="H40",10100,IF(D5="H42",10100,IF(D5="H44",10100,IF(D5="H45",10100,IF(D5="ASX HL",10100,IF(D5="ASX P",10100,IF(D5="ASX HL 4WD",10100,IF(D5="H16",7900,IF(D5="H17",7900,IF(D5="P16",7900,IF(D5="Attrage S",7900,IF(D5="MIG09",7900,IF(D5="MIG10",7900,IF(D5="Xpander HL",9200))))))))))))))))))))))))))))))))))))))))))))))))))))))</f>
        <v>7900</v>
      </c>
      <c r="X11" s="147">
        <f>IF(D5="XC",4500,IF(D5="XPML",4500,IF(D5="XPHL",4500,IF(D5="XPMLP",4500,IF(D5="XPMLP-01",4500,IF(D5="Xpander P",4500,IF(D5="ML",5000,IF(D5="HL",5000,IF(D5="PR",5000,IF(D5="MLP",5000,IF(D5="HLP",5000,IF(D5="PRP",5000,IF(D5="H57",8700,IF(D5="P57",8700,IF(D5="MOG64",4300,IF(D5="H59",4300,IF(D5="P59",4300,IF(D5="H61",4300,IF(D5="P61",4300,IF(D5="G03",5000,IF(D5="P03",5000,IF(D5="G10",5000,IF(D5="P10",5000,IF(D5="G12",5000,IF(D5="P12",5000,IF(D5="G05",5000,IF(D5="P05",5000,IF(D5="G06",5000,IF(D5="P06",5000,IF(D5="OTP06-01",5000,IF(D5="G08",5000,IF(D5="P08",5000,IF(D5="G09",5000,IF(D5="P09",5000,IF(D5="H38",4900,IF(D5="H37",4900,IF(D5="EH40",4900,IF(D5="EH43",4900,IF(D5="H48",4900,IF(D5="H43",4900,IF(D5="H40",4900,IF(D5="H42",4900,IF(D5="H44",4900,IF(D5="H45",4900,IF(D5="ASX HL",4900,IF(D5="ASX P",4900,IF(D5="ASX HL 4WD",4900,IF(D5="H16",3700,IF(D5="H17",3700,IF(D5="P16",3700,IF(D5="Attrage S",3700,IF(D5="MIG09",3700,IF(D5="MIG10",3700,IF(D5="Xpander HL",4500))))))))))))))))))))))))))))))))))))))))))))))))))))))</f>
        <v>3700</v>
      </c>
      <c r="Y11" s="147">
        <f>IF(D5="XC",5400,IF(D5="XPML ",5400,IF(D5="XPHL",5400,IF(D5="XPMLP",5400,IF(D5="XPMLP-01",5400,IF(D5="Xpander P",5400,IF(D5="ML",6000,IF(D5="HL",6000,IF(D5="PR",6000,IF(D5="MLP",6000,IF(D5="HLP",6000,IF(D5="PRP",6000,IF(D5="H57",5200,IF(D5="57",5200,IF(D5="H64",5200,IF(D5="H59",5200,IF(D5="P59",5200,IF(D5="H61",5200,IF(D5="P61",5200,IF(D5="G03",6000,IF(D5="P03",6000,IF(D5="G10",6000,IF(D5="P10",6000,IF(D5="G12",6000,IF(D5="P12",6000,IF(D5="G05",6000,IF(D5="P05",6000,IF(D5="G06",6000,IF(D5="P06",6000,IF(D5="OTP06-01",6000,IF(D5="G08",6000,IF(D5="P08",6000,IF(D5="G09",6000,IF(D5="P09",6000,IF(D5="H38",5700,IF(D5="H37",5700,IF(D5="EH40",5700,IF(D5="EH43",5700,IF(D5="H48",5900,IF(D5="H43",5900,IF(D5="H40",5900,IF(D5="H42",5900,IF(D5="H44",5900,IF(D5="H45",5900,IF(D5="ASX HL",5900,IF(D5="ASX P",5900,IF(D5="ASX HL 4WD",5900,IF(D5="H16",4500,IF(D5="H17",4500,IF(D5="P16",4500,IF(D5="Attrage S",4500,IF(D5="MIG09",4500,IF(D5="MIG10",4500,IF(D5="Xpander HL",5400))))))))))))))))))))))))))))))))))))))))))))))))))))))</f>
        <v>4500</v>
      </c>
    </row>
    <row r="12" spans="1:27" ht="24.6" x14ac:dyDescent="0.4">
      <c r="A12" s="8"/>
      <c r="B12" s="37" t="s">
        <v>20</v>
      </c>
      <c r="C12" s="20" t="s">
        <v>17</v>
      </c>
      <c r="D12" s="36">
        <f>IF(C12="YES",2000,IF(C12="NO",0))</f>
        <v>0</v>
      </c>
      <c r="E12" s="43"/>
      <c r="F12" s="43" t="s">
        <v>21</v>
      </c>
      <c r="G12" s="40"/>
      <c r="H12" s="33">
        <v>600</v>
      </c>
      <c r="I12" s="33"/>
      <c r="J12" s="202" t="s">
        <v>140</v>
      </c>
      <c r="K12" s="45">
        <v>0</v>
      </c>
      <c r="L12" s="45">
        <v>5.2499999999999998E-2</v>
      </c>
      <c r="M12" s="45">
        <v>0.126</v>
      </c>
      <c r="N12" s="201">
        <v>0.26250000000000001</v>
      </c>
      <c r="O12" s="147">
        <f>IF(K20="Esaad",B8*3/100,IF(K20="Emirates Platinum",B8*3/100,IF(K20="Fazaa",B8*3/100,IF(K20="Humat Alwatan",B8*3/100,IF(K20="Permissible",2000,IF(K20="ASX",8400,IF(K20="XPMLP",15100,IF(K20="XP",7200,IF(K20="G43",11000,IF(K20="EC",17000,IF(K20="G37",17000,IF(K20="G38",15000,IF(K20="G40",11000,IF(K20="OUT",3000,IF(K20="F08",14400,IF(K20="P08",11100,IF(K20="F06",13100,IF(K20="P06",13400,IF(K20="F03",3500,IF(K20="F03-1",13500,IF(K20="P03",13100,IF(K20="MON",10000,IF(K20="MON G57",9000,0)))))))))))))))))))))))</f>
        <v>2000</v>
      </c>
      <c r="Z12" s="86" t="s">
        <v>83</v>
      </c>
      <c r="AA12" s="86" t="s">
        <v>84</v>
      </c>
    </row>
    <row r="13" spans="1:27" ht="24.6" x14ac:dyDescent="0.4">
      <c r="A13" s="8">
        <f>B8*1.26582</f>
        <v>53037.858</v>
      </c>
      <c r="B13" s="37" t="s">
        <v>23</v>
      </c>
      <c r="C13" s="20" t="s">
        <v>19</v>
      </c>
      <c r="D13" s="36">
        <f>IF(C13="YES",2000,IF(C13="NO",0))</f>
        <v>2000</v>
      </c>
      <c r="E13" s="47"/>
      <c r="F13" s="47" t="s">
        <v>75</v>
      </c>
      <c r="G13" s="51"/>
      <c r="H13" s="39">
        <v>315</v>
      </c>
      <c r="I13" s="33"/>
      <c r="J13" s="44" t="s">
        <v>54</v>
      </c>
      <c r="K13" s="29" t="s">
        <v>79</v>
      </c>
      <c r="L13" s="29" t="s">
        <v>25</v>
      </c>
      <c r="M13" s="29" t="s">
        <v>0</v>
      </c>
      <c r="N13" s="57" t="s">
        <v>26</v>
      </c>
      <c r="O13" s="9">
        <f>IF(M21="3000-4999",6%,IF(M21="5000-9999",4.75%,IF(M21="10000-14999",3.15%,IF(M21="15000-24999",2.5%,IF(M21="25000-34999",2.25%,IF(M21="35000-99999",2.15%))))))</f>
        <v>4.7500000000000001E-2</v>
      </c>
      <c r="Q13" s="2">
        <f>H7/12</f>
        <v>1000.5149166666669</v>
      </c>
      <c r="U13" s="9">
        <f>IF(M21="3000-4999",6%,IF(M21="5000-9999",3.25%,IF(M21="10000-14999",3%,IF(M21="15000-24999",2.25%,IF(M21="25000-34999",2.15%,IF(M21="35000-99999",1.99%))))))</f>
        <v>3.2500000000000001E-2</v>
      </c>
      <c r="Z13" s="99">
        <f>IF(M21="5000-9999",2.49%,IF(M21="10000-19999",2.19%,IF(M21="20000-34999",2.09%,IF(M21="35000-49999",1.89%,IF(M21="50000-99999",1.79%)))))</f>
        <v>2.4900000000000002E-2</v>
      </c>
      <c r="AA13" s="99">
        <f>IF(M21="5000-9999",2.59%,IF(M21="10000-19999",2.29%,IF(M21="20000-34999",2.19%,IF(M21="35000-49999",1.99%,IF(M21="50000-99999",1.89%)))))</f>
        <v>2.5899999999999999E-2</v>
      </c>
    </row>
    <row r="14" spans="1:27" ht="24.6" x14ac:dyDescent="0.4">
      <c r="A14" s="10" t="s">
        <v>27</v>
      </c>
      <c r="B14" s="37" t="s">
        <v>24</v>
      </c>
      <c r="C14" s="20" t="s">
        <v>19</v>
      </c>
      <c r="D14" s="50">
        <f>IF(C14="YES",U19*3.15*1.05/100,IF(C14="NO",U19*0/100))</f>
        <v>1805.895</v>
      </c>
      <c r="E14" s="48"/>
      <c r="F14" s="48" t="s">
        <v>24</v>
      </c>
      <c r="G14" s="51" t="s">
        <v>17</v>
      </c>
      <c r="H14" s="39">
        <f>IF(G14="YES",U19*3.15*1.05/100,IF(G14="NO",U19*0/100))</f>
        <v>0</v>
      </c>
      <c r="I14" s="33"/>
      <c r="J14" s="44" t="s">
        <v>55</v>
      </c>
      <c r="K14" s="44">
        <f>(H8*K12+H8)/3</f>
        <v>4002.0596666666675</v>
      </c>
      <c r="L14" s="44">
        <f>(H8*L12+H8)/12</f>
        <v>1053.0419497916669</v>
      </c>
      <c r="M14" s="44">
        <f>(H8*M12+H8)/24</f>
        <v>563.28989808333347</v>
      </c>
      <c r="N14" s="200">
        <f>(H7*N12+H7)/60</f>
        <v>252.63001645833339</v>
      </c>
      <c r="O14" s="9">
        <f>IF(M21="3000-4999",3.89%,IF(M21="5000-9999",3.89%,IF(M21="10000-14999",3.89%,IF(M21="15000-24999",2.69%,IF(M21="25000-34999",2.69%,IF(M21="35000-99999",2.39%,IF(M21="76000-99999",2.5%)))))))</f>
        <v>3.8900000000000004E-2</v>
      </c>
    </row>
    <row r="15" spans="1:27" ht="24.6" x14ac:dyDescent="0.4">
      <c r="A15" s="11">
        <f>(B7*3%)+10+120</f>
        <v>1387</v>
      </c>
      <c r="B15" s="37" t="s">
        <v>28</v>
      </c>
      <c r="C15" s="20" t="s">
        <v>19</v>
      </c>
      <c r="D15" s="29">
        <f>IF(C15="YES",O10,IF(C15="NO",0))</f>
        <v>3625</v>
      </c>
      <c r="E15" s="48"/>
      <c r="F15" s="48" t="s">
        <v>53</v>
      </c>
      <c r="G15" s="51" t="s">
        <v>17</v>
      </c>
      <c r="H15" s="39">
        <f>IF(G15="YES",O10,IF(G15="NO",0))</f>
        <v>0</v>
      </c>
      <c r="I15" s="33"/>
      <c r="J15" s="44"/>
      <c r="K15" s="44"/>
      <c r="L15" s="44"/>
      <c r="M15" s="44"/>
      <c r="N15" s="198"/>
      <c r="O15" s="9" t="b">
        <f>IF(M21="3000-4999",4.99%, IF(M21="5000-11999",2.75%,IF(M21="12000-19999",2.75%,IF(M21="20000-39999",2.25%,IF(M21="40000-69999",2.25%,IF(M21="70000-99999",2.25%))))))</f>
        <v>0</v>
      </c>
      <c r="P15" s="191"/>
    </row>
    <row r="16" spans="1:27" ht="24.6" x14ac:dyDescent="0.4">
      <c r="A16" s="11">
        <f>((B7-B8)*3%+10+120)</f>
        <v>130</v>
      </c>
      <c r="B16" s="37" t="s">
        <v>78</v>
      </c>
      <c r="C16" s="20" t="s">
        <v>19</v>
      </c>
      <c r="D16" s="29">
        <f>IF(C16="YES",O16,IF(C16="NO",0))</f>
        <v>5400</v>
      </c>
      <c r="E16" s="47"/>
      <c r="F16" s="47" t="s">
        <v>74</v>
      </c>
      <c r="G16" s="54"/>
      <c r="H16" s="33">
        <f>I7*1.05%</f>
        <v>504.25951800000001</v>
      </c>
      <c r="I16" s="33"/>
      <c r="J16" s="44" t="s">
        <v>16</v>
      </c>
      <c r="K16" s="44">
        <f>(K14*3)-H8</f>
        <v>0</v>
      </c>
      <c r="L16" s="44">
        <f>(L14*12)-H8</f>
        <v>630.32439750000049</v>
      </c>
      <c r="M16" s="44">
        <f>(M14*24)-H8</f>
        <v>1512.7785540000023</v>
      </c>
      <c r="N16" s="198"/>
      <c r="O16" s="147">
        <f>IF(B16="RMC-10-70KMS",O11,IF(B16="RMC-10-100000KMS",V11,IF(B16="RMC-40-70KMS",U11, IF(B16="RMC-10-40KMS",X11, IF(B16="RMC-10-60KMS",Y11, IF(B16="RMC-40-100000KMS",W11,0))))))</f>
        <v>5400</v>
      </c>
    </row>
    <row r="17" spans="1:23" ht="24.6" x14ac:dyDescent="0.4">
      <c r="A17" s="11">
        <f>A15+A16</f>
        <v>1517</v>
      </c>
      <c r="B17" s="37"/>
      <c r="C17" s="20"/>
      <c r="D17" s="29">
        <f>SUM(D10:D16)</f>
        <v>15530.895</v>
      </c>
      <c r="E17" s="48"/>
      <c r="F17" s="48"/>
      <c r="G17" s="54"/>
      <c r="H17" s="33">
        <f>+SUM(H12:H16)+(H7)</f>
        <v>13425.438518000003</v>
      </c>
      <c r="I17" s="33"/>
      <c r="J17" s="20"/>
      <c r="K17" s="199"/>
      <c r="L17" s="199"/>
      <c r="M17" s="199"/>
      <c r="N17" s="198"/>
      <c r="O17" s="147">
        <f>IF(B11="FO Ceramic+ Intr&amp;Extr CeramicGold WdwTnt",2700,IF(B11="FO Mirror Camera Sensor",2000))</f>
        <v>2700</v>
      </c>
      <c r="T17" s="1">
        <f>19615-791</f>
        <v>18824</v>
      </c>
    </row>
    <row r="18" spans="1:23" ht="24.6" x14ac:dyDescent="0.4">
      <c r="A18" s="12" t="s">
        <v>29</v>
      </c>
      <c r="B18" s="55" t="s">
        <v>30</v>
      </c>
      <c r="C18" s="197"/>
      <c r="D18" s="57">
        <v>0</v>
      </c>
      <c r="E18" s="38"/>
      <c r="F18" s="20"/>
      <c r="G18" s="20"/>
      <c r="H18" s="37"/>
      <c r="I18" s="37"/>
      <c r="J18" s="37"/>
      <c r="K18" s="37"/>
      <c r="L18" s="37"/>
      <c r="M18" s="37"/>
      <c r="N18" s="37"/>
      <c r="O18" s="9" t="b">
        <f>IF(M21="5000-99999",1.99%)</f>
        <v>0</v>
      </c>
      <c r="U18" s="196" t="s">
        <v>52</v>
      </c>
      <c r="V18" s="196" t="s">
        <v>52</v>
      </c>
    </row>
    <row r="19" spans="1:23" ht="24.6" x14ac:dyDescent="0.4">
      <c r="A19" s="11">
        <f>B8*3.15%</f>
        <v>1319.85</v>
      </c>
      <c r="B19" s="58" t="s">
        <v>31</v>
      </c>
      <c r="C19" s="59"/>
      <c r="D19" s="60">
        <f>IF(K21="DIB EXPAT",O13,IF(K21="DIB LOCAL GVH",U13,IF(K21="Emirates NBD",O14,IF(K21="ADCB",O15,IF(K21="ADCB PAY IN 2027",O19,IF(K21="Ajman Bank",O18,IF(K21="SIB STL",Z13,IF(K21="SIB NON STL",AA13,))))))))</f>
        <v>3.8900000000000004E-2</v>
      </c>
      <c r="E19" s="20"/>
      <c r="F19" s="195"/>
      <c r="G19" s="141" t="s">
        <v>73</v>
      </c>
      <c r="H19" s="142"/>
      <c r="I19" s="143"/>
      <c r="J19" s="109">
        <f>(U19*20/100)/365</f>
        <v>29.917808219178081</v>
      </c>
      <c r="K19" s="37"/>
      <c r="L19" s="37"/>
      <c r="M19" s="37"/>
      <c r="N19" s="34">
        <f>D7</f>
        <v>43995</v>
      </c>
      <c r="O19" s="194" t="b">
        <f>IF(M21="5000-11999",3.35%,IF(M21="12000-19999",3.35%,IF(M21="20000-39999",2.85%,IF(M21="40000-69999",2.85%,IF(M21="70000-99999",2.85%)))))</f>
        <v>0</v>
      </c>
      <c r="P19" s="2">
        <f>81400-2500</f>
        <v>78900</v>
      </c>
      <c r="U19" s="193">
        <f>V19</f>
        <v>54600</v>
      </c>
      <c r="V19" s="192">
        <f>(B7+D10+D11+D12+D13+D16)*1.05</f>
        <v>54600</v>
      </c>
    </row>
    <row r="20" spans="1:23" ht="24.6" x14ac:dyDescent="0.4">
      <c r="A20" s="11"/>
      <c r="B20" s="58" t="s">
        <v>32</v>
      </c>
      <c r="C20" s="59"/>
      <c r="D20" s="63">
        <v>0.2</v>
      </c>
      <c r="E20" s="37"/>
      <c r="F20" s="37"/>
      <c r="G20" s="38"/>
      <c r="H20" s="38"/>
      <c r="I20" s="38"/>
      <c r="J20" s="103"/>
      <c r="K20" s="104" t="s">
        <v>33</v>
      </c>
      <c r="L20" s="104" t="s">
        <v>17</v>
      </c>
      <c r="M20" s="104">
        <f>IF(L20="YES",O12,IF(L20="NO",0))</f>
        <v>0</v>
      </c>
      <c r="N20" s="34">
        <f>B8-M20</f>
        <v>41900</v>
      </c>
      <c r="O20" s="187"/>
      <c r="P20" s="191"/>
      <c r="T20" s="1">
        <f>1992+1084</f>
        <v>3076</v>
      </c>
      <c r="U20" s="186"/>
      <c r="V20" s="2"/>
    </row>
    <row r="21" spans="1:23" ht="24.6" x14ac:dyDescent="0.4">
      <c r="A21" s="13">
        <f>A19+A20</f>
        <v>1319.85</v>
      </c>
      <c r="B21" s="37"/>
      <c r="C21" s="20"/>
      <c r="D21" s="37"/>
      <c r="E21" s="37"/>
      <c r="F21" s="37"/>
      <c r="G21" s="37"/>
      <c r="H21" s="37"/>
      <c r="I21" s="37"/>
      <c r="J21" s="190" t="s">
        <v>34</v>
      </c>
      <c r="K21" s="16" t="s">
        <v>139</v>
      </c>
      <c r="L21" s="16" t="s">
        <v>35</v>
      </c>
      <c r="M21" s="189" t="s">
        <v>80</v>
      </c>
      <c r="N21" s="188"/>
      <c r="O21" s="187"/>
      <c r="T21" s="1">
        <f>25973-12973</f>
        <v>13000</v>
      </c>
      <c r="U21" s="186">
        <f>M14+N7</f>
        <v>1519.3819524500002</v>
      </c>
    </row>
    <row r="22" spans="1:23" s="179" customFormat="1" ht="24.6" x14ac:dyDescent="0.4">
      <c r="A22" s="185"/>
      <c r="B22" s="184" t="s">
        <v>51</v>
      </c>
      <c r="C22" s="183"/>
      <c r="D22" s="183"/>
      <c r="E22" s="183"/>
      <c r="F22" s="183"/>
      <c r="G22" s="183"/>
      <c r="H22" s="183"/>
      <c r="I22" s="183"/>
      <c r="J22" s="183"/>
      <c r="K22" s="183"/>
      <c r="L22" s="183"/>
      <c r="M22" s="183"/>
      <c r="N22" s="182"/>
      <c r="O22" s="181"/>
      <c r="P22" s="180"/>
    </row>
    <row r="23" spans="1:23" s="168" customFormat="1" ht="26.4" x14ac:dyDescent="0.5">
      <c r="A23" s="175" t="s">
        <v>36</v>
      </c>
      <c r="B23" s="172" t="s">
        <v>138</v>
      </c>
      <c r="C23" s="169"/>
      <c r="D23" s="169"/>
      <c r="E23" s="169"/>
      <c r="F23" s="169"/>
      <c r="G23" s="169"/>
      <c r="H23" s="176"/>
      <c r="I23" s="176"/>
      <c r="J23" s="169"/>
      <c r="K23" s="169"/>
      <c r="L23" s="169"/>
      <c r="M23" s="169"/>
      <c r="N23" s="178"/>
      <c r="O23" s="170"/>
      <c r="P23" s="169"/>
    </row>
    <row r="24" spans="1:23" s="168" customFormat="1" ht="26.4" x14ac:dyDescent="0.5">
      <c r="A24" s="175" t="s">
        <v>36</v>
      </c>
      <c r="B24" s="172" t="s">
        <v>137</v>
      </c>
      <c r="C24" s="169"/>
      <c r="D24" s="169"/>
      <c r="E24" s="169"/>
      <c r="F24" s="169"/>
      <c r="G24" s="169"/>
      <c r="H24" s="177">
        <f>H7/365</f>
        <v>32.893641095890416</v>
      </c>
      <c r="I24" s="177">
        <f>H7+H12+H16</f>
        <v>13110.438518000003</v>
      </c>
      <c r="J24" s="169"/>
      <c r="K24" s="169"/>
      <c r="L24" s="169"/>
      <c r="M24" s="169"/>
      <c r="N24" s="173"/>
      <c r="O24" s="170"/>
      <c r="P24" s="169">
        <f>1232+480</f>
        <v>1712</v>
      </c>
      <c r="T24" s="168">
        <f>88704/1.05</f>
        <v>84480</v>
      </c>
    </row>
    <row r="25" spans="1:23" s="168" customFormat="1" ht="26.4" x14ac:dyDescent="0.5">
      <c r="A25" s="175" t="s">
        <v>36</v>
      </c>
      <c r="B25" s="172" t="s">
        <v>136</v>
      </c>
      <c r="C25" s="169"/>
      <c r="D25" s="169"/>
      <c r="E25" s="169"/>
      <c r="F25" s="169"/>
      <c r="G25" s="169"/>
      <c r="H25" s="176"/>
      <c r="I25" s="176"/>
      <c r="J25" s="169"/>
      <c r="K25" s="169"/>
      <c r="L25" s="169"/>
      <c r="M25" s="169"/>
      <c r="N25" s="173"/>
      <c r="O25" s="170"/>
      <c r="P25" s="169"/>
      <c r="Q25" s="168">
        <f>79400-5233.33</f>
        <v>74166.67</v>
      </c>
      <c r="R25" s="168">
        <f>Q25*1.05</f>
        <v>77875.003500000006</v>
      </c>
      <c r="W25" s="168">
        <f>1999+1224</f>
        <v>3223</v>
      </c>
    </row>
    <row r="26" spans="1:23" s="168" customFormat="1" ht="26.4" x14ac:dyDescent="0.5">
      <c r="A26" s="175" t="s">
        <v>36</v>
      </c>
      <c r="B26" s="172" t="s">
        <v>135</v>
      </c>
      <c r="C26" s="169"/>
      <c r="D26" s="169"/>
      <c r="E26" s="169"/>
      <c r="F26" s="169"/>
      <c r="G26" s="169"/>
      <c r="H26" s="169"/>
      <c r="I26" s="169"/>
      <c r="J26" s="169"/>
      <c r="K26" s="169"/>
      <c r="L26" s="169"/>
      <c r="M26" s="169"/>
      <c r="N26" s="173"/>
      <c r="O26" s="170" t="s">
        <v>37</v>
      </c>
      <c r="P26" s="169"/>
      <c r="R26" s="168">
        <f>R25+2469</f>
        <v>80344.003500000006</v>
      </c>
    </row>
    <row r="27" spans="1:23" s="168" customFormat="1" ht="26.4" x14ac:dyDescent="0.5">
      <c r="A27" s="175" t="s">
        <v>36</v>
      </c>
      <c r="B27" s="172" t="s">
        <v>134</v>
      </c>
      <c r="C27" s="169"/>
      <c r="D27" s="169"/>
      <c r="E27" s="169"/>
      <c r="F27" s="169"/>
      <c r="G27" s="169"/>
      <c r="H27" s="169"/>
      <c r="I27" s="169"/>
      <c r="J27" s="169"/>
      <c r="K27" s="169"/>
      <c r="L27" s="169"/>
      <c r="M27" s="169"/>
      <c r="N27" s="173"/>
      <c r="O27" s="170">
        <f>129500-110900</f>
        <v>18600</v>
      </c>
      <c r="P27" s="169"/>
      <c r="W27" s="174">
        <f>N7+L14</f>
        <v>2009.1340041583335</v>
      </c>
    </row>
    <row r="28" spans="1:23" s="168" customFormat="1" ht="26.4" x14ac:dyDescent="0.5">
      <c r="B28" s="172" t="s">
        <v>133</v>
      </c>
      <c r="C28" s="169"/>
      <c r="D28" s="169"/>
      <c r="E28" s="169"/>
      <c r="F28" s="169"/>
      <c r="G28" s="169"/>
      <c r="H28" s="169"/>
      <c r="I28" s="169"/>
      <c r="J28" s="169"/>
      <c r="K28" s="169"/>
      <c r="L28" s="169"/>
      <c r="M28" s="169"/>
      <c r="N28" s="173"/>
      <c r="O28" s="170">
        <f>85000-69900</f>
        <v>15100</v>
      </c>
      <c r="P28" s="169"/>
    </row>
    <row r="29" spans="1:23" s="168" customFormat="1" ht="26.4" x14ac:dyDescent="0.5">
      <c r="B29" s="172" t="s">
        <v>132</v>
      </c>
      <c r="C29" s="169"/>
      <c r="D29" s="169"/>
      <c r="E29" s="169"/>
      <c r="F29" s="169"/>
      <c r="G29" s="169"/>
      <c r="H29" s="169"/>
      <c r="I29" s="169"/>
      <c r="J29" s="169"/>
      <c r="K29" s="169"/>
      <c r="L29" s="169"/>
      <c r="M29" s="169"/>
      <c r="N29" s="171"/>
      <c r="O29" s="170"/>
      <c r="P29" s="169"/>
    </row>
    <row r="30" spans="1:23" x14ac:dyDescent="0.3">
      <c r="B30" s="167" t="s">
        <v>38</v>
      </c>
      <c r="C30" s="166"/>
      <c r="D30" s="166"/>
      <c r="E30" s="166"/>
      <c r="F30" s="166"/>
      <c r="G30" s="166"/>
      <c r="H30" s="166"/>
      <c r="I30" s="166"/>
      <c r="J30" s="166"/>
      <c r="K30" s="166"/>
      <c r="L30" s="166"/>
      <c r="M30" s="166"/>
      <c r="N30" s="165"/>
      <c r="O30" s="147"/>
    </row>
    <row r="31" spans="1:23" x14ac:dyDescent="0.3">
      <c r="B31" s="146"/>
      <c r="C31" s="145"/>
      <c r="D31" s="145"/>
      <c r="E31" s="145"/>
      <c r="F31" s="145"/>
      <c r="G31" s="145"/>
      <c r="H31" s="145"/>
      <c r="I31" s="145"/>
      <c r="J31" s="145"/>
      <c r="K31" s="145"/>
      <c r="L31" s="145"/>
      <c r="M31" s="145"/>
      <c r="N31" s="144"/>
      <c r="O31" s="147"/>
    </row>
    <row r="32" spans="1:23" s="86" customFormat="1" ht="20.399999999999999" x14ac:dyDescent="0.35">
      <c r="B32" s="118" t="s">
        <v>39</v>
      </c>
      <c r="C32" s="119"/>
      <c r="D32" s="119"/>
      <c r="E32" s="119"/>
      <c r="F32" s="119"/>
      <c r="G32" s="119"/>
      <c r="H32" s="119"/>
      <c r="I32" s="119"/>
      <c r="J32" s="119"/>
      <c r="K32" s="119"/>
      <c r="L32" s="119"/>
      <c r="M32" s="119"/>
      <c r="N32" s="120"/>
      <c r="O32" s="92"/>
      <c r="P32" s="83"/>
    </row>
    <row r="33" spans="2:16" s="86" customFormat="1" ht="20.399999999999999" x14ac:dyDescent="0.35">
      <c r="B33" s="118" t="s">
        <v>40</v>
      </c>
      <c r="C33" s="119"/>
      <c r="D33" s="119"/>
      <c r="E33" s="119"/>
      <c r="F33" s="119"/>
      <c r="G33" s="119"/>
      <c r="H33" s="119"/>
      <c r="I33" s="119"/>
      <c r="J33" s="119"/>
      <c r="K33" s="119"/>
      <c r="L33" s="119"/>
      <c r="M33" s="119"/>
      <c r="N33" s="120"/>
      <c r="O33" s="92"/>
      <c r="P33" s="83"/>
    </row>
    <row r="34" spans="2:16" s="86" customFormat="1" ht="20.399999999999999" x14ac:dyDescent="0.35">
      <c r="B34" s="107" t="s">
        <v>131</v>
      </c>
      <c r="C34" s="108"/>
      <c r="D34" s="108"/>
      <c r="E34" s="108"/>
      <c r="F34" s="108"/>
      <c r="G34" s="164" t="s">
        <v>130</v>
      </c>
      <c r="H34" s="164"/>
      <c r="I34" s="163"/>
      <c r="J34" s="163"/>
      <c r="K34" s="163"/>
      <c r="L34" s="163"/>
      <c r="M34" s="162" t="s">
        <v>129</v>
      </c>
      <c r="N34" s="161"/>
      <c r="O34" s="83"/>
      <c r="P34" s="83"/>
    </row>
    <row r="35" spans="2:16" x14ac:dyDescent="0.3">
      <c r="B35" s="160"/>
      <c r="C35" s="159"/>
      <c r="D35" s="159"/>
      <c r="E35" s="159"/>
      <c r="F35" s="159"/>
      <c r="G35" s="159"/>
      <c r="H35" s="159"/>
      <c r="I35" s="159"/>
      <c r="J35" s="159"/>
      <c r="K35" s="159"/>
      <c r="L35" s="159"/>
      <c r="M35" s="159"/>
      <c r="N35" s="158"/>
    </row>
    <row r="36" spans="2:16" x14ac:dyDescent="0.3">
      <c r="B36" s="160"/>
      <c r="C36" s="159"/>
      <c r="D36" s="159"/>
      <c r="E36" s="159"/>
      <c r="F36" s="159"/>
      <c r="G36" s="159"/>
      <c r="H36" s="159"/>
      <c r="I36" s="159"/>
      <c r="J36" s="159"/>
      <c r="K36" s="159"/>
      <c r="L36" s="159"/>
      <c r="M36" s="159"/>
      <c r="N36" s="158"/>
    </row>
    <row r="37" spans="2:16" x14ac:dyDescent="0.3">
      <c r="B37" s="160"/>
      <c r="C37" s="159"/>
      <c r="D37" s="159"/>
      <c r="E37" s="159"/>
      <c r="F37" s="159"/>
      <c r="G37" s="159"/>
      <c r="H37" s="159"/>
      <c r="I37" s="159"/>
      <c r="J37" s="159"/>
      <c r="K37" s="159"/>
      <c r="L37" s="159"/>
      <c r="M37" s="159"/>
      <c r="N37" s="158"/>
    </row>
    <row r="38" spans="2:16" ht="16.8" x14ac:dyDescent="0.3">
      <c r="B38" s="149" t="s">
        <v>128</v>
      </c>
      <c r="C38" s="157"/>
      <c r="D38" s="154"/>
      <c r="E38" s="151"/>
      <c r="F38" s="151"/>
      <c r="G38" s="151"/>
      <c r="H38" s="151"/>
      <c r="I38" s="151"/>
      <c r="J38" s="152"/>
      <c r="K38" s="151"/>
      <c r="L38" s="151"/>
      <c r="M38" s="151"/>
      <c r="N38" s="156"/>
    </row>
    <row r="39" spans="2:16" ht="16.8" x14ac:dyDescent="0.3">
      <c r="B39" s="149" t="s">
        <v>127</v>
      </c>
      <c r="C39" s="155"/>
      <c r="D39" s="154"/>
      <c r="E39" s="151"/>
      <c r="F39" s="151"/>
      <c r="G39" s="151"/>
      <c r="H39" s="151"/>
      <c r="I39" s="151"/>
      <c r="J39" s="152"/>
      <c r="K39" s="151"/>
      <c r="L39" s="151"/>
      <c r="M39" s="151"/>
      <c r="N39" s="150"/>
    </row>
    <row r="40" spans="2:16" ht="16.8" x14ac:dyDescent="0.3">
      <c r="B40" s="149" t="s">
        <v>126</v>
      </c>
      <c r="C40" s="153"/>
      <c r="D40" s="151"/>
      <c r="E40" s="151"/>
      <c r="F40" s="151"/>
      <c r="G40" s="151"/>
      <c r="H40" s="151"/>
      <c r="I40" s="151"/>
      <c r="J40" s="152"/>
      <c r="K40" s="151"/>
      <c r="L40" s="151"/>
      <c r="M40" s="151"/>
      <c r="N40" s="150"/>
    </row>
    <row r="41" spans="2:16" ht="16.8" x14ac:dyDescent="0.3">
      <c r="B41" s="149" t="s">
        <v>125</v>
      </c>
      <c r="N41" s="148"/>
    </row>
    <row r="42" spans="2:16" ht="16.8" x14ac:dyDescent="0.3">
      <c r="B42" s="149" t="s">
        <v>124</v>
      </c>
      <c r="N42" s="148"/>
    </row>
    <row r="43" spans="2:16" ht="16.8" x14ac:dyDescent="0.3">
      <c r="B43" s="149" t="s">
        <v>123</v>
      </c>
      <c r="N43" s="148"/>
    </row>
    <row r="44" spans="2:16" ht="16.8" x14ac:dyDescent="0.3">
      <c r="B44" s="149" t="s">
        <v>122</v>
      </c>
      <c r="N44" s="148"/>
    </row>
    <row r="45" spans="2:16" ht="16.8" x14ac:dyDescent="0.3">
      <c r="B45" s="149" t="s">
        <v>121</v>
      </c>
      <c r="N45" s="148"/>
    </row>
    <row r="46" spans="2:16" ht="16.8" x14ac:dyDescent="0.3">
      <c r="B46" s="149" t="s">
        <v>120</v>
      </c>
      <c r="N46" s="148"/>
    </row>
    <row r="47" spans="2:16" x14ac:dyDescent="0.3">
      <c r="B47" s="146" t="s">
        <v>39</v>
      </c>
      <c r="C47" s="145"/>
      <c r="D47" s="145"/>
      <c r="E47" s="145"/>
      <c r="F47" s="145"/>
      <c r="G47" s="145"/>
      <c r="H47" s="145"/>
      <c r="I47" s="145"/>
      <c r="J47" s="145"/>
      <c r="K47" s="145"/>
      <c r="L47" s="145"/>
      <c r="M47" s="145"/>
      <c r="N47" s="144"/>
      <c r="O47" s="147"/>
    </row>
    <row r="48" spans="2:16" x14ac:dyDescent="0.3">
      <c r="B48" s="146" t="s">
        <v>40</v>
      </c>
      <c r="C48" s="145"/>
      <c r="D48" s="145"/>
      <c r="E48" s="145"/>
      <c r="F48" s="145"/>
      <c r="G48" s="145"/>
      <c r="H48" s="145"/>
      <c r="I48" s="145"/>
      <c r="J48" s="145"/>
      <c r="K48" s="145"/>
      <c r="L48" s="145"/>
      <c r="M48" s="145"/>
      <c r="N48" s="144"/>
      <c r="O48" s="147"/>
    </row>
    <row r="49" spans="2:14" x14ac:dyDescent="0.3">
      <c r="B49" s="146" t="s">
        <v>119</v>
      </c>
      <c r="C49" s="145"/>
      <c r="D49" s="145"/>
      <c r="E49" s="145"/>
      <c r="F49" s="145"/>
      <c r="G49" s="145"/>
      <c r="H49" s="145"/>
      <c r="I49" s="145"/>
      <c r="J49" s="145"/>
      <c r="K49" s="145"/>
      <c r="L49" s="145"/>
      <c r="M49" s="145"/>
      <c r="N49" s="144"/>
    </row>
    <row r="50" spans="2:14" ht="25.8" x14ac:dyDescent="0.3">
      <c r="C50" s="15" t="s">
        <v>41</v>
      </c>
    </row>
    <row r="51" spans="2:14" ht="25.8" x14ac:dyDescent="0.3">
      <c r="C51" s="15" t="s">
        <v>42</v>
      </c>
    </row>
    <row r="52" spans="2:14" ht="25.8" x14ac:dyDescent="0.3">
      <c r="C52" s="15" t="s">
        <v>43</v>
      </c>
    </row>
    <row r="53" spans="2:14" ht="25.8" x14ac:dyDescent="0.3">
      <c r="C53" s="15" t="s">
        <v>44</v>
      </c>
    </row>
    <row r="54" spans="2:14" ht="25.8" x14ac:dyDescent="0.3">
      <c r="C54" s="15" t="s">
        <v>45</v>
      </c>
    </row>
  </sheetData>
  <dataConsolidate/>
  <mergeCells count="11">
    <mergeCell ref="F8:G8"/>
    <mergeCell ref="F9:G9"/>
    <mergeCell ref="G19:I19"/>
    <mergeCell ref="B22:N22"/>
    <mergeCell ref="B30:N30"/>
    <mergeCell ref="B32:N32"/>
    <mergeCell ref="B33:N33"/>
    <mergeCell ref="B47:N47"/>
    <mergeCell ref="B48:N48"/>
    <mergeCell ref="B49:N49"/>
    <mergeCell ref="B31:N31"/>
  </mergeCells>
  <dataValidations count="11">
    <dataValidation type="list" allowBlank="1" showInputMessage="1" showErrorMessage="1" sqref="H34" xr:uid="{C6AE74A9-62D0-4ACD-95AD-769B7B0DE774}">
      <formula1>"ALAA HAMMAD,KHALED QASSEM,RAMY RAOUF,SIMON LOBO,MHAREN CLEMENTE GARADO"</formula1>
    </dataValidation>
    <dataValidation type="list" allowBlank="1" showInputMessage="1" showErrorMessage="1" sqref="M34" xr:uid="{C93A2F51-17FA-48C2-8390-EEA4A205D2B3}">
      <formula1>"Alaa Hammad,Bachir Ibrahim Mourad,Khaled Qassem,Ramy Raoof,Simon Lobo,Mharen Clemente Garado,Ranjith"</formula1>
    </dataValidation>
    <dataValidation type="list" allowBlank="1" showInputMessage="1" showErrorMessage="1" sqref="B11" xr:uid="{BCB1CD1A-84E3-4E9B-B904-8202C30E903F}">
      <formula1>"FO Ceramic+ Intr&amp;Extr CeramicGold WdwTnt,FO Mirror Camera Sensor"</formula1>
    </dataValidation>
    <dataValidation type="list" allowBlank="1" showInputMessage="1" showErrorMessage="1" sqref="B12" xr:uid="{BAE89F07-7438-4D8E-A2A0-22B7349D9EBD}">
      <formula1>"FO Exterior ceramic All Cars SCOTCHGUARD,FO Mirror Camera Sensor,FO PPF Gold Package "</formula1>
    </dataValidation>
    <dataValidation type="list" allowBlank="1" showInputMessage="1" showErrorMessage="1" sqref="K20" xr:uid="{69867207-097D-4D1B-99DC-E00BC7226DE5}">
      <formula1>"Esaad,Emirates Platinum,Fazaa,Humat Alwatan,Permissible,ASX,XPMLP,XP,MON,MON G57,OUT,F08,P08,F06,P06,F03,F03-1,P03,EC,G37,G38,G40,G43"</formula1>
    </dataValidation>
    <dataValidation type="list" allowBlank="1" showInputMessage="1" showErrorMessage="1" sqref="B16" xr:uid="{F0ECFB44-7316-476F-9A39-9D5792E6ECCB}">
      <formula1>"RMC-10-40KMS,RMC-10-60KMS,RMC-10-70KMS,RMC-10-100000KMS,RMC-40-70KMS,RMC-40-100000KMS"</formula1>
    </dataValidation>
    <dataValidation type="list" allowBlank="1" showInputMessage="1" showErrorMessage="1" sqref="K24" xr:uid="{13C82101-C97F-4BA4-8BC0-B2400BCCE612}">
      <formula1>"RMC-10-70K,RMC-10-100000K,RMC-40-70K"</formula1>
    </dataValidation>
    <dataValidation type="list" allowBlank="1" showInputMessage="1" showErrorMessage="1" sqref="D5" xr:uid="{5331509D-86A8-46BD-B1CB-8FD0540ED62B}">
      <formula1>"MIG09,MIG10,H16,P16,H17,H48,H43,H40,H42,H44,H45,H38,H37,EH40,EH43,ML,HL,PR, MLP,HLP,PRP,XPML,XPHL,XPMLP, XPMLP-01,XC, G10,P10, G03, P03, G06,P06,G12,P12,G05,P05,G08,P08,G09,P09,H57,P57,H64,H59,P59,H61,P61"</formula1>
    </dataValidation>
    <dataValidation type="list" allowBlank="1" showInputMessage="1" showErrorMessage="1" sqref="M21" xr:uid="{7CF52EE7-6925-422C-ADA9-D0CBC0E29403}">
      <formula1>"3000-4999,5000-9999,5000-99999,10000-14999,15000-24999,25000-34999,35000-99999,5000-11999,12000-19999,20000-39999,40000-69999,70000-99999"</formula1>
    </dataValidation>
    <dataValidation type="list" allowBlank="1" showInputMessage="1" showErrorMessage="1" sqref="C10:C16 L20 L24:L25 G14:G15 J10" xr:uid="{E85EC3B1-BD76-4D17-A257-D58A3ED40E63}">
      <formula1>"YES,NO"</formula1>
    </dataValidation>
    <dataValidation type="list" allowBlank="1" showInputMessage="1" showErrorMessage="1" sqref="K21" xr:uid="{54D8FBBC-71B3-464B-BAC2-576EFC960BDA}">
      <formula1>"ADCB,ADCB PAY IN 2027,Ajman Bank,ADIB,DIB EXPAT,DIB LOCAL GVH,Emirates NBD,EIB,FAB,RAK,SIB STL,SIB NON STL"</formula1>
    </dataValidation>
  </dataValidations>
  <pageMargins left="0.23622047244094491" right="0.23622047244094491" top="0.74803149606299213" bottom="0.74803149606299213" header="0.31496062992125984" footer="0.31496062992125984"/>
  <pageSetup paperSize="9" scale="40" orientation="landscape" horizontalDpi="4294967295" verticalDpi="4294967295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480235-06AD-4957-9EC9-722F3AB9C410}">
  <sheetPr>
    <pageSetUpPr fitToPage="1"/>
  </sheetPr>
  <dimension ref="A1:AA54"/>
  <sheetViews>
    <sheetView topLeftCell="B1" zoomScaleNormal="100" workbookViewId="0">
      <selection activeCell="D5" sqref="D5"/>
    </sheetView>
  </sheetViews>
  <sheetFormatPr defaultColWidth="9.109375" defaultRowHeight="15.6" x14ac:dyDescent="0.3"/>
  <cols>
    <col min="1" max="1" width="16" style="1" hidden="1" customWidth="1"/>
    <col min="2" max="2" width="75.109375" style="2" customWidth="1"/>
    <col min="3" max="3" width="26.88671875" style="3" customWidth="1"/>
    <col min="4" max="4" width="23.88671875" style="2" customWidth="1"/>
    <col min="5" max="5" width="23.33203125" style="2" customWidth="1"/>
    <col min="6" max="6" width="19.88671875" style="2" customWidth="1"/>
    <col min="7" max="7" width="23.33203125" style="2" customWidth="1"/>
    <col min="8" max="8" width="24.44140625" style="2" customWidth="1"/>
    <col min="9" max="9" width="27.109375" style="2" customWidth="1"/>
    <col min="10" max="10" width="26.6640625" style="2" customWidth="1"/>
    <col min="11" max="11" width="25.44140625" style="2" customWidth="1"/>
    <col min="12" max="12" width="20.5546875" style="2" customWidth="1"/>
    <col min="13" max="13" width="20.109375" style="2" customWidth="1"/>
    <col min="14" max="14" width="19.5546875" style="2" customWidth="1"/>
    <col min="15" max="15" width="15.109375" style="2" bestFit="1" customWidth="1"/>
    <col min="16" max="16" width="12.6640625" style="2" hidden="1" customWidth="1"/>
    <col min="17" max="17" width="12.6640625" style="1" hidden="1" customWidth="1"/>
    <col min="18" max="18" width="15.6640625" style="1" hidden="1" customWidth="1"/>
    <col min="19" max="19" width="13" style="1" hidden="1" customWidth="1"/>
    <col min="20" max="20" width="17.109375" style="1" hidden="1" customWidth="1"/>
    <col min="21" max="21" width="14.5546875" style="1" bestFit="1" customWidth="1"/>
    <col min="22" max="22" width="19" style="1" customWidth="1"/>
    <col min="23" max="23" width="22.5546875" style="1" bestFit="1" customWidth="1"/>
    <col min="24" max="25" width="9.109375" style="1"/>
    <col min="26" max="26" width="14" style="1" bestFit="1" customWidth="1"/>
    <col min="27" max="27" width="22.33203125" style="1" bestFit="1" customWidth="1"/>
    <col min="28" max="16384" width="9.109375" style="1"/>
  </cols>
  <sheetData>
    <row r="1" spans="1:27" ht="15.75" customHeight="1" x14ac:dyDescent="0.3">
      <c r="B1" s="222" t="s">
        <v>148</v>
      </c>
      <c r="C1" s="221"/>
      <c r="D1" s="221"/>
      <c r="E1" s="221"/>
      <c r="F1" s="221"/>
      <c r="G1" s="221"/>
      <c r="H1" s="221"/>
      <c r="I1" s="221"/>
      <c r="J1" s="221"/>
      <c r="K1" s="221"/>
      <c r="L1" s="221"/>
      <c r="M1" s="221"/>
      <c r="N1" s="220"/>
    </row>
    <row r="2" spans="1:27" ht="15.75" customHeight="1" x14ac:dyDescent="0.3">
      <c r="B2" s="219" t="s">
        <v>147</v>
      </c>
      <c r="C2" s="218"/>
      <c r="D2" s="218"/>
      <c r="E2" s="218"/>
      <c r="F2" s="218"/>
      <c r="G2" s="218"/>
      <c r="H2" s="218"/>
      <c r="I2" s="218"/>
      <c r="J2" s="218"/>
      <c r="K2" s="218"/>
      <c r="L2" s="218"/>
      <c r="M2" s="218"/>
      <c r="N2" s="217"/>
      <c r="Q2" s="2"/>
      <c r="S2" s="186"/>
    </row>
    <row r="3" spans="1:27" ht="15.75" customHeight="1" x14ac:dyDescent="0.3">
      <c r="B3" s="219" t="s">
        <v>146</v>
      </c>
      <c r="C3" s="218"/>
      <c r="D3" s="218"/>
      <c r="E3" s="218"/>
      <c r="F3" s="218"/>
      <c r="G3" s="218"/>
      <c r="H3" s="218"/>
      <c r="I3" s="218"/>
      <c r="J3" s="218"/>
      <c r="K3" s="218"/>
      <c r="L3" s="218"/>
      <c r="M3" s="218"/>
      <c r="N3" s="217"/>
      <c r="O3" s="3"/>
      <c r="P3" s="3"/>
      <c r="Q3" s="153"/>
      <c r="R3" s="153"/>
      <c r="S3" s="216" t="e">
        <f>N7+J14</f>
        <v>#VALUE!</v>
      </c>
      <c r="T3" s="216"/>
      <c r="U3" s="153"/>
      <c r="V3" s="153"/>
      <c r="W3" s="153"/>
      <c r="AA3" s="1">
        <f>273000/5</f>
        <v>54600</v>
      </c>
    </row>
    <row r="4" spans="1:27" ht="15.75" customHeight="1" x14ac:dyDescent="0.3">
      <c r="B4" s="215"/>
      <c r="C4" s="214"/>
      <c r="D4" s="214"/>
      <c r="E4" s="214"/>
      <c r="F4" s="214"/>
      <c r="G4" s="214"/>
      <c r="H4" s="214"/>
      <c r="I4" s="214"/>
      <c r="J4" s="214"/>
      <c r="K4" s="214"/>
      <c r="L4" s="214"/>
      <c r="M4" s="214"/>
      <c r="N4" s="213"/>
      <c r="O4" s="212" t="s">
        <v>0</v>
      </c>
      <c r="P4" s="212"/>
      <c r="Q4" s="210"/>
      <c r="R4" s="210"/>
      <c r="S4" s="211"/>
      <c r="T4" s="211"/>
      <c r="U4" s="210" t="s">
        <v>1</v>
      </c>
      <c r="V4" s="210" t="s">
        <v>2</v>
      </c>
      <c r="W4" s="210" t="s">
        <v>3</v>
      </c>
    </row>
    <row r="5" spans="1:27" ht="25.2" thickBot="1" x14ac:dyDescent="0.45">
      <c r="B5" s="17"/>
      <c r="C5" s="18" t="str">
        <f>IF(D5="MIG09","Mirage G09",IF(D5="MIG10","MirageG10",IF(D5="H16","Attrage H16",IF(D5="P16","Attrage P16",IF(D5="H17","Attrage H17",IF(D5="H48","ASX H48",IF(D5="H43","ASX H43",IF(D5="H40","ASX H40",IF(D5="H42","ASX H42",IF(D5="H44","ASX H44",IF(D5="H45","ASX H45",IF(D5="H38","Eclipse H38",IF(D5="H37","Eclipse H37",IF(D5="EH40","Eclipse H40",IF(D5="EH43","Eclipse H43",IF(D5="XPML","Xpander ML",IF(D5="ML","Destinator ML",IF(D5="HL","Destinator HL",IF(D5="PR","Destinator PR",IF(D5="MLP","Destinator MLP",IF(D5="HLP","Destinator HLP",IF(D5="PRP","Destinator PRP",IF(D5="XPHL","Xpander HL",IF(D5="XPMLP","Xpander ML P",IF(D5="XPMLP-01","Xpander ML P-01",IF(D5="XC","Xpander Cross",IF(D5="G03","Outlander G03",IF(D5="P03","Outlander P03",IF(D5="G06","Outlander G06",IF(D5="P06","Outlander P06",IF(D5="OTP06-01","Outlander P06-01",IF(D5="G08","Outlander G08",IF(D5="P08","Outlander P08",IF(D5="H57","Montero H57",IF(D5="P57","Montero P57",IF(D5="H64","Montero G64",IF(D5="H59","Montero G59",IF(D5="P59","Montero G59 P",IF(D5="H61","Montero G61",IF(D5="P61","Montero P61",IF(D5="G10","Outlander G10",IF(D5="P10","Outlander P10",IF(D5="G12","Outlander G12",IF(D5="P12","Outlander P12",IF(D5="G05","Outlander G05",IF(D5="P05","Outlander P05",IF(D5="G09","Outlander G09",IF(D5="P09","Outlander P09",))))))))))))))))))))))))))))))))))))))))))))))))</f>
        <v>Mirage G09</v>
      </c>
      <c r="D5" s="19" t="s">
        <v>88</v>
      </c>
      <c r="E5" s="20" t="s">
        <v>145</v>
      </c>
      <c r="F5" s="37"/>
      <c r="G5" s="37"/>
      <c r="H5" s="37"/>
      <c r="I5" s="20"/>
      <c r="J5" s="34"/>
      <c r="K5" s="209">
        <v>0</v>
      </c>
      <c r="L5" s="208">
        <v>3.39E-2</v>
      </c>
      <c r="M5" s="208">
        <v>6.7799999999999999E-2</v>
      </c>
      <c r="N5" s="208">
        <v>0.1017</v>
      </c>
      <c r="O5" s="147">
        <f>K7+K14</f>
        <v>5936.1977445833336</v>
      </c>
      <c r="S5" s="186"/>
      <c r="U5" s="186">
        <f>L7+L14</f>
        <v>2450.8497662847226</v>
      </c>
      <c r="V5" s="186">
        <f>M7+M14</f>
        <v>1657.3444414583334</v>
      </c>
      <c r="W5" s="186">
        <f>N7+N14</f>
        <v>1165.0400440625001</v>
      </c>
    </row>
    <row r="6" spans="1:27" s="5" customFormat="1" ht="99" thickBot="1" x14ac:dyDescent="0.35">
      <c r="A6" s="4" t="s">
        <v>4</v>
      </c>
      <c r="B6" s="26" t="s">
        <v>5</v>
      </c>
      <c r="C6" s="27" t="s">
        <v>6</v>
      </c>
      <c r="D6" s="27" t="s">
        <v>144</v>
      </c>
      <c r="E6" s="27" t="s">
        <v>7</v>
      </c>
      <c r="F6" s="27" t="s">
        <v>8</v>
      </c>
      <c r="G6" s="28" t="s">
        <v>9</v>
      </c>
      <c r="H6" s="28" t="s">
        <v>143</v>
      </c>
      <c r="I6" s="28" t="s">
        <v>10</v>
      </c>
      <c r="J6" s="28" t="s">
        <v>142</v>
      </c>
      <c r="K6" s="28" t="s">
        <v>11</v>
      </c>
      <c r="L6" s="28" t="s">
        <v>12</v>
      </c>
      <c r="M6" s="28" t="s">
        <v>13</v>
      </c>
      <c r="N6" s="28" t="s">
        <v>14</v>
      </c>
      <c r="O6" s="207"/>
      <c r="P6" s="206"/>
      <c r="T6" s="205"/>
      <c r="U6" s="205">
        <f>N7+L14</f>
        <v>1936.5258773958335</v>
      </c>
      <c r="V6" s="205">
        <f>N7+K14</f>
        <v>4778.9689945833334</v>
      </c>
      <c r="W6" s="205" t="e">
        <f>N7+J14</f>
        <v>#VALUE!</v>
      </c>
    </row>
    <row r="7" spans="1:27" ht="25.2" thickBot="1" x14ac:dyDescent="0.45">
      <c r="A7" s="6">
        <f>B8</f>
        <v>39900</v>
      </c>
      <c r="B7" s="29">
        <f>IF(L20="YES",C8*1,IF(L20="NO",B8*1))</f>
        <v>39900</v>
      </c>
      <c r="C7" s="29">
        <f>B7*5/100</f>
        <v>1995</v>
      </c>
      <c r="D7" s="203">
        <f>B7+C7</f>
        <v>41895</v>
      </c>
      <c r="E7" s="29">
        <f>D17</f>
        <v>15461.4375</v>
      </c>
      <c r="F7" s="29">
        <f>(C7)+(D10+D11+D12+D13+D16)*5/100</f>
        <v>2500</v>
      </c>
      <c r="G7" s="30">
        <f>B7+E7+F7</f>
        <v>57861.4375</v>
      </c>
      <c r="H7" s="29">
        <f>G7*D20</f>
        <v>11572.2875</v>
      </c>
      <c r="I7" s="30">
        <f>(G7-H7)</f>
        <v>46289.15</v>
      </c>
      <c r="J7" s="30">
        <f>(((I7*D19)*1)+I7)/12</f>
        <v>4007.4831612500002</v>
      </c>
      <c r="K7" s="30">
        <f>(((I7*D19)*2)+I7)/24</f>
        <v>2078.7685779166668</v>
      </c>
      <c r="L7" s="30">
        <f>(((I7*D19)*3)+I7)/36</f>
        <v>1435.8637168055557</v>
      </c>
      <c r="M7" s="30">
        <f>(((I7*D19)*4)+I7)/48</f>
        <v>1114.4112862500001</v>
      </c>
      <c r="N7" s="30">
        <f>((((I7*D19)*5)+I7)/60)</f>
        <v>921.5398279166667</v>
      </c>
      <c r="O7" s="147"/>
      <c r="P7" s="2">
        <f>H7+H16</f>
        <v>12058.323575</v>
      </c>
      <c r="T7" s="186">
        <f>25973/2</f>
        <v>12986.5</v>
      </c>
    </row>
    <row r="8" spans="1:27" ht="24.6" x14ac:dyDescent="0.4">
      <c r="A8" s="7">
        <v>0.2</v>
      </c>
      <c r="B8" s="31">
        <f>IF(D5="MIG09",39900,IF(D5="MIG10",41900,IF(D5="H16",41900,IF(D5="P16",47400,IF(D5="H17",47900,IF(D5="H48",67900,IF(D5="H43",70900,IF(D5="H40",72900,IF(D5="H42",74900,IF(D5="H44",73900,IF(D5="H45",79900,IF(D5="H38",86900,IF(D5="H37",79900,IF(D5="EH40",99900,IF(D5="EH43",106900,IF(D5="ML",71900,IF(D5="HL",83900,IF(D5="PR",95900,IF(D5="MLP",80900,IF(D5="HLP",91900,IF(D5="PRP",102900,IF(D5="XPML",69900,IF(D5="XPHL",71000,IF(D5="XPMLP",75900,IF(D5="XPMLP-01",77800,IF(D5="XC",84900,IF(D5="G10",81900,IF(D5="P10",93900,IF(D5="G12",97900,IF(D5="P12",105900,IF(D5="G05",104900,IF(D5="P05",105900,IF(D5="G03",92900,IF(D5="P03",100900,IF(D5="G06",109900,IF(D5="P06",114900,IF(D5="OTP06-01",118900,IF(D5="G08",125900,IF(D5="P08",132900,IF(D5="OTP06-01",109900,IF(D5="G09",129900,IF(D5="P09",134900,IF(D5="H57",105900,IF(D5="P57",113900,IF(D5="H64",116900,IF(D5="H59",127900,IF(D5="P59",134900,IF(D5="H61",134900,IF(D5="P61",138900)))))))))))))))))))))))))))))))))))))))))))))))))</f>
        <v>39900</v>
      </c>
      <c r="C8" s="32">
        <f>IF(L20="YES",N20,IF(L20="NO",N20))</f>
        <v>39900</v>
      </c>
      <c r="D8" s="29">
        <v>0</v>
      </c>
      <c r="E8" s="33"/>
      <c r="F8" s="139"/>
      <c r="G8" s="140"/>
      <c r="H8" s="110">
        <f>G7*20/100</f>
        <v>11572.2875</v>
      </c>
      <c r="I8" s="34"/>
      <c r="J8" s="34" t="s">
        <v>15</v>
      </c>
      <c r="K8" s="34">
        <f>(I7*K5+I7)/24</f>
        <v>1928.7145833333334</v>
      </c>
      <c r="L8" s="34">
        <f>(I7*L5+I7)/36</f>
        <v>1329.3986718055558</v>
      </c>
      <c r="M8" s="34">
        <f>(I7*M5+I7)/48</f>
        <v>1029.7407160416667</v>
      </c>
      <c r="N8" s="34">
        <f>(I7*N5+I7)/60</f>
        <v>849.94594258333336</v>
      </c>
      <c r="O8" s="147">
        <v>0</v>
      </c>
      <c r="P8" s="2">
        <f>P7/12</f>
        <v>1004.8602979166667</v>
      </c>
      <c r="T8" s="1">
        <f>25973-12973</f>
        <v>13000</v>
      </c>
    </row>
    <row r="9" spans="1:27" ht="24.6" x14ac:dyDescent="0.4">
      <c r="A9" s="8">
        <f>B8/(100%-A8)</f>
        <v>49875</v>
      </c>
      <c r="B9" s="109">
        <f>B7-B8</f>
        <v>0</v>
      </c>
      <c r="C9" s="109"/>
      <c r="D9" s="36"/>
      <c r="E9" s="33"/>
      <c r="F9" s="139"/>
      <c r="G9" s="140"/>
      <c r="H9" s="33"/>
      <c r="I9" s="37" t="s">
        <v>16</v>
      </c>
      <c r="J9" s="38">
        <f>(J7*12)-I7</f>
        <v>1800.6479350000009</v>
      </c>
      <c r="K9" s="38">
        <f>(K7*24)-I7</f>
        <v>3601.2958700000017</v>
      </c>
      <c r="L9" s="38">
        <f>(L7*36)-I7</f>
        <v>5401.9438050000026</v>
      </c>
      <c r="M9" s="38">
        <f>(M7*48)-I7</f>
        <v>7202.5917400000035</v>
      </c>
      <c r="N9" s="38">
        <f>(N7*60)-I7</f>
        <v>9003.2396749999971</v>
      </c>
      <c r="O9" s="147"/>
      <c r="T9" s="1">
        <f>T8/12</f>
        <v>1083.3333333333333</v>
      </c>
      <c r="Z9" s="1" t="s">
        <v>86</v>
      </c>
    </row>
    <row r="10" spans="1:27" ht="24.6" x14ac:dyDescent="0.4">
      <c r="A10" s="8"/>
      <c r="B10" s="37" t="s">
        <v>141</v>
      </c>
      <c r="C10" s="20" t="s">
        <v>17</v>
      </c>
      <c r="D10" s="36">
        <f>IF(C10="YES",700,IF(C10="NO",0))</f>
        <v>0</v>
      </c>
      <c r="E10" s="39"/>
      <c r="F10" s="40"/>
      <c r="G10" s="40"/>
      <c r="H10" s="33"/>
      <c r="I10" s="44" t="s">
        <v>85</v>
      </c>
      <c r="J10" s="117" t="s">
        <v>19</v>
      </c>
      <c r="K10" s="117">
        <f>IF(J10="YES",Z10,IF(J10="NO",0))</f>
        <v>1000</v>
      </c>
      <c r="L10" s="41">
        <f>(L8*36)-I7</f>
        <v>1569.2021850000092</v>
      </c>
      <c r="M10" s="41">
        <f>(M8*48)-I7</f>
        <v>3138.4043699999966</v>
      </c>
      <c r="N10" s="41">
        <f>(N8*60)-I7</f>
        <v>4707.6065549999985</v>
      </c>
      <c r="O10" s="147">
        <f>IF(D5="XC",3690,IF(D5="XPML",3690,IF(D5="XPHL",3690,IF(D5="XPMLP",3690,IF(D5="XPMLP-01",3690,IF(D5="Xpander P",3690,IF(D5="ML",3690,IF(D5="HL",3690,IF(D5="PR",(U19*3/100+510)*1.05,IF(D5="MLP",3690,IF(D5="HLP",(U19*3/100+510)*1.05,IF(D5="PRP",(U19*3/100+510)*1.05,IF(D5="H57",(U19*2.75/100+510)*1.05,IF(D5="P57",(U19*2.75/100+510)*1.05,IF(D5="H64",(U19*2.75/100+510)*1.05,IF(D5="H59",(U19*2.75/100+510)*1.05,IF(D5="P59",(U19*2.75/100+510)*1.05,IF(D5="H61",(U19*2.75/100+510)*1.05,IF(D5="P61",(U19*2.75/100+510)*1.05,IF(D5="G03",(U19*3/100+510)*1.05,IF(D5="G10",(U19*3/100+510)*1.05,IF(D5="P10",(U19*3/100+510)*1.05,IF(D5="G12",(U19*3/100+510)*1.05,IF(D5="P12",(U19*3/100+510)*1.05,IF(D5="G05",(U19*3/100+510)*1.05,IF(D5="P05",(U19*3/100+510)*1.05,IF(D5="P03",(U19*3/100+510)*1.05,IF(D5="G06",(U19*3/100+510)*1.05,IF(D5="P06",(U19*3/100+510)*1.05,IF(D5="OTP06-01",(U19*3/100+510)*1.05,IF(D5="G08",(U19*3/100+510)*1.05,IF(D5="P08",(U19*3/100+510)*1.05,IF(D5="G09",(U19*3/100+510)*1.05,IF(D5="P09",(U19*3/100+510)*1.05,IF(D5="H38",3625,IF(D5="H37",3625,IF(D5="EH40",(U19*3/100+450)*1.05,IF(D5="EH43",(U19*3/100+450)*1.05,IF(D5="H48",3625,IF(D5="H43",3625,IF(D5="H40",3625,IF(D5="H42",3625,IF(D5="H44",3625,IF(D5="H45",3625,IF(D5="ASX HL 4WD",3625,IF(D5="H16",3625,IF(D5="H17",3625,IF(D5="P16",3625,IF(D5="Attrage S",3625,IF(D5="MIG09",3625,IF(D5="MIG10",3625,IF(D5="Xpander HL",3690))))))))))))))))))))))))))))))))))))))))))))))))))))</f>
        <v>3625</v>
      </c>
      <c r="P10" s="204"/>
      <c r="Q10" s="204">
        <f>5.25*3</f>
        <v>15.75</v>
      </c>
      <c r="Z10" s="1">
        <f>IF(D5="MIG09",1000,IF(D5="MIG10",1000,IF(D5="H16",1000,IF(D5="P16",1000,IF(D5="H17",1000,IF(D5="H48",1000,IF(D5="H43",1000,IF(D5="H40",1000,IF(D5="H42",1000,IF(D5="H44",1000,IF(D5="H45",1000,IF(D5="H38",1000,IF(D5="H37",1000,IF(D5="EH40",1000,IF(D5="EH43",1000,IF(D5="ML",1000,IF(D5="HL",1000,IF(D5="PR",1000,IF(D5="MLP",1000,IF(D5="HLP",1000,IF(D5="PRP",1000,IF(D5="XPML",1000,IF(D5="XPHL",1000,IF(D5="XPMLP",1000,IF(D5="XPMLP-01",1000,IF(D5="XC",1000,IF(D5="G10",1000,IF(D5="P10",1000,IF(D5="G12",1000,IF(D5="P12",1000,IF(D5="G05",1000,IF(D5="P05",1000,IF(D5="G03",1000,IF(D5="P03",1000,IF(D5="G06",1000,IF(D5="P06",1000,IF(D5="OTP06-01",1000,IF(D5="G08",1000,IF(D5="P08",1000,IF(D5="OTP06-01",1000,IF(D5="G09",1000,IF(D5="P09",1000,IF(D5="H57",1000,IF(D5="P57",1000,IF(D5="H64",1000,IF(D5="H59",1000,IF(D5="P59",1000,IF(D5="H61",1000,IF(D5="P61",1000)))))))))))))))))))))))))))))))))))))))))))))))))</f>
        <v>1000</v>
      </c>
    </row>
    <row r="11" spans="1:27" ht="24.6" x14ac:dyDescent="0.4">
      <c r="A11" s="8"/>
      <c r="B11" s="37" t="s">
        <v>18</v>
      </c>
      <c r="C11" s="20" t="s">
        <v>19</v>
      </c>
      <c r="D11" s="203">
        <f>IF(C11="YES",O17,IF(C11="NO",0))</f>
        <v>2700</v>
      </c>
      <c r="E11" s="39"/>
      <c r="F11" s="40"/>
      <c r="G11" s="40"/>
      <c r="H11" s="33"/>
      <c r="I11" s="33"/>
      <c r="J11" s="44" t="s">
        <v>76</v>
      </c>
      <c r="K11" s="44">
        <f>H8-K10</f>
        <v>10572.2875</v>
      </c>
      <c r="L11" s="37"/>
      <c r="M11" s="37"/>
      <c r="N11" s="38"/>
      <c r="O11" s="147">
        <f>IF(D5="XC",6100,IF(D5="XPML",6100,IF(D5="XPHL",6100,IF(D5="XPMLP",6100,IF(D5="XPMLP-01",6100,IF(D5="Xpander P",6100,IF(D5="ML",6600,IF(D5="HL",6600,IF(D5="PR",6600,IF(D5="MLP",6600,IF(D5="HLP",6600,IF(D5="PRP",6600,IF(D5="H57",5900,IF(D5="P57",5900,IF(D5="H64",5900,IF(D5="H59",5900,IF(D5="P59",5900,IF(D5="H61",5900,IF(D5="P61",5900,IF(D5="G03",6700,IF(D5="G10",6700,IF(D5="P10",6700,IF(D5="G12",6700,IF(D5="P12",6700,IF(D5="G05",6700,IF(D5="P05",6700,IF(D5="P03",6700,IF(D5="G06",6700,IF(D5="P06",6700,IF(D5="OTP06-01",6700,IF(D5="G08",6700,IF(D5="G09",6700,IF(D5="G08",6700,IF(D5="P08",6700,IF(D5="P09",6700,IF(D5="H37",6400,IF(D5="H38",6400,IF(D5="EH40",6400,IF(D5="EH43",6400,IF(D5="H48",6600,IF(D5="H43",6600,IF(D5="H40",6600,IF(D5="H42",6600,IF(D5="H44",6600,IF(D5="H45",6600,IF(D5="ASX HL 4WD",6600,IF(D5="H16",5400,IF(D5="H17",5400,IF(D5="P16",5400,IF(D5="Attrage S",5400,IF(D5="MIG09",5400,IF(D5="MIG10",5400,IF(D5="Xpander HL",6000)))))))))))))))))))))))))))))))))))))))))))))))))))))</f>
        <v>5400</v>
      </c>
      <c r="P11" s="147"/>
      <c r="Q11" s="147"/>
      <c r="R11" s="147"/>
      <c r="S11" s="147"/>
      <c r="T11" s="147"/>
      <c r="U11" s="147">
        <f>IF(D5="XC",4900,IF(D5="XPML",4900,IF(D5="XPHL",4900,IF(D5="XPMLP",4900,IF(D5="XPMLP-01",4900,IF(D5="Xpander P",4900,IF(D5="ML",5400,IF(D5="HL",5400,IF(D5="PR",5400,IF(D5="MLP",5400,IF(D5="HLP",5400,IF(D5="PRP",5400,IF(D5="H57",4600,IF(D5="P57",4600,IF(D5="MOG64",4600,IF(D5="H59",4600,IF(D5="P59",4600,IF(D5="H61",4600,IF(D5="P61",4600,IF(D5="G03",5500,IF(D5="P03",5500,IF(D5="G10",5500,IF(D5="P10",5500,IF(D5="G12",5500,IF(D5="P12",5500,IF(D5="G05",5500,IF(D5="P05",5500,IF(D5="G06",5500,IF(D5="P06",5500,IF(D5="OTP06-01",5500,IF(D5="F08",5500,IF(D5="P08",5500,IF(D5="G09",5500,IF(D5="P09",5500,IF(D5="H38",5200,IF(D5="H37",5200,IF(D5="EH40",5200,IF(D5="EH43",5200,IF(D5="H48",5300,IF(D5="H43",5300,IF(D5="H40",5300,IF(D5="H42",5300,IF(D5="H44",5300,IF(D5="H45",5300,IF(D5="ASX HL",5300,IF(D5="ASX P",5300,IF(D5="ASX HL 4WD",5300,IF(D5="H16",4200,IF(D5="H17",4200,IF(D5="P16",4200,IF(D5="Attrage S",4200,IF(D5="MIG09",4200,IF(D5="MIG10",4200,IF(D5="Xpander HL",4900))))))))))))))))))))))))))))))))))))))))))))))))))))))</f>
        <v>4200</v>
      </c>
      <c r="V11" s="147">
        <f>IF(D5="XC",9700,IF(D5="XPML",9700,IF(D5="XPHL",9700,IF(D5="XPMLP",9700,IF(D5="XPMLP-01",9700,IF(D5="XPMLP-01",9700,IF(D5="Xpander P",9700,IF(D5="ML",10800,IF(D5="HL",10800,IF(D5="PR",10800,IF(D5="MLP",10800,IF(D5="HLP",10800,IF(D5="PRP",10800,IF(D5="H57",9300,IF(D5="P57",9300,IF(D5="MG64",9300,IF(D5="H59",9300,IF(D5="P59",9300,IF(D5="H61",9300,IF(D5="P61",9300,IF(D5="G03",11000,IF(D5="G10",11000,IF(D5="P10",11000,IF(D5="G12",11000,IF(D5="P12",11000,IF(D5="G05",11000,IF(D5="P05",11000,IF(D5="P03",11000,IF(D5="G06",11000,IF(D5="P06",11000,IF(D5="OTP06-01",11000,IF(D5="G08",11000,IF(D5="P08",11000,IF(D5="G09",11000,IF(D5="P09",11000,IF(D5="H38",10400,IF(D5="H37",10400,IF(D5="EH40",10400,IF(D5="EH43",10400,IF(D5="H48",10700,IF(D5="H43",10700,IF(D5="H40",10700,IF(D5="H42",10700,IF(D5="H44",10800,IF(D5="H45",10800,IF(D5="ASX HL",12200,IF(D5="ASX P",12200,IF(D5="ASX HL 4WD",12200,IF(D5="H16",8500,IF(D5="H17",8500,IF(D5="P16",8500,IF(D5="Attrage S",9600,IF(D5="MIG09",8500,IF(D5="MIG10",8500,IF(D5="Xpander HL",11300)))))))))))))))))))))))))))))))))))))))))))))))))))))))</f>
        <v>8500</v>
      </c>
      <c r="W11" s="147">
        <f>IF(D5="XC",9200,IF(D5="XPML",9200,IF(D5="XPHL",9200,IF(D5="XPMLP",9200,IF(D5="XPMLP-01",9200,IF(D5="Xpander P",9200,IF(D5="ML",10000,IF(D5="HL",10000,IF(D5="PR",10000,IF(D5="MLP",10000,IF(D5="HLP",10000,IF(D5="PRP",10000,IF(D5="H57",8700,IF(D5="P57",8700,IF(D5="H64",8700,IF(D5="H59",8700,IF(D5="P59",8700,IF(D5="H61",8700,IF(D5="P61",8700,IF(D5="G03",10400,IF(D5="P03",10400,IF(D5="G10",10400,IF(D5="P10",10400,IF(D5="G12",10400,IF(D5="P12",10400,IF(D5="G05",10400,IF(D5="P05",10400,IF(D5="G06",10400,IF(D5="P06",10400,IF(D5="OTP06-01",10400,IF(D5="G08",10400,IF(D5="P08",10400,IF(D5="G09",10400,IF(D5="P09",10400,IF(D5="H38",9800,IF(D5="H37",9800,IF(D5="EH40",9800,IF(D5="EH43",9800,IF(D5="H48",10100,IF(D5="H43",10100,IF(D5="H40",10100,IF(D5="H42",10100,IF(D5="H44",10100,IF(D5="H45",10100,IF(D5="ASX HL",10100,IF(D5="ASX P",10100,IF(D5="ASX HL 4WD",10100,IF(D5="H16",7900,IF(D5="H17",7900,IF(D5="P16",7900,IF(D5="Attrage S",7900,IF(D5="MIG09",7900,IF(D5="MIG10",7900,IF(D5="Xpander HL",9200))))))))))))))))))))))))))))))))))))))))))))))))))))))</f>
        <v>7900</v>
      </c>
      <c r="X11" s="147">
        <f>IF(D5="XC",4500,IF(D5="XPML",4500,IF(D5="XPHL",4500,IF(D5="XPMLP",4500,IF(D5="XPMLP-01",4500,IF(D5="Xpander P",4500,IF(D5="ML",5000,IF(D5="HL",5000,IF(D5="PR",5000,IF(D5="MLP",5000,IF(D5="HLP",5000,IF(D5="PRP",5000,IF(D5="H57",8700,IF(D5="P57",8700,IF(D5="MOG64",4300,IF(D5="H59",4300,IF(D5="P59",4300,IF(D5="H61",4300,IF(D5="P61",4300,IF(D5="G03",5000,IF(D5="P03",5000,IF(D5="G10",5000,IF(D5="P10",5000,IF(D5="G12",5000,IF(D5="P12",5000,IF(D5="G05",5000,IF(D5="P05",5000,IF(D5="G06",5000,IF(D5="P06",5000,IF(D5="OTP06-01",5000,IF(D5="G08",5000,IF(D5="P08",5000,IF(D5="G09",5000,IF(D5="P09",5000,IF(D5="H38",4900,IF(D5="H37",4900,IF(D5="EH40",4900,IF(D5="EH43",4900,IF(D5="H48",4900,IF(D5="H43",4900,IF(D5="H40",4900,IF(D5="H42",4900,IF(D5="H44",4900,IF(D5="H45",4900,IF(D5="ASX HL",4900,IF(D5="ASX P",4900,IF(D5="ASX HL 4WD",4900,IF(D5="H16",3700,IF(D5="H17",3700,IF(D5="P16",3700,IF(D5="Attrage S",3700,IF(D5="MIG09",3700,IF(D5="MIG10",3700,IF(D5="Xpander HL",4500))))))))))))))))))))))))))))))))))))))))))))))))))))))</f>
        <v>3700</v>
      </c>
      <c r="Y11" s="147">
        <f>IF(D5="XC",5400,IF(D5="XPML ",5400,IF(D5="XPHL",5400,IF(D5="XPMLP",5400,IF(D5="XPMLP-01",5400,IF(D5="Xpander P",5400,IF(D5="ML",6000,IF(D5="HL",6000,IF(D5="PR",6000,IF(D5="MLP",6000,IF(D5="HLP",6000,IF(D5="PRP",6000,IF(D5="H57",5200,IF(D5="57",5200,IF(D5="H64",5200,IF(D5="H59",5200,IF(D5="P59",5200,IF(D5="H61",5200,IF(D5="P61",5200,IF(D5="G03",6000,IF(D5="P03",6000,IF(D5="G10",6000,IF(D5="P10",6000,IF(D5="G12",6000,IF(D5="P12",6000,IF(D5="G05",6000,IF(D5="P05",6000,IF(D5="G06",6000,IF(D5="P06",6000,IF(D5="OTP06-01",6000,IF(D5="G08",6000,IF(D5="P08",6000,IF(D5="G09",6000,IF(D5="P09",6000,IF(D5="H38",5700,IF(D5="H37",5700,IF(D5="EH40",5700,IF(D5="EH43",5700,IF(D5="H48",5900,IF(D5="H43",5900,IF(D5="H40",5900,IF(D5="H42",5900,IF(D5="H44",5900,IF(D5="H45",5900,IF(D5="ASX HL",5900,IF(D5="ASX P",5900,IF(D5="ASX HL 4WD",5900,IF(D5="H16",4500,IF(D5="H17",4500,IF(D5="P16",4500,IF(D5="Attrage S",4500,IF(D5="MIG09",4500,IF(D5="MIG10",4500,IF(D5="Xpander HL",5400))))))))))))))))))))))))))))))))))))))))))))))))))))))</f>
        <v>4500</v>
      </c>
    </row>
    <row r="12" spans="1:27" ht="24.6" x14ac:dyDescent="0.4">
      <c r="A12" s="8"/>
      <c r="B12" s="37" t="s">
        <v>20</v>
      </c>
      <c r="C12" s="20" t="s">
        <v>17</v>
      </c>
      <c r="D12" s="36">
        <f>IF(C12="YES",2000,IF(C12="NO",0))</f>
        <v>0</v>
      </c>
      <c r="E12" s="43"/>
      <c r="F12" s="43" t="s">
        <v>21</v>
      </c>
      <c r="G12" s="40"/>
      <c r="H12" s="33">
        <v>600</v>
      </c>
      <c r="I12" s="33"/>
      <c r="J12" s="202" t="s">
        <v>140</v>
      </c>
      <c r="K12" s="45">
        <v>0</v>
      </c>
      <c r="L12" s="45">
        <v>5.2499999999999998E-2</v>
      </c>
      <c r="M12" s="45">
        <v>0.126</v>
      </c>
      <c r="N12" s="201">
        <v>0.26250000000000001</v>
      </c>
      <c r="O12" s="147">
        <f>IF(K20="Esaad",B8*3/100,IF(K20="Emirates Platinum",B8*3/100,IF(K20="Fazaa",B8*3/100,IF(K20="Humat Alwatan",B8*3/100,IF(K20="Permissible",2000,IF(K20="ASX",8400,IF(K20="XPMLP",15100,IF(K20="XP",7200,IF(K20="G43",11000,IF(K20="EC",17000,IF(K20="G37",17000,IF(K20="G38",15000,IF(K20="G40",11000,IF(K20="OUT",3000,IF(K20="F08",14400,IF(K20="P08",11100,IF(K20="F06",13100,IF(K20="P06",13400,IF(K20="F03",3500,IF(K20="F03-1",13500,IF(K20="P03",13100,IF(K20="MON",10000,IF(K20="MON G57",9000,0)))))))))))))))))))))))</f>
        <v>2000</v>
      </c>
      <c r="Z12" s="86" t="s">
        <v>83</v>
      </c>
      <c r="AA12" s="86" t="s">
        <v>84</v>
      </c>
    </row>
    <row r="13" spans="1:27" ht="24.6" x14ac:dyDescent="0.4">
      <c r="A13" s="8">
        <f>B8*1.26582</f>
        <v>50506.218000000001</v>
      </c>
      <c r="B13" s="37" t="s">
        <v>23</v>
      </c>
      <c r="C13" s="20" t="s">
        <v>19</v>
      </c>
      <c r="D13" s="36">
        <f>IF(C13="YES",2000,IF(C13="NO",0))</f>
        <v>2000</v>
      </c>
      <c r="E13" s="47"/>
      <c r="F13" s="47" t="s">
        <v>75</v>
      </c>
      <c r="G13" s="51"/>
      <c r="H13" s="39">
        <v>315</v>
      </c>
      <c r="I13" s="33"/>
      <c r="J13" s="44" t="s">
        <v>54</v>
      </c>
      <c r="K13" s="29" t="s">
        <v>79</v>
      </c>
      <c r="L13" s="29" t="s">
        <v>25</v>
      </c>
      <c r="M13" s="29" t="s">
        <v>0</v>
      </c>
      <c r="N13" s="57" t="s">
        <v>26</v>
      </c>
      <c r="O13" s="9">
        <f>IF(M21="3000-4999",6%,IF(M21="5000-9999",4.75%,IF(M21="10000-14999",3.15%,IF(M21="15000-24999",2.5%,IF(M21="25000-34999",2.25%,IF(M21="35000-99999",2.15%))))))</f>
        <v>4.7500000000000001E-2</v>
      </c>
      <c r="Q13" s="2">
        <f>H7/12</f>
        <v>964.3572916666667</v>
      </c>
      <c r="U13" s="9">
        <f>IF(M21="3000-4999",6%,IF(M21="5000-9999",3.25%,IF(M21="10000-14999",3%,IF(M21="15000-24999",2.25%,IF(M21="25000-34999",2.15%,IF(M21="35000-99999",1.99%))))))</f>
        <v>3.2500000000000001E-2</v>
      </c>
      <c r="Z13" s="99">
        <f>IF(M21="5000-9999",2.49%,IF(M21="10000-19999",2.19%,IF(M21="20000-34999",2.09%,IF(M21="35000-49999",1.89%,IF(M21="50000-99999",1.79%)))))</f>
        <v>2.4900000000000002E-2</v>
      </c>
      <c r="AA13" s="99">
        <f>IF(M21="5000-9999",2.59%,IF(M21="10000-19999",2.29%,IF(M21="20000-34999",2.19%,IF(M21="35000-49999",1.99%,IF(M21="50000-99999",1.89%)))))</f>
        <v>2.5899999999999999E-2</v>
      </c>
    </row>
    <row r="14" spans="1:27" ht="24.6" x14ac:dyDescent="0.4">
      <c r="A14" s="10" t="s">
        <v>27</v>
      </c>
      <c r="B14" s="37" t="s">
        <v>24</v>
      </c>
      <c r="C14" s="20" t="s">
        <v>19</v>
      </c>
      <c r="D14" s="50">
        <f>IF(C14="YES",U19*3.15*1.05/100,IF(C14="NO",U19*0/100))</f>
        <v>1736.4375</v>
      </c>
      <c r="E14" s="48"/>
      <c r="F14" s="48" t="s">
        <v>24</v>
      </c>
      <c r="G14" s="51" t="s">
        <v>17</v>
      </c>
      <c r="H14" s="39">
        <f>IF(G14="YES",U19*3.15*1.05/100,IF(G14="NO",U19*0/100))</f>
        <v>0</v>
      </c>
      <c r="I14" s="33"/>
      <c r="J14" s="44" t="s">
        <v>55</v>
      </c>
      <c r="K14" s="44">
        <f>(H8*K12+H8)/3</f>
        <v>3857.4291666666668</v>
      </c>
      <c r="L14" s="44">
        <f>(H8*L12+H8)/12</f>
        <v>1014.9860494791668</v>
      </c>
      <c r="M14" s="44">
        <f>(H8*M12+H8)/24</f>
        <v>542.93315520833335</v>
      </c>
      <c r="N14" s="200">
        <f>(H7*N12+H7)/60</f>
        <v>243.50021614583335</v>
      </c>
      <c r="O14" s="9">
        <f>IF(M21="3000-4999",3.89%,IF(M21="5000-9999",3.89%,IF(M21="10000-14999",3.89%,IF(M21="15000-24999",2.69%,IF(M21="25000-34999",2.69%,IF(M21="35000-99999",2.39%,IF(M21="76000-99999",2.5%)))))))</f>
        <v>3.8900000000000004E-2</v>
      </c>
    </row>
    <row r="15" spans="1:27" ht="24.6" x14ac:dyDescent="0.4">
      <c r="A15" s="11">
        <f>(B7*3%)+10+120</f>
        <v>1327</v>
      </c>
      <c r="B15" s="37" t="s">
        <v>28</v>
      </c>
      <c r="C15" s="20" t="s">
        <v>19</v>
      </c>
      <c r="D15" s="29">
        <f>IF(C15="YES",O10,IF(C15="NO",0))</f>
        <v>3625</v>
      </c>
      <c r="E15" s="48"/>
      <c r="F15" s="48" t="s">
        <v>53</v>
      </c>
      <c r="G15" s="51" t="s">
        <v>17</v>
      </c>
      <c r="H15" s="39">
        <f>IF(G15="YES",O10,IF(G15="NO",0))</f>
        <v>0</v>
      </c>
      <c r="I15" s="33"/>
      <c r="J15" s="44"/>
      <c r="K15" s="44"/>
      <c r="L15" s="44"/>
      <c r="M15" s="44"/>
      <c r="N15" s="198"/>
      <c r="O15" s="9" t="b">
        <f>IF(M21="3000-4999",4.99%, IF(M21="5000-11999",2.75%,IF(M21="12000-19999",2.75%,IF(M21="20000-39999",2.25%,IF(M21="40000-69999",2.25%,IF(M21="70000-99999",2.25%))))))</f>
        <v>0</v>
      </c>
      <c r="P15" s="191"/>
    </row>
    <row r="16" spans="1:27" ht="24.6" x14ac:dyDescent="0.4">
      <c r="A16" s="11">
        <f>((B7-B8)*3%+10+120)</f>
        <v>130</v>
      </c>
      <c r="B16" s="37" t="s">
        <v>78</v>
      </c>
      <c r="C16" s="20" t="s">
        <v>19</v>
      </c>
      <c r="D16" s="29">
        <f>IF(C16="YES",O16,IF(C16="NO",0))</f>
        <v>5400</v>
      </c>
      <c r="E16" s="47"/>
      <c r="F16" s="47" t="s">
        <v>74</v>
      </c>
      <c r="G16" s="54"/>
      <c r="H16" s="33">
        <f>I7*1.05%</f>
        <v>486.03607500000004</v>
      </c>
      <c r="I16" s="33"/>
      <c r="J16" s="44" t="s">
        <v>16</v>
      </c>
      <c r="K16" s="44">
        <f>(K14*3)-H8</f>
        <v>0</v>
      </c>
      <c r="L16" s="44">
        <f>(L14*12)-H8</f>
        <v>607.54509375000089</v>
      </c>
      <c r="M16" s="44">
        <f>(M14*24)-H8</f>
        <v>1458.1082249999999</v>
      </c>
      <c r="N16" s="198"/>
      <c r="O16" s="147">
        <f>IF(B16="RMC-10-70KMS",O11,IF(B16="RMC-10-100000KMS",V11,IF(B16="RMC-40-70KMS",U11, IF(B16="RMC-10-40KMS",X11, IF(B16="RMC-10-60KMS",Y11, IF(B16="RMC-40-100000KMS",W11,0))))))</f>
        <v>5400</v>
      </c>
    </row>
    <row r="17" spans="1:23" ht="24.6" x14ac:dyDescent="0.4">
      <c r="A17" s="11">
        <f>A15+A16</f>
        <v>1457</v>
      </c>
      <c r="B17" s="37"/>
      <c r="C17" s="20"/>
      <c r="D17" s="29">
        <f>SUM(D10:D16)</f>
        <v>15461.4375</v>
      </c>
      <c r="E17" s="48"/>
      <c r="F17" s="48"/>
      <c r="G17" s="54"/>
      <c r="H17" s="33">
        <f>+SUM(H12:H16)+(H7)</f>
        <v>12973.323575</v>
      </c>
      <c r="I17" s="33"/>
      <c r="J17" s="20"/>
      <c r="K17" s="199"/>
      <c r="L17" s="199"/>
      <c r="M17" s="199"/>
      <c r="N17" s="198"/>
      <c r="O17" s="147">
        <f>IF(B11="FO Ceramic+ Intr&amp;Extr CeramicGold WdwTnt",2700,IF(B11="FO Mirror Camera Sensor",2000))</f>
        <v>2700</v>
      </c>
      <c r="T17" s="1">
        <f>19615-791</f>
        <v>18824</v>
      </c>
    </row>
    <row r="18" spans="1:23" ht="24.6" x14ac:dyDescent="0.4">
      <c r="A18" s="12" t="s">
        <v>29</v>
      </c>
      <c r="B18" s="55" t="s">
        <v>30</v>
      </c>
      <c r="C18" s="197"/>
      <c r="D18" s="57">
        <v>0</v>
      </c>
      <c r="E18" s="38"/>
      <c r="F18" s="20"/>
      <c r="G18" s="20"/>
      <c r="H18" s="37"/>
      <c r="I18" s="37"/>
      <c r="J18" s="37"/>
      <c r="K18" s="37"/>
      <c r="L18" s="37"/>
      <c r="M18" s="37"/>
      <c r="N18" s="37"/>
      <c r="O18" s="9" t="b">
        <f>IF(M21="5000-99999",1.99%)</f>
        <v>0</v>
      </c>
      <c r="U18" s="196" t="s">
        <v>52</v>
      </c>
      <c r="V18" s="196" t="s">
        <v>52</v>
      </c>
    </row>
    <row r="19" spans="1:23" ht="24.6" x14ac:dyDescent="0.4">
      <c r="A19" s="11">
        <f>B8*3.15%</f>
        <v>1256.8499999999999</v>
      </c>
      <c r="B19" s="58" t="s">
        <v>31</v>
      </c>
      <c r="C19" s="59"/>
      <c r="D19" s="60">
        <f>IF(K21="DIB EXPAT",O13,IF(K21="DIB LOCAL GVH",U13,IF(K21="Emirates NBD",O14,IF(K21="ADCB",O15,IF(K21="ADCB PAY IN 2027",O19,IF(K21="Ajman Bank",O18,IF(K21="SIB STL",Z13,IF(K21="SIB NON STL",AA13,))))))))</f>
        <v>3.8900000000000004E-2</v>
      </c>
      <c r="E19" s="20"/>
      <c r="F19" s="195"/>
      <c r="G19" s="141" t="s">
        <v>73</v>
      </c>
      <c r="H19" s="142"/>
      <c r="I19" s="143"/>
      <c r="J19" s="109">
        <f>(U19*20/100)/365</f>
        <v>28.767123287671232</v>
      </c>
      <c r="K19" s="37"/>
      <c r="L19" s="37"/>
      <c r="M19" s="37"/>
      <c r="N19" s="34">
        <f>D7</f>
        <v>41895</v>
      </c>
      <c r="O19" s="194" t="b">
        <f>IF(M21="5000-11999",3.35%,IF(M21="12000-19999",3.35%,IF(M21="20000-39999",2.85%,IF(M21="40000-69999",2.85%,IF(M21="70000-99999",2.85%)))))</f>
        <v>0</v>
      </c>
      <c r="P19" s="2">
        <f>81400-2500</f>
        <v>78900</v>
      </c>
      <c r="U19" s="193">
        <f>V19</f>
        <v>52500</v>
      </c>
      <c r="V19" s="192">
        <f>(B7+D10+D11+D12+D13+D16)*1.05</f>
        <v>52500</v>
      </c>
    </row>
    <row r="20" spans="1:23" ht="24.6" x14ac:dyDescent="0.4">
      <c r="A20" s="11"/>
      <c r="B20" s="58" t="s">
        <v>32</v>
      </c>
      <c r="C20" s="59"/>
      <c r="D20" s="63">
        <v>0.2</v>
      </c>
      <c r="E20" s="37"/>
      <c r="F20" s="37"/>
      <c r="G20" s="38"/>
      <c r="H20" s="38"/>
      <c r="I20" s="38"/>
      <c r="J20" s="103"/>
      <c r="K20" s="104" t="s">
        <v>33</v>
      </c>
      <c r="L20" s="104" t="s">
        <v>17</v>
      </c>
      <c r="M20" s="104">
        <f>IF(L20="YES",O12,IF(L20="NO",0))</f>
        <v>0</v>
      </c>
      <c r="N20" s="34">
        <f>B8-M20</f>
        <v>39900</v>
      </c>
      <c r="O20" s="187"/>
      <c r="P20" s="191"/>
      <c r="T20" s="1">
        <f>1992+1084</f>
        <v>3076</v>
      </c>
      <c r="U20" s="186"/>
      <c r="V20" s="2"/>
    </row>
    <row r="21" spans="1:23" ht="24.6" x14ac:dyDescent="0.4">
      <c r="A21" s="13">
        <f>A19+A20</f>
        <v>1256.8499999999999</v>
      </c>
      <c r="B21" s="37"/>
      <c r="C21" s="20"/>
      <c r="D21" s="37"/>
      <c r="E21" s="37"/>
      <c r="F21" s="37"/>
      <c r="G21" s="37"/>
      <c r="H21" s="37"/>
      <c r="I21" s="37"/>
      <c r="J21" s="190" t="s">
        <v>34</v>
      </c>
      <c r="K21" s="16" t="s">
        <v>139</v>
      </c>
      <c r="L21" s="16" t="s">
        <v>35</v>
      </c>
      <c r="M21" s="189" t="s">
        <v>80</v>
      </c>
      <c r="N21" s="188"/>
      <c r="O21" s="187"/>
      <c r="T21" s="1">
        <f>25973-12973</f>
        <v>13000</v>
      </c>
      <c r="U21" s="186">
        <f>M14+N7</f>
        <v>1464.4729831250002</v>
      </c>
    </row>
    <row r="22" spans="1:23" s="179" customFormat="1" ht="24.6" x14ac:dyDescent="0.4">
      <c r="A22" s="185"/>
      <c r="B22" s="184" t="s">
        <v>51</v>
      </c>
      <c r="C22" s="183"/>
      <c r="D22" s="183"/>
      <c r="E22" s="183"/>
      <c r="F22" s="183"/>
      <c r="G22" s="183"/>
      <c r="H22" s="183"/>
      <c r="I22" s="183"/>
      <c r="J22" s="183"/>
      <c r="K22" s="183"/>
      <c r="L22" s="183"/>
      <c r="M22" s="183"/>
      <c r="N22" s="182"/>
      <c r="O22" s="181"/>
      <c r="P22" s="180"/>
    </row>
    <row r="23" spans="1:23" s="168" customFormat="1" ht="26.4" x14ac:dyDescent="0.5">
      <c r="A23" s="175" t="s">
        <v>36</v>
      </c>
      <c r="B23" s="172" t="s">
        <v>138</v>
      </c>
      <c r="C23" s="169"/>
      <c r="D23" s="169"/>
      <c r="E23" s="169"/>
      <c r="F23" s="169"/>
      <c r="G23" s="169"/>
      <c r="H23" s="176"/>
      <c r="I23" s="176"/>
      <c r="J23" s="169"/>
      <c r="K23" s="169"/>
      <c r="L23" s="169"/>
      <c r="M23" s="169"/>
      <c r="N23" s="178"/>
      <c r="O23" s="170"/>
      <c r="P23" s="169"/>
    </row>
    <row r="24" spans="1:23" s="168" customFormat="1" ht="26.4" x14ac:dyDescent="0.5">
      <c r="A24" s="175" t="s">
        <v>36</v>
      </c>
      <c r="B24" s="172" t="s">
        <v>137</v>
      </c>
      <c r="C24" s="169"/>
      <c r="D24" s="169"/>
      <c r="E24" s="169"/>
      <c r="F24" s="169"/>
      <c r="G24" s="169"/>
      <c r="H24" s="177">
        <f>H7/365</f>
        <v>31.704897260273974</v>
      </c>
      <c r="I24" s="177">
        <f>H7+H12+H16</f>
        <v>12658.323575</v>
      </c>
      <c r="J24" s="169"/>
      <c r="K24" s="169"/>
      <c r="L24" s="169"/>
      <c r="M24" s="169"/>
      <c r="N24" s="173"/>
      <c r="O24" s="170"/>
      <c r="P24" s="169">
        <f>1232+480</f>
        <v>1712</v>
      </c>
      <c r="T24" s="168">
        <f>88704/1.05</f>
        <v>84480</v>
      </c>
    </row>
    <row r="25" spans="1:23" s="168" customFormat="1" ht="26.4" x14ac:dyDescent="0.5">
      <c r="A25" s="175" t="s">
        <v>36</v>
      </c>
      <c r="B25" s="172" t="s">
        <v>136</v>
      </c>
      <c r="C25" s="169"/>
      <c r="D25" s="169"/>
      <c r="E25" s="169"/>
      <c r="F25" s="169"/>
      <c r="G25" s="169"/>
      <c r="H25" s="176"/>
      <c r="I25" s="176"/>
      <c r="J25" s="169"/>
      <c r="K25" s="169"/>
      <c r="L25" s="169"/>
      <c r="M25" s="169"/>
      <c r="N25" s="173"/>
      <c r="O25" s="170"/>
      <c r="P25" s="169"/>
      <c r="Q25" s="168">
        <f>79400-5233.33</f>
        <v>74166.67</v>
      </c>
      <c r="R25" s="168">
        <f>Q25*1.05</f>
        <v>77875.003500000006</v>
      </c>
      <c r="W25" s="168">
        <f>1999+1224</f>
        <v>3223</v>
      </c>
    </row>
    <row r="26" spans="1:23" s="168" customFormat="1" ht="26.4" x14ac:dyDescent="0.5">
      <c r="A26" s="175" t="s">
        <v>36</v>
      </c>
      <c r="B26" s="172" t="s">
        <v>135</v>
      </c>
      <c r="C26" s="169"/>
      <c r="D26" s="169"/>
      <c r="E26" s="169"/>
      <c r="F26" s="169"/>
      <c r="G26" s="169"/>
      <c r="H26" s="169"/>
      <c r="I26" s="169"/>
      <c r="J26" s="169"/>
      <c r="K26" s="169"/>
      <c r="L26" s="169"/>
      <c r="M26" s="169"/>
      <c r="N26" s="173"/>
      <c r="O26" s="170" t="s">
        <v>37</v>
      </c>
      <c r="P26" s="169"/>
      <c r="R26" s="168">
        <f>R25+2469</f>
        <v>80344.003500000006</v>
      </c>
    </row>
    <row r="27" spans="1:23" s="168" customFormat="1" ht="26.4" x14ac:dyDescent="0.5">
      <c r="A27" s="175" t="s">
        <v>36</v>
      </c>
      <c r="B27" s="172" t="s">
        <v>134</v>
      </c>
      <c r="C27" s="169"/>
      <c r="D27" s="169"/>
      <c r="E27" s="169"/>
      <c r="F27" s="169"/>
      <c r="G27" s="169"/>
      <c r="H27" s="169"/>
      <c r="I27" s="169"/>
      <c r="J27" s="169"/>
      <c r="K27" s="169"/>
      <c r="L27" s="169"/>
      <c r="M27" s="169"/>
      <c r="N27" s="173"/>
      <c r="O27" s="170">
        <f>129500-110900</f>
        <v>18600</v>
      </c>
      <c r="P27" s="169"/>
      <c r="W27" s="174">
        <f>N7+L14</f>
        <v>1936.5258773958335</v>
      </c>
    </row>
    <row r="28" spans="1:23" s="168" customFormat="1" ht="26.4" x14ac:dyDescent="0.5">
      <c r="B28" s="172" t="s">
        <v>133</v>
      </c>
      <c r="C28" s="169"/>
      <c r="D28" s="169"/>
      <c r="E28" s="169"/>
      <c r="F28" s="169"/>
      <c r="G28" s="169"/>
      <c r="H28" s="169"/>
      <c r="I28" s="169"/>
      <c r="J28" s="169"/>
      <c r="K28" s="169"/>
      <c r="L28" s="169"/>
      <c r="M28" s="169"/>
      <c r="N28" s="173"/>
      <c r="O28" s="170">
        <f>85000-69900</f>
        <v>15100</v>
      </c>
      <c r="P28" s="169"/>
    </row>
    <row r="29" spans="1:23" s="168" customFormat="1" ht="26.4" x14ac:dyDescent="0.5">
      <c r="B29" s="172" t="s">
        <v>132</v>
      </c>
      <c r="C29" s="169"/>
      <c r="D29" s="169"/>
      <c r="E29" s="169"/>
      <c r="F29" s="169"/>
      <c r="G29" s="169"/>
      <c r="H29" s="169"/>
      <c r="I29" s="169"/>
      <c r="J29" s="169"/>
      <c r="K29" s="169"/>
      <c r="L29" s="169"/>
      <c r="M29" s="169"/>
      <c r="N29" s="171"/>
      <c r="O29" s="170"/>
      <c r="P29" s="169"/>
    </row>
    <row r="30" spans="1:23" x14ac:dyDescent="0.3">
      <c r="B30" s="167" t="s">
        <v>38</v>
      </c>
      <c r="C30" s="166"/>
      <c r="D30" s="166"/>
      <c r="E30" s="166"/>
      <c r="F30" s="166"/>
      <c r="G30" s="166"/>
      <c r="H30" s="166"/>
      <c r="I30" s="166"/>
      <c r="J30" s="166"/>
      <c r="K30" s="166"/>
      <c r="L30" s="166"/>
      <c r="M30" s="166"/>
      <c r="N30" s="165"/>
      <c r="O30" s="147"/>
    </row>
    <row r="31" spans="1:23" x14ac:dyDescent="0.3">
      <c r="B31" s="146"/>
      <c r="C31" s="145"/>
      <c r="D31" s="145"/>
      <c r="E31" s="145"/>
      <c r="F31" s="145"/>
      <c r="G31" s="145"/>
      <c r="H31" s="145"/>
      <c r="I31" s="145"/>
      <c r="J31" s="145"/>
      <c r="K31" s="145"/>
      <c r="L31" s="145"/>
      <c r="M31" s="145"/>
      <c r="N31" s="144"/>
      <c r="O31" s="147"/>
    </row>
    <row r="32" spans="1:23" s="86" customFormat="1" ht="20.399999999999999" x14ac:dyDescent="0.35">
      <c r="B32" s="118" t="s">
        <v>39</v>
      </c>
      <c r="C32" s="119"/>
      <c r="D32" s="119"/>
      <c r="E32" s="119"/>
      <c r="F32" s="119"/>
      <c r="G32" s="119"/>
      <c r="H32" s="119"/>
      <c r="I32" s="119"/>
      <c r="J32" s="119"/>
      <c r="K32" s="119"/>
      <c r="L32" s="119"/>
      <c r="M32" s="119"/>
      <c r="N32" s="120"/>
      <c r="O32" s="92"/>
      <c r="P32" s="83"/>
    </row>
    <row r="33" spans="2:16" s="86" customFormat="1" ht="20.399999999999999" x14ac:dyDescent="0.35">
      <c r="B33" s="118" t="s">
        <v>40</v>
      </c>
      <c r="C33" s="119"/>
      <c r="D33" s="119"/>
      <c r="E33" s="119"/>
      <c r="F33" s="119"/>
      <c r="G33" s="119"/>
      <c r="H33" s="119"/>
      <c r="I33" s="119"/>
      <c r="J33" s="119"/>
      <c r="K33" s="119"/>
      <c r="L33" s="119"/>
      <c r="M33" s="119"/>
      <c r="N33" s="120"/>
      <c r="O33" s="92"/>
      <c r="P33" s="83"/>
    </row>
    <row r="34" spans="2:16" s="86" customFormat="1" ht="20.399999999999999" x14ac:dyDescent="0.35">
      <c r="B34" s="107" t="s">
        <v>131</v>
      </c>
      <c r="C34" s="108"/>
      <c r="D34" s="108"/>
      <c r="E34" s="108"/>
      <c r="F34" s="108"/>
      <c r="G34" s="164" t="s">
        <v>130</v>
      </c>
      <c r="H34" s="164"/>
      <c r="I34" s="163"/>
      <c r="J34" s="163"/>
      <c r="K34" s="163"/>
      <c r="L34" s="163"/>
      <c r="M34" s="162" t="s">
        <v>129</v>
      </c>
      <c r="N34" s="161"/>
      <c r="O34" s="83"/>
      <c r="P34" s="83"/>
    </row>
    <row r="35" spans="2:16" x14ac:dyDescent="0.3">
      <c r="B35" s="160"/>
      <c r="C35" s="159"/>
      <c r="D35" s="159"/>
      <c r="E35" s="159"/>
      <c r="F35" s="159"/>
      <c r="G35" s="159"/>
      <c r="H35" s="159"/>
      <c r="I35" s="159"/>
      <c r="J35" s="159"/>
      <c r="K35" s="159"/>
      <c r="L35" s="159"/>
      <c r="M35" s="159"/>
      <c r="N35" s="158"/>
    </row>
    <row r="36" spans="2:16" x14ac:dyDescent="0.3">
      <c r="B36" s="160"/>
      <c r="C36" s="159"/>
      <c r="D36" s="159"/>
      <c r="E36" s="159"/>
      <c r="F36" s="159"/>
      <c r="G36" s="159"/>
      <c r="H36" s="159"/>
      <c r="I36" s="159"/>
      <c r="J36" s="159"/>
      <c r="K36" s="159"/>
      <c r="L36" s="159"/>
      <c r="M36" s="159"/>
      <c r="N36" s="158"/>
    </row>
    <row r="37" spans="2:16" x14ac:dyDescent="0.3">
      <c r="B37" s="160"/>
      <c r="C37" s="159"/>
      <c r="D37" s="159"/>
      <c r="E37" s="159"/>
      <c r="F37" s="159"/>
      <c r="G37" s="159"/>
      <c r="H37" s="159"/>
      <c r="I37" s="159"/>
      <c r="J37" s="159"/>
      <c r="K37" s="159"/>
      <c r="L37" s="159"/>
      <c r="M37" s="159"/>
      <c r="N37" s="158"/>
    </row>
    <row r="38" spans="2:16" ht="16.8" x14ac:dyDescent="0.3">
      <c r="B38" s="149" t="s">
        <v>128</v>
      </c>
      <c r="C38" s="157"/>
      <c r="D38" s="154"/>
      <c r="E38" s="151"/>
      <c r="F38" s="151"/>
      <c r="G38" s="151"/>
      <c r="H38" s="151"/>
      <c r="I38" s="151"/>
      <c r="J38" s="152"/>
      <c r="K38" s="151"/>
      <c r="L38" s="151"/>
      <c r="M38" s="151"/>
      <c r="N38" s="156"/>
    </row>
    <row r="39" spans="2:16" ht="16.8" x14ac:dyDescent="0.3">
      <c r="B39" s="149" t="s">
        <v>127</v>
      </c>
      <c r="C39" s="155"/>
      <c r="D39" s="154"/>
      <c r="E39" s="151"/>
      <c r="F39" s="151"/>
      <c r="G39" s="151"/>
      <c r="H39" s="151"/>
      <c r="I39" s="151"/>
      <c r="J39" s="152"/>
      <c r="K39" s="151"/>
      <c r="L39" s="151"/>
      <c r="M39" s="151"/>
      <c r="N39" s="150"/>
    </row>
    <row r="40" spans="2:16" ht="16.8" x14ac:dyDescent="0.3">
      <c r="B40" s="149" t="s">
        <v>126</v>
      </c>
      <c r="C40" s="153"/>
      <c r="D40" s="151"/>
      <c r="E40" s="151"/>
      <c r="F40" s="151"/>
      <c r="G40" s="151"/>
      <c r="H40" s="151"/>
      <c r="I40" s="151"/>
      <c r="J40" s="152"/>
      <c r="K40" s="151"/>
      <c r="L40" s="151"/>
      <c r="M40" s="151"/>
      <c r="N40" s="150"/>
    </row>
    <row r="41" spans="2:16" ht="16.8" x14ac:dyDescent="0.3">
      <c r="B41" s="149" t="s">
        <v>125</v>
      </c>
      <c r="N41" s="148"/>
    </row>
    <row r="42" spans="2:16" ht="16.8" x14ac:dyDescent="0.3">
      <c r="B42" s="149" t="s">
        <v>124</v>
      </c>
      <c r="N42" s="148"/>
    </row>
    <row r="43" spans="2:16" ht="16.8" x14ac:dyDescent="0.3">
      <c r="B43" s="149" t="s">
        <v>123</v>
      </c>
      <c r="N43" s="148"/>
    </row>
    <row r="44" spans="2:16" ht="16.8" x14ac:dyDescent="0.3">
      <c r="B44" s="149" t="s">
        <v>122</v>
      </c>
      <c r="N44" s="148"/>
    </row>
    <row r="45" spans="2:16" ht="16.8" x14ac:dyDescent="0.3">
      <c r="B45" s="149" t="s">
        <v>121</v>
      </c>
      <c r="N45" s="148"/>
    </row>
    <row r="46" spans="2:16" ht="16.8" x14ac:dyDescent="0.3">
      <c r="B46" s="149" t="s">
        <v>120</v>
      </c>
      <c r="N46" s="148"/>
    </row>
    <row r="47" spans="2:16" x14ac:dyDescent="0.3">
      <c r="B47" s="146" t="s">
        <v>39</v>
      </c>
      <c r="C47" s="145"/>
      <c r="D47" s="145"/>
      <c r="E47" s="145"/>
      <c r="F47" s="145"/>
      <c r="G47" s="145"/>
      <c r="H47" s="145"/>
      <c r="I47" s="145"/>
      <c r="J47" s="145"/>
      <c r="K47" s="145"/>
      <c r="L47" s="145"/>
      <c r="M47" s="145"/>
      <c r="N47" s="144"/>
      <c r="O47" s="147"/>
    </row>
    <row r="48" spans="2:16" x14ac:dyDescent="0.3">
      <c r="B48" s="146" t="s">
        <v>40</v>
      </c>
      <c r="C48" s="145"/>
      <c r="D48" s="145"/>
      <c r="E48" s="145"/>
      <c r="F48" s="145"/>
      <c r="G48" s="145"/>
      <c r="H48" s="145"/>
      <c r="I48" s="145"/>
      <c r="J48" s="145"/>
      <c r="K48" s="145"/>
      <c r="L48" s="145"/>
      <c r="M48" s="145"/>
      <c r="N48" s="144"/>
      <c r="O48" s="147"/>
    </row>
    <row r="49" spans="2:14" x14ac:dyDescent="0.3">
      <c r="B49" s="146" t="s">
        <v>119</v>
      </c>
      <c r="C49" s="145"/>
      <c r="D49" s="145"/>
      <c r="E49" s="145"/>
      <c r="F49" s="145"/>
      <c r="G49" s="145"/>
      <c r="H49" s="145"/>
      <c r="I49" s="145"/>
      <c r="J49" s="145"/>
      <c r="K49" s="145"/>
      <c r="L49" s="145"/>
      <c r="M49" s="145"/>
      <c r="N49" s="144"/>
    </row>
    <row r="50" spans="2:14" ht="25.8" x14ac:dyDescent="0.3">
      <c r="C50" s="15" t="s">
        <v>41</v>
      </c>
    </row>
    <row r="51" spans="2:14" ht="25.8" x14ac:dyDescent="0.3">
      <c r="C51" s="15" t="s">
        <v>42</v>
      </c>
    </row>
    <row r="52" spans="2:14" ht="25.8" x14ac:dyDescent="0.3">
      <c r="C52" s="15" t="s">
        <v>43</v>
      </c>
    </row>
    <row r="53" spans="2:14" ht="25.8" x14ac:dyDescent="0.3">
      <c r="C53" s="15" t="s">
        <v>44</v>
      </c>
    </row>
    <row r="54" spans="2:14" ht="25.8" x14ac:dyDescent="0.3">
      <c r="C54" s="15" t="s">
        <v>45</v>
      </c>
    </row>
  </sheetData>
  <dataConsolidate/>
  <mergeCells count="11">
    <mergeCell ref="F8:G8"/>
    <mergeCell ref="F9:G9"/>
    <mergeCell ref="G19:I19"/>
    <mergeCell ref="B22:N22"/>
    <mergeCell ref="B30:N30"/>
    <mergeCell ref="B32:N32"/>
    <mergeCell ref="B33:N33"/>
    <mergeCell ref="B47:N47"/>
    <mergeCell ref="B48:N48"/>
    <mergeCell ref="B49:N49"/>
    <mergeCell ref="B31:N31"/>
  </mergeCells>
  <dataValidations count="11">
    <dataValidation type="list" allowBlank="1" showInputMessage="1" showErrorMessage="1" sqref="H34" xr:uid="{69C0FC4F-4FBC-472A-B76C-2C20858615CA}">
      <formula1>"ALAA HAMMAD,KHALED QASSEM,RAMY RAOUF,SIMON LOBO,MHAREN CLEMENTE GARADO"</formula1>
    </dataValidation>
    <dataValidation type="list" allowBlank="1" showInputMessage="1" showErrorMessage="1" sqref="M34" xr:uid="{52ABC745-3C6F-4068-964F-581D5217BD22}">
      <formula1>"Alaa Hammad,Bachir Ibrahim Mourad,Khaled Qassem,Ramy Raoof,Simon Lobo,Mharen Clemente Garado,Ranjith"</formula1>
    </dataValidation>
    <dataValidation type="list" allowBlank="1" showInputMessage="1" showErrorMessage="1" sqref="B11" xr:uid="{23F9A872-295C-4D33-A7AA-81F56A4CDCA3}">
      <formula1>"FO Ceramic+ Intr&amp;Extr CeramicGold WdwTnt,FO Mirror Camera Sensor"</formula1>
    </dataValidation>
    <dataValidation type="list" allowBlank="1" showInputMessage="1" showErrorMessage="1" sqref="B12" xr:uid="{4739D5EA-43DE-47DC-A793-F845241D8F3C}">
      <formula1>"FO Exterior ceramic All Cars SCOTCHGUARD,FO Mirror Camera Sensor,FO PPF Gold Package "</formula1>
    </dataValidation>
    <dataValidation type="list" allowBlank="1" showInputMessage="1" showErrorMessage="1" sqref="K20" xr:uid="{CCDA8FF7-C8F5-4AD4-9D88-E6C39249D16C}">
      <formula1>"Esaad,Emirates Platinum,Fazaa,Humat Alwatan,Permissible,ASX,XPMLP,XP,MON,MON G57,OUT,F08,P08,F06,P06,F03,F03-1,P03,EC,G37,G38,G40,G43"</formula1>
    </dataValidation>
    <dataValidation type="list" allowBlank="1" showInputMessage="1" showErrorMessage="1" sqref="B16" xr:uid="{9F536119-20D9-489E-9A87-BBFA5E93D69A}">
      <formula1>"RMC-10-40KMS,RMC-10-60KMS,RMC-10-70KMS,RMC-10-100000KMS,RMC-40-70KMS,RMC-40-100000KMS"</formula1>
    </dataValidation>
    <dataValidation type="list" allowBlank="1" showInputMessage="1" showErrorMessage="1" sqref="K24" xr:uid="{81B268C7-D2A5-40A1-8A08-1E1D84F82222}">
      <formula1>"RMC-10-70K,RMC-10-100000K,RMC-40-70K"</formula1>
    </dataValidation>
    <dataValidation type="list" allowBlank="1" showInputMessage="1" showErrorMessage="1" sqref="D5" xr:uid="{ACE809D7-3578-4F95-945D-33D118B28FB1}">
      <formula1>"MIG09,MIG10,H16,P16,H17,H48,H43,H40,H42,H44,H45,H38,H37,EH40,EH43,ML,HL,PR, MLP,HLP,PRP,XPML,XPHL,XPMLP, XPMLP-01,XC, G10,P10, G03, P03, G06,P06,G12,P12,G05,P05,G08,P08,G09,P09,H57,P57,H64,H59,P59,H61,P61"</formula1>
    </dataValidation>
    <dataValidation type="list" allowBlank="1" showInputMessage="1" showErrorMessage="1" sqref="M21" xr:uid="{8D001340-2B35-46A5-AC0E-B14CA2EAFD6A}">
      <formula1>"3000-4999,5000-9999,5000-99999,10000-14999,15000-24999,25000-34999,35000-99999,5000-11999,12000-19999,20000-39999,40000-69999,70000-99999"</formula1>
    </dataValidation>
    <dataValidation type="list" allowBlank="1" showInputMessage="1" showErrorMessage="1" sqref="C10:C16 L20 L24:L25 G14:G15 J10" xr:uid="{1115AE48-5395-4D25-BA15-D167A8887C65}">
      <formula1>"YES,NO"</formula1>
    </dataValidation>
    <dataValidation type="list" allowBlank="1" showInputMessage="1" showErrorMessage="1" sqref="K21" xr:uid="{95CAA853-21F6-4348-AB22-4464BD06403A}">
      <formula1>"ADCB,ADCB PAY IN 2027,Ajman Bank,ADIB,DIB EXPAT,DIB LOCAL GVH,Emirates NBD,EIB,FAB,RAK,SIB STL,SIB NON STL"</formula1>
    </dataValidation>
  </dataValidations>
  <pageMargins left="0.23622047244094491" right="0.23622047244094491" top="0.74803149606299213" bottom="0.74803149606299213" header="0.31496062992125984" footer="0.31496062992125984"/>
  <pageSetup paperSize="9" scale="40" orientation="landscape" horizontalDpi="4294967295" verticalDpi="4294967295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3C0D90-0B3D-4146-B23F-74F32972C66B}">
  <sheetPr>
    <pageSetUpPr fitToPage="1"/>
  </sheetPr>
  <dimension ref="A1:AB54"/>
  <sheetViews>
    <sheetView topLeftCell="B1" zoomScaleNormal="100" workbookViewId="0">
      <selection activeCell="D5" sqref="D5"/>
    </sheetView>
  </sheetViews>
  <sheetFormatPr defaultColWidth="9.109375" defaultRowHeight="20.399999999999999" x14ac:dyDescent="0.35"/>
  <cols>
    <col min="1" max="1" width="16" style="1" hidden="1" customWidth="1"/>
    <col min="2" max="2" width="75.5546875" style="2" customWidth="1"/>
    <col min="3" max="3" width="25.5546875" style="3" customWidth="1"/>
    <col min="4" max="4" width="25.33203125" style="2" customWidth="1"/>
    <col min="5" max="5" width="22.6640625" style="2" customWidth="1"/>
    <col min="6" max="6" width="21" style="2" customWidth="1"/>
    <col min="7" max="7" width="25" style="2" customWidth="1"/>
    <col min="8" max="8" width="29.44140625" style="2" bestFit="1" customWidth="1"/>
    <col min="9" max="9" width="32.109375" style="2" bestFit="1" customWidth="1"/>
    <col min="10" max="10" width="22" style="2" customWidth="1"/>
    <col min="11" max="11" width="23.33203125" style="2" customWidth="1"/>
    <col min="12" max="12" width="31" style="2" customWidth="1"/>
    <col min="13" max="13" width="23.5546875" style="2" customWidth="1"/>
    <col min="14" max="14" width="21.109375" style="2" customWidth="1"/>
    <col min="15" max="15" width="14.44140625" style="83" bestFit="1" customWidth="1"/>
    <col min="16" max="16" width="21.6640625" style="83" hidden="1" customWidth="1"/>
    <col min="17" max="17" width="14.33203125" style="86" hidden="1" customWidth="1"/>
    <col min="18" max="18" width="12.88671875" style="86" hidden="1" customWidth="1"/>
    <col min="19" max="19" width="13" style="86" hidden="1" customWidth="1"/>
    <col min="20" max="20" width="17.109375" style="86" hidden="1" customWidth="1"/>
    <col min="21" max="21" width="21.5546875" style="86" customWidth="1"/>
    <col min="22" max="22" width="22.88671875" style="86" customWidth="1"/>
    <col min="23" max="26" width="17.109375" style="86" bestFit="1" customWidth="1"/>
    <col min="27" max="27" width="15" style="86" customWidth="1"/>
    <col min="28" max="28" width="14.33203125" style="86" bestFit="1" customWidth="1"/>
    <col min="29" max="16384" width="9.109375" style="1"/>
  </cols>
  <sheetData>
    <row r="1" spans="1:28" ht="15.75" customHeight="1" x14ac:dyDescent="0.35">
      <c r="B1" s="121" t="s">
        <v>46</v>
      </c>
      <c r="C1" s="122"/>
      <c r="D1" s="122"/>
      <c r="E1" s="122"/>
      <c r="F1" s="122"/>
      <c r="G1" s="122"/>
      <c r="H1" s="122"/>
      <c r="I1" s="122"/>
      <c r="J1" s="122"/>
      <c r="K1" s="122"/>
      <c r="L1" s="122"/>
      <c r="M1" s="122"/>
      <c r="N1" s="123"/>
    </row>
    <row r="2" spans="1:28" ht="15.75" customHeight="1" x14ac:dyDescent="0.35">
      <c r="B2" s="124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6"/>
      <c r="Q2" s="83"/>
      <c r="S2" s="87"/>
    </row>
    <row r="3" spans="1:28" ht="15.75" customHeight="1" x14ac:dyDescent="0.35">
      <c r="B3" s="124"/>
      <c r="C3" s="125"/>
      <c r="D3" s="125"/>
      <c r="E3" s="125"/>
      <c r="F3" s="125"/>
      <c r="G3" s="125"/>
      <c r="H3" s="125"/>
      <c r="I3" s="125"/>
      <c r="J3" s="125"/>
      <c r="K3" s="125"/>
      <c r="L3" s="125"/>
      <c r="M3" s="125"/>
      <c r="N3" s="126"/>
      <c r="O3" s="82"/>
      <c r="P3" s="82"/>
      <c r="Q3" s="81"/>
      <c r="R3" s="81"/>
      <c r="S3" s="88" t="e">
        <f>N7+J14</f>
        <v>#VALUE!</v>
      </c>
      <c r="T3" s="88"/>
      <c r="U3" s="81"/>
      <c r="V3" s="81"/>
      <c r="W3" s="81"/>
      <c r="AA3" s="86">
        <f>273000/5</f>
        <v>54600</v>
      </c>
    </row>
    <row r="4" spans="1:28" ht="15.75" customHeight="1" x14ac:dyDescent="0.4">
      <c r="B4" s="127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9"/>
      <c r="O4" s="89" t="s">
        <v>0</v>
      </c>
      <c r="P4" s="89"/>
      <c r="Q4" s="90"/>
      <c r="R4" s="90"/>
      <c r="S4" s="91"/>
      <c r="T4" s="91"/>
      <c r="U4" s="90" t="s">
        <v>1</v>
      </c>
      <c r="V4" s="90" t="s">
        <v>2</v>
      </c>
      <c r="W4" s="90" t="s">
        <v>3</v>
      </c>
    </row>
    <row r="5" spans="1:28" ht="25.2" thickBot="1" x14ac:dyDescent="0.45">
      <c r="B5" s="17">
        <f ca="1">TODAY()</f>
        <v>46215</v>
      </c>
      <c r="C5" s="18" t="str">
        <f>IF(D5="MIG09","Mirage G09",IF(D5="MIG10","MirageG10",IF(D5="ATG16","Attrage G16",IF(D5="ATP16","Attrage P16",IF(D5="ATG17","Attrage G17",IF(D5="ASG48","ASX G48",IF(D5="ASG43","ASX G43", IF(D5="ASG40","ASXG40",IF(D5="ASG42","ASX G42",IF(D5="ASG44","ASX G44",IF(D5="ASG45","ASX G45",IF(D5="ECG38","Eclipse G38",IF(D5="ECG37","Eclipse G37",IF(D5="ECG40","Eclipse G40",IF(D5="ECG43","Eclipse G43",IF(D5="XPML","Xpander ML",IF(D5="XPHL","Xpander HL",IF(D5="XPMLP","Xpander ML P",IF(D5="XPMLP-01","Xpander ML P-01",IF(D5="XC","Xpander Cross", IF(D5="OTF03","Outlander F03",IF(D5="OTP03","Outlander P03",IF(D5="OTF06","Outlander F06",IF(D5="OTP06","Outlander P06",IF(D5="OTP06-01","Outlander P06-01",IF(D5="OTF08","Outlander F08",IF(D5="OTP08","Outlander P08P", IF(D5="MOP57","Montero P57",IF(D5="MOG64","Montero G64",IF(D5="MOG59","Montero G59",IF(D5="MOG59P","Montero G59 P",IF(D5="MOG61","Montero G61",IF(D5="MOP61","Montero P61")))))))))))))))))))))))))))))))))</f>
        <v>Montero P61</v>
      </c>
      <c r="D5" s="19" t="s">
        <v>118</v>
      </c>
      <c r="E5" s="20" t="s">
        <v>47</v>
      </c>
      <c r="F5" s="21"/>
      <c r="G5" s="21"/>
      <c r="H5" s="21"/>
      <c r="I5" s="22"/>
      <c r="J5" s="23"/>
      <c r="K5" s="24">
        <v>0</v>
      </c>
      <c r="L5" s="25">
        <v>3.39E-2</v>
      </c>
      <c r="M5" s="25">
        <v>6.7799999999999999E-2</v>
      </c>
      <c r="N5" s="25">
        <v>0.1017</v>
      </c>
      <c r="O5" s="92">
        <f>K7+K14</f>
        <v>14994.723992429999</v>
      </c>
      <c r="S5" s="87"/>
      <c r="U5" s="87">
        <f>L7+L14</f>
        <v>6109.9722662008335</v>
      </c>
      <c r="V5" s="87">
        <f>M7+M14</f>
        <v>4087.1906534549998</v>
      </c>
      <c r="W5" s="87">
        <f>N7+N14</f>
        <v>2832.2220328675003</v>
      </c>
    </row>
    <row r="6" spans="1:28" s="5" customFormat="1" ht="128.25" customHeight="1" thickBot="1" x14ac:dyDescent="0.35">
      <c r="A6" s="4" t="s">
        <v>4</v>
      </c>
      <c r="B6" s="26" t="s">
        <v>5</v>
      </c>
      <c r="C6" s="27" t="s">
        <v>6</v>
      </c>
      <c r="D6" s="27" t="s">
        <v>48</v>
      </c>
      <c r="E6" s="27" t="s">
        <v>7</v>
      </c>
      <c r="F6" s="27" t="s">
        <v>8</v>
      </c>
      <c r="G6" s="28" t="s">
        <v>9</v>
      </c>
      <c r="H6" s="28" t="s">
        <v>49</v>
      </c>
      <c r="I6" s="28" t="s">
        <v>10</v>
      </c>
      <c r="J6" s="28" t="s">
        <v>56</v>
      </c>
      <c r="K6" s="28" t="s">
        <v>11</v>
      </c>
      <c r="L6" s="28" t="s">
        <v>12</v>
      </c>
      <c r="M6" s="28" t="s">
        <v>13</v>
      </c>
      <c r="N6" s="28" t="s">
        <v>14</v>
      </c>
      <c r="O6" s="93"/>
      <c r="P6" s="94"/>
      <c r="Q6" s="95"/>
      <c r="R6" s="95"/>
      <c r="S6" s="95"/>
      <c r="T6" s="96"/>
      <c r="U6" s="96">
        <f>N7+L14</f>
        <v>4798.8721728675</v>
      </c>
      <c r="V6" s="96">
        <f>N7+K14</f>
        <v>12044.748782429999</v>
      </c>
      <c r="W6" s="96"/>
      <c r="X6" s="95"/>
      <c r="Y6" s="95"/>
      <c r="Z6" s="95"/>
      <c r="AA6" s="95"/>
      <c r="AB6" s="95"/>
    </row>
    <row r="7" spans="1:28" ht="25.2" thickBot="1" x14ac:dyDescent="0.45">
      <c r="A7" s="6">
        <f>B8</f>
        <v>125900</v>
      </c>
      <c r="B7" s="29">
        <f>IF(L20="YES",C8*1,IF(L20="NO",B8*1))</f>
        <v>125900</v>
      </c>
      <c r="C7" s="29">
        <f>B7*5/100</f>
        <v>6295</v>
      </c>
      <c r="D7" s="29">
        <f>B7+C7</f>
        <v>132195</v>
      </c>
      <c r="E7" s="29">
        <f>D17</f>
        <v>15008.7605</v>
      </c>
      <c r="F7" s="29">
        <f>(C7)+(D10+D11+D12+D13+D16)*5/100</f>
        <v>6590</v>
      </c>
      <c r="G7" s="30">
        <f>B7+E7+F7</f>
        <v>147498.7605</v>
      </c>
      <c r="H7" s="29">
        <f>G7*D20</f>
        <v>29499.752100000002</v>
      </c>
      <c r="I7" s="29">
        <f>(G7-H7)</f>
        <v>117999.00840000001</v>
      </c>
      <c r="J7" s="30">
        <f>(((I7*D19)*1)+I7)/12</f>
        <v>10078.098642430001</v>
      </c>
      <c r="K7" s="30">
        <f>(((I7*D19)*2)+I7)/24</f>
        <v>5161.4732924300006</v>
      </c>
      <c r="L7" s="30">
        <f>(((I7*D19)*3)+I7)/36</f>
        <v>3522.5981757633335</v>
      </c>
      <c r="M7" s="30">
        <f>(((I7*D19)*4)+I7)/48</f>
        <v>2703.16061743</v>
      </c>
      <c r="N7" s="30">
        <f>((((I7*D19)*5)+I7)/60)</f>
        <v>2211.4980824300001</v>
      </c>
      <c r="O7" s="92"/>
      <c r="P7" s="83">
        <f>H7+H16</f>
        <v>30738.741688200003</v>
      </c>
      <c r="T7" s="87">
        <f>25973/2</f>
        <v>12986.5</v>
      </c>
    </row>
    <row r="8" spans="1:28" ht="24.6" x14ac:dyDescent="0.4">
      <c r="A8" s="7">
        <v>0.2</v>
      </c>
      <c r="B8" s="31">
        <f>IF(D5="MIG09",39900,IF(D5="MIG10",40400,IF(D5="ATG16",40400,IF(D5="ATP16",49900,IF(D5="ATG17",41900,IF(D5="ASG48",63900,IF(D5="ASG43",62900,IF(D5="ASG40",63900,IF(D5="ASG42",68900,IF(D5="ASG44",89900,IF(D5="ASG45",95900,IF(D5="ECG38",73900,IF(D5="ECG37",70900,IF(D5="ECG40",86900,IF(D5="ECG43",91900,IF(D5="XPML",62900,IF(D5="XPHL",62900,IF(D5="XPMLP",69900,IF(D5="XPMLP-01",77800,IF(D5="XC",77900,IF(D5="OTF03",96900,IF(D5="OTP03",79900,IF(D5="OTF06",92900,IF(D5="OTP06",111900,IF(D5="OTP06-01",118900,IF(D5="OTF08",122900,IF(D5="OTP08",109900,IF(D5="MOP57",99900,IF(D5="MOG64",108900,IF(D5="MOG59",116900,IF(D5="MOG59P",110900,IF(D5="MOG61",127900,IF(D5="MOP61",125900)))))))))))))))))))))))))))))))))</f>
        <v>125900</v>
      </c>
      <c r="C8" s="32">
        <f>IF(L20="YES",N20,IF(L20="NO",N20))</f>
        <v>125900</v>
      </c>
      <c r="D8" s="29">
        <v>0</v>
      </c>
      <c r="E8" s="33"/>
      <c r="F8" s="139"/>
      <c r="G8" s="140"/>
      <c r="H8" s="110">
        <f>G7*20/100</f>
        <v>29499.752099999998</v>
      </c>
      <c r="I8" s="21"/>
      <c r="J8" s="34" t="s">
        <v>15</v>
      </c>
      <c r="K8" s="23">
        <f>(J7*K5+J7)/24</f>
        <v>419.92077676791672</v>
      </c>
      <c r="L8" s="23">
        <f>(J7*L5+J7)/36</f>
        <v>289.4373940668994</v>
      </c>
      <c r="M8" s="23">
        <f>(J7*M5+J7)/48</f>
        <v>224.19570271639074</v>
      </c>
      <c r="N8" s="23">
        <f>(J7*N5+J7)/60</f>
        <v>185.05068790608553</v>
      </c>
      <c r="O8" s="92"/>
      <c r="P8" s="83">
        <f>P7/12</f>
        <v>2561.5618073500004</v>
      </c>
      <c r="T8" s="86">
        <f>25973-12973</f>
        <v>13000</v>
      </c>
    </row>
    <row r="9" spans="1:28" ht="24.6" x14ac:dyDescent="0.4">
      <c r="A9" s="8">
        <f>B8/(100%-A8)</f>
        <v>157375</v>
      </c>
      <c r="B9" s="109">
        <f>B7-B8</f>
        <v>0</v>
      </c>
      <c r="C9" s="35"/>
      <c r="D9" s="36"/>
      <c r="E9" s="33"/>
      <c r="F9" s="139"/>
      <c r="G9" s="140"/>
      <c r="H9" s="33"/>
      <c r="I9" s="37" t="s">
        <v>16</v>
      </c>
      <c r="J9" s="38">
        <f>(J7*12)-(I7)</f>
        <v>2938.1753091600112</v>
      </c>
      <c r="K9" s="38">
        <f>(K7*24)-I7</f>
        <v>5876.3506183200079</v>
      </c>
      <c r="L9" s="38">
        <f>(L7*36)-I7</f>
        <v>8814.5259274800046</v>
      </c>
      <c r="M9" s="38">
        <f>(M7*48)-I7</f>
        <v>11752.701236640001</v>
      </c>
      <c r="N9" s="38">
        <f>(N7*60)-I7</f>
        <v>14690.876545799998</v>
      </c>
      <c r="O9" s="92"/>
      <c r="T9" s="86">
        <f>T8/12</f>
        <v>1083.3333333333333</v>
      </c>
      <c r="Z9" s="86" t="s">
        <v>86</v>
      </c>
    </row>
    <row r="10" spans="1:28" ht="24.6" x14ac:dyDescent="0.4">
      <c r="A10" s="8"/>
      <c r="B10" s="37" t="s">
        <v>50</v>
      </c>
      <c r="C10" s="20" t="s">
        <v>17</v>
      </c>
      <c r="D10" s="36">
        <f>IF(C10="YES",800,IF(C10="NO",0))</f>
        <v>0</v>
      </c>
      <c r="E10" s="39"/>
      <c r="F10" s="40"/>
      <c r="G10" s="40"/>
      <c r="H10" s="33"/>
      <c r="I10" s="44" t="s">
        <v>85</v>
      </c>
      <c r="J10" s="117" t="s">
        <v>19</v>
      </c>
      <c r="K10" s="117">
        <f>IF(J10="YES",Z10,IF(J10="NO",0))</f>
        <v>1000</v>
      </c>
      <c r="L10" s="117"/>
      <c r="M10" s="117"/>
      <c r="N10" s="41">
        <f>(N8*60)-J7</f>
        <v>1024.9426319351314</v>
      </c>
      <c r="O10" s="92">
        <f>IF(D5="XC",3690,IF(D5="XPML",3690,IF(D5="XPHL",3690,IF(D5="XPMLP",3690,IF(D5="XPMLP-01",3690,IF(D5="Xpander P",3690,IF(D5="MOP57",(U19*2.75/100+510)*1.05,IF(D5="MOG64",(U19*2.75/100+510)*1.05,IF(D5="MOG59",(U19*2.75/100+510)*1.05,IF(D5="MOG59P",(U19*2.75/100+510)*1.05,IF(D5="MOG61",(U19*2.75/100+510)*1.05,IF(D5="MOP61",(U19*2.75/100+510)*1.05,IF(D5="OTF03",(D7*3/100+510)*1.05,IF(D5="OTP03",(U19*3/100+510)*1.05,IF(D5="OTF06",(U19*3/100+510)*1.05,IF(D5="OTP06",(U19*3/100+510)*1.05,IF(D5="OTP06-01",(U19*3/100+510)*1.05,IF(D5="OTF08",(U19*3/100+510)*1.05,IF(D5="OTP08",(U19*3/100+510)*1.05,IF(D5="ECG38",3625,IF(D5="ECG37",3625,IF(D5="ECG40",(D7*3/100+510)*1.05,IF(D5="ECG43",(D7*3/100+510)*1.05,IF(D5="ASG48",3625,IF(D5="ASG43",3625,IF(D5="ASG40",3625,IF(D5="ASG42",3625,IF(D5="ASG44",3625,IF(D5="ASG45",3625,IF(D5="ASX HL 4WD",3625,IF(D5="ATG16",3625,IF(D5="ATG17",3625,IF(D5="ATP16",3625,IF(D5="Attrage S",3625,IF(D5="MIG09",3625,IF(D5="MIG10",3625,IF(D5="Xpander HL",3690)))))))))))))))))))))))))))))))))))))</f>
        <v>4531.5112500000005</v>
      </c>
      <c r="P10" s="97"/>
      <c r="Q10" s="97">
        <f>5.25*3</f>
        <v>15.75</v>
      </c>
      <c r="Z10" s="86">
        <f>IF(D5="MIG09",500,IF(D5="MIG10",500,IF(D5="ATG16",500,IF(D5="ATP16",500,IF(D5="ATG17",500,IF(D5="ASG48",1000,IF(D5="ASG43",1000,IF(D5="ASG40",1000,IF(D5="ASG42",1000,IF(D5="ASG44",1000,IF(D5="ASG45",1000,IF(D5="ECG38",1000,IF(D5="ECG37",1000,IF(D5="ECG40",1000,IF(D5="ECG43",1000,IF(D5="XPML",1000,IF(D5="XPHL",1000,IF(D5="XPMLP",1000,IF(D5="XPMLP-01",1000,IF(D5="XC",1000,IF(D5="OTF03",1000,IF(D5="OTP03",1000,IF(D5="OTF06",1000,IF(D5="OTP06",1000,IF(D5="OTP06-01",1000,IF(D5="OTF08",1000,IF(D5="OTP08",1000,IF(D5="MOP57",1000,IF(D5="MOG64",1000,IF(D5="MOG59",1000,IF(D5="MOG59P",1000,IF(D5="MOG61",1000,IF(D5="MOP61",1000)))))))))))))))))))))))))))))))))</f>
        <v>1000</v>
      </c>
    </row>
    <row r="11" spans="1:28" ht="24.6" x14ac:dyDescent="0.4">
      <c r="A11" s="8"/>
      <c r="B11" s="37" t="s">
        <v>18</v>
      </c>
      <c r="C11" s="20" t="s">
        <v>17</v>
      </c>
      <c r="D11" s="36">
        <f>IF(C11="YES",O17,IF(C11="NO",0))</f>
        <v>0</v>
      </c>
      <c r="E11" s="33"/>
      <c r="F11" s="40"/>
      <c r="G11" s="40"/>
      <c r="H11" s="33"/>
      <c r="I11" s="21"/>
      <c r="J11" s="44" t="s">
        <v>76</v>
      </c>
      <c r="K11" s="44">
        <f>H8-K10</f>
        <v>28499.752099999998</v>
      </c>
      <c r="L11" s="37"/>
      <c r="M11" s="37"/>
      <c r="N11" s="42"/>
      <c r="O11" s="92">
        <f>IF(D5="XC",6100,IF(D5="XPML",6100,IF(D5="XPHL",6100,IF(D5="XPMLP",6100,IF(D5="XPMLP-01",6100,IF(D5="Xpander P",6100,IF(D5="MOP57",5900,IF(D5="MOG64",5900,IF(D5="MOG59",5900,IF(D5="MOG59P",5900,IF(D5="MOG61",5900,IF(D5="MOP61",5900,IF(D5="OTF03",6700,IF(D5="OTP03",6700,IF(D5="OTF06",6700,IF(D5="OTP06",6700,IF(D5="OTP06-01",6700,IF(D5="OTF08",6700,IF(D5="OTP08",6700,IF(D5="ECG37",6400,IF(D5="ECG38",6400,IF(D5="ECG40",6400,IF(D5="ECG43",6400,IF(D5="ASG48",6600,IF(D5="ASG43",6600,IF(D5="ASG40",6600,IF(D5="ASG42",6600,IF(D5="ASG44",6600,IF(D5="ASG45",6600,IF(D5="ASX HL 4WD",6600,IF(D5="ATG16",5400,IF(D5="ATG17",5400,IF(D5="ATP16",5400,IF(D5="Attrage S",5400,IF(D5="MIG09",5400,IF(D5="MIG10",5400,IF(D5="Xpander HL",6000)))))))))))))))))))))))))))))))))))))</f>
        <v>5900</v>
      </c>
      <c r="P11" s="92"/>
      <c r="Q11" s="92"/>
      <c r="R11" s="92"/>
      <c r="S11" s="92"/>
      <c r="T11" s="92"/>
      <c r="U11" s="92">
        <f>IF(D5="XC",4900,IF(D5="XPML",4900,IF(D5="XPHL",4900,IF(D5="XPMLP",4900,IF(D5="XPMLP-01",4900,IF(D5="Xpander P",4900,IF(D5="MOP57",4600,IF(D5="MOG64",4600,IF(D5="MOG59",4600,IF(D5="MOG59P",4600,IF(D5="MOG61",4600,IF(D5="MOP61",4600,IF(D5="OTF03",5500,IF(D5="OTP03",5500,IF(D5="OTF06",5500,IF(D5="OTP06",5500,IF(D5="OTP06-01",5500,IF(D5="OTF08",5500,IF(D5="OTP08",5500,IF(D5="ECG38",5200,IF(D5="ECG37",5200,IF(D5="ECG40",5200,IF(D5="ECG43",5200,IF(D5="ASG48",5300,IF(D5="ASG43",5300,IF(D5="ASG40",5300,IF(D5="ASG42",5300,IF(D5="ASG44",5300,IF(D5="ASG45",5300,IF(D5="ASX HL",5300,IF(D5="ASX P",5300,IF(D5="ASX HL 4WD",5300,IF(D5="ATG16",4200,IF(D5="ATG17",4200,IF(D5="ATP16",4200,IF(D5="Attrage S",4200,IF(D5="MIG09",4200,IF(D5="MIG10",4200,IF(D5="Xpander HL",4900)))))))))))))))))))))))))))))))))))))))</f>
        <v>4600</v>
      </c>
      <c r="V11" s="92">
        <f>IF(D5="XC",9700,IF(D5="XPML",9700,IF(D5="XPHL",9700,IF(D5="XPMLP",9700,IF(D5="XPMLP-01",9700,IF(D5="XPMLP-01",9700,IF(D5="Xpander P",9700,IF(D5="MOP57",9300,IF(D5="MG64",9300,IF(D5="MOG59",9300,IF(D5="MOG59P",9300,IF(D5="MOG61",9300,IF(D5="MOP61",9300,IF(D5="OTF03",11000,IF(D5="OTP03",11000,IF(D5="OTF06",11000,IF(D5="OTP06",11000,IF(D5="OTP06-01",11000,IF(D5="OTF08",11000,IF(D5="OTP08",11000,IF(D5="ECG38",10400,IF(D5="ECG37",10400,IF(D5="ECG40",10400,IF(D5="ECG43",10400,IF(D5="ASG48",10700,IF(D5="ASG43",10700,IF(D5="ASG40",10700,IF(D5="ASG42",10700,IF(D5="ASG44",10800,IF(D5="ASG45",10800,IF(D5="ASX HL",12200,IF(D5="ASX P",12200,IF(D5="ASX HL 4WD",12200,IF(D5="ATG16",8500,IF(D5="ATG17",8500,IF(D5="ATP16",8500,IF(D5="Attrage S",9600,IF(D5="MIG09",8500,IF(D5="MIG10",8500,IF(D5="Xpander HL",11300))))))))))))))))))))))))))))))))))))))))</f>
        <v>9300</v>
      </c>
      <c r="W11" s="92">
        <f>IF(D5="XC",9200,IF(D5="XPML",9200,IF(D5="XPHL",9200,IF(D5="XPMLP",9200,IF(D5="XPMLP-01",9200,IF(D5="Xpander P",9200,IF(D5="MOP57",8700,IF(D5="MOG64",8700,IF(D5="MOG59",8700,IF(D5="MOG59P",8700,IF(D5="MOG61",8700,IF(D5="MOP61",8700,IF(D5="OTF03",10400,IF(D5="OTP03",10400,IF(D5="OTF06",10400,IF(D5="OTP06",10400,IF(D5="OTP06-01",10400,IF(D5="OTF08",10400,IF(D5="OTP08",10400,IF(D5="ECG38",9800,IF(D5="ECG37",9800,IF(D5="ECG40",9800,IF(D5="ECG43",9800,IF(D5="ASG48",10100,IF(D5="ASG43",10100,IF(D5="ASG40",10100,IF(D5="ASG42",10100,IF(D5="ASG44",10100,IF(D5="ASG45",10100,IF(D5="ASX HL",10100,IF(D5="ASX P",10100,IF(D5="ASX HL 4WD",10100,IF(D5="ATG16",7900,IF(D5="ATG17",7900,IF(D5="ATP16",7900,IF(D5="Attrage S",7900,IF(D5="MIG09",7900,IF(D5="MIG10",7900,IF(D5="Xpander HL",9200)))))))))))))))))))))))))))))))))))))))</f>
        <v>8700</v>
      </c>
      <c r="X11" s="92">
        <f>IF(D5="XC",4500,IF(D5="XPML",4500,IF(D5="XPHL",4500,IF(D5="XPMLP",4500,IF(D5="XPMLP-01",4500,IF(D5="Xpander P",4500,IF(D5="MOP57",4300,IF(D5="MOG64",4300,IF(D5="MOG59",4300,IF(D5="MOG59P",4300,IF(D5="MOG61",4300,IF(D5="MOP61",4300,IF(D5="OTF03",5000,IF(D5="OTP03",5000,IF(D5="OTF06",5000,IF(D5="OTP06",5000,IF(D5="OTP06-01",5000,IF(D5="OTF08",5000,IF(D5="OTP08",5000,IF(D5="ECG38",4900,IF(D5="ECG37",4900,IF(D5="ECG40",4900,IF(D5="ECG43",4900,IF(D5="ASG48",4900,IF(D5="ASG43",4900,IF(D5="ASG40",4900,IF(D5="ASG42",4900,IF(D5="ASG44",4900,IF(D5="ASG45",4900,IF(D5="ASX HL",4900,IF(D5="ASX P",4900,IF(D5="ASX HL 4WD",4900,IF(D5="ATG16",3700,IF(D5="ATG17",3700,IF(D5="ATP16",3700,IF(D5="Attrage S",3700,IF(D5="MIG09",3700,IF(D5="MIG10",3700,IF(D5="Xpander HL",4500)))))))))))))))))))))))))))))))))))))))</f>
        <v>4300</v>
      </c>
      <c r="Y11" s="92">
        <f>IF(D5="XC",5400,IF(D5="XPML ",5400,IF(D5="XPHL",5400,IF(D5="XPMLP",5400,IF(D5="XPMLP-01",5400,IF(D5="Xpander P",5400,IF(D5="MOP57",5200,IF(D5="MOG64",5200,IF(D5="MOG59",5200,IF(D5="MOG59P",5200,IF(D5="MOG61",5200,IF(D5="MOP61",5200,IF(D5="OTF03",6000,IF(D5="OTP03",6000,IF(D5="OTF06",6000,IF(D5="OTP06",6000,IF(D5="OTP06-01",6000,IF(D5="OTF08",6000,IF(D5="OTP08",6000,IF(D5="ECG38",5700,IF(D5="ECG37",5700,IF(D5="ECG40",5700,IF(D5="ECG43",5700,IF(D5="ASG48",5900,IF(D5="ASG43",5900,IF(D5="ASG40",5900,IF(D5="ASG42",5900,IF(D5="ASG44",5900,IF(D5="ASG45",5900,IF(D5="ASX HL",5900,IF(D5="ASX P",5900,IF(D5="ASX HL 4WD",5900,IF(D5="ATG16",4500,IF(D5="ATG17",4500,IF(D5="ATP16",4500,IF(D5="Attrage S",4500,IF(D5="MIG09",4500,IF(D5="MIG10",4500,IF(D5="Xpander HL",5400)))))))))))))))))))))))))))))))))))))))</f>
        <v>5200</v>
      </c>
    </row>
    <row r="12" spans="1:28" ht="24.75" customHeight="1" x14ac:dyDescent="0.4">
      <c r="A12" s="8"/>
      <c r="B12" s="37" t="s">
        <v>20</v>
      </c>
      <c r="C12" s="20" t="s">
        <v>17</v>
      </c>
      <c r="D12" s="36">
        <f>IF(C12="YES",2000,IF(C12="NO",0))</f>
        <v>0</v>
      </c>
      <c r="E12" s="43"/>
      <c r="F12" s="43" t="s">
        <v>21</v>
      </c>
      <c r="G12" s="40"/>
      <c r="H12" s="33">
        <v>600</v>
      </c>
      <c r="I12" s="21"/>
      <c r="J12" s="44" t="s">
        <v>22</v>
      </c>
      <c r="K12" s="45">
        <v>0</v>
      </c>
      <c r="L12" s="45">
        <v>5.2499999999999998E-2</v>
      </c>
      <c r="M12" s="45">
        <v>0.126</v>
      </c>
      <c r="N12" s="46">
        <v>0.26250000000000001</v>
      </c>
      <c r="O12" s="92">
        <f>IF(K20="Esaad",B8*3/100,IF(K20="Emirates Platinum",B8*3/100,IF(K20="Fazaa",B8*3/100,IF(K20="Humat Alwatan",B8*3/100,IF(K20="Permissible",2000,IF(K20="ASX",8400,IF(K20="XPMLP",4000,IF(K20="XP",14100,IF(K20="G43",11000,IF(K20="EC",7000,IF(K20="G37",14000,IF(K20="G38",15000,IF(K20="G40",11000,IF(K20="OUT",9600,IF(K20="F08",15400,IF(K20="P08",11100,IF(K20="F06",14100,IF(K20="P06",17100,IF(K20="F03",17000,IF(K20="P03",19100,IF(K20="MON",10000,IF(K20="MON G57",10000,0))))))))))))))))))))))</f>
        <v>2000</v>
      </c>
      <c r="P12" s="92"/>
      <c r="Q12" s="92"/>
      <c r="R12" s="92"/>
      <c r="S12" s="92"/>
      <c r="T12" s="92"/>
      <c r="U12" s="92"/>
      <c r="V12" s="92"/>
      <c r="W12" s="92"/>
      <c r="X12" s="92"/>
      <c r="Y12" s="92"/>
      <c r="Z12" s="86" t="s">
        <v>83</v>
      </c>
      <c r="AA12" s="86" t="s">
        <v>84</v>
      </c>
    </row>
    <row r="13" spans="1:28" ht="24.6" x14ac:dyDescent="0.4">
      <c r="A13" s="8">
        <f>B8*1.26582</f>
        <v>159366.73799999998</v>
      </c>
      <c r="B13" s="37" t="s">
        <v>23</v>
      </c>
      <c r="C13" s="20" t="s">
        <v>17</v>
      </c>
      <c r="D13" s="36">
        <f>IF(C13="YES",2000,IF(C13="NO",0))</f>
        <v>0</v>
      </c>
      <c r="E13" s="47"/>
      <c r="F13" s="47" t="s">
        <v>75</v>
      </c>
      <c r="G13" s="40"/>
      <c r="H13" s="33">
        <v>315</v>
      </c>
      <c r="I13" s="21"/>
      <c r="J13" s="44" t="s">
        <v>54</v>
      </c>
      <c r="K13" s="29" t="s">
        <v>79</v>
      </c>
      <c r="L13" s="29" t="s">
        <v>25</v>
      </c>
      <c r="M13" s="29" t="s">
        <v>0</v>
      </c>
      <c r="N13" s="49" t="s">
        <v>26</v>
      </c>
      <c r="O13" s="98">
        <f>IF(M21="3000-4999",6%,IF(M21="5000-9999",4.75%,IF(M21="10000-14999",3.15%,IF(M21="15000-24999",2.5%,IF(M21="25000-34999",2.25%,IF(M21="35000-99999",2.25%))))))</f>
        <v>4.7500000000000001E-2</v>
      </c>
      <c r="Q13" s="83">
        <f>H7/12</f>
        <v>2458.3126750000001</v>
      </c>
      <c r="U13" s="9">
        <f>IF(M21="3000-4999",6%,IF(M21="5000-9999",3.25%,IF(M21="10000-14999",3%,IF(M21="15000-24999",2.25%,IF(M21="25000-34999",2.15%,IF(M21="35000-99999",1.99%))))))</f>
        <v>3.2500000000000001E-2</v>
      </c>
      <c r="Z13" s="99">
        <f>IF(M21="5000-9999",2.49%,IF(M21="10000-19999",2.19%,IF(M21="20000-34999",2.09%,IF(M21="35000-49999",1.89%,IF(M21="50000-99999",1.79%)))))</f>
        <v>2.4900000000000002E-2</v>
      </c>
      <c r="AA13" s="99">
        <f>IF(M21="5000-9999",2.59%,IF(M21="10000-19999",2.29%,IF(M21="20000-34999",2.19%,IF(M21="35000-49999",1.99%,IF(M21="50000-99999",1.89%)))))</f>
        <v>2.5899999999999999E-2</v>
      </c>
    </row>
    <row r="14" spans="1:28" ht="24.6" x14ac:dyDescent="0.4">
      <c r="A14" s="10" t="s">
        <v>27</v>
      </c>
      <c r="B14" s="37" t="s">
        <v>24</v>
      </c>
      <c r="C14" s="20" t="s">
        <v>19</v>
      </c>
      <c r="D14" s="50">
        <f>IF(C14="YES",U19*3.15*1.05/100,IF(C14="NO",U19*0/100))</f>
        <v>4577.2492500000008</v>
      </c>
      <c r="E14" s="48"/>
      <c r="F14" s="48" t="s">
        <v>24</v>
      </c>
      <c r="G14" s="51" t="s">
        <v>17</v>
      </c>
      <c r="H14" s="39">
        <f>IF(G14="YES",U19*3.15*1.05/100,IF(G14="NO",U19*0/100))</f>
        <v>0</v>
      </c>
      <c r="I14" s="21"/>
      <c r="J14" s="44" t="s">
        <v>55</v>
      </c>
      <c r="K14" s="44">
        <f>(H8*K12+H8)/3</f>
        <v>9833.2506999999987</v>
      </c>
      <c r="L14" s="44">
        <f>(H8*L12+H8)/12</f>
        <v>2587.3740904374999</v>
      </c>
      <c r="M14" s="44">
        <f>(H8*M12+H8)/24</f>
        <v>1384.0300360250001</v>
      </c>
      <c r="N14" s="52">
        <f>(H7*N12+H7)/60</f>
        <v>620.72395043749998</v>
      </c>
      <c r="O14" s="98">
        <f>IF(M21="3000-4999",3.89%,IF(M21="5000-9999",3.89%,IF(M21="10000-14999",3.89%,IF(M21="15000-24999",2.69%,IF(M21="25000-34999",2.69%,IF(M21="35000-99999",2.39%,IF(M21="76000-99999",2.19%)))))))</f>
        <v>3.8900000000000004E-2</v>
      </c>
    </row>
    <row r="15" spans="1:28" ht="24.6" x14ac:dyDescent="0.4">
      <c r="A15" s="11">
        <f>(B7*3%)+10+120</f>
        <v>3907</v>
      </c>
      <c r="B15" s="37" t="s">
        <v>28</v>
      </c>
      <c r="C15" s="20" t="s">
        <v>19</v>
      </c>
      <c r="D15" s="29">
        <f>IF(C15="YES",O10,IF(C15="NO",0))</f>
        <v>4531.5112500000005</v>
      </c>
      <c r="E15" s="48"/>
      <c r="F15" s="48" t="s">
        <v>53</v>
      </c>
      <c r="G15" s="51" t="s">
        <v>17</v>
      </c>
      <c r="H15" s="39">
        <f>IF(G15="YES",O10,IF(G15="NO",0))</f>
        <v>0</v>
      </c>
      <c r="I15" s="21"/>
      <c r="J15" s="44"/>
      <c r="K15" s="44"/>
      <c r="L15" s="44"/>
      <c r="M15" s="44"/>
      <c r="N15" s="53"/>
      <c r="O15" s="98" t="b">
        <f>IF(M21="3000-4999",4.99%, IF(M21="5000-11999",2.75%,IF(M21="12000-19999",2.75%,IF(M21="20000-39999",2.25%,IF(M21="40000-69999",2.39%,IF(M21="70000-99999",2.25%))))))</f>
        <v>0</v>
      </c>
      <c r="P15" s="99"/>
    </row>
    <row r="16" spans="1:28" ht="24.6" x14ac:dyDescent="0.4">
      <c r="A16" s="11">
        <f>((B7-B8)*3%+10+120)</f>
        <v>130</v>
      </c>
      <c r="B16" s="37" t="s">
        <v>78</v>
      </c>
      <c r="C16" s="20" t="s">
        <v>19</v>
      </c>
      <c r="D16" s="29">
        <f>IF(C16="YES",O16,IF(C16="NO",0))</f>
        <v>5900</v>
      </c>
      <c r="E16" s="47"/>
      <c r="F16" s="47" t="s">
        <v>74</v>
      </c>
      <c r="G16" s="54"/>
      <c r="H16" s="33">
        <f>I7*1.05%</f>
        <v>1238.9895882000001</v>
      </c>
      <c r="I16" s="21"/>
      <c r="J16" s="44" t="s">
        <v>16</v>
      </c>
      <c r="K16" s="44">
        <f>(K14*3)-H8</f>
        <v>0</v>
      </c>
      <c r="L16" s="44">
        <f>(L14*12)-H8</f>
        <v>1548.7369852500015</v>
      </c>
      <c r="M16" s="44">
        <f>(M14*24)-H8</f>
        <v>3716.968764600002</v>
      </c>
      <c r="N16" s="53"/>
      <c r="O16" s="92">
        <f>IF(B16="RMC-10-70KMS",O11,IF(B16="RMC-10-100000KMS",V11,IF(B16="RMC-40-70KMS",U11, IF(B16="RMC-10-40KMS",X11, IF(B16="RMC-10-60KMS",Y11, IF(B16="RMC-40-100000KMS",W11,0))))))</f>
        <v>5900</v>
      </c>
    </row>
    <row r="17" spans="1:28" ht="24.6" x14ac:dyDescent="0.4">
      <c r="A17" s="11">
        <f>A15+A16</f>
        <v>4037</v>
      </c>
      <c r="B17" s="37"/>
      <c r="C17" s="20"/>
      <c r="D17" s="29">
        <f>SUM(D10:D16)</f>
        <v>15008.7605</v>
      </c>
      <c r="E17" s="33"/>
      <c r="F17" s="33"/>
      <c r="G17" s="33"/>
      <c r="H17" s="33">
        <f>H7+H12+H15+H16</f>
        <v>31338.741688200003</v>
      </c>
      <c r="I17" s="33"/>
      <c r="J17" s="22"/>
      <c r="K17" s="53"/>
      <c r="L17" s="53"/>
      <c r="M17" s="53"/>
      <c r="N17" s="53"/>
      <c r="O17" s="92">
        <f>IF(B11="FO Ceramic+ Intr&amp;Extr CeramicGold WdwTnt",2700,IF(B11="FO Mirror Camera Sensor",2000))</f>
        <v>2700</v>
      </c>
      <c r="T17" s="86">
        <f>19615-791</f>
        <v>18824</v>
      </c>
    </row>
    <row r="18" spans="1:28" ht="24.6" x14ac:dyDescent="0.4">
      <c r="A18" s="12" t="s">
        <v>29</v>
      </c>
      <c r="B18" s="55" t="s">
        <v>30</v>
      </c>
      <c r="C18" s="56"/>
      <c r="D18" s="57">
        <v>0</v>
      </c>
      <c r="E18" s="38"/>
      <c r="F18" s="22"/>
      <c r="G18" s="22"/>
      <c r="H18" s="21"/>
      <c r="I18" s="21"/>
      <c r="J18" s="21"/>
      <c r="K18" s="21"/>
      <c r="L18" s="21"/>
      <c r="M18" s="21"/>
      <c r="N18" s="21"/>
      <c r="O18" s="92"/>
      <c r="U18" s="100" t="s">
        <v>52</v>
      </c>
      <c r="V18" s="100" t="s">
        <v>52</v>
      </c>
    </row>
    <row r="19" spans="1:28" ht="24.6" x14ac:dyDescent="0.4">
      <c r="A19" s="11">
        <f>B8*3.15%</f>
        <v>3965.85</v>
      </c>
      <c r="B19" s="58" t="s">
        <v>31</v>
      </c>
      <c r="C19" s="59"/>
      <c r="D19" s="60">
        <f>IF(K21="DIB EXPAT",O13,IF(K21="DIB LOCAL GVH",U13,IF(K21="Emirates NBD",O14,IF(K21="ADCB",O15,IF(K21="ADCB PAY IN 2027",O19,IF(K21="Ajman Bank",O18,IF(K21="SIB STL",Z13,IF(K21="SIB NON STL",AA13,))))))))</f>
        <v>2.4900000000000002E-2</v>
      </c>
      <c r="E19" s="22"/>
      <c r="F19" s="61"/>
      <c r="G19" s="141" t="s">
        <v>73</v>
      </c>
      <c r="H19" s="142"/>
      <c r="I19" s="143"/>
      <c r="J19" s="109">
        <f>H7/365</f>
        <v>80.821238630136989</v>
      </c>
      <c r="K19" s="21"/>
      <c r="L19" s="21"/>
      <c r="M19" s="21"/>
      <c r="N19" s="23">
        <f>D7</f>
        <v>132195</v>
      </c>
      <c r="O19" s="98" t="b">
        <f>IF(M21="5000-11999",3.35%,IF(M21="12000-19999",3.35%,IF(M21="20000-39999",2.85%,IF(M21="40000-69999",2.85%,IF(M21="70000-99999",2.85%)))))</f>
        <v>0</v>
      </c>
      <c r="P19" s="83">
        <f>81400-2500</f>
        <v>78900</v>
      </c>
      <c r="U19" s="101">
        <f>V19</f>
        <v>138390</v>
      </c>
      <c r="V19" s="102">
        <f>(B7+D10+D11+D12+D13+D16)*1.05</f>
        <v>138390</v>
      </c>
      <c r="X19" s="87">
        <f>G7*3.15*1.05/100</f>
        <v>4878.5215035374995</v>
      </c>
      <c r="Y19" s="87">
        <f>G7*3/100+510*1.05</f>
        <v>4960.4628150000008</v>
      </c>
      <c r="Z19" s="87">
        <f>Y19+X19</f>
        <v>9838.9843185374993</v>
      </c>
      <c r="AA19" s="87">
        <f>(Z19)-(D14+D15)</f>
        <v>730.22381853749903</v>
      </c>
      <c r="AB19" s="87">
        <f>AA19*1.25</f>
        <v>912.77977317187379</v>
      </c>
    </row>
    <row r="20" spans="1:28" ht="24.6" x14ac:dyDescent="0.4">
      <c r="A20" s="11"/>
      <c r="B20" s="58" t="s">
        <v>32</v>
      </c>
      <c r="C20" s="62"/>
      <c r="D20" s="63">
        <v>0.2</v>
      </c>
      <c r="E20" s="21"/>
      <c r="F20" s="21"/>
      <c r="G20" s="42"/>
      <c r="H20" s="42"/>
      <c r="I20" s="42"/>
      <c r="J20" s="103"/>
      <c r="K20" s="104" t="s">
        <v>33</v>
      </c>
      <c r="L20" s="104" t="s">
        <v>17</v>
      </c>
      <c r="M20" s="104">
        <f>IF(L20="YES",O12,IF(L20="NO",0))</f>
        <v>0</v>
      </c>
      <c r="N20" s="23">
        <f>B8-M20</f>
        <v>125900</v>
      </c>
      <c r="O20" s="92"/>
      <c r="P20" s="99"/>
      <c r="T20" s="86">
        <f>1992+1084</f>
        <v>3076</v>
      </c>
      <c r="V20" s="83"/>
      <c r="X20" s="87">
        <f>X19-D14</f>
        <v>301.27225353749873</v>
      </c>
      <c r="Y20" s="87">
        <f>Y19-D15</f>
        <v>428.9515650000003</v>
      </c>
      <c r="AA20" s="87">
        <f>X20+Y20</f>
        <v>730.22381853749903</v>
      </c>
    </row>
    <row r="21" spans="1:28" ht="24.6" x14ac:dyDescent="0.4">
      <c r="A21" s="13">
        <f>A19+A20</f>
        <v>3965.85</v>
      </c>
      <c r="B21" s="21"/>
      <c r="C21" s="22"/>
      <c r="D21" s="21"/>
      <c r="E21" s="21"/>
      <c r="F21" s="21"/>
      <c r="G21" s="21"/>
      <c r="H21" s="21"/>
      <c r="I21" s="21"/>
      <c r="J21" s="37" t="s">
        <v>34</v>
      </c>
      <c r="K21" s="16" t="s">
        <v>83</v>
      </c>
      <c r="L21" s="105" t="s">
        <v>35</v>
      </c>
      <c r="M21" s="106" t="s">
        <v>80</v>
      </c>
      <c r="N21" s="111"/>
      <c r="O21" s="92"/>
      <c r="T21" s="86">
        <f>25973-12973</f>
        <v>13000</v>
      </c>
    </row>
    <row r="22" spans="1:28" ht="24.6" x14ac:dyDescent="0.4">
      <c r="A22" s="13"/>
      <c r="B22" s="130" t="s">
        <v>51</v>
      </c>
      <c r="C22" s="131"/>
      <c r="D22" s="131"/>
      <c r="E22" s="131"/>
      <c r="F22" s="131"/>
      <c r="G22" s="131"/>
      <c r="H22" s="131"/>
      <c r="I22" s="131"/>
      <c r="J22" s="131"/>
      <c r="K22" s="131"/>
      <c r="L22" s="131"/>
      <c r="M22" s="131"/>
      <c r="N22" s="132"/>
      <c r="O22" s="92"/>
    </row>
    <row r="23" spans="1:28" ht="25.2" x14ac:dyDescent="0.45">
      <c r="A23" s="14" t="s">
        <v>36</v>
      </c>
      <c r="B23" s="64" t="s">
        <v>57</v>
      </c>
      <c r="C23" s="65"/>
      <c r="D23" s="65"/>
      <c r="E23" s="65"/>
      <c r="F23" s="65"/>
      <c r="G23" s="65"/>
      <c r="H23" s="66"/>
      <c r="I23" s="66"/>
      <c r="J23" s="65"/>
      <c r="K23" s="65"/>
      <c r="L23" s="65"/>
      <c r="M23" s="65"/>
      <c r="N23" s="67"/>
      <c r="O23" s="92">
        <f>N7+K14</f>
        <v>12044.748782429999</v>
      </c>
    </row>
    <row r="24" spans="1:28" ht="25.2" x14ac:dyDescent="0.45">
      <c r="A24" s="14" t="s">
        <v>36</v>
      </c>
      <c r="B24" s="64" t="s">
        <v>58</v>
      </c>
      <c r="C24" s="65"/>
      <c r="D24" s="65"/>
      <c r="E24" s="65"/>
      <c r="F24" s="65"/>
      <c r="G24" s="65"/>
      <c r="H24" s="85">
        <f>H7/365</f>
        <v>80.821238630136989</v>
      </c>
      <c r="I24" s="85">
        <f>H7/365</f>
        <v>80.821238630136989</v>
      </c>
      <c r="J24" s="65"/>
      <c r="K24" s="65"/>
      <c r="L24" s="65"/>
      <c r="M24" s="65"/>
      <c r="N24" s="68"/>
      <c r="O24" s="92"/>
      <c r="P24" s="83">
        <f>1232+480</f>
        <v>1712</v>
      </c>
      <c r="T24" s="86">
        <f>88704/1.05</f>
        <v>84480</v>
      </c>
    </row>
    <row r="25" spans="1:28" ht="25.2" x14ac:dyDescent="0.45">
      <c r="A25" s="14" t="s">
        <v>36</v>
      </c>
      <c r="B25" s="64" t="s">
        <v>59</v>
      </c>
      <c r="C25" s="65"/>
      <c r="D25" s="65"/>
      <c r="E25" s="65"/>
      <c r="F25" s="65"/>
      <c r="G25" s="65"/>
      <c r="H25" s="66"/>
      <c r="I25" s="85">
        <f>I24*365*3</f>
        <v>88499.256300000008</v>
      </c>
      <c r="J25" s="65"/>
      <c r="K25" s="65"/>
      <c r="L25" s="65"/>
      <c r="M25" s="65"/>
      <c r="N25" s="68"/>
      <c r="O25" s="92"/>
      <c r="Q25" s="86">
        <f>79400-5233.33</f>
        <v>74166.67</v>
      </c>
      <c r="R25" s="86">
        <f>Q25*1.05</f>
        <v>77875.003500000006</v>
      </c>
    </row>
    <row r="26" spans="1:28" ht="25.2" x14ac:dyDescent="0.45">
      <c r="A26" s="14" t="s">
        <v>36</v>
      </c>
      <c r="B26" s="64" t="s">
        <v>60</v>
      </c>
      <c r="C26" s="65"/>
      <c r="D26" s="65"/>
      <c r="E26" s="65"/>
      <c r="F26" s="65"/>
      <c r="G26" s="65"/>
      <c r="H26" s="65"/>
      <c r="I26" s="65"/>
      <c r="J26" s="65"/>
      <c r="K26" s="65"/>
      <c r="L26" s="65"/>
      <c r="M26" s="65"/>
      <c r="N26" s="68"/>
      <c r="O26" s="92" t="s">
        <v>37</v>
      </c>
      <c r="R26" s="86">
        <f>R25+2469</f>
        <v>80344.003500000006</v>
      </c>
    </row>
    <row r="27" spans="1:28" ht="25.2" x14ac:dyDescent="0.45">
      <c r="A27" s="14" t="s">
        <v>36</v>
      </c>
      <c r="B27" s="64" t="s">
        <v>61</v>
      </c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8"/>
      <c r="O27" s="92">
        <f>129500-110900</f>
        <v>18600</v>
      </c>
    </row>
    <row r="28" spans="1:28" ht="25.2" x14ac:dyDescent="0.45">
      <c r="B28" s="64" t="s">
        <v>62</v>
      </c>
      <c r="C28" s="65"/>
      <c r="D28" s="65"/>
      <c r="E28" s="65"/>
      <c r="F28" s="65"/>
      <c r="G28" s="65"/>
      <c r="H28" s="65"/>
      <c r="I28" s="65"/>
      <c r="J28" s="65"/>
      <c r="K28" s="65"/>
      <c r="L28" s="65"/>
      <c r="M28" s="65"/>
      <c r="N28" s="68"/>
      <c r="O28" s="92"/>
    </row>
    <row r="29" spans="1:28" ht="25.2" x14ac:dyDescent="0.45">
      <c r="B29" s="64" t="s">
        <v>63</v>
      </c>
      <c r="C29" s="65"/>
      <c r="D29" s="65"/>
      <c r="E29" s="65"/>
      <c r="F29" s="65"/>
      <c r="G29" s="65"/>
      <c r="H29" s="65"/>
      <c r="I29" s="65"/>
      <c r="J29" s="65"/>
      <c r="K29" s="65"/>
      <c r="L29" s="65"/>
      <c r="M29" s="65"/>
      <c r="N29" s="69"/>
      <c r="O29" s="92"/>
    </row>
    <row r="30" spans="1:28" ht="24.6" x14ac:dyDescent="0.4">
      <c r="B30" s="133" t="s">
        <v>38</v>
      </c>
      <c r="C30" s="134"/>
      <c r="D30" s="134"/>
      <c r="E30" s="134"/>
      <c r="F30" s="134"/>
      <c r="G30" s="134"/>
      <c r="H30" s="134"/>
      <c r="I30" s="134"/>
      <c r="J30" s="134"/>
      <c r="K30" s="134"/>
      <c r="L30" s="134"/>
      <c r="M30" s="134"/>
      <c r="N30" s="135"/>
      <c r="O30" s="92"/>
    </row>
    <row r="31" spans="1:28" ht="24.6" x14ac:dyDescent="0.4">
      <c r="B31" s="136"/>
      <c r="C31" s="137"/>
      <c r="D31" s="137"/>
      <c r="E31" s="137"/>
      <c r="F31" s="137"/>
      <c r="G31" s="137"/>
      <c r="H31" s="137"/>
      <c r="I31" s="137"/>
      <c r="J31" s="137"/>
      <c r="K31" s="137"/>
      <c r="L31" s="137"/>
      <c r="M31" s="137"/>
      <c r="N31" s="138"/>
      <c r="O31" s="92"/>
    </row>
    <row r="32" spans="1:28" ht="24.6" x14ac:dyDescent="0.4">
      <c r="B32" s="136" t="s">
        <v>39</v>
      </c>
      <c r="C32" s="137"/>
      <c r="D32" s="137"/>
      <c r="E32" s="137"/>
      <c r="F32" s="137"/>
      <c r="G32" s="137"/>
      <c r="H32" s="137"/>
      <c r="I32" s="137"/>
      <c r="J32" s="137"/>
      <c r="K32" s="137"/>
      <c r="L32" s="137"/>
      <c r="M32" s="137"/>
      <c r="N32" s="138"/>
      <c r="O32" s="92"/>
    </row>
    <row r="33" spans="2:16" ht="24.6" x14ac:dyDescent="0.4">
      <c r="B33" s="136" t="s">
        <v>40</v>
      </c>
      <c r="C33" s="137"/>
      <c r="D33" s="137"/>
      <c r="E33" s="137"/>
      <c r="F33" s="137"/>
      <c r="G33" s="137"/>
      <c r="H33" s="137"/>
      <c r="I33" s="137"/>
      <c r="J33" s="137"/>
      <c r="K33" s="137"/>
      <c r="L33" s="137"/>
      <c r="M33" s="137"/>
      <c r="N33" s="138"/>
      <c r="O33" s="92"/>
    </row>
    <row r="34" spans="2:16" s="112" customFormat="1" ht="24.6" x14ac:dyDescent="0.4">
      <c r="B34" s="107" t="s">
        <v>81</v>
      </c>
      <c r="C34" s="108"/>
      <c r="D34" s="108"/>
      <c r="E34" s="108"/>
      <c r="F34" s="108"/>
      <c r="G34" s="113"/>
      <c r="H34" s="113"/>
      <c r="I34" s="108"/>
      <c r="J34" s="108"/>
      <c r="K34" s="108"/>
      <c r="L34" s="108"/>
      <c r="M34" s="114" t="s">
        <v>82</v>
      </c>
      <c r="N34" s="116" t="b">
        <f>IF(M34="ALAA",507963328, IF(M34="BACHIR",525246969,IF(M34="JIHAN",566201266, IF(M34="RAMY",505277871, IF(M34="SIMON",505140337,IF(M34="SUJITH",551079817, IF(M34="PRAVEEN",506367792,IF(M34="MHAREN",529224059, IF(M34="MOSSALLEM",505185577,IF(M34="RANJITH",554989288, IF(M34="KHALED",552319494)))))))))))</f>
        <v>0</v>
      </c>
      <c r="O34" s="115"/>
      <c r="P34" s="115"/>
    </row>
    <row r="35" spans="2:16" x14ac:dyDescent="0.35">
      <c r="B35" s="70"/>
      <c r="C35" s="71"/>
      <c r="D35" s="71"/>
      <c r="E35" s="71"/>
      <c r="F35" s="71"/>
      <c r="G35" s="71"/>
      <c r="H35" s="71"/>
      <c r="I35" s="71"/>
      <c r="J35" s="71"/>
      <c r="K35" s="71"/>
      <c r="L35" s="71"/>
      <c r="M35" s="71"/>
      <c r="N35" s="72"/>
    </row>
    <row r="36" spans="2:16" x14ac:dyDescent="0.35">
      <c r="B36" s="70"/>
      <c r="C36" s="71"/>
      <c r="D36" s="71"/>
      <c r="E36" s="71"/>
      <c r="F36" s="71"/>
      <c r="G36" s="71"/>
      <c r="H36" s="71"/>
      <c r="I36" s="71"/>
      <c r="J36" s="71"/>
      <c r="K36" s="71"/>
      <c r="L36" s="71"/>
      <c r="M36" s="71"/>
      <c r="N36" s="72"/>
    </row>
    <row r="37" spans="2:16" x14ac:dyDescent="0.35">
      <c r="B37" s="70"/>
      <c r="C37" s="71"/>
      <c r="D37" s="71"/>
      <c r="E37" s="71"/>
      <c r="F37" s="71"/>
      <c r="G37" s="71"/>
      <c r="H37" s="71"/>
      <c r="I37" s="71"/>
      <c r="J37" s="71"/>
      <c r="K37" s="71"/>
      <c r="L37" s="71"/>
      <c r="M37" s="71"/>
      <c r="N37" s="72"/>
    </row>
    <row r="38" spans="2:16" ht="21" x14ac:dyDescent="0.4">
      <c r="B38" s="73" t="s">
        <v>64</v>
      </c>
      <c r="C38" s="74"/>
      <c r="D38" s="75"/>
      <c r="E38" s="76"/>
      <c r="F38" s="76"/>
      <c r="G38" s="76"/>
      <c r="H38" s="76"/>
      <c r="I38" s="76"/>
      <c r="J38" s="77"/>
      <c r="K38" s="76"/>
      <c r="L38" s="76"/>
      <c r="M38" s="76"/>
      <c r="N38" s="78"/>
    </row>
    <row r="39" spans="2:16" ht="21" x14ac:dyDescent="0.4">
      <c r="B39" s="73" t="s">
        <v>65</v>
      </c>
      <c r="C39" s="79"/>
      <c r="D39" s="75"/>
      <c r="E39" s="76"/>
      <c r="F39" s="76"/>
      <c r="G39" s="76"/>
      <c r="H39" s="76"/>
      <c r="I39" s="76"/>
      <c r="J39" s="77"/>
      <c r="K39" s="76"/>
      <c r="L39" s="76"/>
      <c r="M39" s="76"/>
      <c r="N39" s="80"/>
    </row>
    <row r="40" spans="2:16" ht="21" x14ac:dyDescent="0.35">
      <c r="B40" s="73" t="s">
        <v>66</v>
      </c>
      <c r="C40" s="81"/>
      <c r="D40" s="76"/>
      <c r="E40" s="76"/>
      <c r="F40" s="76"/>
      <c r="G40" s="76"/>
      <c r="H40" s="76"/>
      <c r="I40" s="76"/>
      <c r="J40" s="77"/>
      <c r="K40" s="76"/>
      <c r="L40" s="76"/>
      <c r="M40" s="76"/>
      <c r="N40" s="80"/>
    </row>
    <row r="41" spans="2:16" ht="21" x14ac:dyDescent="0.35">
      <c r="B41" s="73" t="s">
        <v>67</v>
      </c>
      <c r="C41" s="82"/>
      <c r="D41" s="83"/>
      <c r="E41" s="83"/>
      <c r="F41" s="83"/>
      <c r="G41" s="83"/>
      <c r="H41" s="83"/>
      <c r="I41" s="83"/>
      <c r="J41" s="83"/>
      <c r="K41" s="83"/>
      <c r="L41" s="83"/>
      <c r="M41" s="83"/>
      <c r="N41" s="84"/>
    </row>
    <row r="42" spans="2:16" ht="21" x14ac:dyDescent="0.35">
      <c r="B42" s="73" t="s">
        <v>77</v>
      </c>
      <c r="C42" s="82"/>
      <c r="D42" s="83"/>
      <c r="E42" s="83"/>
      <c r="F42" s="83"/>
      <c r="G42" s="83"/>
      <c r="H42" s="83"/>
      <c r="I42" s="83"/>
      <c r="J42" s="83"/>
      <c r="K42" s="83"/>
      <c r="L42" s="83"/>
      <c r="M42" s="83"/>
      <c r="N42" s="84"/>
    </row>
    <row r="43" spans="2:16" ht="21" x14ac:dyDescent="0.35">
      <c r="B43" s="73" t="s">
        <v>68</v>
      </c>
      <c r="C43" s="82"/>
      <c r="D43" s="83"/>
      <c r="E43" s="83"/>
      <c r="F43" s="83"/>
      <c r="G43" s="83"/>
      <c r="H43" s="83"/>
      <c r="I43" s="83"/>
      <c r="J43" s="83"/>
      <c r="K43" s="83"/>
      <c r="L43" s="83"/>
      <c r="M43" s="83"/>
      <c r="N43" s="84"/>
    </row>
    <row r="44" spans="2:16" ht="21" x14ac:dyDescent="0.35">
      <c r="B44" s="73" t="s">
        <v>69</v>
      </c>
      <c r="C44" s="82"/>
      <c r="D44" s="83"/>
      <c r="E44" s="83"/>
      <c r="F44" s="83"/>
      <c r="G44" s="83"/>
      <c r="H44" s="83"/>
      <c r="I44" s="83"/>
      <c r="J44" s="83"/>
      <c r="K44" s="83"/>
      <c r="L44" s="83"/>
      <c r="M44" s="83"/>
      <c r="N44" s="84"/>
    </row>
    <row r="45" spans="2:16" ht="21" x14ac:dyDescent="0.35">
      <c r="B45" s="73" t="s">
        <v>70</v>
      </c>
      <c r="C45" s="82"/>
      <c r="D45" s="83"/>
      <c r="E45" s="83"/>
      <c r="F45" s="83"/>
      <c r="G45" s="83"/>
      <c r="H45" s="83"/>
      <c r="I45" s="83"/>
      <c r="J45" s="83"/>
      <c r="K45" s="83"/>
      <c r="L45" s="83"/>
      <c r="M45" s="83"/>
      <c r="N45" s="84"/>
    </row>
    <row r="46" spans="2:16" ht="21" x14ac:dyDescent="0.35">
      <c r="B46" s="73" t="s">
        <v>71</v>
      </c>
      <c r="C46" s="82"/>
      <c r="D46" s="83"/>
      <c r="E46" s="83"/>
      <c r="F46" s="83"/>
      <c r="G46" s="83"/>
      <c r="H46" s="83"/>
      <c r="I46" s="83"/>
      <c r="J46" s="83"/>
      <c r="K46" s="83"/>
      <c r="L46" s="83"/>
      <c r="M46" s="83"/>
      <c r="N46" s="84"/>
    </row>
    <row r="47" spans="2:16" x14ac:dyDescent="0.35">
      <c r="B47" s="118" t="s">
        <v>39</v>
      </c>
      <c r="C47" s="119"/>
      <c r="D47" s="119"/>
      <c r="E47" s="119"/>
      <c r="F47" s="119"/>
      <c r="G47" s="119"/>
      <c r="H47" s="119"/>
      <c r="I47" s="119"/>
      <c r="J47" s="119"/>
      <c r="K47" s="119"/>
      <c r="L47" s="119"/>
      <c r="M47" s="119"/>
      <c r="N47" s="120"/>
      <c r="O47" s="92"/>
    </row>
    <row r="48" spans="2:16" x14ac:dyDescent="0.35">
      <c r="B48" s="118" t="s">
        <v>40</v>
      </c>
      <c r="C48" s="119"/>
      <c r="D48" s="119"/>
      <c r="E48" s="119"/>
      <c r="F48" s="119"/>
      <c r="G48" s="119"/>
      <c r="H48" s="119"/>
      <c r="I48" s="119"/>
      <c r="J48" s="119"/>
      <c r="K48" s="119"/>
      <c r="L48" s="119"/>
      <c r="M48" s="119"/>
      <c r="N48" s="120"/>
      <c r="O48" s="92"/>
    </row>
    <row r="49" spans="2:14" x14ac:dyDescent="0.35">
      <c r="B49" s="118" t="s">
        <v>72</v>
      </c>
      <c r="C49" s="119"/>
      <c r="D49" s="119"/>
      <c r="E49" s="119"/>
      <c r="F49" s="119"/>
      <c r="G49" s="119"/>
      <c r="H49" s="119"/>
      <c r="I49" s="119"/>
      <c r="J49" s="119"/>
      <c r="K49" s="119"/>
      <c r="L49" s="119"/>
      <c r="M49" s="119"/>
      <c r="N49" s="120"/>
    </row>
    <row r="50" spans="2:14" ht="25.8" x14ac:dyDescent="0.35">
      <c r="C50" s="15" t="s">
        <v>41</v>
      </c>
    </row>
    <row r="51" spans="2:14" ht="25.8" x14ac:dyDescent="0.35">
      <c r="C51" s="15" t="s">
        <v>42</v>
      </c>
    </row>
    <row r="52" spans="2:14" ht="25.8" x14ac:dyDescent="0.35">
      <c r="C52" s="15" t="s">
        <v>43</v>
      </c>
    </row>
    <row r="53" spans="2:14" ht="25.8" x14ac:dyDescent="0.35">
      <c r="C53" s="15" t="s">
        <v>44</v>
      </c>
    </row>
    <row r="54" spans="2:14" ht="25.8" x14ac:dyDescent="0.35">
      <c r="C54" s="15" t="s">
        <v>45</v>
      </c>
    </row>
  </sheetData>
  <mergeCells count="12">
    <mergeCell ref="B49:N49"/>
    <mergeCell ref="B1:N4"/>
    <mergeCell ref="F8:G8"/>
    <mergeCell ref="F9:G9"/>
    <mergeCell ref="G19:I19"/>
    <mergeCell ref="B22:N22"/>
    <mergeCell ref="B30:N30"/>
    <mergeCell ref="B31:N31"/>
    <mergeCell ref="B32:N32"/>
    <mergeCell ref="B33:N33"/>
    <mergeCell ref="B47:N47"/>
    <mergeCell ref="B48:N48"/>
  </mergeCells>
  <dataValidations count="11">
    <dataValidation type="list" allowBlank="1" showInputMessage="1" showErrorMessage="1" sqref="K21" xr:uid="{0683E5F1-7C8D-496A-ADF7-99F4D73E7513}">
      <formula1>"ADCB,ADCB PAY IN 2027,Ajman Bank,ADIB,DIB EXPAT,DIB LOCAL GVH,Emirates NBD,EIB,FAB,RAK,SIB STL,SIB NON STL"</formula1>
    </dataValidation>
    <dataValidation type="list" allowBlank="1" showInputMessage="1" showErrorMessage="1" sqref="D5" xr:uid="{8DE30BDE-C4F3-4276-83E3-9C64B85BC180}">
      <formula1>"MIG09,MIG10,ATG16,ATP16,ATG17,ASG48,ASG43,ASG40,ASG42,ASG44,ASG45,ECG38,ECG37,ECG40,ECG43,XPML,XPHL,XPMLP, XPMLP-01, XC,OTF03,OTP03,OTF06,OTP06, OTP06-01,OTF08, OTP08,MOP57,MOG64,MOG59,MOG59P,MOG61,MOP61"</formula1>
    </dataValidation>
    <dataValidation type="list" allowBlank="1" showInputMessage="1" showErrorMessage="1" sqref="M21" xr:uid="{69668210-272F-4A14-A4C7-D758C467327A}">
      <formula1>"3000-4999,5000-9999,10000-14999,15000-24999,25000-34999,35000-99999,5000-11999,12000-19999,20000-39999,40000-69999,70000-99999"</formula1>
    </dataValidation>
    <dataValidation type="list" allowBlank="1" showInputMessage="1" showErrorMessage="1" sqref="K20" xr:uid="{2C384D8C-33FF-49DE-A838-BC9F111F1ED1}">
      <formula1>"Esaad,Emirates Platinum,Fazaa,Humat Alwatan,Permissible,ASX,XPMLP,XP,MON,MON G57,OUT,F08,P08,F06,P06,F03,P03,EC,G37,G38,G40,G43"</formula1>
    </dataValidation>
    <dataValidation type="list" allowBlank="1" showInputMessage="1" showErrorMessage="1" sqref="L19:L20 L24:L25 G14:G15 C10:C16 L10 J10" xr:uid="{3DD1070F-AA4D-419A-A73A-F547131DA47C}">
      <formula1>"YES,NO"</formula1>
    </dataValidation>
    <dataValidation type="list" allowBlank="1" showInputMessage="1" showErrorMessage="1" sqref="K24" xr:uid="{9225199E-F41B-49DF-BFD4-F0E59B102551}">
      <formula1>"RMC-10-70K,RMC-10-100000K,RMC-40-70K"</formula1>
    </dataValidation>
    <dataValidation type="list" allowBlank="1" showInputMessage="1" showErrorMessage="1" sqref="B16" xr:uid="{CAAC5B43-8EA9-42C1-8561-82A208CDEF68}">
      <formula1>"RMC-10-40KMS,RMC-10-60KMS,RMC-10-70KMS,RMC-10-100000KMS,RMC-40-70KMS,RMC-40-100000KMS"</formula1>
    </dataValidation>
    <dataValidation type="list" allowBlank="1" showInputMessage="1" showErrorMessage="1" sqref="B12" xr:uid="{4D9D8EB4-5821-4153-89C3-0D0C7C6232D4}">
      <formula1>"FO Exterior ceramic All Cars SCOTCHGUARD,FO Mirror Camera Sensor,FO PPF Gold Package "</formula1>
    </dataValidation>
    <dataValidation type="list" allowBlank="1" showInputMessage="1" showErrorMessage="1" sqref="B11" xr:uid="{FE2009B7-DE73-46A6-8FD8-402C9C0E55AC}">
      <formula1>"FO Ceramic+ Intr&amp;Extr CeramicGold WdwTnt,FO Mirror Camera Sensor"</formula1>
    </dataValidation>
    <dataValidation type="list" allowBlank="1" showInputMessage="1" showErrorMessage="1" sqref="M34" xr:uid="{FAD8945A-9867-43D9-B29C-155847822EF2}">
      <formula1>"Alaa,Bachir ,Khaled,Ramy,Simon,Mharen,Ranjith,Jihan,Praveen,Sujith,Mossallem"</formula1>
    </dataValidation>
    <dataValidation type="list" allowBlank="1" showInputMessage="1" showErrorMessage="1" sqref="H34" xr:uid="{2D625CDD-DD51-44BF-A194-5EE437F16ACD}">
      <formula1>"ALAA HAMMAD,KHALED QASSEM,RAMY RAOUF,SIMON LOBO,MHAREN CLEMENTE GARADO"</formula1>
    </dataValidation>
  </dataValidations>
  <pageMargins left="0.23622047244094491" right="0.23622047244094491" top="0.74803149606299213" bottom="0.74803149606299213" header="0.31496062992125984" footer="0.31496062992125984"/>
  <pageSetup paperSize="9" scale="37" orientation="landscape" horizontalDpi="4294967295" verticalDpi="4294967295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379DCA-DE8E-4585-9389-AB0AF4F6C617}">
  <sheetPr>
    <pageSetUpPr fitToPage="1"/>
  </sheetPr>
  <dimension ref="A1:AB54"/>
  <sheetViews>
    <sheetView topLeftCell="B1" zoomScaleNormal="100" workbookViewId="0">
      <selection activeCell="D5" sqref="D5"/>
    </sheetView>
  </sheetViews>
  <sheetFormatPr defaultColWidth="9.109375" defaultRowHeight="20.399999999999999" x14ac:dyDescent="0.35"/>
  <cols>
    <col min="1" max="1" width="16" style="1" hidden="1" customWidth="1"/>
    <col min="2" max="2" width="75.5546875" style="2" customWidth="1"/>
    <col min="3" max="3" width="25.5546875" style="3" customWidth="1"/>
    <col min="4" max="4" width="25.33203125" style="2" customWidth="1"/>
    <col min="5" max="5" width="22.6640625" style="2" customWidth="1"/>
    <col min="6" max="6" width="21" style="2" customWidth="1"/>
    <col min="7" max="7" width="25" style="2" customWidth="1"/>
    <col min="8" max="8" width="29.44140625" style="2" bestFit="1" customWidth="1"/>
    <col min="9" max="9" width="32.109375" style="2" bestFit="1" customWidth="1"/>
    <col min="10" max="10" width="22" style="2" customWidth="1"/>
    <col min="11" max="11" width="23.33203125" style="2" customWidth="1"/>
    <col min="12" max="12" width="31" style="2" customWidth="1"/>
    <col min="13" max="13" width="23.5546875" style="2" customWidth="1"/>
    <col min="14" max="14" width="21.109375" style="2" customWidth="1"/>
    <col min="15" max="15" width="14.44140625" style="83" bestFit="1" customWidth="1"/>
    <col min="16" max="16" width="21.6640625" style="83" hidden="1" customWidth="1"/>
    <col min="17" max="17" width="14.33203125" style="86" hidden="1" customWidth="1"/>
    <col min="18" max="18" width="12.88671875" style="86" hidden="1" customWidth="1"/>
    <col min="19" max="19" width="13" style="86" hidden="1" customWidth="1"/>
    <col min="20" max="20" width="17.109375" style="86" hidden="1" customWidth="1"/>
    <col min="21" max="21" width="21.5546875" style="86" customWidth="1"/>
    <col min="22" max="22" width="22.88671875" style="86" customWidth="1"/>
    <col min="23" max="26" width="17.109375" style="86" bestFit="1" customWidth="1"/>
    <col min="27" max="27" width="15" style="86" customWidth="1"/>
    <col min="28" max="28" width="14.33203125" style="86" bestFit="1" customWidth="1"/>
    <col min="29" max="16384" width="9.109375" style="1"/>
  </cols>
  <sheetData>
    <row r="1" spans="1:28" ht="15.75" customHeight="1" x14ac:dyDescent="0.35">
      <c r="B1" s="121" t="s">
        <v>46</v>
      </c>
      <c r="C1" s="122"/>
      <c r="D1" s="122"/>
      <c r="E1" s="122"/>
      <c r="F1" s="122"/>
      <c r="G1" s="122"/>
      <c r="H1" s="122"/>
      <c r="I1" s="122"/>
      <c r="J1" s="122"/>
      <c r="K1" s="122"/>
      <c r="L1" s="122"/>
      <c r="M1" s="122"/>
      <c r="N1" s="123"/>
    </row>
    <row r="2" spans="1:28" ht="15.75" customHeight="1" x14ac:dyDescent="0.35">
      <c r="B2" s="124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6"/>
      <c r="Q2" s="83"/>
      <c r="S2" s="87"/>
    </row>
    <row r="3" spans="1:28" ht="15.75" customHeight="1" x14ac:dyDescent="0.35">
      <c r="B3" s="124"/>
      <c r="C3" s="125"/>
      <c r="D3" s="125"/>
      <c r="E3" s="125"/>
      <c r="F3" s="125"/>
      <c r="G3" s="125"/>
      <c r="H3" s="125"/>
      <c r="I3" s="125"/>
      <c r="J3" s="125"/>
      <c r="K3" s="125"/>
      <c r="L3" s="125"/>
      <c r="M3" s="125"/>
      <c r="N3" s="126"/>
      <c r="O3" s="82"/>
      <c r="P3" s="82"/>
      <c r="Q3" s="81"/>
      <c r="R3" s="81"/>
      <c r="S3" s="88" t="e">
        <f>N7+J14</f>
        <v>#VALUE!</v>
      </c>
      <c r="T3" s="88"/>
      <c r="U3" s="81"/>
      <c r="V3" s="81"/>
      <c r="W3" s="81"/>
      <c r="AA3" s="86">
        <f>273000/5</f>
        <v>54600</v>
      </c>
    </row>
    <row r="4" spans="1:28" ht="15.75" customHeight="1" x14ac:dyDescent="0.4">
      <c r="B4" s="127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9"/>
      <c r="O4" s="89" t="s">
        <v>0</v>
      </c>
      <c r="P4" s="89"/>
      <c r="Q4" s="90"/>
      <c r="R4" s="90"/>
      <c r="S4" s="91"/>
      <c r="T4" s="91"/>
      <c r="U4" s="90" t="s">
        <v>1</v>
      </c>
      <c r="V4" s="90" t="s">
        <v>2</v>
      </c>
      <c r="W4" s="90" t="s">
        <v>3</v>
      </c>
    </row>
    <row r="5" spans="1:28" ht="25.2" thickBot="1" x14ac:dyDescent="0.45">
      <c r="B5" s="17">
        <f ca="1">TODAY()</f>
        <v>46215</v>
      </c>
      <c r="C5" s="18" t="str">
        <f>IF(D5="MIG09","Mirage G09",IF(D5="MIG10","MirageG10",IF(D5="ATG16","Attrage G16",IF(D5="ATP16","Attrage P16",IF(D5="ATG17","Attrage G17",IF(D5="ASG48","ASX G48",IF(D5="ASG43","ASX G43", IF(D5="ASG40","ASXG40",IF(D5="ASG42","ASX G42",IF(D5="ASG44","ASX G44",IF(D5="ASG45","ASX G45",IF(D5="ECG38","Eclipse G38",IF(D5="ECG37","Eclipse G37",IF(D5="ECG40","Eclipse G40",IF(D5="ECG43","Eclipse G43",IF(D5="XPML","Xpander ML",IF(D5="XPHL","Xpander HL",IF(D5="XPMLP","Xpander ML P",IF(D5="XPMLP-01","Xpander ML P-01",IF(D5="XC","Xpander Cross", IF(D5="OTF03","Outlander F03",IF(D5="OTP03","Outlander P03",IF(D5="OTF06","Outlander F06",IF(D5="OTP06","Outlander P06",IF(D5="OTP06-01","Outlander P06-01",IF(D5="OTF08","Outlander F08",IF(D5="OTP08","Outlander P08P", IF(D5="MOP57","Montero P57",IF(D5="MOG64","Montero G64",IF(D5="MOG59","Montero G59",IF(D5="MOG59P","Montero G59 P",IF(D5="MOG61","Montero G61",IF(D5="MOP61","Montero P61")))))))))))))))))))))))))))))))))</f>
        <v>Montero G61</v>
      </c>
      <c r="D5" s="19" t="s">
        <v>117</v>
      </c>
      <c r="E5" s="20" t="s">
        <v>47</v>
      </c>
      <c r="F5" s="21"/>
      <c r="G5" s="21"/>
      <c r="H5" s="21"/>
      <c r="I5" s="22"/>
      <c r="J5" s="23"/>
      <c r="K5" s="24">
        <v>0</v>
      </c>
      <c r="L5" s="25">
        <v>3.39E-2</v>
      </c>
      <c r="M5" s="25">
        <v>6.7799999999999999E-2</v>
      </c>
      <c r="N5" s="25">
        <v>0.1017</v>
      </c>
      <c r="O5" s="92">
        <f>K7+K14</f>
        <v>15221.43545013</v>
      </c>
      <c r="S5" s="87"/>
      <c r="U5" s="87">
        <f>L7+L14</f>
        <v>6202.3514736925008</v>
      </c>
      <c r="V5" s="87">
        <f>M7+M14</f>
        <v>4148.9865859049996</v>
      </c>
      <c r="W5" s="87">
        <f>N7+N14</f>
        <v>2875.0435736925001</v>
      </c>
    </row>
    <row r="6" spans="1:28" s="5" customFormat="1" ht="128.25" customHeight="1" thickBot="1" x14ac:dyDescent="0.35">
      <c r="A6" s="4" t="s">
        <v>4</v>
      </c>
      <c r="B6" s="26" t="s">
        <v>5</v>
      </c>
      <c r="C6" s="27" t="s">
        <v>6</v>
      </c>
      <c r="D6" s="27" t="s">
        <v>48</v>
      </c>
      <c r="E6" s="27" t="s">
        <v>7</v>
      </c>
      <c r="F6" s="27" t="s">
        <v>8</v>
      </c>
      <c r="G6" s="28" t="s">
        <v>9</v>
      </c>
      <c r="H6" s="28" t="s">
        <v>49</v>
      </c>
      <c r="I6" s="28" t="s">
        <v>10</v>
      </c>
      <c r="J6" s="28" t="s">
        <v>56</v>
      </c>
      <c r="K6" s="28" t="s">
        <v>11</v>
      </c>
      <c r="L6" s="28" t="s">
        <v>12</v>
      </c>
      <c r="M6" s="28" t="s">
        <v>13</v>
      </c>
      <c r="N6" s="28" t="s">
        <v>14</v>
      </c>
      <c r="O6" s="93"/>
      <c r="P6" s="94"/>
      <c r="Q6" s="95"/>
      <c r="R6" s="95"/>
      <c r="S6" s="95"/>
      <c r="T6" s="96"/>
      <c r="U6" s="96">
        <f>N7+L14</f>
        <v>4871.4283136925005</v>
      </c>
      <c r="V6" s="96">
        <f>N7+K14</f>
        <v>12226.858340130002</v>
      </c>
      <c r="W6" s="96"/>
      <c r="X6" s="95"/>
      <c r="Y6" s="95"/>
      <c r="Z6" s="95"/>
      <c r="AA6" s="95"/>
      <c r="AB6" s="95"/>
    </row>
    <row r="7" spans="1:28" ht="25.2" thickBot="1" x14ac:dyDescent="0.45">
      <c r="A7" s="6">
        <f>B8</f>
        <v>127900</v>
      </c>
      <c r="B7" s="29">
        <f>IF(L20="YES",C8*1,IF(L20="NO",B8*1))</f>
        <v>127900</v>
      </c>
      <c r="C7" s="29">
        <f>B7*5/100</f>
        <v>6395</v>
      </c>
      <c r="D7" s="29">
        <f>B7+C7</f>
        <v>134295</v>
      </c>
      <c r="E7" s="29">
        <f>D17</f>
        <v>15138.855500000001</v>
      </c>
      <c r="F7" s="29">
        <f>(C7)+(D10+D11+D12+D13+D16)*5/100</f>
        <v>6690</v>
      </c>
      <c r="G7" s="30">
        <f>B7+E7+F7</f>
        <v>149728.85550000001</v>
      </c>
      <c r="H7" s="29">
        <f>G7*D20</f>
        <v>29945.771100000002</v>
      </c>
      <c r="I7" s="29">
        <f>(G7-H7)</f>
        <v>119783.08440000001</v>
      </c>
      <c r="J7" s="30">
        <f>(((I7*D19)*1)+I7)/12</f>
        <v>10230.473600130001</v>
      </c>
      <c r="K7" s="30">
        <f>(((I7*D19)*2)+I7)/24</f>
        <v>5239.5117501300001</v>
      </c>
      <c r="L7" s="30">
        <f>(((I7*D19)*3)+I7)/36</f>
        <v>3575.8578001300002</v>
      </c>
      <c r="M7" s="30">
        <f>(((I7*D19)*4)+I7)/48</f>
        <v>2744.0308251299998</v>
      </c>
      <c r="N7" s="30">
        <f>((((I7*D19)*5)+I7)/60)</f>
        <v>2244.9346401299999</v>
      </c>
      <c r="O7" s="92"/>
      <c r="P7" s="83">
        <f>H7+H16</f>
        <v>31203.493486200001</v>
      </c>
      <c r="T7" s="87">
        <f>25973/2</f>
        <v>12986.5</v>
      </c>
    </row>
    <row r="8" spans="1:28" ht="24.6" x14ac:dyDescent="0.4">
      <c r="A8" s="7">
        <v>0.2</v>
      </c>
      <c r="B8" s="31">
        <f>IF(D5="MIG09",39900,IF(D5="MIG10",40400,IF(D5="ATG16",40400,IF(D5="ATP16",49900,IF(D5="ATG17",41900,IF(D5="ASG48",63900,IF(D5="ASG43",62900,IF(D5="ASG40",63900,IF(D5="ASG42",68900,IF(D5="ASG44",89900,IF(D5="ASG45",95900,IF(D5="ECG38",73900,IF(D5="ECG37",70900,IF(D5="ECG40",86900,IF(D5="ECG43",91900,IF(D5="XPML",62900,IF(D5="XPHL",62900,IF(D5="XPMLP",69900,IF(D5="XPMLP-01",77800,IF(D5="XC",77900,IF(D5="OTF03",96900,IF(D5="OTP03",79900,IF(D5="OTF06",92900,IF(D5="OTP06",111900,IF(D5="OTP06-01",118900,IF(D5="OTF08",122900,IF(D5="OTP08",109900,IF(D5="MOP57",99900,IF(D5="MOG64",108900,IF(D5="MOG59",116900,IF(D5="MOG59P",110900,IF(D5="MOG61",127900,IF(D5="MOP61",125900)))))))))))))))))))))))))))))))))</f>
        <v>127900</v>
      </c>
      <c r="C8" s="32">
        <f>IF(L20="YES",N20,IF(L20="NO",N20))</f>
        <v>127900</v>
      </c>
      <c r="D8" s="29">
        <v>0</v>
      </c>
      <c r="E8" s="33"/>
      <c r="F8" s="139"/>
      <c r="G8" s="140"/>
      <c r="H8" s="110">
        <f>G7*20/100</f>
        <v>29945.771100000002</v>
      </c>
      <c r="I8" s="21"/>
      <c r="J8" s="34" t="s">
        <v>15</v>
      </c>
      <c r="K8" s="23">
        <f>(J7*K5+J7)/24</f>
        <v>426.26973333875003</v>
      </c>
      <c r="L8" s="23">
        <f>(J7*L5+J7)/36</f>
        <v>293.81351819928909</v>
      </c>
      <c r="M8" s="23">
        <f>(J7*M5+J7)/48</f>
        <v>227.58541062955862</v>
      </c>
      <c r="N8" s="23">
        <f>(J7*N5+J7)/60</f>
        <v>187.84854608772036</v>
      </c>
      <c r="O8" s="92"/>
      <c r="P8" s="83">
        <f>P7/12</f>
        <v>2600.2911238500001</v>
      </c>
      <c r="T8" s="86">
        <f>25973-12973</f>
        <v>13000</v>
      </c>
    </row>
    <row r="9" spans="1:28" ht="24.6" x14ac:dyDescent="0.4">
      <c r="A9" s="8">
        <f>B8/(100%-A8)</f>
        <v>159875</v>
      </c>
      <c r="B9" s="109">
        <f>B7-B8</f>
        <v>0</v>
      </c>
      <c r="C9" s="35"/>
      <c r="D9" s="36"/>
      <c r="E9" s="33"/>
      <c r="F9" s="139"/>
      <c r="G9" s="140"/>
      <c r="H9" s="33"/>
      <c r="I9" s="37" t="s">
        <v>16</v>
      </c>
      <c r="J9" s="38">
        <f>(J7*12)-(I7)</f>
        <v>2982.5988015600014</v>
      </c>
      <c r="K9" s="38">
        <f>(K7*24)-I7</f>
        <v>5965.1976031199883</v>
      </c>
      <c r="L9" s="38">
        <f>(L7*36)-I7</f>
        <v>8947.7964046800043</v>
      </c>
      <c r="M9" s="38">
        <f>(M7*48)-I7</f>
        <v>11930.395206239991</v>
      </c>
      <c r="N9" s="38">
        <f>(N7*60)-I7</f>
        <v>14912.994007799993</v>
      </c>
      <c r="O9" s="92"/>
      <c r="T9" s="86">
        <f>T8/12</f>
        <v>1083.3333333333333</v>
      </c>
      <c r="Z9" s="86" t="s">
        <v>86</v>
      </c>
    </row>
    <row r="10" spans="1:28" ht="24.6" x14ac:dyDescent="0.4">
      <c r="A10" s="8"/>
      <c r="B10" s="37" t="s">
        <v>50</v>
      </c>
      <c r="C10" s="20" t="s">
        <v>17</v>
      </c>
      <c r="D10" s="36">
        <f>IF(C10="YES",800,IF(C10="NO",0))</f>
        <v>0</v>
      </c>
      <c r="E10" s="39"/>
      <c r="F10" s="40"/>
      <c r="G10" s="40"/>
      <c r="H10" s="33"/>
      <c r="I10" s="44" t="s">
        <v>85</v>
      </c>
      <c r="J10" s="117" t="s">
        <v>19</v>
      </c>
      <c r="K10" s="117">
        <f>IF(J10="YES",Z10,IF(J10="NO",0))</f>
        <v>1000</v>
      </c>
      <c r="L10" s="117"/>
      <c r="M10" s="117"/>
      <c r="N10" s="41">
        <f>(N8*60)-J7</f>
        <v>1040.4391651332207</v>
      </c>
      <c r="O10" s="92">
        <f>IF(D5="XC",3690,IF(D5="XPML",3690,IF(D5="XPHL",3690,IF(D5="XPMLP",3690,IF(D5="XPMLP-01",3690,IF(D5="Xpander P",3690,IF(D5="MOP57",(U19*2.75/100+510)*1.05,IF(D5="MOG64",(U19*2.75/100+510)*1.05,IF(D5="MOG59",(U19*2.75/100+510)*1.05,IF(D5="MOG59P",(U19*2.75/100+510)*1.05,IF(D5="MOG61",(U19*2.75/100+510)*1.05,IF(D5="MOP61",(U19*2.75/100+510)*1.05,IF(D5="OTF03",(D7*3/100+510)*1.05,IF(D5="OTP03",(U19*3/100+510)*1.05,IF(D5="OTF06",(U19*3/100+510)*1.05,IF(D5="OTP06",(U19*3/100+510)*1.05,IF(D5="OTP06-01",(U19*3/100+510)*1.05,IF(D5="OTF08",(U19*3/100+510)*1.05,IF(D5="OTP08",(U19*3/100+510)*1.05,IF(D5="ECG38",3625,IF(D5="ECG37",3625,IF(D5="ECG40",(D7*3/100+510)*1.05,IF(D5="ECG43",(D7*3/100+510)*1.05,IF(D5="ASG48",3625,IF(D5="ASG43",3625,IF(D5="ASG40",3625,IF(D5="ASG42",3625,IF(D5="ASG44",3625,IF(D5="ASG45",3625,IF(D5="ASX HL 4WD",3625,IF(D5="ATG16",3625,IF(D5="ATG17",3625,IF(D5="ATP16",3625,IF(D5="Attrage S",3625,IF(D5="MIG09",3625,IF(D5="MIG10",3625,IF(D5="Xpander HL",3690)))))))))))))))))))))))))))))))))))))</f>
        <v>4592.1487500000003</v>
      </c>
      <c r="P10" s="97"/>
      <c r="Q10" s="97">
        <f>5.25*3</f>
        <v>15.75</v>
      </c>
      <c r="Z10" s="86">
        <f>IF(D5="MIG09",500,IF(D5="MIG10",500,IF(D5="ATG16",500,IF(D5="ATP16",500,IF(D5="ATG17",500,IF(D5="ASG48",1000,IF(D5="ASG43",1000,IF(D5="ASG40",1000,IF(D5="ASG42",1000,IF(D5="ASG44",1000,IF(D5="ASG45",1000,IF(D5="ECG38",1000,IF(D5="ECG37",1000,IF(D5="ECG40",1000,IF(D5="ECG43",1000,IF(D5="XPML",1000,IF(D5="XPHL",1000,IF(D5="XPMLP",1000,IF(D5="XPMLP-01",1000,IF(D5="XC",1000,IF(D5="OTF03",1000,IF(D5="OTP03",1000,IF(D5="OTF06",1000,IF(D5="OTP06",1000,IF(D5="OTP06-01",1000,IF(D5="OTF08",1000,IF(D5="OTP08",1000,IF(D5="MOP57",1000,IF(D5="MOG64",1000,IF(D5="MOG59",1000,IF(D5="MOG59P",1000,IF(D5="MOG61",1000,IF(D5="MOP61",1000)))))))))))))))))))))))))))))))))</f>
        <v>1000</v>
      </c>
    </row>
    <row r="11" spans="1:28" ht="24.6" x14ac:dyDescent="0.4">
      <c r="A11" s="8"/>
      <c r="B11" s="37" t="s">
        <v>18</v>
      </c>
      <c r="C11" s="20" t="s">
        <v>17</v>
      </c>
      <c r="D11" s="36">
        <f>IF(C11="YES",O17,IF(C11="NO",0))</f>
        <v>0</v>
      </c>
      <c r="E11" s="33"/>
      <c r="F11" s="40"/>
      <c r="G11" s="40"/>
      <c r="H11" s="33"/>
      <c r="I11" s="21"/>
      <c r="J11" s="44" t="s">
        <v>76</v>
      </c>
      <c r="K11" s="44">
        <f>H8-K10</f>
        <v>28945.771100000002</v>
      </c>
      <c r="L11" s="37"/>
      <c r="M11" s="37"/>
      <c r="N11" s="42"/>
      <c r="O11" s="92">
        <f>IF(D5="XC",6100,IF(D5="XPML",6100,IF(D5="XPHL",6100,IF(D5="XPMLP",6100,IF(D5="XPMLP-01",6100,IF(D5="Xpander P",6100,IF(D5="MOP57",5900,IF(D5="MOG64",5900,IF(D5="MOG59",5900,IF(D5="MOG59P",5900,IF(D5="MOG61",5900,IF(D5="MOP61",5900,IF(D5="OTF03",6700,IF(D5="OTP03",6700,IF(D5="OTF06",6700,IF(D5="OTP06",6700,IF(D5="OTP06-01",6700,IF(D5="OTF08",6700,IF(D5="OTP08",6700,IF(D5="ECG37",6400,IF(D5="ECG38",6400,IF(D5="ECG40",6400,IF(D5="ECG43",6400,IF(D5="ASG48",6600,IF(D5="ASG43",6600,IF(D5="ASG40",6600,IF(D5="ASG42",6600,IF(D5="ASG44",6600,IF(D5="ASG45",6600,IF(D5="ASX HL 4WD",6600,IF(D5="ATG16",5400,IF(D5="ATG17",5400,IF(D5="ATP16",5400,IF(D5="Attrage S",5400,IF(D5="MIG09",5400,IF(D5="MIG10",5400,IF(D5="Xpander HL",6000)))))))))))))))))))))))))))))))))))))</f>
        <v>5900</v>
      </c>
      <c r="P11" s="92"/>
      <c r="Q11" s="92"/>
      <c r="R11" s="92"/>
      <c r="S11" s="92"/>
      <c r="T11" s="92"/>
      <c r="U11" s="92">
        <f>IF(D5="XC",4900,IF(D5="XPML",4900,IF(D5="XPHL",4900,IF(D5="XPMLP",4900,IF(D5="XPMLP-01",4900,IF(D5="Xpander P",4900,IF(D5="MOP57",4600,IF(D5="MOG64",4600,IF(D5="MOG59",4600,IF(D5="MOG59P",4600,IF(D5="MOG61",4600,IF(D5="MOP61",4600,IF(D5="OTF03",5500,IF(D5="OTP03",5500,IF(D5="OTF06",5500,IF(D5="OTP06",5500,IF(D5="OTP06-01",5500,IF(D5="OTF08",5500,IF(D5="OTP08",5500,IF(D5="ECG38",5200,IF(D5="ECG37",5200,IF(D5="ECG40",5200,IF(D5="ECG43",5200,IF(D5="ASG48",5300,IF(D5="ASG43",5300,IF(D5="ASG40",5300,IF(D5="ASG42",5300,IF(D5="ASG44",5300,IF(D5="ASG45",5300,IF(D5="ASX HL",5300,IF(D5="ASX P",5300,IF(D5="ASX HL 4WD",5300,IF(D5="ATG16",4200,IF(D5="ATG17",4200,IF(D5="ATP16",4200,IF(D5="Attrage S",4200,IF(D5="MIG09",4200,IF(D5="MIG10",4200,IF(D5="Xpander HL",4900)))))))))))))))))))))))))))))))))))))))</f>
        <v>4600</v>
      </c>
      <c r="V11" s="92">
        <f>IF(D5="XC",9700,IF(D5="XPML",9700,IF(D5="XPHL",9700,IF(D5="XPMLP",9700,IF(D5="XPMLP-01",9700,IF(D5="XPMLP-01",9700,IF(D5="Xpander P",9700,IF(D5="MOP57",9300,IF(D5="MG64",9300,IF(D5="MOG59",9300,IF(D5="MOG59P",9300,IF(D5="MOG61",9300,IF(D5="MOP61",9300,IF(D5="OTF03",11000,IF(D5="OTP03",11000,IF(D5="OTF06",11000,IF(D5="OTP06",11000,IF(D5="OTP06-01",11000,IF(D5="OTF08",11000,IF(D5="OTP08",11000,IF(D5="ECG38",10400,IF(D5="ECG37",10400,IF(D5="ECG40",10400,IF(D5="ECG43",10400,IF(D5="ASG48",10700,IF(D5="ASG43",10700,IF(D5="ASG40",10700,IF(D5="ASG42",10700,IF(D5="ASG44",10800,IF(D5="ASG45",10800,IF(D5="ASX HL",12200,IF(D5="ASX P",12200,IF(D5="ASX HL 4WD",12200,IF(D5="ATG16",8500,IF(D5="ATG17",8500,IF(D5="ATP16",8500,IF(D5="Attrage S",9600,IF(D5="MIG09",8500,IF(D5="MIG10",8500,IF(D5="Xpander HL",11300))))))))))))))))))))))))))))))))))))))))</f>
        <v>9300</v>
      </c>
      <c r="W11" s="92">
        <f>IF(D5="XC",9200,IF(D5="XPML",9200,IF(D5="XPHL",9200,IF(D5="XPMLP",9200,IF(D5="XPMLP-01",9200,IF(D5="Xpander P",9200,IF(D5="MOP57",8700,IF(D5="MOG64",8700,IF(D5="MOG59",8700,IF(D5="MOG59P",8700,IF(D5="MOG61",8700,IF(D5="MOP61",8700,IF(D5="OTF03",10400,IF(D5="OTP03",10400,IF(D5="OTF06",10400,IF(D5="OTP06",10400,IF(D5="OTP06-01",10400,IF(D5="OTF08",10400,IF(D5="OTP08",10400,IF(D5="ECG38",9800,IF(D5="ECG37",9800,IF(D5="ECG40",9800,IF(D5="ECG43",9800,IF(D5="ASG48",10100,IF(D5="ASG43",10100,IF(D5="ASG40",10100,IF(D5="ASG42",10100,IF(D5="ASG44",10100,IF(D5="ASG45",10100,IF(D5="ASX HL",10100,IF(D5="ASX P",10100,IF(D5="ASX HL 4WD",10100,IF(D5="ATG16",7900,IF(D5="ATG17",7900,IF(D5="ATP16",7900,IF(D5="Attrage S",7900,IF(D5="MIG09",7900,IF(D5="MIG10",7900,IF(D5="Xpander HL",9200)))))))))))))))))))))))))))))))))))))))</f>
        <v>8700</v>
      </c>
      <c r="X11" s="92">
        <f>IF(D5="XC",4500,IF(D5="XPML",4500,IF(D5="XPHL",4500,IF(D5="XPMLP",4500,IF(D5="XPMLP-01",4500,IF(D5="Xpander P",4500,IF(D5="MOP57",4300,IF(D5="MOG64",4300,IF(D5="MOG59",4300,IF(D5="MOG59P",4300,IF(D5="MOG61",4300,IF(D5="MOP61",4300,IF(D5="OTF03",5000,IF(D5="OTP03",5000,IF(D5="OTF06",5000,IF(D5="OTP06",5000,IF(D5="OTP06-01",5000,IF(D5="OTF08",5000,IF(D5="OTP08",5000,IF(D5="ECG38",4900,IF(D5="ECG37",4900,IF(D5="ECG40",4900,IF(D5="ECG43",4900,IF(D5="ASG48",4900,IF(D5="ASG43",4900,IF(D5="ASG40",4900,IF(D5="ASG42",4900,IF(D5="ASG44",4900,IF(D5="ASG45",4900,IF(D5="ASX HL",4900,IF(D5="ASX P",4900,IF(D5="ASX HL 4WD",4900,IF(D5="ATG16",3700,IF(D5="ATG17",3700,IF(D5="ATP16",3700,IF(D5="Attrage S",3700,IF(D5="MIG09",3700,IF(D5="MIG10",3700,IF(D5="Xpander HL",4500)))))))))))))))))))))))))))))))))))))))</f>
        <v>4300</v>
      </c>
      <c r="Y11" s="92">
        <f>IF(D5="XC",5400,IF(D5="XPML ",5400,IF(D5="XPHL",5400,IF(D5="XPMLP",5400,IF(D5="XPMLP-01",5400,IF(D5="Xpander P",5400,IF(D5="MOP57",5200,IF(D5="MOG64",5200,IF(D5="MOG59",5200,IF(D5="MOG59P",5200,IF(D5="MOG61",5200,IF(D5="MOP61",5200,IF(D5="OTF03",6000,IF(D5="OTP03",6000,IF(D5="OTF06",6000,IF(D5="OTP06",6000,IF(D5="OTP06-01",6000,IF(D5="OTF08",6000,IF(D5="OTP08",6000,IF(D5="ECG38",5700,IF(D5="ECG37",5700,IF(D5="ECG40",5700,IF(D5="ECG43",5700,IF(D5="ASG48",5900,IF(D5="ASG43",5900,IF(D5="ASG40",5900,IF(D5="ASG42",5900,IF(D5="ASG44",5900,IF(D5="ASG45",5900,IF(D5="ASX HL",5900,IF(D5="ASX P",5900,IF(D5="ASX HL 4WD",5900,IF(D5="ATG16",4500,IF(D5="ATG17",4500,IF(D5="ATP16",4500,IF(D5="Attrage S",4500,IF(D5="MIG09",4500,IF(D5="MIG10",4500,IF(D5="Xpander HL",5400)))))))))))))))))))))))))))))))))))))))</f>
        <v>5200</v>
      </c>
    </row>
    <row r="12" spans="1:28" ht="24.75" customHeight="1" x14ac:dyDescent="0.4">
      <c r="A12" s="8"/>
      <c r="B12" s="37" t="s">
        <v>20</v>
      </c>
      <c r="C12" s="20" t="s">
        <v>17</v>
      </c>
      <c r="D12" s="36">
        <f>IF(C12="YES",2000,IF(C12="NO",0))</f>
        <v>0</v>
      </c>
      <c r="E12" s="43"/>
      <c r="F12" s="43" t="s">
        <v>21</v>
      </c>
      <c r="G12" s="40"/>
      <c r="H12" s="33">
        <v>600</v>
      </c>
      <c r="I12" s="21"/>
      <c r="J12" s="44" t="s">
        <v>22</v>
      </c>
      <c r="K12" s="45">
        <v>0</v>
      </c>
      <c r="L12" s="45">
        <v>5.2499999999999998E-2</v>
      </c>
      <c r="M12" s="45">
        <v>0.126</v>
      </c>
      <c r="N12" s="46">
        <v>0.26250000000000001</v>
      </c>
      <c r="O12" s="92">
        <f>IF(K20="Esaad",B8*3/100,IF(K20="Emirates Platinum",B8*3/100,IF(K20="Fazaa",B8*3/100,IF(K20="Humat Alwatan",B8*3/100,IF(K20="Permissible",2000,IF(K20="ASX",8400,IF(K20="XPMLP",4000,IF(K20="XP",14100,IF(K20="G43",11000,IF(K20="EC",7000,IF(K20="G37",14000,IF(K20="G38",15000,IF(K20="G40",11000,IF(K20="OUT",9600,IF(K20="F08",15400,IF(K20="P08",11100,IF(K20="F06",14100,IF(K20="P06",17100,IF(K20="F03",17000,IF(K20="P03",19100,IF(K20="MON",10000,IF(K20="MON G57",10000,0))))))))))))))))))))))</f>
        <v>2000</v>
      </c>
      <c r="P12" s="92"/>
      <c r="Q12" s="92"/>
      <c r="R12" s="92"/>
      <c r="S12" s="92"/>
      <c r="T12" s="92"/>
      <c r="U12" s="92"/>
      <c r="V12" s="92"/>
      <c r="W12" s="92"/>
      <c r="X12" s="92"/>
      <c r="Y12" s="92"/>
      <c r="Z12" s="86" t="s">
        <v>83</v>
      </c>
      <c r="AA12" s="86" t="s">
        <v>84</v>
      </c>
    </row>
    <row r="13" spans="1:28" ht="24.6" x14ac:dyDescent="0.4">
      <c r="A13" s="8">
        <f>B8*1.26582</f>
        <v>161898.378</v>
      </c>
      <c r="B13" s="37" t="s">
        <v>23</v>
      </c>
      <c r="C13" s="20" t="s">
        <v>17</v>
      </c>
      <c r="D13" s="36">
        <f>IF(C13="YES",2000,IF(C13="NO",0))</f>
        <v>0</v>
      </c>
      <c r="E13" s="47"/>
      <c r="F13" s="47" t="s">
        <v>75</v>
      </c>
      <c r="G13" s="40"/>
      <c r="H13" s="33">
        <v>315</v>
      </c>
      <c r="I13" s="21"/>
      <c r="J13" s="44" t="s">
        <v>54</v>
      </c>
      <c r="K13" s="29" t="s">
        <v>79</v>
      </c>
      <c r="L13" s="29" t="s">
        <v>25</v>
      </c>
      <c r="M13" s="29" t="s">
        <v>0</v>
      </c>
      <c r="N13" s="49" t="s">
        <v>26</v>
      </c>
      <c r="O13" s="98">
        <f>IF(M21="3000-4999",6%,IF(M21="5000-9999",4.75%,IF(M21="10000-14999",3.15%,IF(M21="15000-24999",2.5%,IF(M21="25000-34999",2.25%,IF(M21="35000-99999",2.25%))))))</f>
        <v>4.7500000000000001E-2</v>
      </c>
      <c r="Q13" s="83">
        <f>H7/12</f>
        <v>2495.4809250000003</v>
      </c>
      <c r="U13" s="9">
        <f>IF(M21="3000-4999",6%,IF(M21="5000-9999",3.25%,IF(M21="10000-14999",3%,IF(M21="15000-24999",2.25%,IF(M21="25000-34999",2.15%,IF(M21="35000-99999",1.99%))))))</f>
        <v>3.2500000000000001E-2</v>
      </c>
      <c r="Z13" s="99">
        <f>IF(M21="5000-9999",2.49%,IF(M21="10000-19999",2.19%,IF(M21="20000-34999",2.09%,IF(M21="35000-49999",1.89%,IF(M21="50000-99999",1.79%)))))</f>
        <v>2.4900000000000002E-2</v>
      </c>
      <c r="AA13" s="99">
        <f>IF(M21="5000-9999",2.59%,IF(M21="10000-19999",2.29%,IF(M21="20000-34999",2.19%,IF(M21="35000-49999",1.99%,IF(M21="50000-99999",1.89%)))))</f>
        <v>2.5899999999999999E-2</v>
      </c>
    </row>
    <row r="14" spans="1:28" ht="24.6" x14ac:dyDescent="0.4">
      <c r="A14" s="10" t="s">
        <v>27</v>
      </c>
      <c r="B14" s="37" t="s">
        <v>24</v>
      </c>
      <c r="C14" s="20" t="s">
        <v>19</v>
      </c>
      <c r="D14" s="50">
        <f>IF(C14="YES",U19*3.15*1.05/100,IF(C14="NO",U19*0/100))</f>
        <v>4646.7067500000003</v>
      </c>
      <c r="E14" s="48"/>
      <c r="F14" s="48" t="s">
        <v>24</v>
      </c>
      <c r="G14" s="51" t="s">
        <v>17</v>
      </c>
      <c r="H14" s="39">
        <f>IF(G14="YES",U19*3.15*1.05/100,IF(G14="NO",U19*0/100))</f>
        <v>0</v>
      </c>
      <c r="I14" s="21"/>
      <c r="J14" s="44" t="s">
        <v>55</v>
      </c>
      <c r="K14" s="44">
        <f>(H8*K12+H8)/3</f>
        <v>9981.9237000000012</v>
      </c>
      <c r="L14" s="44">
        <f>(H8*L12+H8)/12</f>
        <v>2626.4936735625001</v>
      </c>
      <c r="M14" s="44">
        <f>(H8*M12+H8)/24</f>
        <v>1404.955760775</v>
      </c>
      <c r="N14" s="52">
        <f>(H7*N12+H7)/60</f>
        <v>630.10893356250006</v>
      </c>
      <c r="O14" s="98">
        <f>IF(M21="3000-4999",3.89%,IF(M21="5000-9999",3.89%,IF(M21="10000-14999",3.89%,IF(M21="15000-24999",2.69%,IF(M21="25000-34999",2.69%,IF(M21="35000-99999",2.39%,IF(M21="76000-99999",2.19%)))))))</f>
        <v>3.8900000000000004E-2</v>
      </c>
    </row>
    <row r="15" spans="1:28" ht="24.6" x14ac:dyDescent="0.4">
      <c r="A15" s="11">
        <f>(B7*3%)+10+120</f>
        <v>3967</v>
      </c>
      <c r="B15" s="37" t="s">
        <v>28</v>
      </c>
      <c r="C15" s="20" t="s">
        <v>19</v>
      </c>
      <c r="D15" s="29">
        <f>IF(C15="YES",O10,IF(C15="NO",0))</f>
        <v>4592.1487500000003</v>
      </c>
      <c r="E15" s="48"/>
      <c r="F15" s="48" t="s">
        <v>53</v>
      </c>
      <c r="G15" s="51" t="s">
        <v>17</v>
      </c>
      <c r="H15" s="39">
        <f>IF(G15="YES",O10,IF(G15="NO",0))</f>
        <v>0</v>
      </c>
      <c r="I15" s="21"/>
      <c r="J15" s="44"/>
      <c r="K15" s="44"/>
      <c r="L15" s="44"/>
      <c r="M15" s="44"/>
      <c r="N15" s="53"/>
      <c r="O15" s="98" t="b">
        <f>IF(M21="3000-4999",4.99%, IF(M21="5000-11999",2.75%,IF(M21="12000-19999",2.75%,IF(M21="20000-39999",2.25%,IF(M21="40000-69999",2.39%,IF(M21="70000-99999",2.25%))))))</f>
        <v>0</v>
      </c>
      <c r="P15" s="99"/>
    </row>
    <row r="16" spans="1:28" ht="24.6" x14ac:dyDescent="0.4">
      <c r="A16" s="11">
        <f>((B7-B8)*3%+10+120)</f>
        <v>130</v>
      </c>
      <c r="B16" s="37" t="s">
        <v>78</v>
      </c>
      <c r="C16" s="20" t="s">
        <v>19</v>
      </c>
      <c r="D16" s="29">
        <f>IF(C16="YES",O16,IF(C16="NO",0))</f>
        <v>5900</v>
      </c>
      <c r="E16" s="47"/>
      <c r="F16" s="47" t="s">
        <v>74</v>
      </c>
      <c r="G16" s="54"/>
      <c r="H16" s="33">
        <f>I7*1.05%</f>
        <v>1257.7223862000001</v>
      </c>
      <c r="I16" s="21"/>
      <c r="J16" s="44" t="s">
        <v>16</v>
      </c>
      <c r="K16" s="44">
        <f>(K14*3)-H8</f>
        <v>0</v>
      </c>
      <c r="L16" s="44">
        <f>(L14*12)-H8</f>
        <v>1572.1529827500017</v>
      </c>
      <c r="M16" s="44">
        <f>(M14*24)-H8</f>
        <v>3773.1671585999975</v>
      </c>
      <c r="N16" s="53"/>
      <c r="O16" s="92">
        <f>IF(B16="RMC-10-70KMS",O11,IF(B16="RMC-10-100000KMS",V11,IF(B16="RMC-40-70KMS",U11, IF(B16="RMC-10-40KMS",X11, IF(B16="RMC-10-60KMS",Y11, IF(B16="RMC-40-100000KMS",W11,0))))))</f>
        <v>5900</v>
      </c>
    </row>
    <row r="17" spans="1:28" ht="24.6" x14ac:dyDescent="0.4">
      <c r="A17" s="11">
        <f>A15+A16</f>
        <v>4097</v>
      </c>
      <c r="B17" s="37"/>
      <c r="C17" s="20"/>
      <c r="D17" s="29">
        <f>SUM(D10:D16)</f>
        <v>15138.855500000001</v>
      </c>
      <c r="E17" s="33"/>
      <c r="F17" s="33"/>
      <c r="G17" s="33"/>
      <c r="H17" s="33">
        <f>H7+H12+H15+H16</f>
        <v>31803.493486200001</v>
      </c>
      <c r="I17" s="33"/>
      <c r="J17" s="22"/>
      <c r="K17" s="53"/>
      <c r="L17" s="53"/>
      <c r="M17" s="53"/>
      <c r="N17" s="53"/>
      <c r="O17" s="92">
        <f>IF(B11="FO Ceramic+ Intr&amp;Extr CeramicGold WdwTnt",2700,IF(B11="FO Mirror Camera Sensor",2000))</f>
        <v>2700</v>
      </c>
      <c r="T17" s="86">
        <f>19615-791</f>
        <v>18824</v>
      </c>
    </row>
    <row r="18" spans="1:28" ht="24.6" x14ac:dyDescent="0.4">
      <c r="A18" s="12" t="s">
        <v>29</v>
      </c>
      <c r="B18" s="55" t="s">
        <v>30</v>
      </c>
      <c r="C18" s="56"/>
      <c r="D18" s="57">
        <v>0</v>
      </c>
      <c r="E18" s="38"/>
      <c r="F18" s="22"/>
      <c r="G18" s="22"/>
      <c r="H18" s="21"/>
      <c r="I18" s="21"/>
      <c r="J18" s="21"/>
      <c r="K18" s="21"/>
      <c r="L18" s="21"/>
      <c r="M18" s="21"/>
      <c r="N18" s="21"/>
      <c r="O18" s="92"/>
      <c r="U18" s="100" t="s">
        <v>52</v>
      </c>
      <c r="V18" s="100" t="s">
        <v>52</v>
      </c>
    </row>
    <row r="19" spans="1:28" ht="24.6" x14ac:dyDescent="0.4">
      <c r="A19" s="11">
        <f>B8*3.15%</f>
        <v>4028.85</v>
      </c>
      <c r="B19" s="58" t="s">
        <v>31</v>
      </c>
      <c r="C19" s="59"/>
      <c r="D19" s="60">
        <f>IF(K21="DIB EXPAT",O13,IF(K21="DIB LOCAL GVH",U13,IF(K21="Emirates NBD",O14,IF(K21="ADCB",O15,IF(K21="ADCB PAY IN 2027",O19,IF(K21="Ajman Bank",O18,IF(K21="SIB STL",Z13,IF(K21="SIB NON STL",AA13,))))))))</f>
        <v>2.4900000000000002E-2</v>
      </c>
      <c r="E19" s="22"/>
      <c r="F19" s="61"/>
      <c r="G19" s="141" t="s">
        <v>73</v>
      </c>
      <c r="H19" s="142"/>
      <c r="I19" s="143"/>
      <c r="J19" s="109">
        <f>H7/365</f>
        <v>82.043208493150686</v>
      </c>
      <c r="K19" s="21"/>
      <c r="L19" s="21"/>
      <c r="M19" s="21"/>
      <c r="N19" s="23">
        <f>D7</f>
        <v>134295</v>
      </c>
      <c r="O19" s="98" t="b">
        <f>IF(M21="5000-11999",3.35%,IF(M21="12000-19999",3.35%,IF(M21="20000-39999",2.85%,IF(M21="40000-69999",2.85%,IF(M21="70000-99999",2.85%)))))</f>
        <v>0</v>
      </c>
      <c r="P19" s="83">
        <f>81400-2500</f>
        <v>78900</v>
      </c>
      <c r="U19" s="101">
        <f>V19</f>
        <v>140490</v>
      </c>
      <c r="V19" s="102">
        <f>(B7+D10+D11+D12+D13+D16)*1.05</f>
        <v>140490</v>
      </c>
      <c r="X19" s="87">
        <f>G7*3.15*1.05/100</f>
        <v>4952.2818956625006</v>
      </c>
      <c r="Y19" s="87">
        <f>G7*3/100+510*1.05</f>
        <v>5027.3656650000003</v>
      </c>
      <c r="Z19" s="87">
        <f>Y19+X19</f>
        <v>9979.6475606625008</v>
      </c>
      <c r="AA19" s="87">
        <f>(Z19)-(D14+D15)</f>
        <v>740.79206066249935</v>
      </c>
      <c r="AB19" s="87">
        <f>AA19*1.25</f>
        <v>925.99007582812419</v>
      </c>
    </row>
    <row r="20" spans="1:28" ht="24.6" x14ac:dyDescent="0.4">
      <c r="A20" s="11"/>
      <c r="B20" s="58" t="s">
        <v>32</v>
      </c>
      <c r="C20" s="62"/>
      <c r="D20" s="63">
        <v>0.2</v>
      </c>
      <c r="E20" s="21"/>
      <c r="F20" s="21"/>
      <c r="G20" s="42"/>
      <c r="H20" s="42"/>
      <c r="I20" s="42"/>
      <c r="J20" s="103"/>
      <c r="K20" s="104" t="s">
        <v>33</v>
      </c>
      <c r="L20" s="104" t="s">
        <v>17</v>
      </c>
      <c r="M20" s="104">
        <f>IF(L20="YES",O12,IF(L20="NO",0))</f>
        <v>0</v>
      </c>
      <c r="N20" s="23">
        <f>B8-M20</f>
        <v>127900</v>
      </c>
      <c r="O20" s="92"/>
      <c r="P20" s="99"/>
      <c r="T20" s="86">
        <f>1992+1084</f>
        <v>3076</v>
      </c>
      <c r="V20" s="83"/>
      <c r="X20" s="87">
        <f>X19-D14</f>
        <v>305.57514566250029</v>
      </c>
      <c r="Y20" s="87">
        <f>Y19-D15</f>
        <v>435.21691499999997</v>
      </c>
      <c r="AA20" s="87">
        <f>X20+Y20</f>
        <v>740.79206066250026</v>
      </c>
    </row>
    <row r="21" spans="1:28" ht="24.6" x14ac:dyDescent="0.4">
      <c r="A21" s="13">
        <f>A19+A20</f>
        <v>4028.85</v>
      </c>
      <c r="B21" s="21"/>
      <c r="C21" s="22"/>
      <c r="D21" s="21"/>
      <c r="E21" s="21"/>
      <c r="F21" s="21"/>
      <c r="G21" s="21"/>
      <c r="H21" s="21"/>
      <c r="I21" s="21"/>
      <c r="J21" s="37" t="s">
        <v>34</v>
      </c>
      <c r="K21" s="16" t="s">
        <v>83</v>
      </c>
      <c r="L21" s="105" t="s">
        <v>35</v>
      </c>
      <c r="M21" s="106" t="s">
        <v>80</v>
      </c>
      <c r="N21" s="111"/>
      <c r="O21" s="92"/>
      <c r="T21" s="86">
        <f>25973-12973</f>
        <v>13000</v>
      </c>
    </row>
    <row r="22" spans="1:28" ht="24.6" x14ac:dyDescent="0.4">
      <c r="A22" s="13"/>
      <c r="B22" s="130" t="s">
        <v>51</v>
      </c>
      <c r="C22" s="131"/>
      <c r="D22" s="131"/>
      <c r="E22" s="131"/>
      <c r="F22" s="131"/>
      <c r="G22" s="131"/>
      <c r="H22" s="131"/>
      <c r="I22" s="131"/>
      <c r="J22" s="131"/>
      <c r="K22" s="131"/>
      <c r="L22" s="131"/>
      <c r="M22" s="131"/>
      <c r="N22" s="132"/>
      <c r="O22" s="92"/>
    </row>
    <row r="23" spans="1:28" ht="25.2" x14ac:dyDescent="0.45">
      <c r="A23" s="14" t="s">
        <v>36</v>
      </c>
      <c r="B23" s="64" t="s">
        <v>57</v>
      </c>
      <c r="C23" s="65"/>
      <c r="D23" s="65"/>
      <c r="E23" s="65"/>
      <c r="F23" s="65"/>
      <c r="G23" s="65"/>
      <c r="H23" s="66"/>
      <c r="I23" s="66"/>
      <c r="J23" s="65"/>
      <c r="K23" s="65"/>
      <c r="L23" s="65"/>
      <c r="M23" s="65"/>
      <c r="N23" s="67"/>
      <c r="O23" s="92">
        <f>N7+K14</f>
        <v>12226.858340130002</v>
      </c>
    </row>
    <row r="24" spans="1:28" ht="25.2" x14ac:dyDescent="0.45">
      <c r="A24" s="14" t="s">
        <v>36</v>
      </c>
      <c r="B24" s="64" t="s">
        <v>58</v>
      </c>
      <c r="C24" s="65"/>
      <c r="D24" s="65"/>
      <c r="E24" s="65"/>
      <c r="F24" s="65"/>
      <c r="G24" s="65"/>
      <c r="H24" s="85">
        <f>H7/365</f>
        <v>82.043208493150686</v>
      </c>
      <c r="I24" s="85">
        <f>H7/365</f>
        <v>82.043208493150686</v>
      </c>
      <c r="J24" s="65"/>
      <c r="K24" s="65"/>
      <c r="L24" s="65"/>
      <c r="M24" s="65"/>
      <c r="N24" s="68"/>
      <c r="O24" s="92"/>
      <c r="P24" s="83">
        <f>1232+480</f>
        <v>1712</v>
      </c>
      <c r="T24" s="86">
        <f>88704/1.05</f>
        <v>84480</v>
      </c>
    </row>
    <row r="25" spans="1:28" ht="25.2" x14ac:dyDescent="0.45">
      <c r="A25" s="14" t="s">
        <v>36</v>
      </c>
      <c r="B25" s="64" t="s">
        <v>59</v>
      </c>
      <c r="C25" s="65"/>
      <c r="D25" s="65"/>
      <c r="E25" s="65"/>
      <c r="F25" s="65"/>
      <c r="G25" s="65"/>
      <c r="H25" s="66"/>
      <c r="I25" s="85">
        <f>I24*365*3</f>
        <v>89837.313300000009</v>
      </c>
      <c r="J25" s="65"/>
      <c r="K25" s="65"/>
      <c r="L25" s="65"/>
      <c r="M25" s="65"/>
      <c r="N25" s="68"/>
      <c r="O25" s="92"/>
      <c r="Q25" s="86">
        <f>79400-5233.33</f>
        <v>74166.67</v>
      </c>
      <c r="R25" s="86">
        <f>Q25*1.05</f>
        <v>77875.003500000006</v>
      </c>
    </row>
    <row r="26" spans="1:28" ht="25.2" x14ac:dyDescent="0.45">
      <c r="A26" s="14" t="s">
        <v>36</v>
      </c>
      <c r="B26" s="64" t="s">
        <v>60</v>
      </c>
      <c r="C26" s="65"/>
      <c r="D26" s="65"/>
      <c r="E26" s="65"/>
      <c r="F26" s="65"/>
      <c r="G26" s="65"/>
      <c r="H26" s="65"/>
      <c r="I26" s="65"/>
      <c r="J26" s="65"/>
      <c r="K26" s="65"/>
      <c r="L26" s="65"/>
      <c r="M26" s="65"/>
      <c r="N26" s="68"/>
      <c r="O26" s="92" t="s">
        <v>37</v>
      </c>
      <c r="R26" s="86">
        <f>R25+2469</f>
        <v>80344.003500000006</v>
      </c>
    </row>
    <row r="27" spans="1:28" ht="25.2" x14ac:dyDescent="0.45">
      <c r="A27" s="14" t="s">
        <v>36</v>
      </c>
      <c r="B27" s="64" t="s">
        <v>61</v>
      </c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8"/>
      <c r="O27" s="92">
        <f>129500-110900</f>
        <v>18600</v>
      </c>
    </row>
    <row r="28" spans="1:28" ht="25.2" x14ac:dyDescent="0.45">
      <c r="B28" s="64" t="s">
        <v>62</v>
      </c>
      <c r="C28" s="65"/>
      <c r="D28" s="65"/>
      <c r="E28" s="65"/>
      <c r="F28" s="65"/>
      <c r="G28" s="65"/>
      <c r="H28" s="65"/>
      <c r="I28" s="65"/>
      <c r="J28" s="65"/>
      <c r="K28" s="65"/>
      <c r="L28" s="65"/>
      <c r="M28" s="65"/>
      <c r="N28" s="68"/>
      <c r="O28" s="92"/>
    </row>
    <row r="29" spans="1:28" ht="25.2" x14ac:dyDescent="0.45">
      <c r="B29" s="64" t="s">
        <v>63</v>
      </c>
      <c r="C29" s="65"/>
      <c r="D29" s="65"/>
      <c r="E29" s="65"/>
      <c r="F29" s="65"/>
      <c r="G29" s="65"/>
      <c r="H29" s="65"/>
      <c r="I29" s="65"/>
      <c r="J29" s="65"/>
      <c r="K29" s="65"/>
      <c r="L29" s="65"/>
      <c r="M29" s="65"/>
      <c r="N29" s="69"/>
      <c r="O29" s="92"/>
    </row>
    <row r="30" spans="1:28" ht="24.6" x14ac:dyDescent="0.4">
      <c r="B30" s="133" t="s">
        <v>38</v>
      </c>
      <c r="C30" s="134"/>
      <c r="D30" s="134"/>
      <c r="E30" s="134"/>
      <c r="F30" s="134"/>
      <c r="G30" s="134"/>
      <c r="H30" s="134"/>
      <c r="I30" s="134"/>
      <c r="J30" s="134"/>
      <c r="K30" s="134"/>
      <c r="L30" s="134"/>
      <c r="M30" s="134"/>
      <c r="N30" s="135"/>
      <c r="O30" s="92"/>
    </row>
    <row r="31" spans="1:28" ht="24.6" x14ac:dyDescent="0.4">
      <c r="B31" s="136"/>
      <c r="C31" s="137"/>
      <c r="D31" s="137"/>
      <c r="E31" s="137"/>
      <c r="F31" s="137"/>
      <c r="G31" s="137"/>
      <c r="H31" s="137"/>
      <c r="I31" s="137"/>
      <c r="J31" s="137"/>
      <c r="K31" s="137"/>
      <c r="L31" s="137"/>
      <c r="M31" s="137"/>
      <c r="N31" s="138"/>
      <c r="O31" s="92"/>
    </row>
    <row r="32" spans="1:28" ht="24.6" x14ac:dyDescent="0.4">
      <c r="B32" s="136" t="s">
        <v>39</v>
      </c>
      <c r="C32" s="137"/>
      <c r="D32" s="137"/>
      <c r="E32" s="137"/>
      <c r="F32" s="137"/>
      <c r="G32" s="137"/>
      <c r="H32" s="137"/>
      <c r="I32" s="137"/>
      <c r="J32" s="137"/>
      <c r="K32" s="137"/>
      <c r="L32" s="137"/>
      <c r="M32" s="137"/>
      <c r="N32" s="138"/>
      <c r="O32" s="92"/>
    </row>
    <row r="33" spans="2:16" ht="24.6" x14ac:dyDescent="0.4">
      <c r="B33" s="136" t="s">
        <v>40</v>
      </c>
      <c r="C33" s="137"/>
      <c r="D33" s="137"/>
      <c r="E33" s="137"/>
      <c r="F33" s="137"/>
      <c r="G33" s="137"/>
      <c r="H33" s="137"/>
      <c r="I33" s="137"/>
      <c r="J33" s="137"/>
      <c r="K33" s="137"/>
      <c r="L33" s="137"/>
      <c r="M33" s="137"/>
      <c r="N33" s="138"/>
      <c r="O33" s="92"/>
    </row>
    <row r="34" spans="2:16" s="112" customFormat="1" ht="24.6" x14ac:dyDescent="0.4">
      <c r="B34" s="107" t="s">
        <v>81</v>
      </c>
      <c r="C34" s="108"/>
      <c r="D34" s="108"/>
      <c r="E34" s="108"/>
      <c r="F34" s="108"/>
      <c r="G34" s="113"/>
      <c r="H34" s="113"/>
      <c r="I34" s="108"/>
      <c r="J34" s="108"/>
      <c r="K34" s="108"/>
      <c r="L34" s="108"/>
      <c r="M34" s="114" t="s">
        <v>82</v>
      </c>
      <c r="N34" s="116" t="b">
        <f>IF(M34="ALAA",507963328, IF(M34="BACHIR",525246969,IF(M34="JIHAN",566201266, IF(M34="RAMY",505277871, IF(M34="SIMON",505140337,IF(M34="SUJITH",551079817, IF(M34="PRAVEEN",506367792,IF(M34="MHAREN",529224059, IF(M34="MOSSALLEM",505185577,IF(M34="RANJITH",554989288, IF(M34="KHALED",552319494)))))))))))</f>
        <v>0</v>
      </c>
      <c r="O34" s="115"/>
      <c r="P34" s="115"/>
    </row>
    <row r="35" spans="2:16" x14ac:dyDescent="0.35">
      <c r="B35" s="70"/>
      <c r="C35" s="71"/>
      <c r="D35" s="71"/>
      <c r="E35" s="71"/>
      <c r="F35" s="71"/>
      <c r="G35" s="71"/>
      <c r="H35" s="71"/>
      <c r="I35" s="71"/>
      <c r="J35" s="71"/>
      <c r="K35" s="71"/>
      <c r="L35" s="71"/>
      <c r="M35" s="71"/>
      <c r="N35" s="72"/>
    </row>
    <row r="36" spans="2:16" x14ac:dyDescent="0.35">
      <c r="B36" s="70"/>
      <c r="C36" s="71"/>
      <c r="D36" s="71"/>
      <c r="E36" s="71"/>
      <c r="F36" s="71"/>
      <c r="G36" s="71"/>
      <c r="H36" s="71"/>
      <c r="I36" s="71"/>
      <c r="J36" s="71"/>
      <c r="K36" s="71"/>
      <c r="L36" s="71"/>
      <c r="M36" s="71"/>
      <c r="N36" s="72"/>
    </row>
    <row r="37" spans="2:16" x14ac:dyDescent="0.35">
      <c r="B37" s="70"/>
      <c r="C37" s="71"/>
      <c r="D37" s="71"/>
      <c r="E37" s="71"/>
      <c r="F37" s="71"/>
      <c r="G37" s="71"/>
      <c r="H37" s="71"/>
      <c r="I37" s="71"/>
      <c r="J37" s="71"/>
      <c r="K37" s="71"/>
      <c r="L37" s="71"/>
      <c r="M37" s="71"/>
      <c r="N37" s="72"/>
    </row>
    <row r="38" spans="2:16" ht="21" x14ac:dyDescent="0.4">
      <c r="B38" s="73" t="s">
        <v>64</v>
      </c>
      <c r="C38" s="74"/>
      <c r="D38" s="75"/>
      <c r="E38" s="76"/>
      <c r="F38" s="76"/>
      <c r="G38" s="76"/>
      <c r="H38" s="76"/>
      <c r="I38" s="76"/>
      <c r="J38" s="77"/>
      <c r="K38" s="76"/>
      <c r="L38" s="76"/>
      <c r="M38" s="76"/>
      <c r="N38" s="78"/>
    </row>
    <row r="39" spans="2:16" ht="21" x14ac:dyDescent="0.4">
      <c r="B39" s="73" t="s">
        <v>65</v>
      </c>
      <c r="C39" s="79"/>
      <c r="D39" s="75"/>
      <c r="E39" s="76"/>
      <c r="F39" s="76"/>
      <c r="G39" s="76"/>
      <c r="H39" s="76"/>
      <c r="I39" s="76"/>
      <c r="J39" s="77"/>
      <c r="K39" s="76"/>
      <c r="L39" s="76"/>
      <c r="M39" s="76"/>
      <c r="N39" s="80"/>
    </row>
    <row r="40" spans="2:16" ht="21" x14ac:dyDescent="0.35">
      <c r="B40" s="73" t="s">
        <v>66</v>
      </c>
      <c r="C40" s="81"/>
      <c r="D40" s="76"/>
      <c r="E40" s="76"/>
      <c r="F40" s="76"/>
      <c r="G40" s="76"/>
      <c r="H40" s="76"/>
      <c r="I40" s="76"/>
      <c r="J40" s="77"/>
      <c r="K40" s="76"/>
      <c r="L40" s="76"/>
      <c r="M40" s="76"/>
      <c r="N40" s="80"/>
    </row>
    <row r="41" spans="2:16" ht="21" x14ac:dyDescent="0.35">
      <c r="B41" s="73" t="s">
        <v>67</v>
      </c>
      <c r="C41" s="82"/>
      <c r="D41" s="83"/>
      <c r="E41" s="83"/>
      <c r="F41" s="83"/>
      <c r="G41" s="83"/>
      <c r="H41" s="83"/>
      <c r="I41" s="83"/>
      <c r="J41" s="83"/>
      <c r="K41" s="83"/>
      <c r="L41" s="83"/>
      <c r="M41" s="83"/>
      <c r="N41" s="84"/>
    </row>
    <row r="42" spans="2:16" ht="21" x14ac:dyDescent="0.35">
      <c r="B42" s="73" t="s">
        <v>77</v>
      </c>
      <c r="C42" s="82"/>
      <c r="D42" s="83"/>
      <c r="E42" s="83"/>
      <c r="F42" s="83"/>
      <c r="G42" s="83"/>
      <c r="H42" s="83"/>
      <c r="I42" s="83"/>
      <c r="J42" s="83"/>
      <c r="K42" s="83"/>
      <c r="L42" s="83"/>
      <c r="M42" s="83"/>
      <c r="N42" s="84"/>
    </row>
    <row r="43" spans="2:16" ht="21" x14ac:dyDescent="0.35">
      <c r="B43" s="73" t="s">
        <v>68</v>
      </c>
      <c r="C43" s="82"/>
      <c r="D43" s="83"/>
      <c r="E43" s="83"/>
      <c r="F43" s="83"/>
      <c r="G43" s="83"/>
      <c r="H43" s="83"/>
      <c r="I43" s="83"/>
      <c r="J43" s="83"/>
      <c r="K43" s="83"/>
      <c r="L43" s="83"/>
      <c r="M43" s="83"/>
      <c r="N43" s="84"/>
    </row>
    <row r="44" spans="2:16" ht="21" x14ac:dyDescent="0.35">
      <c r="B44" s="73" t="s">
        <v>69</v>
      </c>
      <c r="C44" s="82"/>
      <c r="D44" s="83"/>
      <c r="E44" s="83"/>
      <c r="F44" s="83"/>
      <c r="G44" s="83"/>
      <c r="H44" s="83"/>
      <c r="I44" s="83"/>
      <c r="J44" s="83"/>
      <c r="K44" s="83"/>
      <c r="L44" s="83"/>
      <c r="M44" s="83"/>
      <c r="N44" s="84"/>
    </row>
    <row r="45" spans="2:16" ht="21" x14ac:dyDescent="0.35">
      <c r="B45" s="73" t="s">
        <v>70</v>
      </c>
      <c r="C45" s="82"/>
      <c r="D45" s="83"/>
      <c r="E45" s="83"/>
      <c r="F45" s="83"/>
      <c r="G45" s="83"/>
      <c r="H45" s="83"/>
      <c r="I45" s="83"/>
      <c r="J45" s="83"/>
      <c r="K45" s="83"/>
      <c r="L45" s="83"/>
      <c r="M45" s="83"/>
      <c r="N45" s="84"/>
    </row>
    <row r="46" spans="2:16" ht="21" x14ac:dyDescent="0.35">
      <c r="B46" s="73" t="s">
        <v>71</v>
      </c>
      <c r="C46" s="82"/>
      <c r="D46" s="83"/>
      <c r="E46" s="83"/>
      <c r="F46" s="83"/>
      <c r="G46" s="83"/>
      <c r="H46" s="83"/>
      <c r="I46" s="83"/>
      <c r="J46" s="83"/>
      <c r="K46" s="83"/>
      <c r="L46" s="83"/>
      <c r="M46" s="83"/>
      <c r="N46" s="84"/>
    </row>
    <row r="47" spans="2:16" x14ac:dyDescent="0.35">
      <c r="B47" s="118" t="s">
        <v>39</v>
      </c>
      <c r="C47" s="119"/>
      <c r="D47" s="119"/>
      <c r="E47" s="119"/>
      <c r="F47" s="119"/>
      <c r="G47" s="119"/>
      <c r="H47" s="119"/>
      <c r="I47" s="119"/>
      <c r="J47" s="119"/>
      <c r="K47" s="119"/>
      <c r="L47" s="119"/>
      <c r="M47" s="119"/>
      <c r="N47" s="120"/>
      <c r="O47" s="92"/>
    </row>
    <row r="48" spans="2:16" x14ac:dyDescent="0.35">
      <c r="B48" s="118" t="s">
        <v>40</v>
      </c>
      <c r="C48" s="119"/>
      <c r="D48" s="119"/>
      <c r="E48" s="119"/>
      <c r="F48" s="119"/>
      <c r="G48" s="119"/>
      <c r="H48" s="119"/>
      <c r="I48" s="119"/>
      <c r="J48" s="119"/>
      <c r="K48" s="119"/>
      <c r="L48" s="119"/>
      <c r="M48" s="119"/>
      <c r="N48" s="120"/>
      <c r="O48" s="92"/>
    </row>
    <row r="49" spans="2:14" x14ac:dyDescent="0.35">
      <c r="B49" s="118" t="s">
        <v>72</v>
      </c>
      <c r="C49" s="119"/>
      <c r="D49" s="119"/>
      <c r="E49" s="119"/>
      <c r="F49" s="119"/>
      <c r="G49" s="119"/>
      <c r="H49" s="119"/>
      <c r="I49" s="119"/>
      <c r="J49" s="119"/>
      <c r="K49" s="119"/>
      <c r="L49" s="119"/>
      <c r="M49" s="119"/>
      <c r="N49" s="120"/>
    </row>
    <row r="50" spans="2:14" ht="25.8" x14ac:dyDescent="0.35">
      <c r="C50" s="15" t="s">
        <v>41</v>
      </c>
    </row>
    <row r="51" spans="2:14" ht="25.8" x14ac:dyDescent="0.35">
      <c r="C51" s="15" t="s">
        <v>42</v>
      </c>
    </row>
    <row r="52" spans="2:14" ht="25.8" x14ac:dyDescent="0.35">
      <c r="C52" s="15" t="s">
        <v>43</v>
      </c>
    </row>
    <row r="53" spans="2:14" ht="25.8" x14ac:dyDescent="0.35">
      <c r="C53" s="15" t="s">
        <v>44</v>
      </c>
    </row>
    <row r="54" spans="2:14" ht="25.8" x14ac:dyDescent="0.35">
      <c r="C54" s="15" t="s">
        <v>45</v>
      </c>
    </row>
  </sheetData>
  <mergeCells count="12">
    <mergeCell ref="B49:N49"/>
    <mergeCell ref="B1:N4"/>
    <mergeCell ref="F8:G8"/>
    <mergeCell ref="F9:G9"/>
    <mergeCell ref="G19:I19"/>
    <mergeCell ref="B22:N22"/>
    <mergeCell ref="B30:N30"/>
    <mergeCell ref="B31:N31"/>
    <mergeCell ref="B32:N32"/>
    <mergeCell ref="B33:N33"/>
    <mergeCell ref="B47:N47"/>
    <mergeCell ref="B48:N48"/>
  </mergeCells>
  <dataValidations count="11">
    <dataValidation type="list" allowBlank="1" showInputMessage="1" showErrorMessage="1" sqref="K21" xr:uid="{39A3A968-4A36-4A88-B186-DF9110935EB6}">
      <formula1>"ADCB,ADCB PAY IN 2027,Ajman Bank,ADIB,DIB EXPAT,DIB LOCAL GVH,Emirates NBD,EIB,FAB,RAK,SIB STL,SIB NON STL"</formula1>
    </dataValidation>
    <dataValidation type="list" allowBlank="1" showInputMessage="1" showErrorMessage="1" sqref="D5" xr:uid="{B3DC00EA-B78A-4842-80F2-B72133ED23BB}">
      <formula1>"MIG09,MIG10,ATG16,ATP16,ATG17,ASG48,ASG43,ASG40,ASG42,ASG44,ASG45,ECG38,ECG37,ECG40,ECG43,XPML,XPHL,XPMLP, XPMLP-01, XC,OTF03,OTP03,OTF06,OTP06, OTP06-01,OTF08, OTP08,MOP57,MOG64,MOG59,MOG59P,MOG61,MOP61"</formula1>
    </dataValidation>
    <dataValidation type="list" allowBlank="1" showInputMessage="1" showErrorMessage="1" sqref="M21" xr:uid="{F7C538F3-8E5A-4884-94F4-DD239EEE26C3}">
      <formula1>"3000-4999,5000-9999,10000-14999,15000-24999,25000-34999,35000-99999,5000-11999,12000-19999,20000-39999,40000-69999,70000-99999"</formula1>
    </dataValidation>
    <dataValidation type="list" allowBlank="1" showInputMessage="1" showErrorMessage="1" sqref="K20" xr:uid="{E16328DD-9165-459B-9025-BB78FCF64921}">
      <formula1>"Esaad,Emirates Platinum,Fazaa,Humat Alwatan,Permissible,ASX,XPMLP,XP,MON,MON G57,OUT,F08,P08,F06,P06,F03,P03,EC,G37,G38,G40,G43"</formula1>
    </dataValidation>
    <dataValidation type="list" allowBlank="1" showInputMessage="1" showErrorMessage="1" sqref="L19:L20 L24:L25 G14:G15 C10:C16 L10 J10" xr:uid="{85EF84BC-2F27-438A-B4E6-8DAE36DFA077}">
      <formula1>"YES,NO"</formula1>
    </dataValidation>
    <dataValidation type="list" allowBlank="1" showInputMessage="1" showErrorMessage="1" sqref="K24" xr:uid="{985FE942-1FB4-405A-9051-540CC0349744}">
      <formula1>"RMC-10-70K,RMC-10-100000K,RMC-40-70K"</formula1>
    </dataValidation>
    <dataValidation type="list" allowBlank="1" showInputMessage="1" showErrorMessage="1" sqref="B16" xr:uid="{22E46612-49B9-4C43-BAE5-451DC7E4A177}">
      <formula1>"RMC-10-40KMS,RMC-10-60KMS,RMC-10-70KMS,RMC-10-100000KMS,RMC-40-70KMS,RMC-40-100000KMS"</formula1>
    </dataValidation>
    <dataValidation type="list" allowBlank="1" showInputMessage="1" showErrorMessage="1" sqref="B12" xr:uid="{C1E79F00-CAB8-47C2-BE7B-179B66D7A167}">
      <formula1>"FO Exterior ceramic All Cars SCOTCHGUARD,FO Mirror Camera Sensor,FO PPF Gold Package "</formula1>
    </dataValidation>
    <dataValidation type="list" allowBlank="1" showInputMessage="1" showErrorMessage="1" sqref="B11" xr:uid="{7E6C600D-85F3-4774-930C-A275E5DC9575}">
      <formula1>"FO Ceramic+ Intr&amp;Extr CeramicGold WdwTnt,FO Mirror Camera Sensor"</formula1>
    </dataValidation>
    <dataValidation type="list" allowBlank="1" showInputMessage="1" showErrorMessage="1" sqref="M34" xr:uid="{2ED1C730-C3B5-48C4-83B5-B65DC03D5C02}">
      <formula1>"Alaa,Bachir ,Khaled,Ramy,Simon,Mharen,Ranjith,Jihan,Praveen,Sujith,Mossallem"</formula1>
    </dataValidation>
    <dataValidation type="list" allowBlank="1" showInputMessage="1" showErrorMessage="1" sqref="H34" xr:uid="{3B2A4928-C7CF-4E0B-8B6B-A30E0D7E19CA}">
      <formula1>"ALAA HAMMAD,KHALED QASSEM,RAMY RAOUF,SIMON LOBO,MHAREN CLEMENTE GARADO"</formula1>
    </dataValidation>
  </dataValidations>
  <pageMargins left="0.23622047244094491" right="0.23622047244094491" top="0.74803149606299213" bottom="0.74803149606299213" header="0.31496062992125984" footer="0.31496062992125984"/>
  <pageSetup paperSize="9" scale="37" orientation="landscape" horizontalDpi="4294967295" verticalDpi="4294967295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B16F3-649A-473F-8D25-924F6E1C25F1}">
  <sheetPr>
    <pageSetUpPr fitToPage="1"/>
  </sheetPr>
  <dimension ref="A1:AB54"/>
  <sheetViews>
    <sheetView topLeftCell="B1" zoomScaleNormal="100" workbookViewId="0">
      <selection activeCell="D5" sqref="D5"/>
    </sheetView>
  </sheetViews>
  <sheetFormatPr defaultColWidth="9.109375" defaultRowHeight="20.399999999999999" x14ac:dyDescent="0.35"/>
  <cols>
    <col min="1" max="1" width="16" style="1" hidden="1" customWidth="1"/>
    <col min="2" max="2" width="75.5546875" style="2" customWidth="1"/>
    <col min="3" max="3" width="25.5546875" style="3" customWidth="1"/>
    <col min="4" max="4" width="25.33203125" style="2" customWidth="1"/>
    <col min="5" max="5" width="22.6640625" style="2" customWidth="1"/>
    <col min="6" max="6" width="21" style="2" customWidth="1"/>
    <col min="7" max="7" width="25" style="2" customWidth="1"/>
    <col min="8" max="8" width="29.44140625" style="2" bestFit="1" customWidth="1"/>
    <col min="9" max="9" width="32.109375" style="2" bestFit="1" customWidth="1"/>
    <col min="10" max="10" width="22" style="2" customWidth="1"/>
    <col min="11" max="11" width="23.33203125" style="2" customWidth="1"/>
    <col min="12" max="12" width="31" style="2" customWidth="1"/>
    <col min="13" max="13" width="23.5546875" style="2" customWidth="1"/>
    <col min="14" max="14" width="21.109375" style="2" customWidth="1"/>
    <col min="15" max="15" width="14.44140625" style="83" bestFit="1" customWidth="1"/>
    <col min="16" max="16" width="21.6640625" style="83" hidden="1" customWidth="1"/>
    <col min="17" max="17" width="14.33203125" style="86" hidden="1" customWidth="1"/>
    <col min="18" max="18" width="12.88671875" style="86" hidden="1" customWidth="1"/>
    <col min="19" max="19" width="13" style="86" hidden="1" customWidth="1"/>
    <col min="20" max="20" width="17.109375" style="86" hidden="1" customWidth="1"/>
    <col min="21" max="21" width="21.5546875" style="86" customWidth="1"/>
    <col min="22" max="22" width="22.88671875" style="86" customWidth="1"/>
    <col min="23" max="26" width="17.109375" style="86" bestFit="1" customWidth="1"/>
    <col min="27" max="27" width="15" style="86" customWidth="1"/>
    <col min="28" max="28" width="14.33203125" style="86" bestFit="1" customWidth="1"/>
    <col min="29" max="16384" width="9.109375" style="1"/>
  </cols>
  <sheetData>
    <row r="1" spans="1:28" ht="15.75" customHeight="1" x14ac:dyDescent="0.35">
      <c r="B1" s="121" t="s">
        <v>46</v>
      </c>
      <c r="C1" s="122"/>
      <c r="D1" s="122"/>
      <c r="E1" s="122"/>
      <c r="F1" s="122"/>
      <c r="G1" s="122"/>
      <c r="H1" s="122"/>
      <c r="I1" s="122"/>
      <c r="J1" s="122"/>
      <c r="K1" s="122"/>
      <c r="L1" s="122"/>
      <c r="M1" s="122"/>
      <c r="N1" s="123"/>
    </row>
    <row r="2" spans="1:28" ht="15.75" customHeight="1" x14ac:dyDescent="0.35">
      <c r="B2" s="124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6"/>
      <c r="Q2" s="83"/>
      <c r="S2" s="87"/>
    </row>
    <row r="3" spans="1:28" ht="15.75" customHeight="1" x14ac:dyDescent="0.35">
      <c r="B3" s="124"/>
      <c r="C3" s="125"/>
      <c r="D3" s="125"/>
      <c r="E3" s="125"/>
      <c r="F3" s="125"/>
      <c r="G3" s="125"/>
      <c r="H3" s="125"/>
      <c r="I3" s="125"/>
      <c r="J3" s="125"/>
      <c r="K3" s="125"/>
      <c r="L3" s="125"/>
      <c r="M3" s="125"/>
      <c r="N3" s="126"/>
      <c r="O3" s="82"/>
      <c r="P3" s="82"/>
      <c r="Q3" s="81"/>
      <c r="R3" s="81"/>
      <c r="S3" s="88" t="e">
        <f>N7+J14</f>
        <v>#VALUE!</v>
      </c>
      <c r="T3" s="88"/>
      <c r="U3" s="81"/>
      <c r="V3" s="81"/>
      <c r="W3" s="81"/>
      <c r="AA3" s="86">
        <f>273000/5</f>
        <v>54600</v>
      </c>
    </row>
    <row r="4" spans="1:28" ht="15.75" customHeight="1" x14ac:dyDescent="0.4">
      <c r="B4" s="127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9"/>
      <c r="O4" s="89" t="s">
        <v>0</v>
      </c>
      <c r="P4" s="89"/>
      <c r="Q4" s="90"/>
      <c r="R4" s="90"/>
      <c r="S4" s="91"/>
      <c r="T4" s="91"/>
      <c r="U4" s="90" t="s">
        <v>1</v>
      </c>
      <c r="V4" s="90" t="s">
        <v>2</v>
      </c>
      <c r="W4" s="90" t="s">
        <v>3</v>
      </c>
    </row>
    <row r="5" spans="1:28" ht="25.2" thickBot="1" x14ac:dyDescent="0.45">
      <c r="B5" s="17">
        <f ca="1">TODAY()</f>
        <v>46215</v>
      </c>
      <c r="C5" s="18" t="str">
        <f>IF(D5="MIG09","Mirage G09",IF(D5="MIG10","MirageG10",IF(D5="ATG16","Attrage G16",IF(D5="ATP16","Attrage P16",IF(D5="ATG17","Attrage G17",IF(D5="ASG48","ASX G48",IF(D5="ASG43","ASX G43", IF(D5="ASG40","ASXG40",IF(D5="ASG42","ASX G42",IF(D5="ASG44","ASX G44",IF(D5="ASG45","ASX G45",IF(D5="ECG38","Eclipse G38",IF(D5="ECG37","Eclipse G37",IF(D5="ECG40","Eclipse G40",IF(D5="ECG43","Eclipse G43",IF(D5="XPML","Xpander ML",IF(D5="XPHL","Xpander HL",IF(D5="XPMLP","Xpander ML P",IF(D5="XPMLP-01","Xpander ML P-01",IF(D5="XC","Xpander Cross", IF(D5="OTF03","Outlander F03",IF(D5="OTP03","Outlander P03",IF(D5="OTF06","Outlander F06",IF(D5="OTP06","Outlander P06",IF(D5="OTP06-01","Outlander P06-01",IF(D5="OTF08","Outlander F08",IF(D5="OTP08","Outlander P08P", IF(D5="MOP57","Montero P57",IF(D5="MOG64","Montero G64",IF(D5="MOG59","Montero G59",IF(D5="MOG59P","Montero G59 P",IF(D5="MOG61","Montero G61",IF(D5="MOP61","Montero P61")))))))))))))))))))))))))))))))))</f>
        <v>Montero G59 P</v>
      </c>
      <c r="D5" s="19" t="s">
        <v>116</v>
      </c>
      <c r="E5" s="20" t="s">
        <v>47</v>
      </c>
      <c r="F5" s="21"/>
      <c r="G5" s="21"/>
      <c r="H5" s="21"/>
      <c r="I5" s="22"/>
      <c r="J5" s="23"/>
      <c r="K5" s="24">
        <v>0</v>
      </c>
      <c r="L5" s="25">
        <v>3.39E-2</v>
      </c>
      <c r="M5" s="25">
        <v>6.7799999999999999E-2</v>
      </c>
      <c r="N5" s="25">
        <v>0.1017</v>
      </c>
      <c r="O5" s="92">
        <f>K7+K14</f>
        <v>13294.388059680001</v>
      </c>
      <c r="S5" s="87"/>
      <c r="U5" s="87">
        <f>L7+L14</f>
        <v>5417.128210013334</v>
      </c>
      <c r="V5" s="87">
        <f>M7+M14</f>
        <v>3623.7211600800001</v>
      </c>
      <c r="W5" s="87">
        <f>N7+N14</f>
        <v>2511.0604766800002</v>
      </c>
    </row>
    <row r="6" spans="1:28" s="5" customFormat="1" ht="128.25" customHeight="1" thickBot="1" x14ac:dyDescent="0.35">
      <c r="A6" s="4" t="s">
        <v>4</v>
      </c>
      <c r="B6" s="26" t="s">
        <v>5</v>
      </c>
      <c r="C6" s="27" t="s">
        <v>6</v>
      </c>
      <c r="D6" s="27" t="s">
        <v>48</v>
      </c>
      <c r="E6" s="27" t="s">
        <v>7</v>
      </c>
      <c r="F6" s="27" t="s">
        <v>8</v>
      </c>
      <c r="G6" s="28" t="s">
        <v>9</v>
      </c>
      <c r="H6" s="28" t="s">
        <v>49</v>
      </c>
      <c r="I6" s="28" t="s">
        <v>10</v>
      </c>
      <c r="J6" s="28" t="s">
        <v>56</v>
      </c>
      <c r="K6" s="28" t="s">
        <v>11</v>
      </c>
      <c r="L6" s="28" t="s">
        <v>12</v>
      </c>
      <c r="M6" s="28" t="s">
        <v>13</v>
      </c>
      <c r="N6" s="28" t="s">
        <v>14</v>
      </c>
      <c r="O6" s="93"/>
      <c r="P6" s="94"/>
      <c r="Q6" s="95"/>
      <c r="R6" s="95"/>
      <c r="S6" s="95"/>
      <c r="T6" s="96"/>
      <c r="U6" s="96">
        <f>N7+L14</f>
        <v>4254.7011166800003</v>
      </c>
      <c r="V6" s="96">
        <f>N7+K14</f>
        <v>10678.927099680001</v>
      </c>
      <c r="W6" s="96"/>
      <c r="X6" s="95"/>
      <c r="Y6" s="95"/>
      <c r="Z6" s="95"/>
      <c r="AA6" s="95"/>
      <c r="AB6" s="95"/>
    </row>
    <row r="7" spans="1:28" ht="25.2" thickBot="1" x14ac:dyDescent="0.45">
      <c r="A7" s="6">
        <f>B8</f>
        <v>110900</v>
      </c>
      <c r="B7" s="29">
        <f>IF(L20="YES",C8*1,IF(L20="NO",B8*1))</f>
        <v>110900</v>
      </c>
      <c r="C7" s="29">
        <f>B7*5/100</f>
        <v>5545</v>
      </c>
      <c r="D7" s="29">
        <f>B7+C7</f>
        <v>116445</v>
      </c>
      <c r="E7" s="29">
        <f>D17</f>
        <v>14033.047999999999</v>
      </c>
      <c r="F7" s="29">
        <f>(C7)+(D10+D11+D12+D13+D16)*5/100</f>
        <v>5840</v>
      </c>
      <c r="G7" s="30">
        <f>B7+E7+F7</f>
        <v>130773.048</v>
      </c>
      <c r="H7" s="29">
        <f>G7*D20</f>
        <v>26154.6096</v>
      </c>
      <c r="I7" s="29">
        <f>(G7-H7)</f>
        <v>104618.4384</v>
      </c>
      <c r="J7" s="30">
        <f>(((I7*D19)*1)+I7)/12</f>
        <v>8935.2864596800009</v>
      </c>
      <c r="K7" s="30">
        <f>(((I7*D19)*2)+I7)/24</f>
        <v>4576.18485968</v>
      </c>
      <c r="L7" s="30">
        <f>(((I7*D19)*3)+I7)/36</f>
        <v>3123.1509930133334</v>
      </c>
      <c r="M7" s="30">
        <f>(((I7*D19)*4)+I7)/48</f>
        <v>2396.6340596800001</v>
      </c>
      <c r="N7" s="30">
        <f>((((I7*D19)*5)+I7)/60)</f>
        <v>1960.7238996800002</v>
      </c>
      <c r="O7" s="92"/>
      <c r="P7" s="83">
        <f>H7+H16</f>
        <v>27253.1032032</v>
      </c>
      <c r="T7" s="87">
        <f>25973/2</f>
        <v>12986.5</v>
      </c>
    </row>
    <row r="8" spans="1:28" ht="24.6" x14ac:dyDescent="0.4">
      <c r="A8" s="7">
        <v>0.2</v>
      </c>
      <c r="B8" s="31">
        <f>IF(D5="MIG09",39900,IF(D5="MIG10",40400,IF(D5="ATG16",40400,IF(D5="ATP16",49900,IF(D5="ATG17",41900,IF(D5="ASG48",63900,IF(D5="ASG43",62900,IF(D5="ASG40",63900,IF(D5="ASG42",68900,IF(D5="ASG44",89900,IF(D5="ASG45",95900,IF(D5="ECG38",73900,IF(D5="ECG37",70900,IF(D5="ECG40",86900,IF(D5="ECG43",91900,IF(D5="XPML",62900,IF(D5="XPHL",62900,IF(D5="XPMLP",69900,IF(D5="XPMLP-01",77800,IF(D5="XC",77900,IF(D5="OTF03",96900,IF(D5="OTP03",79900,IF(D5="OTF06",92900,IF(D5="OTP06",111900,IF(D5="OTP06-01",118900,IF(D5="OTF08",122900,IF(D5="OTP08",109900,IF(D5="MOP57",99900,IF(D5="MOG64",108900,IF(D5="MOG59",116900,IF(D5="MOG59P",110900,IF(D5="MOG61",127900,IF(D5="MOP61",125900)))))))))))))))))))))))))))))))))</f>
        <v>110900</v>
      </c>
      <c r="C8" s="32">
        <f>IF(L20="YES",N20,IF(L20="NO",N20))</f>
        <v>110900</v>
      </c>
      <c r="D8" s="29">
        <v>0</v>
      </c>
      <c r="E8" s="33"/>
      <c r="F8" s="139"/>
      <c r="G8" s="140"/>
      <c r="H8" s="110">
        <f>G7*20/100</f>
        <v>26154.6096</v>
      </c>
      <c r="I8" s="21"/>
      <c r="J8" s="34" t="s">
        <v>15</v>
      </c>
      <c r="K8" s="23">
        <f>(J7*K5+J7)/24</f>
        <v>372.3036024866667</v>
      </c>
      <c r="L8" s="23">
        <f>(J7*L5+J7)/36</f>
        <v>256.61646307397649</v>
      </c>
      <c r="M8" s="23">
        <f>(J7*M5+J7)/48</f>
        <v>198.77289336763135</v>
      </c>
      <c r="N8" s="23">
        <f>(J7*N5+J7)/60</f>
        <v>164.0667515438243</v>
      </c>
      <c r="O8" s="92"/>
      <c r="P8" s="83">
        <f>P7/12</f>
        <v>2271.0919336000002</v>
      </c>
      <c r="T8" s="86">
        <f>25973-12973</f>
        <v>13000</v>
      </c>
    </row>
    <row r="9" spans="1:28" ht="24.6" x14ac:dyDescent="0.4">
      <c r="A9" s="8">
        <f>B8/(100%-A8)</f>
        <v>138625</v>
      </c>
      <c r="B9" s="109">
        <f>B7-B8</f>
        <v>0</v>
      </c>
      <c r="C9" s="35"/>
      <c r="D9" s="36"/>
      <c r="E9" s="33"/>
      <c r="F9" s="139"/>
      <c r="G9" s="140"/>
      <c r="H9" s="33"/>
      <c r="I9" s="37" t="s">
        <v>16</v>
      </c>
      <c r="J9" s="38">
        <f>(J7*12)-(I7)</f>
        <v>2604.9991161600192</v>
      </c>
      <c r="K9" s="38">
        <f>(K7*24)-I7</f>
        <v>5209.9982323199947</v>
      </c>
      <c r="L9" s="38">
        <f>(L7*36)-I7</f>
        <v>7814.9973484799993</v>
      </c>
      <c r="M9" s="38">
        <f>(M7*48)-I7</f>
        <v>10419.996464640004</v>
      </c>
      <c r="N9" s="38">
        <f>(N7*60)-I7</f>
        <v>13024.995580800009</v>
      </c>
      <c r="O9" s="92"/>
      <c r="T9" s="86">
        <f>T8/12</f>
        <v>1083.3333333333333</v>
      </c>
      <c r="Z9" s="86" t="s">
        <v>86</v>
      </c>
    </row>
    <row r="10" spans="1:28" ht="24.6" x14ac:dyDescent="0.4">
      <c r="A10" s="8"/>
      <c r="B10" s="37" t="s">
        <v>50</v>
      </c>
      <c r="C10" s="20" t="s">
        <v>17</v>
      </c>
      <c r="D10" s="36">
        <f>IF(C10="YES",800,IF(C10="NO",0))</f>
        <v>0</v>
      </c>
      <c r="E10" s="39"/>
      <c r="F10" s="40"/>
      <c r="G10" s="40"/>
      <c r="H10" s="33"/>
      <c r="I10" s="44" t="s">
        <v>85</v>
      </c>
      <c r="J10" s="117" t="s">
        <v>19</v>
      </c>
      <c r="K10" s="117">
        <f>IF(J10="YES",Z10,IF(J10="NO",0))</f>
        <v>1000</v>
      </c>
      <c r="L10" s="117"/>
      <c r="M10" s="117"/>
      <c r="N10" s="41">
        <f>(N8*60)-J7</f>
        <v>908.71863294945615</v>
      </c>
      <c r="O10" s="92">
        <f>IF(D5="XC",3690,IF(D5="XPML",3690,IF(D5="XPHL",3690,IF(D5="XPMLP",3690,IF(D5="XPMLP-01",3690,IF(D5="Xpander P",3690,IF(D5="MOP57",(U19*2.75/100+510)*1.05,IF(D5="MOG64",(U19*2.75/100+510)*1.05,IF(D5="MOG59",(U19*2.75/100+510)*1.05,IF(D5="MOG59P",(U19*2.75/100+510)*1.05,IF(D5="MOG61",(U19*2.75/100+510)*1.05,IF(D5="MOP61",(U19*2.75/100+510)*1.05,IF(D5="OTF03",(D7*3/100+510)*1.05,IF(D5="OTP03",(U19*3/100+510)*1.05,IF(D5="OTF06",(U19*3/100+510)*1.05,IF(D5="OTP06",(U19*3/100+510)*1.05,IF(D5="OTP06-01",(U19*3/100+510)*1.05,IF(D5="OTF08",(U19*3/100+510)*1.05,IF(D5="OTP08",(U19*3/100+510)*1.05,IF(D5="ECG38",3625,IF(D5="ECG37",3625,IF(D5="ECG40",(D7*3/100+510)*1.05,IF(D5="ECG43",(D7*3/100+510)*1.05,IF(D5="ASG48",3625,IF(D5="ASG43",3625,IF(D5="ASG40",3625,IF(D5="ASG42",3625,IF(D5="ASG44",3625,IF(D5="ASG45",3625,IF(D5="ASX HL 4WD",3625,IF(D5="ATG16",3625,IF(D5="ATG17",3625,IF(D5="ATP16",3625,IF(D5="Attrage S",3625,IF(D5="MIG09",3625,IF(D5="MIG10",3625,IF(D5="Xpander HL",3690)))))))))))))))))))))))))))))))))))))</f>
        <v>4076.73</v>
      </c>
      <c r="P10" s="97"/>
      <c r="Q10" s="97">
        <f>5.25*3</f>
        <v>15.75</v>
      </c>
      <c r="Z10" s="86">
        <f>IF(D5="MIG09",500,IF(D5="MIG10",500,IF(D5="ATG16",500,IF(D5="ATP16",500,IF(D5="ATG17",500,IF(D5="ASG48",1000,IF(D5="ASG43",1000,IF(D5="ASG40",1000,IF(D5="ASG42",1000,IF(D5="ASG44",1000,IF(D5="ASG45",1000,IF(D5="ECG38",1000,IF(D5="ECG37",1000,IF(D5="ECG40",1000,IF(D5="ECG43",1000,IF(D5="XPML",1000,IF(D5="XPHL",1000,IF(D5="XPMLP",1000,IF(D5="XPMLP-01",1000,IF(D5="XC",1000,IF(D5="OTF03",1000,IF(D5="OTP03",1000,IF(D5="OTF06",1000,IF(D5="OTP06",1000,IF(D5="OTP06-01",1000,IF(D5="OTF08",1000,IF(D5="OTP08",1000,IF(D5="MOP57",1000,IF(D5="MOG64",1000,IF(D5="MOG59",1000,IF(D5="MOG59P",1000,IF(D5="MOG61",1000,IF(D5="MOP61",1000)))))))))))))))))))))))))))))))))</f>
        <v>1000</v>
      </c>
    </row>
    <row r="11" spans="1:28" ht="24.6" x14ac:dyDescent="0.4">
      <c r="A11" s="8"/>
      <c r="B11" s="37" t="s">
        <v>18</v>
      </c>
      <c r="C11" s="20" t="s">
        <v>17</v>
      </c>
      <c r="D11" s="36">
        <f>IF(C11="YES",O17,IF(C11="NO",0))</f>
        <v>0</v>
      </c>
      <c r="E11" s="33"/>
      <c r="F11" s="40"/>
      <c r="G11" s="40"/>
      <c r="H11" s="33"/>
      <c r="I11" s="21"/>
      <c r="J11" s="44" t="s">
        <v>76</v>
      </c>
      <c r="K11" s="44">
        <f>H8-K10</f>
        <v>25154.6096</v>
      </c>
      <c r="L11" s="37"/>
      <c r="M11" s="37"/>
      <c r="N11" s="42"/>
      <c r="O11" s="92">
        <f>IF(D5="XC",6100,IF(D5="XPML",6100,IF(D5="XPHL",6100,IF(D5="XPMLP",6100,IF(D5="XPMLP-01",6100,IF(D5="Xpander P",6100,IF(D5="MOP57",5900,IF(D5="MOG64",5900,IF(D5="MOG59",5900,IF(D5="MOG59P",5900,IF(D5="MOG61",5900,IF(D5="MOP61",5900,IF(D5="OTF03",6700,IF(D5="OTP03",6700,IF(D5="OTF06",6700,IF(D5="OTP06",6700,IF(D5="OTP06-01",6700,IF(D5="OTF08",6700,IF(D5="OTP08",6700,IF(D5="ECG37",6400,IF(D5="ECG38",6400,IF(D5="ECG40",6400,IF(D5="ECG43",6400,IF(D5="ASG48",6600,IF(D5="ASG43",6600,IF(D5="ASG40",6600,IF(D5="ASG42",6600,IF(D5="ASG44",6600,IF(D5="ASG45",6600,IF(D5="ASX HL 4WD",6600,IF(D5="ATG16",5400,IF(D5="ATG17",5400,IF(D5="ATP16",5400,IF(D5="Attrage S",5400,IF(D5="MIG09",5400,IF(D5="MIG10",5400,IF(D5="Xpander HL",6000)))))))))))))))))))))))))))))))))))))</f>
        <v>5900</v>
      </c>
      <c r="P11" s="92"/>
      <c r="Q11" s="92"/>
      <c r="R11" s="92"/>
      <c r="S11" s="92"/>
      <c r="T11" s="92"/>
      <c r="U11" s="92">
        <f>IF(D5="XC",4900,IF(D5="XPML",4900,IF(D5="XPHL",4900,IF(D5="XPMLP",4900,IF(D5="XPMLP-01",4900,IF(D5="Xpander P",4900,IF(D5="MOP57",4600,IF(D5="MOG64",4600,IF(D5="MOG59",4600,IF(D5="MOG59P",4600,IF(D5="MOG61",4600,IF(D5="MOP61",4600,IF(D5="OTF03",5500,IF(D5="OTP03",5500,IF(D5="OTF06",5500,IF(D5="OTP06",5500,IF(D5="OTP06-01",5500,IF(D5="OTF08",5500,IF(D5="OTP08",5500,IF(D5="ECG38",5200,IF(D5="ECG37",5200,IF(D5="ECG40",5200,IF(D5="ECG43",5200,IF(D5="ASG48",5300,IF(D5="ASG43",5300,IF(D5="ASG40",5300,IF(D5="ASG42",5300,IF(D5="ASG44",5300,IF(D5="ASG45",5300,IF(D5="ASX HL",5300,IF(D5="ASX P",5300,IF(D5="ASX HL 4WD",5300,IF(D5="ATG16",4200,IF(D5="ATG17",4200,IF(D5="ATP16",4200,IF(D5="Attrage S",4200,IF(D5="MIG09",4200,IF(D5="MIG10",4200,IF(D5="Xpander HL",4900)))))))))))))))))))))))))))))))))))))))</f>
        <v>4600</v>
      </c>
      <c r="V11" s="92">
        <f>IF(D5="XC",9700,IF(D5="XPML",9700,IF(D5="XPHL",9700,IF(D5="XPMLP",9700,IF(D5="XPMLP-01",9700,IF(D5="XPMLP-01",9700,IF(D5="Xpander P",9700,IF(D5="MOP57",9300,IF(D5="MG64",9300,IF(D5="MOG59",9300,IF(D5="MOG59P",9300,IF(D5="MOG61",9300,IF(D5="MOP61",9300,IF(D5="OTF03",11000,IF(D5="OTP03",11000,IF(D5="OTF06",11000,IF(D5="OTP06",11000,IF(D5="OTP06-01",11000,IF(D5="OTF08",11000,IF(D5="OTP08",11000,IF(D5="ECG38",10400,IF(D5="ECG37",10400,IF(D5="ECG40",10400,IF(D5="ECG43",10400,IF(D5="ASG48",10700,IF(D5="ASG43",10700,IF(D5="ASG40",10700,IF(D5="ASG42",10700,IF(D5="ASG44",10800,IF(D5="ASG45",10800,IF(D5="ASX HL",12200,IF(D5="ASX P",12200,IF(D5="ASX HL 4WD",12200,IF(D5="ATG16",8500,IF(D5="ATG17",8500,IF(D5="ATP16",8500,IF(D5="Attrage S",9600,IF(D5="MIG09",8500,IF(D5="MIG10",8500,IF(D5="Xpander HL",11300))))))))))))))))))))))))))))))))))))))))</f>
        <v>9300</v>
      </c>
      <c r="W11" s="92">
        <f>IF(D5="XC",9200,IF(D5="XPML",9200,IF(D5="XPHL",9200,IF(D5="XPMLP",9200,IF(D5="XPMLP-01",9200,IF(D5="Xpander P",9200,IF(D5="MOP57",8700,IF(D5="MOG64",8700,IF(D5="MOG59",8700,IF(D5="MOG59P",8700,IF(D5="MOG61",8700,IF(D5="MOP61",8700,IF(D5="OTF03",10400,IF(D5="OTP03",10400,IF(D5="OTF06",10400,IF(D5="OTP06",10400,IF(D5="OTP06-01",10400,IF(D5="OTF08",10400,IF(D5="OTP08",10400,IF(D5="ECG38",9800,IF(D5="ECG37",9800,IF(D5="ECG40",9800,IF(D5="ECG43",9800,IF(D5="ASG48",10100,IF(D5="ASG43",10100,IF(D5="ASG40",10100,IF(D5="ASG42",10100,IF(D5="ASG44",10100,IF(D5="ASG45",10100,IF(D5="ASX HL",10100,IF(D5="ASX P",10100,IF(D5="ASX HL 4WD",10100,IF(D5="ATG16",7900,IF(D5="ATG17",7900,IF(D5="ATP16",7900,IF(D5="Attrage S",7900,IF(D5="MIG09",7900,IF(D5="MIG10",7900,IF(D5="Xpander HL",9200)))))))))))))))))))))))))))))))))))))))</f>
        <v>8700</v>
      </c>
      <c r="X11" s="92">
        <f>IF(D5="XC",4500,IF(D5="XPML",4500,IF(D5="XPHL",4500,IF(D5="XPMLP",4500,IF(D5="XPMLP-01",4500,IF(D5="Xpander P",4500,IF(D5="MOP57",4300,IF(D5="MOG64",4300,IF(D5="MOG59",4300,IF(D5="MOG59P",4300,IF(D5="MOG61",4300,IF(D5="MOP61",4300,IF(D5="OTF03",5000,IF(D5="OTP03",5000,IF(D5="OTF06",5000,IF(D5="OTP06",5000,IF(D5="OTP06-01",5000,IF(D5="OTF08",5000,IF(D5="OTP08",5000,IF(D5="ECG38",4900,IF(D5="ECG37",4900,IF(D5="ECG40",4900,IF(D5="ECG43",4900,IF(D5="ASG48",4900,IF(D5="ASG43",4900,IF(D5="ASG40",4900,IF(D5="ASG42",4900,IF(D5="ASG44",4900,IF(D5="ASG45",4900,IF(D5="ASX HL",4900,IF(D5="ASX P",4900,IF(D5="ASX HL 4WD",4900,IF(D5="ATG16",3700,IF(D5="ATG17",3700,IF(D5="ATP16",3700,IF(D5="Attrage S",3700,IF(D5="MIG09",3700,IF(D5="MIG10",3700,IF(D5="Xpander HL",4500)))))))))))))))))))))))))))))))))))))))</f>
        <v>4300</v>
      </c>
      <c r="Y11" s="92">
        <f>IF(D5="XC",5400,IF(D5="XPML ",5400,IF(D5="XPHL",5400,IF(D5="XPMLP",5400,IF(D5="XPMLP-01",5400,IF(D5="Xpander P",5400,IF(D5="MOP57",5200,IF(D5="MOG64",5200,IF(D5="MOG59",5200,IF(D5="MOG59P",5200,IF(D5="MOG61",5200,IF(D5="MOP61",5200,IF(D5="OTF03",6000,IF(D5="OTP03",6000,IF(D5="OTF06",6000,IF(D5="OTP06",6000,IF(D5="OTP06-01",6000,IF(D5="OTF08",6000,IF(D5="OTP08",6000,IF(D5="ECG38",5700,IF(D5="ECG37",5700,IF(D5="ECG40",5700,IF(D5="ECG43",5700,IF(D5="ASG48",5900,IF(D5="ASG43",5900,IF(D5="ASG40",5900,IF(D5="ASG42",5900,IF(D5="ASG44",5900,IF(D5="ASG45",5900,IF(D5="ASX HL",5900,IF(D5="ASX P",5900,IF(D5="ASX HL 4WD",5900,IF(D5="ATG16",4500,IF(D5="ATG17",4500,IF(D5="ATP16",4500,IF(D5="Attrage S",4500,IF(D5="MIG09",4500,IF(D5="MIG10",4500,IF(D5="Xpander HL",5400)))))))))))))))))))))))))))))))))))))))</f>
        <v>5200</v>
      </c>
    </row>
    <row r="12" spans="1:28" ht="24.75" customHeight="1" x14ac:dyDescent="0.4">
      <c r="A12" s="8"/>
      <c r="B12" s="37" t="s">
        <v>20</v>
      </c>
      <c r="C12" s="20" t="s">
        <v>17</v>
      </c>
      <c r="D12" s="36">
        <f>IF(C12="YES",2000,IF(C12="NO",0))</f>
        <v>0</v>
      </c>
      <c r="E12" s="43"/>
      <c r="F12" s="43" t="s">
        <v>21</v>
      </c>
      <c r="G12" s="40"/>
      <c r="H12" s="33">
        <v>600</v>
      </c>
      <c r="I12" s="21"/>
      <c r="J12" s="44" t="s">
        <v>22</v>
      </c>
      <c r="K12" s="45">
        <v>0</v>
      </c>
      <c r="L12" s="45">
        <v>5.2499999999999998E-2</v>
      </c>
      <c r="M12" s="45">
        <v>0.126</v>
      </c>
      <c r="N12" s="46">
        <v>0.26250000000000001</v>
      </c>
      <c r="O12" s="92">
        <f>IF(K20="Esaad",B8*3/100,IF(K20="Emirates Platinum",B8*3/100,IF(K20="Fazaa",B8*3/100,IF(K20="Humat Alwatan",B8*3/100,IF(K20="Permissible",2000,IF(K20="ASX",8400,IF(K20="XPMLP",4000,IF(K20="XP",14100,IF(K20="G43",11000,IF(K20="EC",7000,IF(K20="G37",14000,IF(K20="G38",15000,IF(K20="G40",11000,IF(K20="OUT",9600,IF(K20="F08",15400,IF(K20="P08",11100,IF(K20="F06",14100,IF(K20="P06",17100,IF(K20="F03",17000,IF(K20="P03",19100,IF(K20="MON",10000,IF(K20="MON G57",10000,0))))))))))))))))))))))</f>
        <v>2000</v>
      </c>
      <c r="P12" s="92"/>
      <c r="Q12" s="92"/>
      <c r="R12" s="92"/>
      <c r="S12" s="92"/>
      <c r="T12" s="92"/>
      <c r="U12" s="92"/>
      <c r="V12" s="92"/>
      <c r="W12" s="92"/>
      <c r="X12" s="92"/>
      <c r="Y12" s="92"/>
      <c r="Z12" s="86" t="s">
        <v>83</v>
      </c>
      <c r="AA12" s="86" t="s">
        <v>84</v>
      </c>
    </row>
    <row r="13" spans="1:28" ht="24.6" x14ac:dyDescent="0.4">
      <c r="A13" s="8">
        <f>B8*1.26582</f>
        <v>140379.43799999999</v>
      </c>
      <c r="B13" s="37" t="s">
        <v>23</v>
      </c>
      <c r="C13" s="20" t="s">
        <v>17</v>
      </c>
      <c r="D13" s="36">
        <f>IF(C13="YES",2000,IF(C13="NO",0))</f>
        <v>0</v>
      </c>
      <c r="E13" s="47"/>
      <c r="F13" s="47" t="s">
        <v>75</v>
      </c>
      <c r="G13" s="40"/>
      <c r="H13" s="33">
        <v>315</v>
      </c>
      <c r="I13" s="21"/>
      <c r="J13" s="44" t="s">
        <v>54</v>
      </c>
      <c r="K13" s="29" t="s">
        <v>79</v>
      </c>
      <c r="L13" s="29" t="s">
        <v>25</v>
      </c>
      <c r="M13" s="29" t="s">
        <v>0</v>
      </c>
      <c r="N13" s="49" t="s">
        <v>26</v>
      </c>
      <c r="O13" s="98">
        <f>IF(M21="3000-4999",6%,IF(M21="5000-9999",4.75%,IF(M21="10000-14999",3.15%,IF(M21="15000-24999",2.5%,IF(M21="25000-34999",2.25%,IF(M21="35000-99999",2.25%))))))</f>
        <v>4.7500000000000001E-2</v>
      </c>
      <c r="Q13" s="83">
        <f>H7/12</f>
        <v>2179.5508</v>
      </c>
      <c r="U13" s="9">
        <f>IF(M21="3000-4999",6%,IF(M21="5000-9999",3.25%,IF(M21="10000-14999",3%,IF(M21="15000-24999",2.25%,IF(M21="25000-34999",2.15%,IF(M21="35000-99999",1.99%))))))</f>
        <v>3.2500000000000001E-2</v>
      </c>
      <c r="Z13" s="99">
        <f>IF(M21="5000-9999",2.49%,IF(M21="10000-19999",2.19%,IF(M21="20000-34999",2.09%,IF(M21="35000-49999",1.89%,IF(M21="50000-99999",1.79%)))))</f>
        <v>2.4900000000000002E-2</v>
      </c>
      <c r="AA13" s="99">
        <f>IF(M21="5000-9999",2.59%,IF(M21="10000-19999",2.29%,IF(M21="20000-34999",2.19%,IF(M21="35000-49999",1.99%,IF(M21="50000-99999",1.89%)))))</f>
        <v>2.5899999999999999E-2</v>
      </c>
    </row>
    <row r="14" spans="1:28" ht="24.6" x14ac:dyDescent="0.4">
      <c r="A14" s="10" t="s">
        <v>27</v>
      </c>
      <c r="B14" s="37" t="s">
        <v>24</v>
      </c>
      <c r="C14" s="20" t="s">
        <v>19</v>
      </c>
      <c r="D14" s="50">
        <f>IF(C14="YES",U19*3.15*1.05/100,IF(C14="NO",U19*0/100))</f>
        <v>4056.3179999999998</v>
      </c>
      <c r="E14" s="48"/>
      <c r="F14" s="48" t="s">
        <v>24</v>
      </c>
      <c r="G14" s="51" t="s">
        <v>17</v>
      </c>
      <c r="H14" s="39">
        <f>IF(G14="YES",U19*3.15*1.05/100,IF(G14="NO",U19*0/100))</f>
        <v>0</v>
      </c>
      <c r="I14" s="21"/>
      <c r="J14" s="44" t="s">
        <v>55</v>
      </c>
      <c r="K14" s="44">
        <f>(H8*K12+H8)/3</f>
        <v>8718.2031999999999</v>
      </c>
      <c r="L14" s="44">
        <f>(H8*L12+H8)/12</f>
        <v>2293.9772170000001</v>
      </c>
      <c r="M14" s="44">
        <f>(H8*M12+H8)/24</f>
        <v>1227.0871004000001</v>
      </c>
      <c r="N14" s="52">
        <f>(H7*N12+H7)/60</f>
        <v>550.33657700000003</v>
      </c>
      <c r="O14" s="98">
        <f>IF(M21="3000-4999",3.89%,IF(M21="5000-9999",3.89%,IF(M21="10000-14999",3.89%,IF(M21="15000-24999",2.69%,IF(M21="25000-34999",2.69%,IF(M21="35000-99999",2.39%,IF(M21="76000-99999",2.19%)))))))</f>
        <v>3.8900000000000004E-2</v>
      </c>
    </row>
    <row r="15" spans="1:28" ht="24.6" x14ac:dyDescent="0.4">
      <c r="A15" s="11">
        <f>(B7*3%)+10+120</f>
        <v>3457</v>
      </c>
      <c r="B15" s="37" t="s">
        <v>28</v>
      </c>
      <c r="C15" s="20" t="s">
        <v>19</v>
      </c>
      <c r="D15" s="29">
        <f>IF(C15="YES",O10,IF(C15="NO",0))</f>
        <v>4076.73</v>
      </c>
      <c r="E15" s="48"/>
      <c r="F15" s="48" t="s">
        <v>53</v>
      </c>
      <c r="G15" s="51" t="s">
        <v>17</v>
      </c>
      <c r="H15" s="39">
        <f>IF(G15="YES",O10,IF(G15="NO",0))</f>
        <v>0</v>
      </c>
      <c r="I15" s="21"/>
      <c r="J15" s="44"/>
      <c r="K15" s="44"/>
      <c r="L15" s="44"/>
      <c r="M15" s="44"/>
      <c r="N15" s="53"/>
      <c r="O15" s="98" t="b">
        <f>IF(M21="3000-4999",4.99%, IF(M21="5000-11999",2.75%,IF(M21="12000-19999",2.75%,IF(M21="20000-39999",2.25%,IF(M21="40000-69999",2.39%,IF(M21="70000-99999",2.25%))))))</f>
        <v>0</v>
      </c>
      <c r="P15" s="99"/>
    </row>
    <row r="16" spans="1:28" ht="24.6" x14ac:dyDescent="0.4">
      <c r="A16" s="11">
        <f>((B7-B8)*3%+10+120)</f>
        <v>130</v>
      </c>
      <c r="B16" s="37" t="s">
        <v>78</v>
      </c>
      <c r="C16" s="20" t="s">
        <v>19</v>
      </c>
      <c r="D16" s="29">
        <f>IF(C16="YES",O16,IF(C16="NO",0))</f>
        <v>5900</v>
      </c>
      <c r="E16" s="47"/>
      <c r="F16" s="47" t="s">
        <v>74</v>
      </c>
      <c r="G16" s="54"/>
      <c r="H16" s="33">
        <f>I7*1.05%</f>
        <v>1098.4936032000001</v>
      </c>
      <c r="I16" s="21"/>
      <c r="J16" s="44" t="s">
        <v>16</v>
      </c>
      <c r="K16" s="44">
        <f>(K14*3)-H8</f>
        <v>0</v>
      </c>
      <c r="L16" s="44">
        <f>(L14*12)-H8</f>
        <v>1373.1170040000034</v>
      </c>
      <c r="M16" s="44">
        <f>(M14*24)-H8</f>
        <v>3295.4808096000015</v>
      </c>
      <c r="N16" s="53"/>
      <c r="O16" s="92">
        <f>IF(B16="RMC-10-70KMS",O11,IF(B16="RMC-10-100000KMS",V11,IF(B16="RMC-40-70KMS",U11, IF(B16="RMC-10-40KMS",X11, IF(B16="RMC-10-60KMS",Y11, IF(B16="RMC-40-100000KMS",W11,0))))))</f>
        <v>5900</v>
      </c>
    </row>
    <row r="17" spans="1:28" ht="24.6" x14ac:dyDescent="0.4">
      <c r="A17" s="11">
        <f>A15+A16</f>
        <v>3587</v>
      </c>
      <c r="B17" s="37"/>
      <c r="C17" s="20"/>
      <c r="D17" s="29">
        <f>SUM(D10:D16)</f>
        <v>14033.047999999999</v>
      </c>
      <c r="E17" s="33"/>
      <c r="F17" s="33"/>
      <c r="G17" s="33"/>
      <c r="H17" s="33">
        <f>H7+H12+H15+H16</f>
        <v>27853.1032032</v>
      </c>
      <c r="I17" s="33"/>
      <c r="J17" s="22"/>
      <c r="K17" s="53"/>
      <c r="L17" s="53"/>
      <c r="M17" s="53"/>
      <c r="N17" s="53"/>
      <c r="O17" s="92">
        <f>IF(B11="FO Ceramic+ Intr&amp;Extr CeramicGold WdwTnt",2700,IF(B11="FO Mirror Camera Sensor",2000))</f>
        <v>2700</v>
      </c>
      <c r="T17" s="86">
        <f>19615-791</f>
        <v>18824</v>
      </c>
    </row>
    <row r="18" spans="1:28" ht="24.6" x14ac:dyDescent="0.4">
      <c r="A18" s="12" t="s">
        <v>29</v>
      </c>
      <c r="B18" s="55" t="s">
        <v>30</v>
      </c>
      <c r="C18" s="56"/>
      <c r="D18" s="57">
        <v>0</v>
      </c>
      <c r="E18" s="38"/>
      <c r="F18" s="22"/>
      <c r="G18" s="22"/>
      <c r="H18" s="21"/>
      <c r="I18" s="21"/>
      <c r="J18" s="21"/>
      <c r="K18" s="21"/>
      <c r="L18" s="21"/>
      <c r="M18" s="21"/>
      <c r="N18" s="21"/>
      <c r="O18" s="92"/>
      <c r="U18" s="100" t="s">
        <v>52</v>
      </c>
      <c r="V18" s="100" t="s">
        <v>52</v>
      </c>
    </row>
    <row r="19" spans="1:28" ht="24.6" x14ac:dyDescent="0.4">
      <c r="A19" s="11">
        <f>B8*3.15%</f>
        <v>3493.35</v>
      </c>
      <c r="B19" s="58" t="s">
        <v>31</v>
      </c>
      <c r="C19" s="59"/>
      <c r="D19" s="60">
        <f>IF(K21="DIB EXPAT",O13,IF(K21="DIB LOCAL GVH",U13,IF(K21="Emirates NBD",O14,IF(K21="ADCB",O15,IF(K21="ADCB PAY IN 2027",O19,IF(K21="Ajman Bank",O18,IF(K21="SIB STL",Z13,IF(K21="SIB NON STL",AA13,))))))))</f>
        <v>2.4900000000000002E-2</v>
      </c>
      <c r="E19" s="22"/>
      <c r="F19" s="61"/>
      <c r="G19" s="141" t="s">
        <v>73</v>
      </c>
      <c r="H19" s="142"/>
      <c r="I19" s="143"/>
      <c r="J19" s="109">
        <f>H7/365</f>
        <v>71.656464657534244</v>
      </c>
      <c r="K19" s="21"/>
      <c r="L19" s="21"/>
      <c r="M19" s="21"/>
      <c r="N19" s="23">
        <f>D7</f>
        <v>116445</v>
      </c>
      <c r="O19" s="98" t="b">
        <f>IF(M21="5000-11999",3.35%,IF(M21="12000-19999",3.35%,IF(M21="20000-39999",2.85%,IF(M21="40000-69999",2.85%,IF(M21="70000-99999",2.85%)))))</f>
        <v>0</v>
      </c>
      <c r="P19" s="83">
        <f>81400-2500</f>
        <v>78900</v>
      </c>
      <c r="U19" s="101">
        <f>V19</f>
        <v>122640</v>
      </c>
      <c r="V19" s="102">
        <f>(B7+D10+D11+D12+D13+D16)*1.05</f>
        <v>122640</v>
      </c>
      <c r="X19" s="87">
        <f>G7*3.15*1.05/100</f>
        <v>4325.3185625999995</v>
      </c>
      <c r="Y19" s="87">
        <f>G7*3/100+510*1.05</f>
        <v>4458.6914399999996</v>
      </c>
      <c r="Z19" s="87">
        <f>Y19+X19</f>
        <v>8784.0100026</v>
      </c>
      <c r="AA19" s="87">
        <f>(Z19)-(D14+D15)</f>
        <v>650.96200260000023</v>
      </c>
      <c r="AB19" s="87">
        <f>AA19*1.25</f>
        <v>813.70250325000029</v>
      </c>
    </row>
    <row r="20" spans="1:28" ht="24.6" x14ac:dyDescent="0.4">
      <c r="A20" s="11"/>
      <c r="B20" s="58" t="s">
        <v>32</v>
      </c>
      <c r="C20" s="62"/>
      <c r="D20" s="63">
        <v>0.2</v>
      </c>
      <c r="E20" s="21"/>
      <c r="F20" s="21"/>
      <c r="G20" s="42"/>
      <c r="H20" s="42"/>
      <c r="I20" s="42"/>
      <c r="J20" s="103"/>
      <c r="K20" s="104" t="s">
        <v>33</v>
      </c>
      <c r="L20" s="104" t="s">
        <v>17</v>
      </c>
      <c r="M20" s="104">
        <f>IF(L20="YES",O12,IF(L20="NO",0))</f>
        <v>0</v>
      </c>
      <c r="N20" s="23">
        <f>B8-M20</f>
        <v>110900</v>
      </c>
      <c r="O20" s="92"/>
      <c r="P20" s="99"/>
      <c r="T20" s="86">
        <f>1992+1084</f>
        <v>3076</v>
      </c>
      <c r="V20" s="83"/>
      <c r="X20" s="87">
        <f>X19-D14</f>
        <v>269.00056259999974</v>
      </c>
      <c r="Y20" s="87">
        <f>Y19-D15</f>
        <v>381.96143999999958</v>
      </c>
      <c r="AA20" s="87">
        <f>X20+Y20</f>
        <v>650.96200259999932</v>
      </c>
    </row>
    <row r="21" spans="1:28" ht="24.6" x14ac:dyDescent="0.4">
      <c r="A21" s="13">
        <f>A19+A20</f>
        <v>3493.35</v>
      </c>
      <c r="B21" s="21"/>
      <c r="C21" s="22"/>
      <c r="D21" s="21"/>
      <c r="E21" s="21"/>
      <c r="F21" s="21"/>
      <c r="G21" s="21"/>
      <c r="H21" s="21"/>
      <c r="I21" s="21"/>
      <c r="J21" s="37" t="s">
        <v>34</v>
      </c>
      <c r="K21" s="16" t="s">
        <v>83</v>
      </c>
      <c r="L21" s="105" t="s">
        <v>35</v>
      </c>
      <c r="M21" s="106" t="s">
        <v>80</v>
      </c>
      <c r="N21" s="111"/>
      <c r="O21" s="92"/>
      <c r="T21" s="86">
        <f>25973-12973</f>
        <v>13000</v>
      </c>
    </row>
    <row r="22" spans="1:28" ht="24.6" x14ac:dyDescent="0.4">
      <c r="A22" s="13"/>
      <c r="B22" s="130" t="s">
        <v>51</v>
      </c>
      <c r="C22" s="131"/>
      <c r="D22" s="131"/>
      <c r="E22" s="131"/>
      <c r="F22" s="131"/>
      <c r="G22" s="131"/>
      <c r="H22" s="131"/>
      <c r="I22" s="131"/>
      <c r="J22" s="131"/>
      <c r="K22" s="131"/>
      <c r="L22" s="131"/>
      <c r="M22" s="131"/>
      <c r="N22" s="132"/>
      <c r="O22" s="92"/>
    </row>
    <row r="23" spans="1:28" ht="25.2" x14ac:dyDescent="0.45">
      <c r="A23" s="14" t="s">
        <v>36</v>
      </c>
      <c r="B23" s="64" t="s">
        <v>57</v>
      </c>
      <c r="C23" s="65"/>
      <c r="D23" s="65"/>
      <c r="E23" s="65"/>
      <c r="F23" s="65"/>
      <c r="G23" s="65"/>
      <c r="H23" s="66"/>
      <c r="I23" s="66"/>
      <c r="J23" s="65"/>
      <c r="K23" s="65"/>
      <c r="L23" s="65"/>
      <c r="M23" s="65"/>
      <c r="N23" s="67"/>
      <c r="O23" s="92">
        <f>N7+K14</f>
        <v>10678.927099680001</v>
      </c>
    </row>
    <row r="24" spans="1:28" ht="25.2" x14ac:dyDescent="0.45">
      <c r="A24" s="14" t="s">
        <v>36</v>
      </c>
      <c r="B24" s="64" t="s">
        <v>58</v>
      </c>
      <c r="C24" s="65"/>
      <c r="D24" s="65"/>
      <c r="E24" s="65"/>
      <c r="F24" s="65"/>
      <c r="G24" s="65"/>
      <c r="H24" s="85">
        <f>H7/365</f>
        <v>71.656464657534244</v>
      </c>
      <c r="I24" s="85">
        <f>H7/365</f>
        <v>71.656464657534244</v>
      </c>
      <c r="J24" s="65"/>
      <c r="K24" s="65"/>
      <c r="L24" s="65"/>
      <c r="M24" s="65"/>
      <c r="N24" s="68"/>
      <c r="O24" s="92"/>
      <c r="P24" s="83">
        <f>1232+480</f>
        <v>1712</v>
      </c>
      <c r="T24" s="86">
        <f>88704/1.05</f>
        <v>84480</v>
      </c>
    </row>
    <row r="25" spans="1:28" ht="25.2" x14ac:dyDescent="0.45">
      <c r="A25" s="14" t="s">
        <v>36</v>
      </c>
      <c r="B25" s="64" t="s">
        <v>59</v>
      </c>
      <c r="C25" s="65"/>
      <c r="D25" s="65"/>
      <c r="E25" s="65"/>
      <c r="F25" s="65"/>
      <c r="G25" s="65"/>
      <c r="H25" s="66"/>
      <c r="I25" s="85">
        <f>I24*365*3</f>
        <v>78463.828800000003</v>
      </c>
      <c r="J25" s="65"/>
      <c r="K25" s="65"/>
      <c r="L25" s="65"/>
      <c r="M25" s="65"/>
      <c r="N25" s="68"/>
      <c r="O25" s="92"/>
      <c r="Q25" s="86">
        <f>79400-5233.33</f>
        <v>74166.67</v>
      </c>
      <c r="R25" s="86">
        <f>Q25*1.05</f>
        <v>77875.003500000006</v>
      </c>
    </row>
    <row r="26" spans="1:28" ht="25.2" x14ac:dyDescent="0.45">
      <c r="A26" s="14" t="s">
        <v>36</v>
      </c>
      <c r="B26" s="64" t="s">
        <v>60</v>
      </c>
      <c r="C26" s="65"/>
      <c r="D26" s="65"/>
      <c r="E26" s="65"/>
      <c r="F26" s="65"/>
      <c r="G26" s="65"/>
      <c r="H26" s="65"/>
      <c r="I26" s="65"/>
      <c r="J26" s="65"/>
      <c r="K26" s="65"/>
      <c r="L26" s="65"/>
      <c r="M26" s="65"/>
      <c r="N26" s="68"/>
      <c r="O26" s="92" t="s">
        <v>37</v>
      </c>
      <c r="R26" s="86">
        <f>R25+2469</f>
        <v>80344.003500000006</v>
      </c>
    </row>
    <row r="27" spans="1:28" ht="25.2" x14ac:dyDescent="0.45">
      <c r="A27" s="14" t="s">
        <v>36</v>
      </c>
      <c r="B27" s="64" t="s">
        <v>61</v>
      </c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8"/>
      <c r="O27" s="92">
        <f>129500-110900</f>
        <v>18600</v>
      </c>
    </row>
    <row r="28" spans="1:28" ht="25.2" x14ac:dyDescent="0.45">
      <c r="B28" s="64" t="s">
        <v>62</v>
      </c>
      <c r="C28" s="65"/>
      <c r="D28" s="65"/>
      <c r="E28" s="65"/>
      <c r="F28" s="65"/>
      <c r="G28" s="65"/>
      <c r="H28" s="65"/>
      <c r="I28" s="65"/>
      <c r="J28" s="65"/>
      <c r="K28" s="65"/>
      <c r="L28" s="65"/>
      <c r="M28" s="65"/>
      <c r="N28" s="68"/>
      <c r="O28" s="92"/>
    </row>
    <row r="29" spans="1:28" ht="25.2" x14ac:dyDescent="0.45">
      <c r="B29" s="64" t="s">
        <v>63</v>
      </c>
      <c r="C29" s="65"/>
      <c r="D29" s="65"/>
      <c r="E29" s="65"/>
      <c r="F29" s="65"/>
      <c r="G29" s="65"/>
      <c r="H29" s="65"/>
      <c r="I29" s="65"/>
      <c r="J29" s="65"/>
      <c r="K29" s="65"/>
      <c r="L29" s="65"/>
      <c r="M29" s="65"/>
      <c r="N29" s="69"/>
      <c r="O29" s="92"/>
    </row>
    <row r="30" spans="1:28" ht="24.6" x14ac:dyDescent="0.4">
      <c r="B30" s="133" t="s">
        <v>38</v>
      </c>
      <c r="C30" s="134"/>
      <c r="D30" s="134"/>
      <c r="E30" s="134"/>
      <c r="F30" s="134"/>
      <c r="G30" s="134"/>
      <c r="H30" s="134"/>
      <c r="I30" s="134"/>
      <c r="J30" s="134"/>
      <c r="K30" s="134"/>
      <c r="L30" s="134"/>
      <c r="M30" s="134"/>
      <c r="N30" s="135"/>
      <c r="O30" s="92"/>
    </row>
    <row r="31" spans="1:28" ht="24.6" x14ac:dyDescent="0.4">
      <c r="B31" s="136"/>
      <c r="C31" s="137"/>
      <c r="D31" s="137"/>
      <c r="E31" s="137"/>
      <c r="F31" s="137"/>
      <c r="G31" s="137"/>
      <c r="H31" s="137"/>
      <c r="I31" s="137"/>
      <c r="J31" s="137"/>
      <c r="K31" s="137"/>
      <c r="L31" s="137"/>
      <c r="M31" s="137"/>
      <c r="N31" s="138"/>
      <c r="O31" s="92"/>
    </row>
    <row r="32" spans="1:28" ht="24.6" x14ac:dyDescent="0.4">
      <c r="B32" s="136" t="s">
        <v>39</v>
      </c>
      <c r="C32" s="137"/>
      <c r="D32" s="137"/>
      <c r="E32" s="137"/>
      <c r="F32" s="137"/>
      <c r="G32" s="137"/>
      <c r="H32" s="137"/>
      <c r="I32" s="137"/>
      <c r="J32" s="137"/>
      <c r="K32" s="137"/>
      <c r="L32" s="137"/>
      <c r="M32" s="137"/>
      <c r="N32" s="138"/>
      <c r="O32" s="92"/>
    </row>
    <row r="33" spans="2:16" ht="24.6" x14ac:dyDescent="0.4">
      <c r="B33" s="136" t="s">
        <v>40</v>
      </c>
      <c r="C33" s="137"/>
      <c r="D33" s="137"/>
      <c r="E33" s="137"/>
      <c r="F33" s="137"/>
      <c r="G33" s="137"/>
      <c r="H33" s="137"/>
      <c r="I33" s="137"/>
      <c r="J33" s="137"/>
      <c r="K33" s="137"/>
      <c r="L33" s="137"/>
      <c r="M33" s="137"/>
      <c r="N33" s="138"/>
      <c r="O33" s="92"/>
    </row>
    <row r="34" spans="2:16" s="112" customFormat="1" ht="24.6" x14ac:dyDescent="0.4">
      <c r="B34" s="107" t="s">
        <v>81</v>
      </c>
      <c r="C34" s="108"/>
      <c r="D34" s="108"/>
      <c r="E34" s="108"/>
      <c r="F34" s="108"/>
      <c r="G34" s="113"/>
      <c r="H34" s="113"/>
      <c r="I34" s="108"/>
      <c r="J34" s="108"/>
      <c r="K34" s="108"/>
      <c r="L34" s="108"/>
      <c r="M34" s="114" t="s">
        <v>82</v>
      </c>
      <c r="N34" s="116" t="b">
        <f>IF(M34="ALAA",507963328, IF(M34="BACHIR",525246969,IF(M34="JIHAN",566201266, IF(M34="RAMY",505277871, IF(M34="SIMON",505140337,IF(M34="SUJITH",551079817, IF(M34="PRAVEEN",506367792,IF(M34="MHAREN",529224059, IF(M34="MOSSALLEM",505185577,IF(M34="RANJITH",554989288, IF(M34="KHALED",552319494)))))))))))</f>
        <v>0</v>
      </c>
      <c r="O34" s="115"/>
      <c r="P34" s="115"/>
    </row>
    <row r="35" spans="2:16" x14ac:dyDescent="0.35">
      <c r="B35" s="70"/>
      <c r="C35" s="71"/>
      <c r="D35" s="71"/>
      <c r="E35" s="71"/>
      <c r="F35" s="71"/>
      <c r="G35" s="71"/>
      <c r="H35" s="71"/>
      <c r="I35" s="71"/>
      <c r="J35" s="71"/>
      <c r="K35" s="71"/>
      <c r="L35" s="71"/>
      <c r="M35" s="71"/>
      <c r="N35" s="72"/>
    </row>
    <row r="36" spans="2:16" x14ac:dyDescent="0.35">
      <c r="B36" s="70"/>
      <c r="C36" s="71"/>
      <c r="D36" s="71"/>
      <c r="E36" s="71"/>
      <c r="F36" s="71"/>
      <c r="G36" s="71"/>
      <c r="H36" s="71"/>
      <c r="I36" s="71"/>
      <c r="J36" s="71"/>
      <c r="K36" s="71"/>
      <c r="L36" s="71"/>
      <c r="M36" s="71"/>
      <c r="N36" s="72"/>
    </row>
    <row r="37" spans="2:16" x14ac:dyDescent="0.35">
      <c r="B37" s="70"/>
      <c r="C37" s="71"/>
      <c r="D37" s="71"/>
      <c r="E37" s="71"/>
      <c r="F37" s="71"/>
      <c r="G37" s="71"/>
      <c r="H37" s="71"/>
      <c r="I37" s="71"/>
      <c r="J37" s="71"/>
      <c r="K37" s="71"/>
      <c r="L37" s="71"/>
      <c r="M37" s="71"/>
      <c r="N37" s="72"/>
    </row>
    <row r="38" spans="2:16" ht="21" x14ac:dyDescent="0.4">
      <c r="B38" s="73" t="s">
        <v>64</v>
      </c>
      <c r="C38" s="74"/>
      <c r="D38" s="75"/>
      <c r="E38" s="76"/>
      <c r="F38" s="76"/>
      <c r="G38" s="76"/>
      <c r="H38" s="76"/>
      <c r="I38" s="76"/>
      <c r="J38" s="77"/>
      <c r="K38" s="76"/>
      <c r="L38" s="76"/>
      <c r="M38" s="76"/>
      <c r="N38" s="78"/>
    </row>
    <row r="39" spans="2:16" ht="21" x14ac:dyDescent="0.4">
      <c r="B39" s="73" t="s">
        <v>65</v>
      </c>
      <c r="C39" s="79"/>
      <c r="D39" s="75"/>
      <c r="E39" s="76"/>
      <c r="F39" s="76"/>
      <c r="G39" s="76"/>
      <c r="H39" s="76"/>
      <c r="I39" s="76"/>
      <c r="J39" s="77"/>
      <c r="K39" s="76"/>
      <c r="L39" s="76"/>
      <c r="M39" s="76"/>
      <c r="N39" s="80"/>
    </row>
    <row r="40" spans="2:16" ht="21" x14ac:dyDescent="0.35">
      <c r="B40" s="73" t="s">
        <v>66</v>
      </c>
      <c r="C40" s="81"/>
      <c r="D40" s="76"/>
      <c r="E40" s="76"/>
      <c r="F40" s="76"/>
      <c r="G40" s="76"/>
      <c r="H40" s="76"/>
      <c r="I40" s="76"/>
      <c r="J40" s="77"/>
      <c r="K40" s="76"/>
      <c r="L40" s="76"/>
      <c r="M40" s="76"/>
      <c r="N40" s="80"/>
    </row>
    <row r="41" spans="2:16" ht="21" x14ac:dyDescent="0.35">
      <c r="B41" s="73" t="s">
        <v>67</v>
      </c>
      <c r="C41" s="82"/>
      <c r="D41" s="83"/>
      <c r="E41" s="83"/>
      <c r="F41" s="83"/>
      <c r="G41" s="83"/>
      <c r="H41" s="83"/>
      <c r="I41" s="83"/>
      <c r="J41" s="83"/>
      <c r="K41" s="83"/>
      <c r="L41" s="83"/>
      <c r="M41" s="83"/>
      <c r="N41" s="84"/>
    </row>
    <row r="42" spans="2:16" ht="21" x14ac:dyDescent="0.35">
      <c r="B42" s="73" t="s">
        <v>77</v>
      </c>
      <c r="C42" s="82"/>
      <c r="D42" s="83"/>
      <c r="E42" s="83"/>
      <c r="F42" s="83"/>
      <c r="G42" s="83"/>
      <c r="H42" s="83"/>
      <c r="I42" s="83"/>
      <c r="J42" s="83"/>
      <c r="K42" s="83"/>
      <c r="L42" s="83"/>
      <c r="M42" s="83"/>
      <c r="N42" s="84"/>
    </row>
    <row r="43" spans="2:16" ht="21" x14ac:dyDescent="0.35">
      <c r="B43" s="73" t="s">
        <v>68</v>
      </c>
      <c r="C43" s="82"/>
      <c r="D43" s="83"/>
      <c r="E43" s="83"/>
      <c r="F43" s="83"/>
      <c r="G43" s="83"/>
      <c r="H43" s="83"/>
      <c r="I43" s="83"/>
      <c r="J43" s="83"/>
      <c r="K43" s="83"/>
      <c r="L43" s="83"/>
      <c r="M43" s="83"/>
      <c r="N43" s="84"/>
    </row>
    <row r="44" spans="2:16" ht="21" x14ac:dyDescent="0.35">
      <c r="B44" s="73" t="s">
        <v>69</v>
      </c>
      <c r="C44" s="82"/>
      <c r="D44" s="83"/>
      <c r="E44" s="83"/>
      <c r="F44" s="83"/>
      <c r="G44" s="83"/>
      <c r="H44" s="83"/>
      <c r="I44" s="83"/>
      <c r="J44" s="83"/>
      <c r="K44" s="83"/>
      <c r="L44" s="83"/>
      <c r="M44" s="83"/>
      <c r="N44" s="84"/>
    </row>
    <row r="45" spans="2:16" ht="21" x14ac:dyDescent="0.35">
      <c r="B45" s="73" t="s">
        <v>70</v>
      </c>
      <c r="C45" s="82"/>
      <c r="D45" s="83"/>
      <c r="E45" s="83"/>
      <c r="F45" s="83"/>
      <c r="G45" s="83"/>
      <c r="H45" s="83"/>
      <c r="I45" s="83"/>
      <c r="J45" s="83"/>
      <c r="K45" s="83"/>
      <c r="L45" s="83"/>
      <c r="M45" s="83"/>
      <c r="N45" s="84"/>
    </row>
    <row r="46" spans="2:16" ht="21" x14ac:dyDescent="0.35">
      <c r="B46" s="73" t="s">
        <v>71</v>
      </c>
      <c r="C46" s="82"/>
      <c r="D46" s="83"/>
      <c r="E46" s="83"/>
      <c r="F46" s="83"/>
      <c r="G46" s="83"/>
      <c r="H46" s="83"/>
      <c r="I46" s="83"/>
      <c r="J46" s="83"/>
      <c r="K46" s="83"/>
      <c r="L46" s="83"/>
      <c r="M46" s="83"/>
      <c r="N46" s="84"/>
    </row>
    <row r="47" spans="2:16" x14ac:dyDescent="0.35">
      <c r="B47" s="118" t="s">
        <v>39</v>
      </c>
      <c r="C47" s="119"/>
      <c r="D47" s="119"/>
      <c r="E47" s="119"/>
      <c r="F47" s="119"/>
      <c r="G47" s="119"/>
      <c r="H47" s="119"/>
      <c r="I47" s="119"/>
      <c r="J47" s="119"/>
      <c r="K47" s="119"/>
      <c r="L47" s="119"/>
      <c r="M47" s="119"/>
      <c r="N47" s="120"/>
      <c r="O47" s="92"/>
    </row>
    <row r="48" spans="2:16" x14ac:dyDescent="0.35">
      <c r="B48" s="118" t="s">
        <v>40</v>
      </c>
      <c r="C48" s="119"/>
      <c r="D48" s="119"/>
      <c r="E48" s="119"/>
      <c r="F48" s="119"/>
      <c r="G48" s="119"/>
      <c r="H48" s="119"/>
      <c r="I48" s="119"/>
      <c r="J48" s="119"/>
      <c r="K48" s="119"/>
      <c r="L48" s="119"/>
      <c r="M48" s="119"/>
      <c r="N48" s="120"/>
      <c r="O48" s="92"/>
    </row>
    <row r="49" spans="2:14" x14ac:dyDescent="0.35">
      <c r="B49" s="118" t="s">
        <v>72</v>
      </c>
      <c r="C49" s="119"/>
      <c r="D49" s="119"/>
      <c r="E49" s="119"/>
      <c r="F49" s="119"/>
      <c r="G49" s="119"/>
      <c r="H49" s="119"/>
      <c r="I49" s="119"/>
      <c r="J49" s="119"/>
      <c r="K49" s="119"/>
      <c r="L49" s="119"/>
      <c r="M49" s="119"/>
      <c r="N49" s="120"/>
    </row>
    <row r="50" spans="2:14" ht="25.8" x14ac:dyDescent="0.35">
      <c r="C50" s="15" t="s">
        <v>41</v>
      </c>
    </row>
    <row r="51" spans="2:14" ht="25.8" x14ac:dyDescent="0.35">
      <c r="C51" s="15" t="s">
        <v>42</v>
      </c>
    </row>
    <row r="52" spans="2:14" ht="25.8" x14ac:dyDescent="0.35">
      <c r="C52" s="15" t="s">
        <v>43</v>
      </c>
    </row>
    <row r="53" spans="2:14" ht="25.8" x14ac:dyDescent="0.35">
      <c r="C53" s="15" t="s">
        <v>44</v>
      </c>
    </row>
    <row r="54" spans="2:14" ht="25.8" x14ac:dyDescent="0.35">
      <c r="C54" s="15" t="s">
        <v>45</v>
      </c>
    </row>
  </sheetData>
  <mergeCells count="12">
    <mergeCell ref="B49:N49"/>
    <mergeCell ref="B1:N4"/>
    <mergeCell ref="F8:G8"/>
    <mergeCell ref="F9:G9"/>
    <mergeCell ref="G19:I19"/>
    <mergeCell ref="B22:N22"/>
    <mergeCell ref="B30:N30"/>
    <mergeCell ref="B31:N31"/>
    <mergeCell ref="B32:N32"/>
    <mergeCell ref="B33:N33"/>
    <mergeCell ref="B47:N47"/>
    <mergeCell ref="B48:N48"/>
  </mergeCells>
  <dataValidations count="11">
    <dataValidation type="list" allowBlank="1" showInputMessage="1" showErrorMessage="1" sqref="K21" xr:uid="{3A34869B-1098-490D-81CC-4EC4F53DF94B}">
      <formula1>"ADCB,ADCB PAY IN 2027,Ajman Bank,ADIB,DIB EXPAT,DIB LOCAL GVH,Emirates NBD,EIB,FAB,RAK,SIB STL,SIB NON STL"</formula1>
    </dataValidation>
    <dataValidation type="list" allowBlank="1" showInputMessage="1" showErrorMessage="1" sqref="D5" xr:uid="{748B771D-4F2F-4D4B-99D3-695A4CCEBE16}">
      <formula1>"MIG09,MIG10,ATG16,ATP16,ATG17,ASG48,ASG43,ASG40,ASG42,ASG44,ASG45,ECG38,ECG37,ECG40,ECG43,XPML,XPHL,XPMLP, XPMLP-01, XC,OTF03,OTP03,OTF06,OTP06, OTP06-01,OTF08, OTP08,MOP57,MOG64,MOG59,MOG59P,MOG61,MOP61"</formula1>
    </dataValidation>
    <dataValidation type="list" allowBlank="1" showInputMessage="1" showErrorMessage="1" sqref="M21" xr:uid="{6F31A89A-F5F8-4E80-8787-F978BC8D3DCE}">
      <formula1>"3000-4999,5000-9999,10000-14999,15000-24999,25000-34999,35000-99999,5000-11999,12000-19999,20000-39999,40000-69999,70000-99999"</formula1>
    </dataValidation>
    <dataValidation type="list" allowBlank="1" showInputMessage="1" showErrorMessage="1" sqref="K20" xr:uid="{2D7AAB91-26C7-4EDF-8F9C-DFAF2CA17D48}">
      <formula1>"Esaad,Emirates Platinum,Fazaa,Humat Alwatan,Permissible,ASX,XPMLP,XP,MON,MON G57,OUT,F08,P08,F06,P06,F03,P03,EC,G37,G38,G40,G43"</formula1>
    </dataValidation>
    <dataValidation type="list" allowBlank="1" showInputMessage="1" showErrorMessage="1" sqref="L19:L20 L24:L25 G14:G15 C10:C16 L10 J10" xr:uid="{AEC8E522-FE7B-494F-82AC-E9620E1C48F6}">
      <formula1>"YES,NO"</formula1>
    </dataValidation>
    <dataValidation type="list" allowBlank="1" showInputMessage="1" showErrorMessage="1" sqref="K24" xr:uid="{D67D1BD8-0DB4-4A72-81CD-B99B7AFA6217}">
      <formula1>"RMC-10-70K,RMC-10-100000K,RMC-40-70K"</formula1>
    </dataValidation>
    <dataValidation type="list" allowBlank="1" showInputMessage="1" showErrorMessage="1" sqref="B16" xr:uid="{DA6E7E9A-61D7-43DC-9B8D-47566103AE49}">
      <formula1>"RMC-10-40KMS,RMC-10-60KMS,RMC-10-70KMS,RMC-10-100000KMS,RMC-40-70KMS,RMC-40-100000KMS"</formula1>
    </dataValidation>
    <dataValidation type="list" allowBlank="1" showInputMessage="1" showErrorMessage="1" sqref="B12" xr:uid="{E8369604-F826-48F6-9486-9D61A10F270C}">
      <formula1>"FO Exterior ceramic All Cars SCOTCHGUARD,FO Mirror Camera Sensor,FO PPF Gold Package "</formula1>
    </dataValidation>
    <dataValidation type="list" allowBlank="1" showInputMessage="1" showErrorMessage="1" sqref="B11" xr:uid="{70573CF5-6C26-4966-A91F-E36909B7AC52}">
      <formula1>"FO Ceramic+ Intr&amp;Extr CeramicGold WdwTnt,FO Mirror Camera Sensor"</formula1>
    </dataValidation>
    <dataValidation type="list" allowBlank="1" showInputMessage="1" showErrorMessage="1" sqref="M34" xr:uid="{FCA8F928-6FB9-429E-BDC4-F031414167C2}">
      <formula1>"Alaa,Bachir ,Khaled,Ramy,Simon,Mharen,Ranjith,Jihan,Praveen,Sujith,Mossallem"</formula1>
    </dataValidation>
    <dataValidation type="list" allowBlank="1" showInputMessage="1" showErrorMessage="1" sqref="H34" xr:uid="{33123EFF-869B-4F68-A834-ADE25050786B}">
      <formula1>"ALAA HAMMAD,KHALED QASSEM,RAMY RAOUF,SIMON LOBO,MHAREN CLEMENTE GARADO"</formula1>
    </dataValidation>
  </dataValidations>
  <pageMargins left="0.23622047244094491" right="0.23622047244094491" top="0.74803149606299213" bottom="0.74803149606299213" header="0.31496062992125984" footer="0.31496062992125984"/>
  <pageSetup paperSize="9" scale="37" orientation="landscape" horizontalDpi="4294967295" verticalDpi="4294967295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5CA02A-41D1-4598-8999-5626BF764A9B}">
  <sheetPr>
    <pageSetUpPr fitToPage="1"/>
  </sheetPr>
  <dimension ref="A1:AB54"/>
  <sheetViews>
    <sheetView topLeftCell="B1" zoomScaleNormal="100" workbookViewId="0">
      <selection activeCell="D5" sqref="D5"/>
    </sheetView>
  </sheetViews>
  <sheetFormatPr defaultColWidth="9.109375" defaultRowHeight="20.399999999999999" x14ac:dyDescent="0.35"/>
  <cols>
    <col min="1" max="1" width="16" style="1" hidden="1" customWidth="1"/>
    <col min="2" max="2" width="75.5546875" style="2" customWidth="1"/>
    <col min="3" max="3" width="25.5546875" style="3" customWidth="1"/>
    <col min="4" max="4" width="25.33203125" style="2" customWidth="1"/>
    <col min="5" max="5" width="22.6640625" style="2" customWidth="1"/>
    <col min="6" max="6" width="21" style="2" customWidth="1"/>
    <col min="7" max="7" width="25" style="2" customWidth="1"/>
    <col min="8" max="8" width="29.44140625" style="2" bestFit="1" customWidth="1"/>
    <col min="9" max="9" width="32.109375" style="2" bestFit="1" customWidth="1"/>
    <col min="10" max="10" width="22" style="2" customWidth="1"/>
    <col min="11" max="11" width="23.33203125" style="2" customWidth="1"/>
    <col min="12" max="12" width="31" style="2" customWidth="1"/>
    <col min="13" max="13" width="23.5546875" style="2" customWidth="1"/>
    <col min="14" max="14" width="21.109375" style="2" customWidth="1"/>
    <col min="15" max="15" width="14.44140625" style="83" bestFit="1" customWidth="1"/>
    <col min="16" max="16" width="21.6640625" style="83" hidden="1" customWidth="1"/>
    <col min="17" max="17" width="14.33203125" style="86" hidden="1" customWidth="1"/>
    <col min="18" max="18" width="12.88671875" style="86" hidden="1" customWidth="1"/>
    <col min="19" max="19" width="13" style="86" hidden="1" customWidth="1"/>
    <col min="20" max="20" width="17.109375" style="86" hidden="1" customWidth="1"/>
    <col min="21" max="21" width="21.5546875" style="86" customWidth="1"/>
    <col min="22" max="22" width="22.88671875" style="86" customWidth="1"/>
    <col min="23" max="26" width="17.109375" style="86" bestFit="1" customWidth="1"/>
    <col min="27" max="27" width="15" style="86" customWidth="1"/>
    <col min="28" max="28" width="14.33203125" style="86" bestFit="1" customWidth="1"/>
    <col min="29" max="16384" width="9.109375" style="1"/>
  </cols>
  <sheetData>
    <row r="1" spans="1:28" ht="15.75" customHeight="1" x14ac:dyDescent="0.35">
      <c r="B1" s="121" t="s">
        <v>46</v>
      </c>
      <c r="C1" s="122"/>
      <c r="D1" s="122"/>
      <c r="E1" s="122"/>
      <c r="F1" s="122"/>
      <c r="G1" s="122"/>
      <c r="H1" s="122"/>
      <c r="I1" s="122"/>
      <c r="J1" s="122"/>
      <c r="K1" s="122"/>
      <c r="L1" s="122"/>
      <c r="M1" s="122"/>
      <c r="N1" s="123"/>
    </row>
    <row r="2" spans="1:28" ht="15.75" customHeight="1" x14ac:dyDescent="0.35">
      <c r="B2" s="124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6"/>
      <c r="Q2" s="83"/>
      <c r="S2" s="87"/>
    </row>
    <row r="3" spans="1:28" ht="15.75" customHeight="1" x14ac:dyDescent="0.35">
      <c r="B3" s="124"/>
      <c r="C3" s="125"/>
      <c r="D3" s="125"/>
      <c r="E3" s="125"/>
      <c r="F3" s="125"/>
      <c r="G3" s="125"/>
      <c r="H3" s="125"/>
      <c r="I3" s="125"/>
      <c r="J3" s="125"/>
      <c r="K3" s="125"/>
      <c r="L3" s="125"/>
      <c r="M3" s="125"/>
      <c r="N3" s="126"/>
      <c r="O3" s="82"/>
      <c r="P3" s="82"/>
      <c r="Q3" s="81"/>
      <c r="R3" s="81"/>
      <c r="S3" s="88" t="e">
        <f>N7+J14</f>
        <v>#VALUE!</v>
      </c>
      <c r="T3" s="88"/>
      <c r="U3" s="81"/>
      <c r="V3" s="81"/>
      <c r="W3" s="81"/>
      <c r="AA3" s="86">
        <f>273000/5</f>
        <v>54600</v>
      </c>
    </row>
    <row r="4" spans="1:28" ht="15.75" customHeight="1" x14ac:dyDescent="0.4">
      <c r="B4" s="127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9"/>
      <c r="O4" s="89" t="s">
        <v>0</v>
      </c>
      <c r="P4" s="89"/>
      <c r="Q4" s="90"/>
      <c r="R4" s="90"/>
      <c r="S4" s="91"/>
      <c r="T4" s="91"/>
      <c r="U4" s="90" t="s">
        <v>1</v>
      </c>
      <c r="V4" s="90" t="s">
        <v>2</v>
      </c>
      <c r="W4" s="90" t="s">
        <v>3</v>
      </c>
    </row>
    <row r="5" spans="1:28" ht="25.2" thickBot="1" x14ac:dyDescent="0.45">
      <c r="B5" s="17">
        <f ca="1">TODAY()</f>
        <v>46215</v>
      </c>
      <c r="C5" s="18" t="str">
        <f>IF(D5="MIG09","Mirage G09",IF(D5="MIG10","MirageG10",IF(D5="ATG16","Attrage G16",IF(D5="ATP16","Attrage P16",IF(D5="ATG17","Attrage G17",IF(D5="ASG48","ASX G48",IF(D5="ASG43","ASX G43", IF(D5="ASG40","ASXG40",IF(D5="ASG42","ASX G42",IF(D5="ASG44","ASX G44",IF(D5="ASG45","ASX G45",IF(D5="ECG38","Eclipse G38",IF(D5="ECG37","Eclipse G37",IF(D5="ECG40","Eclipse G40",IF(D5="ECG43","Eclipse G43",IF(D5="XPML","Xpander ML",IF(D5="XPHL","Xpander HL",IF(D5="XPMLP","Xpander ML P",IF(D5="XPMLP-01","Xpander ML P-01",IF(D5="XC","Xpander Cross", IF(D5="OTF03","Outlander F03",IF(D5="OTP03","Outlander P03",IF(D5="OTF06","Outlander F06",IF(D5="OTP06","Outlander P06",IF(D5="OTP06-01","Outlander P06-01",IF(D5="OTF08","Outlander F08",IF(D5="OTP08","Outlander P08P", IF(D5="MOP57","Montero P57",IF(D5="MOG64","Montero G64",IF(D5="MOG59","Montero G59",IF(D5="MOG59P","Montero G59 P",IF(D5="MOG61","Montero G61",IF(D5="MOP61","Montero P61")))))))))))))))))))))))))))))))))</f>
        <v>Montero G59</v>
      </c>
      <c r="D5" s="19" t="s">
        <v>115</v>
      </c>
      <c r="E5" s="20" t="s">
        <v>47</v>
      </c>
      <c r="F5" s="21"/>
      <c r="G5" s="21"/>
      <c r="H5" s="21"/>
      <c r="I5" s="22"/>
      <c r="J5" s="23"/>
      <c r="K5" s="24">
        <v>0</v>
      </c>
      <c r="L5" s="25">
        <v>3.39E-2</v>
      </c>
      <c r="M5" s="25">
        <v>6.7799999999999999E-2</v>
      </c>
      <c r="N5" s="25">
        <v>0.1017</v>
      </c>
      <c r="O5" s="92">
        <f>K7+K14</f>
        <v>13974.522432780002</v>
      </c>
      <c r="S5" s="87"/>
      <c r="U5" s="87">
        <f>L7+L14</f>
        <v>5694.2658324883341</v>
      </c>
      <c r="V5" s="87">
        <f>M7+M14</f>
        <v>3809.1089574300004</v>
      </c>
      <c r="W5" s="87">
        <f>N7+N14</f>
        <v>2639.5250991550001</v>
      </c>
    </row>
    <row r="6" spans="1:28" s="5" customFormat="1" ht="128.25" customHeight="1" thickBot="1" x14ac:dyDescent="0.35">
      <c r="A6" s="4" t="s">
        <v>4</v>
      </c>
      <c r="B6" s="26" t="s">
        <v>5</v>
      </c>
      <c r="C6" s="27" t="s">
        <v>6</v>
      </c>
      <c r="D6" s="27" t="s">
        <v>48</v>
      </c>
      <c r="E6" s="27" t="s">
        <v>7</v>
      </c>
      <c r="F6" s="27" t="s">
        <v>8</v>
      </c>
      <c r="G6" s="28" t="s">
        <v>9</v>
      </c>
      <c r="H6" s="28" t="s">
        <v>49</v>
      </c>
      <c r="I6" s="28" t="s">
        <v>10</v>
      </c>
      <c r="J6" s="28" t="s">
        <v>56</v>
      </c>
      <c r="K6" s="28" t="s">
        <v>11</v>
      </c>
      <c r="L6" s="28" t="s">
        <v>12</v>
      </c>
      <c r="M6" s="28" t="s">
        <v>13</v>
      </c>
      <c r="N6" s="28" t="s">
        <v>14</v>
      </c>
      <c r="O6" s="93"/>
      <c r="P6" s="94"/>
      <c r="Q6" s="95"/>
      <c r="R6" s="95"/>
      <c r="S6" s="95"/>
      <c r="T6" s="96"/>
      <c r="U6" s="96">
        <f>N7+L14</f>
        <v>4472.3695391550009</v>
      </c>
      <c r="V6" s="96">
        <f>N7+K14</f>
        <v>11225.255772780001</v>
      </c>
      <c r="W6" s="96"/>
      <c r="X6" s="95"/>
      <c r="Y6" s="95"/>
      <c r="Z6" s="95"/>
      <c r="AA6" s="95"/>
      <c r="AB6" s="95"/>
    </row>
    <row r="7" spans="1:28" ht="25.2" thickBot="1" x14ac:dyDescent="0.45">
      <c r="A7" s="6">
        <f>B8</f>
        <v>116900</v>
      </c>
      <c r="B7" s="29">
        <f>IF(L20="YES",C8*1,IF(L20="NO",B8*1))</f>
        <v>116900</v>
      </c>
      <c r="C7" s="29">
        <f>B7*5/100</f>
        <v>5845</v>
      </c>
      <c r="D7" s="29">
        <f>B7+C7</f>
        <v>122745</v>
      </c>
      <c r="E7" s="29">
        <f>D17</f>
        <v>14423.333000000001</v>
      </c>
      <c r="F7" s="29">
        <f>(C7)+(D10+D11+D12+D13+D16)*5/100</f>
        <v>6140</v>
      </c>
      <c r="G7" s="30">
        <f>B7+E7+F7</f>
        <v>137463.33300000001</v>
      </c>
      <c r="H7" s="29">
        <f>G7*D20</f>
        <v>27492.666600000004</v>
      </c>
      <c r="I7" s="29">
        <f>(G7-H7)</f>
        <v>109970.66640000002</v>
      </c>
      <c r="J7" s="30">
        <f>(((I7*D19)*1)+I7)/12</f>
        <v>9392.4113327800023</v>
      </c>
      <c r="K7" s="30">
        <f>(((I7*D19)*2)+I7)/24</f>
        <v>4810.3002327800014</v>
      </c>
      <c r="L7" s="30">
        <f>(((I7*D19)*3)+I7)/36</f>
        <v>3282.9298661133339</v>
      </c>
      <c r="M7" s="30">
        <f>(((I7*D19)*4)+I7)/48</f>
        <v>2519.2446827800004</v>
      </c>
      <c r="N7" s="30">
        <f>((((I7*D19)*5)+I7)/60)</f>
        <v>2061.0335727800002</v>
      </c>
      <c r="O7" s="92"/>
      <c r="P7" s="83">
        <f>H7+H16</f>
        <v>28647.358597200004</v>
      </c>
      <c r="T7" s="87">
        <f>25973/2</f>
        <v>12986.5</v>
      </c>
    </row>
    <row r="8" spans="1:28" ht="24.6" x14ac:dyDescent="0.4">
      <c r="A8" s="7">
        <v>0.2</v>
      </c>
      <c r="B8" s="31">
        <f>IF(D5="MIG09",39900,IF(D5="MIG10",40400,IF(D5="ATG16",40400,IF(D5="ATP16",49900,IF(D5="ATG17",41900,IF(D5="ASG48",63900,IF(D5="ASG43",62900,IF(D5="ASG40",63900,IF(D5="ASG42",68900,IF(D5="ASG44",89900,IF(D5="ASG45",95900,IF(D5="ECG38",73900,IF(D5="ECG37",70900,IF(D5="ECG40",86900,IF(D5="ECG43",91900,IF(D5="XPML",62900,IF(D5="XPHL",62900,IF(D5="XPMLP",69900,IF(D5="XPMLP-01",77800,IF(D5="XC",77900,IF(D5="OTF03",96900,IF(D5="OTP03",79900,IF(D5="OTF06",92900,IF(D5="OTP06",111900,IF(D5="OTP06-01",118900,IF(D5="OTF08",122900,IF(D5="OTP08",109900,IF(D5="MOP57",99900,IF(D5="MOG64",108900,IF(D5="MOG59",116900,IF(D5="MOG59P",110900,IF(D5="MOG61",127900,IF(D5="MOP61",125900)))))))))))))))))))))))))))))))))</f>
        <v>116900</v>
      </c>
      <c r="C8" s="32">
        <f>IF(L20="YES",N20,IF(L20="NO",N20))</f>
        <v>116900</v>
      </c>
      <c r="D8" s="29">
        <v>0</v>
      </c>
      <c r="E8" s="33"/>
      <c r="F8" s="139"/>
      <c r="G8" s="140"/>
      <c r="H8" s="110">
        <f>G7*20/100</f>
        <v>27492.6666</v>
      </c>
      <c r="I8" s="21"/>
      <c r="J8" s="34" t="s">
        <v>15</v>
      </c>
      <c r="K8" s="23">
        <f>(J7*K5+J7)/24</f>
        <v>391.35047219916675</v>
      </c>
      <c r="L8" s="23">
        <f>(J7*L5+J7)/36</f>
        <v>269.74483547114568</v>
      </c>
      <c r="M8" s="23">
        <f>(J7*M5+J7)/48</f>
        <v>208.94201710713514</v>
      </c>
      <c r="N8" s="23">
        <f>(J7*N5+J7)/60</f>
        <v>172.46032608872881</v>
      </c>
      <c r="O8" s="92"/>
      <c r="P8" s="83">
        <f>P7/12</f>
        <v>2387.2798831000005</v>
      </c>
      <c r="T8" s="86">
        <f>25973-12973</f>
        <v>13000</v>
      </c>
    </row>
    <row r="9" spans="1:28" ht="24.6" x14ac:dyDescent="0.4">
      <c r="A9" s="8">
        <f>B8/(100%-A8)</f>
        <v>146125</v>
      </c>
      <c r="B9" s="109">
        <f>B7-B8</f>
        <v>0</v>
      </c>
      <c r="C9" s="35"/>
      <c r="D9" s="36"/>
      <c r="E9" s="33"/>
      <c r="F9" s="139"/>
      <c r="G9" s="140"/>
      <c r="H9" s="33"/>
      <c r="I9" s="37" t="s">
        <v>16</v>
      </c>
      <c r="J9" s="38">
        <f>(J7*12)-(I7)</f>
        <v>2738.2695933600189</v>
      </c>
      <c r="K9" s="38">
        <f>(K7*24)-I7</f>
        <v>5476.5391867200087</v>
      </c>
      <c r="L9" s="38">
        <f>(L7*36)-I7</f>
        <v>8214.8087800799985</v>
      </c>
      <c r="M9" s="38">
        <f>(M7*48)-I7</f>
        <v>10953.078373440003</v>
      </c>
      <c r="N9" s="38">
        <f>(N7*60)-I7</f>
        <v>13691.347966799993</v>
      </c>
      <c r="O9" s="92"/>
      <c r="T9" s="86">
        <f>T8/12</f>
        <v>1083.3333333333333</v>
      </c>
      <c r="Z9" s="86" t="s">
        <v>86</v>
      </c>
    </row>
    <row r="10" spans="1:28" ht="24.6" x14ac:dyDescent="0.4">
      <c r="A10" s="8"/>
      <c r="B10" s="37" t="s">
        <v>50</v>
      </c>
      <c r="C10" s="20" t="s">
        <v>17</v>
      </c>
      <c r="D10" s="36">
        <f>IF(C10="YES",800,IF(C10="NO",0))</f>
        <v>0</v>
      </c>
      <c r="E10" s="39"/>
      <c r="F10" s="40"/>
      <c r="G10" s="40"/>
      <c r="H10" s="33"/>
      <c r="I10" s="44" t="s">
        <v>85</v>
      </c>
      <c r="J10" s="117" t="s">
        <v>19</v>
      </c>
      <c r="K10" s="117">
        <f>IF(J10="YES",Z10,IF(J10="NO",0))</f>
        <v>1000</v>
      </c>
      <c r="L10" s="117"/>
      <c r="M10" s="117"/>
      <c r="N10" s="41">
        <f>(N8*60)-J7</f>
        <v>955.2082325437259</v>
      </c>
      <c r="O10" s="92">
        <f>IF(D5="XC",3690,IF(D5="XPML",3690,IF(D5="XPHL",3690,IF(D5="XPMLP",3690,IF(D5="XPMLP-01",3690,IF(D5="Xpander P",3690,IF(D5="MOP57",(U19*2.75/100+510)*1.05,IF(D5="MOG64",(U19*2.75/100+510)*1.05,IF(D5="MOG59",(U19*2.75/100+510)*1.05,IF(D5="MOG59P",(U19*2.75/100+510)*1.05,IF(D5="MOG61",(U19*2.75/100+510)*1.05,IF(D5="MOP61",(U19*2.75/100+510)*1.05,IF(D5="OTF03",(D7*3/100+510)*1.05,IF(D5="OTP03",(U19*3/100+510)*1.05,IF(D5="OTF06",(U19*3/100+510)*1.05,IF(D5="OTP06",(U19*3/100+510)*1.05,IF(D5="OTP06-01",(U19*3/100+510)*1.05,IF(D5="OTF08",(U19*3/100+510)*1.05,IF(D5="OTP08",(U19*3/100+510)*1.05,IF(D5="ECG38",3625,IF(D5="ECG37",3625,IF(D5="ECG40",(D7*3/100+510)*1.05,IF(D5="ECG43",(D7*3/100+510)*1.05,IF(D5="ASG48",3625,IF(D5="ASG43",3625,IF(D5="ASG40",3625,IF(D5="ASG42",3625,IF(D5="ASG44",3625,IF(D5="ASG45",3625,IF(D5="ASX HL 4WD",3625,IF(D5="ATG16",3625,IF(D5="ATG17",3625,IF(D5="ATP16",3625,IF(D5="Attrage S",3625,IF(D5="MIG09",3625,IF(D5="MIG10",3625,IF(D5="Xpander HL",3690)))))))))))))))))))))))))))))))))))))</f>
        <v>4258.6424999999999</v>
      </c>
      <c r="P10" s="97"/>
      <c r="Q10" s="97">
        <f>5.25*3</f>
        <v>15.75</v>
      </c>
      <c r="Z10" s="86">
        <f>IF(D5="MIG09",500,IF(D5="MIG10",500,IF(D5="ATG16",500,IF(D5="ATP16",500,IF(D5="ATG17",500,IF(D5="ASG48",1000,IF(D5="ASG43",1000,IF(D5="ASG40",1000,IF(D5="ASG42",1000,IF(D5="ASG44",1000,IF(D5="ASG45",1000,IF(D5="ECG38",1000,IF(D5="ECG37",1000,IF(D5="ECG40",1000,IF(D5="ECG43",1000,IF(D5="XPML",1000,IF(D5="XPHL",1000,IF(D5="XPMLP",1000,IF(D5="XPMLP-01",1000,IF(D5="XC",1000,IF(D5="OTF03",1000,IF(D5="OTP03",1000,IF(D5="OTF06",1000,IF(D5="OTP06",1000,IF(D5="OTP06-01",1000,IF(D5="OTF08",1000,IF(D5="OTP08",1000,IF(D5="MOP57",1000,IF(D5="MOG64",1000,IF(D5="MOG59",1000,IF(D5="MOG59P",1000,IF(D5="MOG61",1000,IF(D5="MOP61",1000)))))))))))))))))))))))))))))))))</f>
        <v>1000</v>
      </c>
    </row>
    <row r="11" spans="1:28" ht="24.6" x14ac:dyDescent="0.4">
      <c r="A11" s="8"/>
      <c r="B11" s="37" t="s">
        <v>18</v>
      </c>
      <c r="C11" s="20" t="s">
        <v>17</v>
      </c>
      <c r="D11" s="36">
        <f>IF(C11="YES",O17,IF(C11="NO",0))</f>
        <v>0</v>
      </c>
      <c r="E11" s="33"/>
      <c r="F11" s="40"/>
      <c r="G11" s="40"/>
      <c r="H11" s="33"/>
      <c r="I11" s="21"/>
      <c r="J11" s="44" t="s">
        <v>76</v>
      </c>
      <c r="K11" s="44">
        <f>H8-K10</f>
        <v>26492.6666</v>
      </c>
      <c r="L11" s="37"/>
      <c r="M11" s="37"/>
      <c r="N11" s="42"/>
      <c r="O11" s="92">
        <f>IF(D5="XC",6100,IF(D5="XPML",6100,IF(D5="XPHL",6100,IF(D5="XPMLP",6100,IF(D5="XPMLP-01",6100,IF(D5="Xpander P",6100,IF(D5="MOP57",5900,IF(D5="MOG64",5900,IF(D5="MOG59",5900,IF(D5="MOG59P",5900,IF(D5="MOG61",5900,IF(D5="MOP61",5900,IF(D5="OTF03",6700,IF(D5="OTP03",6700,IF(D5="OTF06",6700,IF(D5="OTP06",6700,IF(D5="OTP06-01",6700,IF(D5="OTF08",6700,IF(D5="OTP08",6700,IF(D5="ECG37",6400,IF(D5="ECG38",6400,IF(D5="ECG40",6400,IF(D5="ECG43",6400,IF(D5="ASG48",6600,IF(D5="ASG43",6600,IF(D5="ASG40",6600,IF(D5="ASG42",6600,IF(D5="ASG44",6600,IF(D5="ASG45",6600,IF(D5="ASX HL 4WD",6600,IF(D5="ATG16",5400,IF(D5="ATG17",5400,IF(D5="ATP16",5400,IF(D5="Attrage S",5400,IF(D5="MIG09",5400,IF(D5="MIG10",5400,IF(D5="Xpander HL",6000)))))))))))))))))))))))))))))))))))))</f>
        <v>5900</v>
      </c>
      <c r="P11" s="92"/>
      <c r="Q11" s="92"/>
      <c r="R11" s="92"/>
      <c r="S11" s="92"/>
      <c r="T11" s="92"/>
      <c r="U11" s="92">
        <f>IF(D5="XC",4900,IF(D5="XPML",4900,IF(D5="XPHL",4900,IF(D5="XPMLP",4900,IF(D5="XPMLP-01",4900,IF(D5="Xpander P",4900,IF(D5="MOP57",4600,IF(D5="MOG64",4600,IF(D5="MOG59",4600,IF(D5="MOG59P",4600,IF(D5="MOG61",4600,IF(D5="MOP61",4600,IF(D5="OTF03",5500,IF(D5="OTP03",5500,IF(D5="OTF06",5500,IF(D5="OTP06",5500,IF(D5="OTP06-01",5500,IF(D5="OTF08",5500,IF(D5="OTP08",5500,IF(D5="ECG38",5200,IF(D5="ECG37",5200,IF(D5="ECG40",5200,IF(D5="ECG43",5200,IF(D5="ASG48",5300,IF(D5="ASG43",5300,IF(D5="ASG40",5300,IF(D5="ASG42",5300,IF(D5="ASG44",5300,IF(D5="ASG45",5300,IF(D5="ASX HL",5300,IF(D5="ASX P",5300,IF(D5="ASX HL 4WD",5300,IF(D5="ATG16",4200,IF(D5="ATG17",4200,IF(D5="ATP16",4200,IF(D5="Attrage S",4200,IF(D5="MIG09",4200,IF(D5="MIG10",4200,IF(D5="Xpander HL",4900)))))))))))))))))))))))))))))))))))))))</f>
        <v>4600</v>
      </c>
      <c r="V11" s="92">
        <f>IF(D5="XC",9700,IF(D5="XPML",9700,IF(D5="XPHL",9700,IF(D5="XPMLP",9700,IF(D5="XPMLP-01",9700,IF(D5="XPMLP-01",9700,IF(D5="Xpander P",9700,IF(D5="MOP57",9300,IF(D5="MG64",9300,IF(D5="MOG59",9300,IF(D5="MOG59P",9300,IF(D5="MOG61",9300,IF(D5="MOP61",9300,IF(D5="OTF03",11000,IF(D5="OTP03",11000,IF(D5="OTF06",11000,IF(D5="OTP06",11000,IF(D5="OTP06-01",11000,IF(D5="OTF08",11000,IF(D5="OTP08",11000,IF(D5="ECG38",10400,IF(D5="ECG37",10400,IF(D5="ECG40",10400,IF(D5="ECG43",10400,IF(D5="ASG48",10700,IF(D5="ASG43",10700,IF(D5="ASG40",10700,IF(D5="ASG42",10700,IF(D5="ASG44",10800,IF(D5="ASG45",10800,IF(D5="ASX HL",12200,IF(D5="ASX P",12200,IF(D5="ASX HL 4WD",12200,IF(D5="ATG16",8500,IF(D5="ATG17",8500,IF(D5="ATP16",8500,IF(D5="Attrage S",9600,IF(D5="MIG09",8500,IF(D5="MIG10",8500,IF(D5="Xpander HL",11300))))))))))))))))))))))))))))))))))))))))</f>
        <v>9300</v>
      </c>
      <c r="W11" s="92">
        <f>IF(D5="XC",9200,IF(D5="XPML",9200,IF(D5="XPHL",9200,IF(D5="XPMLP",9200,IF(D5="XPMLP-01",9200,IF(D5="Xpander P",9200,IF(D5="MOP57",8700,IF(D5="MOG64",8700,IF(D5="MOG59",8700,IF(D5="MOG59P",8700,IF(D5="MOG61",8700,IF(D5="MOP61",8700,IF(D5="OTF03",10400,IF(D5="OTP03",10400,IF(D5="OTF06",10400,IF(D5="OTP06",10400,IF(D5="OTP06-01",10400,IF(D5="OTF08",10400,IF(D5="OTP08",10400,IF(D5="ECG38",9800,IF(D5="ECG37",9800,IF(D5="ECG40",9800,IF(D5="ECG43",9800,IF(D5="ASG48",10100,IF(D5="ASG43",10100,IF(D5="ASG40",10100,IF(D5="ASG42",10100,IF(D5="ASG44",10100,IF(D5="ASG45",10100,IF(D5="ASX HL",10100,IF(D5="ASX P",10100,IF(D5="ASX HL 4WD",10100,IF(D5="ATG16",7900,IF(D5="ATG17",7900,IF(D5="ATP16",7900,IF(D5="Attrage S",7900,IF(D5="MIG09",7900,IF(D5="MIG10",7900,IF(D5="Xpander HL",9200)))))))))))))))))))))))))))))))))))))))</f>
        <v>8700</v>
      </c>
      <c r="X11" s="92">
        <f>IF(D5="XC",4500,IF(D5="XPML",4500,IF(D5="XPHL",4500,IF(D5="XPMLP",4500,IF(D5="XPMLP-01",4500,IF(D5="Xpander P",4500,IF(D5="MOP57",4300,IF(D5="MOG64",4300,IF(D5="MOG59",4300,IF(D5="MOG59P",4300,IF(D5="MOG61",4300,IF(D5="MOP61",4300,IF(D5="OTF03",5000,IF(D5="OTP03",5000,IF(D5="OTF06",5000,IF(D5="OTP06",5000,IF(D5="OTP06-01",5000,IF(D5="OTF08",5000,IF(D5="OTP08",5000,IF(D5="ECG38",4900,IF(D5="ECG37",4900,IF(D5="ECG40",4900,IF(D5="ECG43",4900,IF(D5="ASG48",4900,IF(D5="ASG43",4900,IF(D5="ASG40",4900,IF(D5="ASG42",4900,IF(D5="ASG44",4900,IF(D5="ASG45",4900,IF(D5="ASX HL",4900,IF(D5="ASX P",4900,IF(D5="ASX HL 4WD",4900,IF(D5="ATG16",3700,IF(D5="ATG17",3700,IF(D5="ATP16",3700,IF(D5="Attrage S",3700,IF(D5="MIG09",3700,IF(D5="MIG10",3700,IF(D5="Xpander HL",4500)))))))))))))))))))))))))))))))))))))))</f>
        <v>4300</v>
      </c>
      <c r="Y11" s="92">
        <f>IF(D5="XC",5400,IF(D5="XPML ",5400,IF(D5="XPHL",5400,IF(D5="XPMLP",5400,IF(D5="XPMLP-01",5400,IF(D5="Xpander P",5400,IF(D5="MOP57",5200,IF(D5="MOG64",5200,IF(D5="MOG59",5200,IF(D5="MOG59P",5200,IF(D5="MOG61",5200,IF(D5="MOP61",5200,IF(D5="OTF03",6000,IF(D5="OTP03",6000,IF(D5="OTF06",6000,IF(D5="OTP06",6000,IF(D5="OTP06-01",6000,IF(D5="OTF08",6000,IF(D5="OTP08",6000,IF(D5="ECG38",5700,IF(D5="ECG37",5700,IF(D5="ECG40",5700,IF(D5="ECG43",5700,IF(D5="ASG48",5900,IF(D5="ASG43",5900,IF(D5="ASG40",5900,IF(D5="ASG42",5900,IF(D5="ASG44",5900,IF(D5="ASG45",5900,IF(D5="ASX HL",5900,IF(D5="ASX P",5900,IF(D5="ASX HL 4WD",5900,IF(D5="ATG16",4500,IF(D5="ATG17",4500,IF(D5="ATP16",4500,IF(D5="Attrage S",4500,IF(D5="MIG09",4500,IF(D5="MIG10",4500,IF(D5="Xpander HL",5400)))))))))))))))))))))))))))))))))))))))</f>
        <v>5200</v>
      </c>
    </row>
    <row r="12" spans="1:28" ht="24.75" customHeight="1" x14ac:dyDescent="0.4">
      <c r="A12" s="8"/>
      <c r="B12" s="37" t="s">
        <v>20</v>
      </c>
      <c r="C12" s="20" t="s">
        <v>17</v>
      </c>
      <c r="D12" s="36">
        <f>IF(C12="YES",2000,IF(C12="NO",0))</f>
        <v>0</v>
      </c>
      <c r="E12" s="43"/>
      <c r="F12" s="43" t="s">
        <v>21</v>
      </c>
      <c r="G12" s="40"/>
      <c r="H12" s="33">
        <v>600</v>
      </c>
      <c r="I12" s="21"/>
      <c r="J12" s="44" t="s">
        <v>22</v>
      </c>
      <c r="K12" s="45">
        <v>0</v>
      </c>
      <c r="L12" s="45">
        <v>5.2499999999999998E-2</v>
      </c>
      <c r="M12" s="45">
        <v>0.126</v>
      </c>
      <c r="N12" s="46">
        <v>0.26250000000000001</v>
      </c>
      <c r="O12" s="92">
        <f>IF(K20="Esaad",B8*3/100,IF(K20="Emirates Platinum",B8*3/100,IF(K20="Fazaa",B8*3/100,IF(K20="Humat Alwatan",B8*3/100,IF(K20="Permissible",2000,IF(K20="ASX",8400,IF(K20="XPMLP",4000,IF(K20="XP",14100,IF(K20="G43",11000,IF(K20="EC",7000,IF(K20="G37",14000,IF(K20="G38",15000,IF(K20="G40",11000,IF(K20="OUT",9600,IF(K20="F08",15400,IF(K20="P08",11100,IF(K20="F06",14100,IF(K20="P06",17100,IF(K20="F03",17000,IF(K20="P03",19100,IF(K20="MON",10000,IF(K20="MON G57",10000,0))))))))))))))))))))))</f>
        <v>2000</v>
      </c>
      <c r="P12" s="92"/>
      <c r="Q12" s="92"/>
      <c r="R12" s="92"/>
      <c r="S12" s="92"/>
      <c r="T12" s="92"/>
      <c r="U12" s="92"/>
      <c r="V12" s="92"/>
      <c r="W12" s="92"/>
      <c r="X12" s="92"/>
      <c r="Y12" s="92"/>
      <c r="Z12" s="86" t="s">
        <v>83</v>
      </c>
      <c r="AA12" s="86" t="s">
        <v>84</v>
      </c>
    </row>
    <row r="13" spans="1:28" ht="24.6" x14ac:dyDescent="0.4">
      <c r="A13" s="8">
        <f>B8*1.26582</f>
        <v>147974.35800000001</v>
      </c>
      <c r="B13" s="37" t="s">
        <v>23</v>
      </c>
      <c r="C13" s="20" t="s">
        <v>17</v>
      </c>
      <c r="D13" s="36">
        <f>IF(C13="YES",2000,IF(C13="NO",0))</f>
        <v>0</v>
      </c>
      <c r="E13" s="47"/>
      <c r="F13" s="47" t="s">
        <v>75</v>
      </c>
      <c r="G13" s="40"/>
      <c r="H13" s="33">
        <v>315</v>
      </c>
      <c r="I13" s="21"/>
      <c r="J13" s="44" t="s">
        <v>54</v>
      </c>
      <c r="K13" s="29" t="s">
        <v>79</v>
      </c>
      <c r="L13" s="29" t="s">
        <v>25</v>
      </c>
      <c r="M13" s="29" t="s">
        <v>0</v>
      </c>
      <c r="N13" s="49" t="s">
        <v>26</v>
      </c>
      <c r="O13" s="98">
        <f>IF(M21="3000-4999",6%,IF(M21="5000-9999",4.75%,IF(M21="10000-14999",3.15%,IF(M21="15000-24999",2.5%,IF(M21="25000-34999",2.25%,IF(M21="35000-99999",2.25%))))))</f>
        <v>4.7500000000000001E-2</v>
      </c>
      <c r="Q13" s="83">
        <f>H7/12</f>
        <v>2291.0555500000005</v>
      </c>
      <c r="U13" s="9">
        <f>IF(M21="3000-4999",6%,IF(M21="5000-9999",3.25%,IF(M21="10000-14999",3%,IF(M21="15000-24999",2.25%,IF(M21="25000-34999",2.15%,IF(M21="35000-99999",1.99%))))))</f>
        <v>3.2500000000000001E-2</v>
      </c>
      <c r="Z13" s="99">
        <f>IF(M21="5000-9999",2.49%,IF(M21="10000-19999",2.19%,IF(M21="20000-34999",2.09%,IF(M21="35000-49999",1.89%,IF(M21="50000-99999",1.79%)))))</f>
        <v>2.4900000000000002E-2</v>
      </c>
      <c r="AA13" s="99">
        <f>IF(M21="5000-9999",2.59%,IF(M21="10000-19999",2.29%,IF(M21="20000-34999",2.19%,IF(M21="35000-49999",1.99%,IF(M21="50000-99999",1.89%)))))</f>
        <v>2.5899999999999999E-2</v>
      </c>
    </row>
    <row r="14" spans="1:28" ht="24.6" x14ac:dyDescent="0.4">
      <c r="A14" s="10" t="s">
        <v>27</v>
      </c>
      <c r="B14" s="37" t="s">
        <v>24</v>
      </c>
      <c r="C14" s="20" t="s">
        <v>19</v>
      </c>
      <c r="D14" s="50">
        <f>IF(C14="YES",U19*3.15*1.05/100,IF(C14="NO",U19*0/100))</f>
        <v>4264.6905000000006</v>
      </c>
      <c r="E14" s="48"/>
      <c r="F14" s="48" t="s">
        <v>24</v>
      </c>
      <c r="G14" s="51" t="s">
        <v>17</v>
      </c>
      <c r="H14" s="39">
        <f>IF(G14="YES",U19*3.15*1.05/100,IF(G14="NO",U19*0/100))</f>
        <v>0</v>
      </c>
      <c r="I14" s="21"/>
      <c r="J14" s="44" t="s">
        <v>55</v>
      </c>
      <c r="K14" s="44">
        <f>(H8*K12+H8)/3</f>
        <v>9164.2222000000002</v>
      </c>
      <c r="L14" s="44">
        <f>(H8*L12+H8)/12</f>
        <v>2411.3359663750002</v>
      </c>
      <c r="M14" s="44">
        <f>(H8*M12+H8)/24</f>
        <v>1289.86427465</v>
      </c>
      <c r="N14" s="52">
        <f>(H7*N12+H7)/60</f>
        <v>578.49152637500015</v>
      </c>
      <c r="O14" s="98">
        <f>IF(M21="3000-4999",3.89%,IF(M21="5000-9999",3.89%,IF(M21="10000-14999",3.89%,IF(M21="15000-24999",2.69%,IF(M21="25000-34999",2.69%,IF(M21="35000-99999",2.39%,IF(M21="76000-99999",2.19%)))))))</f>
        <v>3.8900000000000004E-2</v>
      </c>
    </row>
    <row r="15" spans="1:28" ht="24.6" x14ac:dyDescent="0.4">
      <c r="A15" s="11">
        <f>(B7*3%)+10+120</f>
        <v>3637</v>
      </c>
      <c r="B15" s="37" t="s">
        <v>28</v>
      </c>
      <c r="C15" s="20" t="s">
        <v>19</v>
      </c>
      <c r="D15" s="29">
        <f>IF(C15="YES",O10,IF(C15="NO",0))</f>
        <v>4258.6424999999999</v>
      </c>
      <c r="E15" s="48"/>
      <c r="F15" s="48" t="s">
        <v>53</v>
      </c>
      <c r="G15" s="51" t="s">
        <v>17</v>
      </c>
      <c r="H15" s="39">
        <f>IF(G15="YES",O10,IF(G15="NO",0))</f>
        <v>0</v>
      </c>
      <c r="I15" s="21"/>
      <c r="J15" s="44"/>
      <c r="K15" s="44"/>
      <c r="L15" s="44"/>
      <c r="M15" s="44"/>
      <c r="N15" s="53"/>
      <c r="O15" s="98" t="b">
        <f>IF(M21="3000-4999",4.99%, IF(M21="5000-11999",2.75%,IF(M21="12000-19999",2.75%,IF(M21="20000-39999",2.25%,IF(M21="40000-69999",2.39%,IF(M21="70000-99999",2.25%))))))</f>
        <v>0</v>
      </c>
      <c r="P15" s="99"/>
    </row>
    <row r="16" spans="1:28" ht="24.6" x14ac:dyDescent="0.4">
      <c r="A16" s="11">
        <f>((B7-B8)*3%+10+120)</f>
        <v>130</v>
      </c>
      <c r="B16" s="37" t="s">
        <v>78</v>
      </c>
      <c r="C16" s="20" t="s">
        <v>19</v>
      </c>
      <c r="D16" s="29">
        <f>IF(C16="YES",O16,IF(C16="NO",0))</f>
        <v>5900</v>
      </c>
      <c r="E16" s="47"/>
      <c r="F16" s="47" t="s">
        <v>74</v>
      </c>
      <c r="G16" s="54"/>
      <c r="H16" s="33">
        <f>I7*1.05%</f>
        <v>1154.6919972000003</v>
      </c>
      <c r="I16" s="21"/>
      <c r="J16" s="44" t="s">
        <v>16</v>
      </c>
      <c r="K16" s="44">
        <f>(K14*3)-H8</f>
        <v>0</v>
      </c>
      <c r="L16" s="44">
        <f>(L14*12)-H8</f>
        <v>1443.3649965000041</v>
      </c>
      <c r="M16" s="44">
        <f>(M14*24)-H8</f>
        <v>3464.0759915999988</v>
      </c>
      <c r="N16" s="53"/>
      <c r="O16" s="92">
        <f>IF(B16="RMC-10-70KMS",O11,IF(B16="RMC-10-100000KMS",V11,IF(B16="RMC-40-70KMS",U11, IF(B16="RMC-10-40KMS",X11, IF(B16="RMC-10-60KMS",Y11, IF(B16="RMC-40-100000KMS",W11,0))))))</f>
        <v>5900</v>
      </c>
    </row>
    <row r="17" spans="1:28" ht="24.6" x14ac:dyDescent="0.4">
      <c r="A17" s="11">
        <f>A15+A16</f>
        <v>3767</v>
      </c>
      <c r="B17" s="37"/>
      <c r="C17" s="20"/>
      <c r="D17" s="29">
        <f>SUM(D10:D16)</f>
        <v>14423.333000000001</v>
      </c>
      <c r="E17" s="33"/>
      <c r="F17" s="33"/>
      <c r="G17" s="33"/>
      <c r="H17" s="33">
        <f>H7+H12+H15+H16</f>
        <v>29247.358597200004</v>
      </c>
      <c r="I17" s="33"/>
      <c r="J17" s="22"/>
      <c r="K17" s="53"/>
      <c r="L17" s="53"/>
      <c r="M17" s="53"/>
      <c r="N17" s="53"/>
      <c r="O17" s="92">
        <f>IF(B11="FO Ceramic+ Intr&amp;Extr CeramicGold WdwTnt",2700,IF(B11="FO Mirror Camera Sensor",2000))</f>
        <v>2700</v>
      </c>
      <c r="T17" s="86">
        <f>19615-791</f>
        <v>18824</v>
      </c>
    </row>
    <row r="18" spans="1:28" ht="24.6" x14ac:dyDescent="0.4">
      <c r="A18" s="12" t="s">
        <v>29</v>
      </c>
      <c r="B18" s="55" t="s">
        <v>30</v>
      </c>
      <c r="C18" s="56"/>
      <c r="D18" s="57">
        <v>0</v>
      </c>
      <c r="E18" s="38"/>
      <c r="F18" s="22"/>
      <c r="G18" s="22"/>
      <c r="H18" s="21"/>
      <c r="I18" s="21"/>
      <c r="J18" s="21"/>
      <c r="K18" s="21"/>
      <c r="L18" s="21"/>
      <c r="M18" s="21"/>
      <c r="N18" s="21"/>
      <c r="O18" s="92"/>
      <c r="U18" s="100" t="s">
        <v>52</v>
      </c>
      <c r="V18" s="100" t="s">
        <v>52</v>
      </c>
    </row>
    <row r="19" spans="1:28" ht="24.6" x14ac:dyDescent="0.4">
      <c r="A19" s="11">
        <f>B8*3.15%</f>
        <v>3682.35</v>
      </c>
      <c r="B19" s="58" t="s">
        <v>31</v>
      </c>
      <c r="C19" s="59"/>
      <c r="D19" s="60">
        <f>IF(K21="DIB EXPAT",O13,IF(K21="DIB LOCAL GVH",U13,IF(K21="Emirates NBD",O14,IF(K21="ADCB",O15,IF(K21="ADCB PAY IN 2027",O19,IF(K21="Ajman Bank",O18,IF(K21="SIB STL",Z13,IF(K21="SIB NON STL",AA13,))))))))</f>
        <v>2.4900000000000002E-2</v>
      </c>
      <c r="E19" s="22"/>
      <c r="F19" s="61"/>
      <c r="G19" s="141" t="s">
        <v>73</v>
      </c>
      <c r="H19" s="142"/>
      <c r="I19" s="143"/>
      <c r="J19" s="109">
        <f>H7/365</f>
        <v>75.32237424657535</v>
      </c>
      <c r="K19" s="21"/>
      <c r="L19" s="21"/>
      <c r="M19" s="21"/>
      <c r="N19" s="23">
        <f>D7</f>
        <v>122745</v>
      </c>
      <c r="O19" s="98" t="b">
        <f>IF(M21="5000-11999",3.35%,IF(M21="12000-19999",3.35%,IF(M21="20000-39999",2.85%,IF(M21="40000-69999",2.85%,IF(M21="70000-99999",2.85%)))))</f>
        <v>0</v>
      </c>
      <c r="P19" s="83">
        <f>81400-2500</f>
        <v>78900</v>
      </c>
      <c r="U19" s="101">
        <f>V19</f>
        <v>128940</v>
      </c>
      <c r="V19" s="102">
        <f>(B7+D10+D11+D12+D13+D16)*1.05</f>
        <v>128940</v>
      </c>
      <c r="X19" s="87">
        <f>G7*3.15*1.05/100</f>
        <v>4546.5997389750009</v>
      </c>
      <c r="Y19" s="87">
        <f>G7*3/100+510*1.05</f>
        <v>4659.3999900000008</v>
      </c>
      <c r="Z19" s="87">
        <f>Y19+X19</f>
        <v>9205.9997289750027</v>
      </c>
      <c r="AA19" s="87">
        <f>(Z19)-(D14+D15)</f>
        <v>682.66672897500212</v>
      </c>
      <c r="AB19" s="87">
        <f>AA19*1.25</f>
        <v>853.33341121875264</v>
      </c>
    </row>
    <row r="20" spans="1:28" ht="24.6" x14ac:dyDescent="0.4">
      <c r="A20" s="11"/>
      <c r="B20" s="58" t="s">
        <v>32</v>
      </c>
      <c r="C20" s="62"/>
      <c r="D20" s="63">
        <v>0.2</v>
      </c>
      <c r="E20" s="21"/>
      <c r="F20" s="21"/>
      <c r="G20" s="42"/>
      <c r="H20" s="42"/>
      <c r="I20" s="42"/>
      <c r="J20" s="103"/>
      <c r="K20" s="104" t="s">
        <v>33</v>
      </c>
      <c r="L20" s="104" t="s">
        <v>17</v>
      </c>
      <c r="M20" s="104">
        <f>IF(L20="YES",O12,IF(L20="NO",0))</f>
        <v>0</v>
      </c>
      <c r="N20" s="23">
        <f>B8-M20</f>
        <v>116900</v>
      </c>
      <c r="O20" s="92"/>
      <c r="P20" s="99"/>
      <c r="T20" s="86">
        <f>1992+1084</f>
        <v>3076</v>
      </c>
      <c r="V20" s="83"/>
      <c r="X20" s="87">
        <f>X19-D14</f>
        <v>281.90923897500033</v>
      </c>
      <c r="Y20" s="87">
        <f>Y19-D15</f>
        <v>400.75749000000087</v>
      </c>
      <c r="AA20" s="87">
        <f>X20+Y20</f>
        <v>682.66672897500121</v>
      </c>
    </row>
    <row r="21" spans="1:28" ht="24.6" x14ac:dyDescent="0.4">
      <c r="A21" s="13">
        <f>A19+A20</f>
        <v>3682.35</v>
      </c>
      <c r="B21" s="21"/>
      <c r="C21" s="22"/>
      <c r="D21" s="21"/>
      <c r="E21" s="21"/>
      <c r="F21" s="21"/>
      <c r="G21" s="21"/>
      <c r="H21" s="21"/>
      <c r="I21" s="21"/>
      <c r="J21" s="37" t="s">
        <v>34</v>
      </c>
      <c r="K21" s="16" t="s">
        <v>83</v>
      </c>
      <c r="L21" s="105" t="s">
        <v>35</v>
      </c>
      <c r="M21" s="106" t="s">
        <v>80</v>
      </c>
      <c r="N21" s="111"/>
      <c r="O21" s="92"/>
      <c r="T21" s="86">
        <f>25973-12973</f>
        <v>13000</v>
      </c>
    </row>
    <row r="22" spans="1:28" ht="24.6" x14ac:dyDescent="0.4">
      <c r="A22" s="13"/>
      <c r="B22" s="130" t="s">
        <v>51</v>
      </c>
      <c r="C22" s="131"/>
      <c r="D22" s="131"/>
      <c r="E22" s="131"/>
      <c r="F22" s="131"/>
      <c r="G22" s="131"/>
      <c r="H22" s="131"/>
      <c r="I22" s="131"/>
      <c r="J22" s="131"/>
      <c r="K22" s="131"/>
      <c r="L22" s="131"/>
      <c r="M22" s="131"/>
      <c r="N22" s="132"/>
      <c r="O22" s="92"/>
    </row>
    <row r="23" spans="1:28" ht="25.2" x14ac:dyDescent="0.45">
      <c r="A23" s="14" t="s">
        <v>36</v>
      </c>
      <c r="B23" s="64" t="s">
        <v>57</v>
      </c>
      <c r="C23" s="65"/>
      <c r="D23" s="65"/>
      <c r="E23" s="65"/>
      <c r="F23" s="65"/>
      <c r="G23" s="65"/>
      <c r="H23" s="66"/>
      <c r="I23" s="66"/>
      <c r="J23" s="65"/>
      <c r="K23" s="65"/>
      <c r="L23" s="65"/>
      <c r="M23" s="65"/>
      <c r="N23" s="67"/>
      <c r="O23" s="92">
        <f>N7+K14</f>
        <v>11225.255772780001</v>
      </c>
    </row>
    <row r="24" spans="1:28" ht="25.2" x14ac:dyDescent="0.45">
      <c r="A24" s="14" t="s">
        <v>36</v>
      </c>
      <c r="B24" s="64" t="s">
        <v>58</v>
      </c>
      <c r="C24" s="65"/>
      <c r="D24" s="65"/>
      <c r="E24" s="65"/>
      <c r="F24" s="65"/>
      <c r="G24" s="65"/>
      <c r="H24" s="85">
        <f>H7/365</f>
        <v>75.32237424657535</v>
      </c>
      <c r="I24" s="85">
        <f>H7/365</f>
        <v>75.32237424657535</v>
      </c>
      <c r="J24" s="65"/>
      <c r="K24" s="65"/>
      <c r="L24" s="65"/>
      <c r="M24" s="65"/>
      <c r="N24" s="68"/>
      <c r="O24" s="92"/>
      <c r="P24" s="83">
        <f>1232+480</f>
        <v>1712</v>
      </c>
      <c r="T24" s="86">
        <f>88704/1.05</f>
        <v>84480</v>
      </c>
    </row>
    <row r="25" spans="1:28" ht="25.2" x14ac:dyDescent="0.45">
      <c r="A25" s="14" t="s">
        <v>36</v>
      </c>
      <c r="B25" s="64" t="s">
        <v>59</v>
      </c>
      <c r="C25" s="65"/>
      <c r="D25" s="65"/>
      <c r="E25" s="65"/>
      <c r="F25" s="65"/>
      <c r="G25" s="65"/>
      <c r="H25" s="66"/>
      <c r="I25" s="85">
        <f>I24*365*3</f>
        <v>82477.99980000002</v>
      </c>
      <c r="J25" s="65"/>
      <c r="K25" s="65"/>
      <c r="L25" s="65"/>
      <c r="M25" s="65"/>
      <c r="N25" s="68"/>
      <c r="O25" s="92"/>
      <c r="Q25" s="86">
        <f>79400-5233.33</f>
        <v>74166.67</v>
      </c>
      <c r="R25" s="86">
        <f>Q25*1.05</f>
        <v>77875.003500000006</v>
      </c>
    </row>
    <row r="26" spans="1:28" ht="25.2" x14ac:dyDescent="0.45">
      <c r="A26" s="14" t="s">
        <v>36</v>
      </c>
      <c r="B26" s="64" t="s">
        <v>60</v>
      </c>
      <c r="C26" s="65"/>
      <c r="D26" s="65"/>
      <c r="E26" s="65"/>
      <c r="F26" s="65"/>
      <c r="G26" s="65"/>
      <c r="H26" s="65"/>
      <c r="I26" s="65"/>
      <c r="J26" s="65"/>
      <c r="K26" s="65"/>
      <c r="L26" s="65"/>
      <c r="M26" s="65"/>
      <c r="N26" s="68"/>
      <c r="O26" s="92" t="s">
        <v>37</v>
      </c>
      <c r="R26" s="86">
        <f>R25+2469</f>
        <v>80344.003500000006</v>
      </c>
    </row>
    <row r="27" spans="1:28" ht="25.2" x14ac:dyDescent="0.45">
      <c r="A27" s="14" t="s">
        <v>36</v>
      </c>
      <c r="B27" s="64" t="s">
        <v>61</v>
      </c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8"/>
      <c r="O27" s="92">
        <f>129500-110900</f>
        <v>18600</v>
      </c>
    </row>
    <row r="28" spans="1:28" ht="25.2" x14ac:dyDescent="0.45">
      <c r="B28" s="64" t="s">
        <v>62</v>
      </c>
      <c r="C28" s="65"/>
      <c r="D28" s="65"/>
      <c r="E28" s="65"/>
      <c r="F28" s="65"/>
      <c r="G28" s="65"/>
      <c r="H28" s="65"/>
      <c r="I28" s="65"/>
      <c r="J28" s="65"/>
      <c r="K28" s="65"/>
      <c r="L28" s="65"/>
      <c r="M28" s="65"/>
      <c r="N28" s="68"/>
      <c r="O28" s="92"/>
    </row>
    <row r="29" spans="1:28" ht="25.2" x14ac:dyDescent="0.45">
      <c r="B29" s="64" t="s">
        <v>63</v>
      </c>
      <c r="C29" s="65"/>
      <c r="D29" s="65"/>
      <c r="E29" s="65"/>
      <c r="F29" s="65"/>
      <c r="G29" s="65"/>
      <c r="H29" s="65"/>
      <c r="I29" s="65"/>
      <c r="J29" s="65"/>
      <c r="K29" s="65"/>
      <c r="L29" s="65"/>
      <c r="M29" s="65"/>
      <c r="N29" s="69"/>
      <c r="O29" s="92"/>
    </row>
    <row r="30" spans="1:28" ht="24.6" x14ac:dyDescent="0.4">
      <c r="B30" s="133" t="s">
        <v>38</v>
      </c>
      <c r="C30" s="134"/>
      <c r="D30" s="134"/>
      <c r="E30" s="134"/>
      <c r="F30" s="134"/>
      <c r="G30" s="134"/>
      <c r="H30" s="134"/>
      <c r="I30" s="134"/>
      <c r="J30" s="134"/>
      <c r="K30" s="134"/>
      <c r="L30" s="134"/>
      <c r="M30" s="134"/>
      <c r="N30" s="135"/>
      <c r="O30" s="92"/>
    </row>
    <row r="31" spans="1:28" ht="24.6" x14ac:dyDescent="0.4">
      <c r="B31" s="136"/>
      <c r="C31" s="137"/>
      <c r="D31" s="137"/>
      <c r="E31" s="137"/>
      <c r="F31" s="137"/>
      <c r="G31" s="137"/>
      <c r="H31" s="137"/>
      <c r="I31" s="137"/>
      <c r="J31" s="137"/>
      <c r="K31" s="137"/>
      <c r="L31" s="137"/>
      <c r="M31" s="137"/>
      <c r="N31" s="138"/>
      <c r="O31" s="92"/>
    </row>
    <row r="32" spans="1:28" ht="24.6" x14ac:dyDescent="0.4">
      <c r="B32" s="136" t="s">
        <v>39</v>
      </c>
      <c r="C32" s="137"/>
      <c r="D32" s="137"/>
      <c r="E32" s="137"/>
      <c r="F32" s="137"/>
      <c r="G32" s="137"/>
      <c r="H32" s="137"/>
      <c r="I32" s="137"/>
      <c r="J32" s="137"/>
      <c r="K32" s="137"/>
      <c r="L32" s="137"/>
      <c r="M32" s="137"/>
      <c r="N32" s="138"/>
      <c r="O32" s="92"/>
    </row>
    <row r="33" spans="2:16" ht="24.6" x14ac:dyDescent="0.4">
      <c r="B33" s="136" t="s">
        <v>40</v>
      </c>
      <c r="C33" s="137"/>
      <c r="D33" s="137"/>
      <c r="E33" s="137"/>
      <c r="F33" s="137"/>
      <c r="G33" s="137"/>
      <c r="H33" s="137"/>
      <c r="I33" s="137"/>
      <c r="J33" s="137"/>
      <c r="K33" s="137"/>
      <c r="L33" s="137"/>
      <c r="M33" s="137"/>
      <c r="N33" s="138"/>
      <c r="O33" s="92"/>
    </row>
    <row r="34" spans="2:16" s="112" customFormat="1" ht="24.6" x14ac:dyDescent="0.4">
      <c r="B34" s="107" t="s">
        <v>81</v>
      </c>
      <c r="C34" s="108"/>
      <c r="D34" s="108"/>
      <c r="E34" s="108"/>
      <c r="F34" s="108"/>
      <c r="G34" s="113"/>
      <c r="H34" s="113"/>
      <c r="I34" s="108"/>
      <c r="J34" s="108"/>
      <c r="K34" s="108"/>
      <c r="L34" s="108"/>
      <c r="M34" s="114" t="s">
        <v>82</v>
      </c>
      <c r="N34" s="116" t="b">
        <f>IF(M34="ALAA",507963328, IF(M34="BACHIR",525246969,IF(M34="JIHAN",566201266, IF(M34="RAMY",505277871, IF(M34="SIMON",505140337,IF(M34="SUJITH",551079817, IF(M34="PRAVEEN",506367792,IF(M34="MHAREN",529224059, IF(M34="MOSSALLEM",505185577,IF(M34="RANJITH",554989288, IF(M34="KHALED",552319494)))))))))))</f>
        <v>0</v>
      </c>
      <c r="O34" s="115"/>
      <c r="P34" s="115"/>
    </row>
    <row r="35" spans="2:16" x14ac:dyDescent="0.35">
      <c r="B35" s="70"/>
      <c r="C35" s="71"/>
      <c r="D35" s="71"/>
      <c r="E35" s="71"/>
      <c r="F35" s="71"/>
      <c r="G35" s="71"/>
      <c r="H35" s="71"/>
      <c r="I35" s="71"/>
      <c r="J35" s="71"/>
      <c r="K35" s="71"/>
      <c r="L35" s="71"/>
      <c r="M35" s="71"/>
      <c r="N35" s="72"/>
    </row>
    <row r="36" spans="2:16" x14ac:dyDescent="0.35">
      <c r="B36" s="70"/>
      <c r="C36" s="71"/>
      <c r="D36" s="71"/>
      <c r="E36" s="71"/>
      <c r="F36" s="71"/>
      <c r="G36" s="71"/>
      <c r="H36" s="71"/>
      <c r="I36" s="71"/>
      <c r="J36" s="71"/>
      <c r="K36" s="71"/>
      <c r="L36" s="71"/>
      <c r="M36" s="71"/>
      <c r="N36" s="72"/>
    </row>
    <row r="37" spans="2:16" x14ac:dyDescent="0.35">
      <c r="B37" s="70"/>
      <c r="C37" s="71"/>
      <c r="D37" s="71"/>
      <c r="E37" s="71"/>
      <c r="F37" s="71"/>
      <c r="G37" s="71"/>
      <c r="H37" s="71"/>
      <c r="I37" s="71"/>
      <c r="J37" s="71"/>
      <c r="K37" s="71"/>
      <c r="L37" s="71"/>
      <c r="M37" s="71"/>
      <c r="N37" s="72"/>
    </row>
    <row r="38" spans="2:16" ht="21" x14ac:dyDescent="0.4">
      <c r="B38" s="73" t="s">
        <v>64</v>
      </c>
      <c r="C38" s="74"/>
      <c r="D38" s="75"/>
      <c r="E38" s="76"/>
      <c r="F38" s="76"/>
      <c r="G38" s="76"/>
      <c r="H38" s="76"/>
      <c r="I38" s="76"/>
      <c r="J38" s="77"/>
      <c r="K38" s="76"/>
      <c r="L38" s="76"/>
      <c r="M38" s="76"/>
      <c r="N38" s="78"/>
    </row>
    <row r="39" spans="2:16" ht="21" x14ac:dyDescent="0.4">
      <c r="B39" s="73" t="s">
        <v>65</v>
      </c>
      <c r="C39" s="79"/>
      <c r="D39" s="75"/>
      <c r="E39" s="76"/>
      <c r="F39" s="76"/>
      <c r="G39" s="76"/>
      <c r="H39" s="76"/>
      <c r="I39" s="76"/>
      <c r="J39" s="77"/>
      <c r="K39" s="76"/>
      <c r="L39" s="76"/>
      <c r="M39" s="76"/>
      <c r="N39" s="80"/>
    </row>
    <row r="40" spans="2:16" ht="21" x14ac:dyDescent="0.35">
      <c r="B40" s="73" t="s">
        <v>66</v>
      </c>
      <c r="C40" s="81"/>
      <c r="D40" s="76"/>
      <c r="E40" s="76"/>
      <c r="F40" s="76"/>
      <c r="G40" s="76"/>
      <c r="H40" s="76"/>
      <c r="I40" s="76"/>
      <c r="J40" s="77"/>
      <c r="K40" s="76"/>
      <c r="L40" s="76"/>
      <c r="M40" s="76"/>
      <c r="N40" s="80"/>
    </row>
    <row r="41" spans="2:16" ht="21" x14ac:dyDescent="0.35">
      <c r="B41" s="73" t="s">
        <v>67</v>
      </c>
      <c r="C41" s="82"/>
      <c r="D41" s="83"/>
      <c r="E41" s="83"/>
      <c r="F41" s="83"/>
      <c r="G41" s="83"/>
      <c r="H41" s="83"/>
      <c r="I41" s="83"/>
      <c r="J41" s="83"/>
      <c r="K41" s="83"/>
      <c r="L41" s="83"/>
      <c r="M41" s="83"/>
      <c r="N41" s="84"/>
    </row>
    <row r="42" spans="2:16" ht="21" x14ac:dyDescent="0.35">
      <c r="B42" s="73" t="s">
        <v>77</v>
      </c>
      <c r="C42" s="82"/>
      <c r="D42" s="83"/>
      <c r="E42" s="83"/>
      <c r="F42" s="83"/>
      <c r="G42" s="83"/>
      <c r="H42" s="83"/>
      <c r="I42" s="83"/>
      <c r="J42" s="83"/>
      <c r="K42" s="83"/>
      <c r="L42" s="83"/>
      <c r="M42" s="83"/>
      <c r="N42" s="84"/>
    </row>
    <row r="43" spans="2:16" ht="21" x14ac:dyDescent="0.35">
      <c r="B43" s="73" t="s">
        <v>68</v>
      </c>
      <c r="C43" s="82"/>
      <c r="D43" s="83"/>
      <c r="E43" s="83"/>
      <c r="F43" s="83"/>
      <c r="G43" s="83"/>
      <c r="H43" s="83"/>
      <c r="I43" s="83"/>
      <c r="J43" s="83"/>
      <c r="K43" s="83"/>
      <c r="L43" s="83"/>
      <c r="M43" s="83"/>
      <c r="N43" s="84"/>
    </row>
    <row r="44" spans="2:16" ht="21" x14ac:dyDescent="0.35">
      <c r="B44" s="73" t="s">
        <v>69</v>
      </c>
      <c r="C44" s="82"/>
      <c r="D44" s="83"/>
      <c r="E44" s="83"/>
      <c r="F44" s="83"/>
      <c r="G44" s="83"/>
      <c r="H44" s="83"/>
      <c r="I44" s="83"/>
      <c r="J44" s="83"/>
      <c r="K44" s="83"/>
      <c r="L44" s="83"/>
      <c r="M44" s="83"/>
      <c r="N44" s="84"/>
    </row>
    <row r="45" spans="2:16" ht="21" x14ac:dyDescent="0.35">
      <c r="B45" s="73" t="s">
        <v>70</v>
      </c>
      <c r="C45" s="82"/>
      <c r="D45" s="83"/>
      <c r="E45" s="83"/>
      <c r="F45" s="83"/>
      <c r="G45" s="83"/>
      <c r="H45" s="83"/>
      <c r="I45" s="83"/>
      <c r="J45" s="83"/>
      <c r="K45" s="83"/>
      <c r="L45" s="83"/>
      <c r="M45" s="83"/>
      <c r="N45" s="84"/>
    </row>
    <row r="46" spans="2:16" ht="21" x14ac:dyDescent="0.35">
      <c r="B46" s="73" t="s">
        <v>71</v>
      </c>
      <c r="C46" s="82"/>
      <c r="D46" s="83"/>
      <c r="E46" s="83"/>
      <c r="F46" s="83"/>
      <c r="G46" s="83"/>
      <c r="H46" s="83"/>
      <c r="I46" s="83"/>
      <c r="J46" s="83"/>
      <c r="K46" s="83"/>
      <c r="L46" s="83"/>
      <c r="M46" s="83"/>
      <c r="N46" s="84"/>
    </row>
    <row r="47" spans="2:16" x14ac:dyDescent="0.35">
      <c r="B47" s="118" t="s">
        <v>39</v>
      </c>
      <c r="C47" s="119"/>
      <c r="D47" s="119"/>
      <c r="E47" s="119"/>
      <c r="F47" s="119"/>
      <c r="G47" s="119"/>
      <c r="H47" s="119"/>
      <c r="I47" s="119"/>
      <c r="J47" s="119"/>
      <c r="K47" s="119"/>
      <c r="L47" s="119"/>
      <c r="M47" s="119"/>
      <c r="N47" s="120"/>
      <c r="O47" s="92"/>
    </row>
    <row r="48" spans="2:16" x14ac:dyDescent="0.35">
      <c r="B48" s="118" t="s">
        <v>40</v>
      </c>
      <c r="C48" s="119"/>
      <c r="D48" s="119"/>
      <c r="E48" s="119"/>
      <c r="F48" s="119"/>
      <c r="G48" s="119"/>
      <c r="H48" s="119"/>
      <c r="I48" s="119"/>
      <c r="J48" s="119"/>
      <c r="K48" s="119"/>
      <c r="L48" s="119"/>
      <c r="M48" s="119"/>
      <c r="N48" s="120"/>
      <c r="O48" s="92"/>
    </row>
    <row r="49" spans="2:14" x14ac:dyDescent="0.35">
      <c r="B49" s="118" t="s">
        <v>72</v>
      </c>
      <c r="C49" s="119"/>
      <c r="D49" s="119"/>
      <c r="E49" s="119"/>
      <c r="F49" s="119"/>
      <c r="G49" s="119"/>
      <c r="H49" s="119"/>
      <c r="I49" s="119"/>
      <c r="J49" s="119"/>
      <c r="K49" s="119"/>
      <c r="L49" s="119"/>
      <c r="M49" s="119"/>
      <c r="N49" s="120"/>
    </row>
    <row r="50" spans="2:14" ht="25.8" x14ac:dyDescent="0.35">
      <c r="C50" s="15" t="s">
        <v>41</v>
      </c>
    </row>
    <row r="51" spans="2:14" ht="25.8" x14ac:dyDescent="0.35">
      <c r="C51" s="15" t="s">
        <v>42</v>
      </c>
    </row>
    <row r="52" spans="2:14" ht="25.8" x14ac:dyDescent="0.35">
      <c r="C52" s="15" t="s">
        <v>43</v>
      </c>
    </row>
    <row r="53" spans="2:14" ht="25.8" x14ac:dyDescent="0.35">
      <c r="C53" s="15" t="s">
        <v>44</v>
      </c>
    </row>
    <row r="54" spans="2:14" ht="25.8" x14ac:dyDescent="0.35">
      <c r="C54" s="15" t="s">
        <v>45</v>
      </c>
    </row>
  </sheetData>
  <mergeCells count="12">
    <mergeCell ref="B49:N49"/>
    <mergeCell ref="B1:N4"/>
    <mergeCell ref="F8:G8"/>
    <mergeCell ref="F9:G9"/>
    <mergeCell ref="G19:I19"/>
    <mergeCell ref="B22:N22"/>
    <mergeCell ref="B30:N30"/>
    <mergeCell ref="B31:N31"/>
    <mergeCell ref="B32:N32"/>
    <mergeCell ref="B33:N33"/>
    <mergeCell ref="B47:N47"/>
    <mergeCell ref="B48:N48"/>
  </mergeCells>
  <dataValidations count="11">
    <dataValidation type="list" allowBlank="1" showInputMessage="1" showErrorMessage="1" sqref="K21" xr:uid="{20BB4DAD-1AD7-4B45-834D-7F4F9953D2A2}">
      <formula1>"ADCB,ADCB PAY IN 2027,Ajman Bank,ADIB,DIB EXPAT,DIB LOCAL GVH,Emirates NBD,EIB,FAB,RAK,SIB STL,SIB NON STL"</formula1>
    </dataValidation>
    <dataValidation type="list" allowBlank="1" showInputMessage="1" showErrorMessage="1" sqref="D5" xr:uid="{6A3D676F-9C41-4975-9767-F5AE110A65D6}">
      <formula1>"MIG09,MIG10,ATG16,ATP16,ATG17,ASG48,ASG43,ASG40,ASG42,ASG44,ASG45,ECG38,ECG37,ECG40,ECG43,XPML,XPHL,XPMLP, XPMLP-01, XC,OTF03,OTP03,OTF06,OTP06, OTP06-01,OTF08, OTP08,MOP57,MOG64,MOG59,MOG59P,MOG61,MOP61"</formula1>
    </dataValidation>
    <dataValidation type="list" allowBlank="1" showInputMessage="1" showErrorMessage="1" sqref="M21" xr:uid="{70C1A520-777C-430C-ACF2-27CE6D252CDE}">
      <formula1>"3000-4999,5000-9999,10000-14999,15000-24999,25000-34999,35000-99999,5000-11999,12000-19999,20000-39999,40000-69999,70000-99999"</formula1>
    </dataValidation>
    <dataValidation type="list" allowBlank="1" showInputMessage="1" showErrorMessage="1" sqref="K20" xr:uid="{1C0FA9E2-412F-4327-8BBF-DD84BE85BC8A}">
      <formula1>"Esaad,Emirates Platinum,Fazaa,Humat Alwatan,Permissible,ASX,XPMLP,XP,MON,MON G57,OUT,F08,P08,F06,P06,F03,P03,EC,G37,G38,G40,G43"</formula1>
    </dataValidation>
    <dataValidation type="list" allowBlank="1" showInputMessage="1" showErrorMessage="1" sqref="L19:L20 L24:L25 G14:G15 C10:C16 L10 J10" xr:uid="{281A6ADF-A0A6-4B31-8024-47C05597C342}">
      <formula1>"YES,NO"</formula1>
    </dataValidation>
    <dataValidation type="list" allowBlank="1" showInputMessage="1" showErrorMessage="1" sqref="K24" xr:uid="{A624D637-ADA2-41F1-B664-D24FCECD3022}">
      <formula1>"RMC-10-70K,RMC-10-100000K,RMC-40-70K"</formula1>
    </dataValidation>
    <dataValidation type="list" allowBlank="1" showInputMessage="1" showErrorMessage="1" sqref="B16" xr:uid="{602BE4F4-B76B-4FD9-8371-31FC5FCC2894}">
      <formula1>"RMC-10-40KMS,RMC-10-60KMS,RMC-10-70KMS,RMC-10-100000KMS,RMC-40-70KMS,RMC-40-100000KMS"</formula1>
    </dataValidation>
    <dataValidation type="list" allowBlank="1" showInputMessage="1" showErrorMessage="1" sqref="B12" xr:uid="{9AC46690-F7C6-476B-BA5C-6413218B10F4}">
      <formula1>"FO Exterior ceramic All Cars SCOTCHGUARD,FO Mirror Camera Sensor,FO PPF Gold Package "</formula1>
    </dataValidation>
    <dataValidation type="list" allowBlank="1" showInputMessage="1" showErrorMessage="1" sqref="B11" xr:uid="{45ACA0B0-FB61-42AE-9785-2FA3F4148A30}">
      <formula1>"FO Ceramic+ Intr&amp;Extr CeramicGold WdwTnt,FO Mirror Camera Sensor"</formula1>
    </dataValidation>
    <dataValidation type="list" allowBlank="1" showInputMessage="1" showErrorMessage="1" sqref="M34" xr:uid="{3CFD24B3-2DED-47BB-8268-E4B2CE0BB4CA}">
      <formula1>"Alaa,Bachir ,Khaled,Ramy,Simon,Mharen,Ranjith,Jihan,Praveen,Sujith,Mossallem"</formula1>
    </dataValidation>
    <dataValidation type="list" allowBlank="1" showInputMessage="1" showErrorMessage="1" sqref="H34" xr:uid="{35539722-F979-4909-B550-B6E8B17874BB}">
      <formula1>"ALAA HAMMAD,KHALED QASSEM,RAMY RAOUF,SIMON LOBO,MHAREN CLEMENTE GARADO"</formula1>
    </dataValidation>
  </dataValidations>
  <pageMargins left="0.23622047244094491" right="0.23622047244094491" top="0.74803149606299213" bottom="0.74803149606299213" header="0.31496062992125984" footer="0.31496062992125984"/>
  <pageSetup paperSize="9" scale="37" orientation="landscape" horizontalDpi="4294967295" verticalDpi="4294967295"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0A923D-184A-43E6-8B90-848040103316}">
  <sheetPr>
    <pageSetUpPr fitToPage="1"/>
  </sheetPr>
  <dimension ref="A1:AB54"/>
  <sheetViews>
    <sheetView topLeftCell="B1" zoomScaleNormal="100" workbookViewId="0">
      <selection activeCell="D5" sqref="D5"/>
    </sheetView>
  </sheetViews>
  <sheetFormatPr defaultColWidth="9.109375" defaultRowHeight="20.399999999999999" x14ac:dyDescent="0.35"/>
  <cols>
    <col min="1" max="1" width="16" style="1" hidden="1" customWidth="1"/>
    <col min="2" max="2" width="75.5546875" style="2" customWidth="1"/>
    <col min="3" max="3" width="25.5546875" style="3" customWidth="1"/>
    <col min="4" max="4" width="25.33203125" style="2" customWidth="1"/>
    <col min="5" max="5" width="22.6640625" style="2" customWidth="1"/>
    <col min="6" max="6" width="21" style="2" customWidth="1"/>
    <col min="7" max="7" width="25" style="2" customWidth="1"/>
    <col min="8" max="8" width="29.44140625" style="2" bestFit="1" customWidth="1"/>
    <col min="9" max="9" width="32.109375" style="2" bestFit="1" customWidth="1"/>
    <col min="10" max="10" width="22" style="2" customWidth="1"/>
    <col min="11" max="11" width="23.33203125" style="2" customWidth="1"/>
    <col min="12" max="12" width="31" style="2" customWidth="1"/>
    <col min="13" max="13" width="23.5546875" style="2" customWidth="1"/>
    <col min="14" max="14" width="21.109375" style="2" customWidth="1"/>
    <col min="15" max="15" width="14.44140625" style="83" bestFit="1" customWidth="1"/>
    <col min="16" max="16" width="21.6640625" style="83" hidden="1" customWidth="1"/>
    <col min="17" max="17" width="14.33203125" style="86" hidden="1" customWidth="1"/>
    <col min="18" max="18" width="12.88671875" style="86" hidden="1" customWidth="1"/>
    <col min="19" max="19" width="13" style="86" hidden="1" customWidth="1"/>
    <col min="20" max="20" width="17.109375" style="86" hidden="1" customWidth="1"/>
    <col min="21" max="21" width="21.5546875" style="86" customWidth="1"/>
    <col min="22" max="22" width="22.88671875" style="86" customWidth="1"/>
    <col min="23" max="26" width="17.109375" style="86" bestFit="1" customWidth="1"/>
    <col min="27" max="27" width="15" style="86" customWidth="1"/>
    <col min="28" max="28" width="14.33203125" style="86" bestFit="1" customWidth="1"/>
    <col min="29" max="16384" width="9.109375" style="1"/>
  </cols>
  <sheetData>
    <row r="1" spans="1:28" ht="15.75" customHeight="1" x14ac:dyDescent="0.35">
      <c r="B1" s="121" t="s">
        <v>46</v>
      </c>
      <c r="C1" s="122"/>
      <c r="D1" s="122"/>
      <c r="E1" s="122"/>
      <c r="F1" s="122"/>
      <c r="G1" s="122"/>
      <c r="H1" s="122"/>
      <c r="I1" s="122"/>
      <c r="J1" s="122"/>
      <c r="K1" s="122"/>
      <c r="L1" s="122"/>
      <c r="M1" s="122"/>
      <c r="N1" s="123"/>
    </row>
    <row r="2" spans="1:28" ht="15.75" customHeight="1" x14ac:dyDescent="0.35">
      <c r="B2" s="124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6"/>
      <c r="Q2" s="83"/>
      <c r="S2" s="87"/>
    </row>
    <row r="3" spans="1:28" ht="15.75" customHeight="1" x14ac:dyDescent="0.35">
      <c r="B3" s="124"/>
      <c r="C3" s="125"/>
      <c r="D3" s="125"/>
      <c r="E3" s="125"/>
      <c r="F3" s="125"/>
      <c r="G3" s="125"/>
      <c r="H3" s="125"/>
      <c r="I3" s="125"/>
      <c r="J3" s="125"/>
      <c r="K3" s="125"/>
      <c r="L3" s="125"/>
      <c r="M3" s="125"/>
      <c r="N3" s="126"/>
      <c r="O3" s="82"/>
      <c r="P3" s="82"/>
      <c r="Q3" s="81"/>
      <c r="R3" s="81"/>
      <c r="S3" s="88" t="e">
        <f>N7+J14</f>
        <v>#VALUE!</v>
      </c>
      <c r="T3" s="88"/>
      <c r="U3" s="81"/>
      <c r="V3" s="81"/>
      <c r="W3" s="81"/>
      <c r="AA3" s="86">
        <f>273000/5</f>
        <v>54600</v>
      </c>
    </row>
    <row r="4" spans="1:28" ht="15.75" customHeight="1" x14ac:dyDescent="0.4">
      <c r="B4" s="127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9"/>
      <c r="O4" s="89" t="s">
        <v>0</v>
      </c>
      <c r="P4" s="89"/>
      <c r="Q4" s="90"/>
      <c r="R4" s="90"/>
      <c r="S4" s="91"/>
      <c r="T4" s="91"/>
      <c r="U4" s="90" t="s">
        <v>1</v>
      </c>
      <c r="V4" s="90" t="s">
        <v>2</v>
      </c>
      <c r="W4" s="90" t="s">
        <v>3</v>
      </c>
    </row>
    <row r="5" spans="1:28" ht="25.2" thickBot="1" x14ac:dyDescent="0.45">
      <c r="B5" s="17">
        <f ca="1">TODAY()</f>
        <v>46215</v>
      </c>
      <c r="C5" s="18" t="str">
        <f>IF(D5="MIG09","Mirage G09",IF(D5="MIG10","MirageG10",IF(D5="ATG16","Attrage G16",IF(D5="ATP16","Attrage P16",IF(D5="ATG17","Attrage G17",IF(D5="ASG48","ASX G48",IF(D5="ASG43","ASX G43", IF(D5="ASG40","ASXG40",IF(D5="ASG42","ASX G42",IF(D5="ASG44","ASX G44",IF(D5="ASG45","ASX G45",IF(D5="ECG38","Eclipse G38",IF(D5="ECG37","Eclipse G37",IF(D5="ECG40","Eclipse G40",IF(D5="ECG43","Eclipse G43",IF(D5="XPML","Xpander ML",IF(D5="XPHL","Xpander HL",IF(D5="XPMLP","Xpander ML P",IF(D5="XPMLP-01","Xpander ML P-01",IF(D5="XC","Xpander Cross", IF(D5="OTF03","Outlander F03",IF(D5="OTP03","Outlander P03",IF(D5="OTF06","Outlander F06",IF(D5="OTP06","Outlander P06",IF(D5="OTP06-01","Outlander P06-01",IF(D5="OTF08","Outlander F08",IF(D5="OTP08","Outlander P08P", IF(D5="MOP57","Montero P57",IF(D5="MOG64","Montero G64",IF(D5="MOG59","Montero G59",IF(D5="MOG59P","Montero G59 P",IF(D5="MOG61","Montero G61",IF(D5="MOP61","Montero P61")))))))))))))))))))))))))))))))))</f>
        <v>Montero G64</v>
      </c>
      <c r="D5" s="19" t="s">
        <v>114</v>
      </c>
      <c r="E5" s="20" t="s">
        <v>47</v>
      </c>
      <c r="F5" s="21"/>
      <c r="G5" s="21"/>
      <c r="H5" s="21"/>
      <c r="I5" s="22"/>
      <c r="J5" s="23"/>
      <c r="K5" s="24">
        <v>0</v>
      </c>
      <c r="L5" s="25">
        <v>3.39E-2</v>
      </c>
      <c r="M5" s="25">
        <v>6.7799999999999999E-2</v>
      </c>
      <c r="N5" s="25">
        <v>0.1017</v>
      </c>
      <c r="O5" s="92">
        <f>K7+K14</f>
        <v>13067.676601979998</v>
      </c>
      <c r="S5" s="87"/>
      <c r="U5" s="87">
        <f>L7+L14</f>
        <v>5324.7490025216666</v>
      </c>
      <c r="V5" s="87">
        <f>M7+M14</f>
        <v>3561.9252276299994</v>
      </c>
      <c r="W5" s="87">
        <f>N7+N14</f>
        <v>2468.2389358549999</v>
      </c>
    </row>
    <row r="6" spans="1:28" s="5" customFormat="1" ht="128.25" customHeight="1" thickBot="1" x14ac:dyDescent="0.35">
      <c r="A6" s="4" t="s">
        <v>4</v>
      </c>
      <c r="B6" s="26" t="s">
        <v>5</v>
      </c>
      <c r="C6" s="27" t="s">
        <v>6</v>
      </c>
      <c r="D6" s="27" t="s">
        <v>48</v>
      </c>
      <c r="E6" s="27" t="s">
        <v>7</v>
      </c>
      <c r="F6" s="27" t="s">
        <v>8</v>
      </c>
      <c r="G6" s="28" t="s">
        <v>9</v>
      </c>
      <c r="H6" s="28" t="s">
        <v>49</v>
      </c>
      <c r="I6" s="28" t="s">
        <v>10</v>
      </c>
      <c r="J6" s="28" t="s">
        <v>56</v>
      </c>
      <c r="K6" s="28" t="s">
        <v>11</v>
      </c>
      <c r="L6" s="28" t="s">
        <v>12</v>
      </c>
      <c r="M6" s="28" t="s">
        <v>13</v>
      </c>
      <c r="N6" s="28" t="s">
        <v>14</v>
      </c>
      <c r="O6" s="93"/>
      <c r="P6" s="94"/>
      <c r="Q6" s="95"/>
      <c r="R6" s="95"/>
      <c r="S6" s="95"/>
      <c r="T6" s="96"/>
      <c r="U6" s="96">
        <f>N7+L14</f>
        <v>4182.1449758549998</v>
      </c>
      <c r="V6" s="96">
        <f>N7+K14</f>
        <v>10496.817541979999</v>
      </c>
      <c r="W6" s="96"/>
      <c r="X6" s="95"/>
      <c r="Y6" s="95"/>
      <c r="Z6" s="95"/>
      <c r="AA6" s="95"/>
      <c r="AB6" s="95"/>
    </row>
    <row r="7" spans="1:28" ht="25.2" thickBot="1" x14ac:dyDescent="0.45">
      <c r="A7" s="6">
        <f>B8</f>
        <v>108900</v>
      </c>
      <c r="B7" s="29">
        <f>IF(L20="YES",C8*1,IF(L20="NO",B8*1))</f>
        <v>108900</v>
      </c>
      <c r="C7" s="29">
        <f>B7*5/100</f>
        <v>5445</v>
      </c>
      <c r="D7" s="29">
        <f>B7+C7</f>
        <v>114345</v>
      </c>
      <c r="E7" s="29">
        <f>D17</f>
        <v>13902.953</v>
      </c>
      <c r="F7" s="29">
        <f>(C7)+(D10+D11+D12+D13+D16)*5/100</f>
        <v>5740</v>
      </c>
      <c r="G7" s="30">
        <f>B7+E7+F7</f>
        <v>128542.95299999999</v>
      </c>
      <c r="H7" s="29">
        <f>G7*D20</f>
        <v>25708.5906</v>
      </c>
      <c r="I7" s="29">
        <f>(G7-H7)</f>
        <v>102834.3624</v>
      </c>
      <c r="J7" s="30">
        <f>(((I7*D19)*1)+I7)/12</f>
        <v>8782.9115019799992</v>
      </c>
      <c r="K7" s="30">
        <f>(((I7*D19)*2)+I7)/24</f>
        <v>4498.1464019799996</v>
      </c>
      <c r="L7" s="30">
        <f>(((I7*D19)*3)+I7)/36</f>
        <v>3069.8913686466667</v>
      </c>
      <c r="M7" s="30">
        <f>(((I7*D19)*4)+I7)/48</f>
        <v>2355.7638519799998</v>
      </c>
      <c r="N7" s="30">
        <f>((((I7*D19)*5)+I7)/60)</f>
        <v>1927.2873419800001</v>
      </c>
      <c r="O7" s="92"/>
      <c r="P7" s="83">
        <f>H7+H16</f>
        <v>26788.351405199999</v>
      </c>
      <c r="T7" s="87">
        <f>25973/2</f>
        <v>12986.5</v>
      </c>
    </row>
    <row r="8" spans="1:28" ht="24.6" x14ac:dyDescent="0.4">
      <c r="A8" s="7">
        <v>0.2</v>
      </c>
      <c r="B8" s="31">
        <f>IF(D5="MIG09",39900,IF(D5="MIG10",40400,IF(D5="ATG16",40400,IF(D5="ATP16",49900,IF(D5="ATG17",41900,IF(D5="ASG48",63900,IF(D5="ASG43",62900,IF(D5="ASG40",63900,IF(D5="ASG42",68900,IF(D5="ASG44",89900,IF(D5="ASG45",95900,IF(D5="ECG38",73900,IF(D5="ECG37",70900,IF(D5="ECG40",86900,IF(D5="ECG43",91900,IF(D5="XPML",62900,IF(D5="XPHL",62900,IF(D5="XPMLP",69900,IF(D5="XPMLP-01",77800,IF(D5="XC",77900,IF(D5="OTF03",96900,IF(D5="OTP03",79900,IF(D5="OTF06",92900,IF(D5="OTP06",111900,IF(D5="OTP06-01",118900,IF(D5="OTF08",122900,IF(D5="OTP08",109900,IF(D5="MOP57",99900,IF(D5="MOG64",108900,IF(D5="MOG59",116900,IF(D5="MOG59P",110900,IF(D5="MOG61",127900,IF(D5="MOP61",125900)))))))))))))))))))))))))))))))))</f>
        <v>108900</v>
      </c>
      <c r="C8" s="32">
        <f>IF(L20="YES",N20,IF(L20="NO",N20))</f>
        <v>108900</v>
      </c>
      <c r="D8" s="29">
        <v>0</v>
      </c>
      <c r="E8" s="33"/>
      <c r="F8" s="139"/>
      <c r="G8" s="140"/>
      <c r="H8" s="110">
        <f>G7*20/100</f>
        <v>25708.5906</v>
      </c>
      <c r="I8" s="21"/>
      <c r="J8" s="34" t="s">
        <v>15</v>
      </c>
      <c r="K8" s="23">
        <f>(J7*K5+J7)/24</f>
        <v>365.95464591583328</v>
      </c>
      <c r="L8" s="23">
        <f>(J7*L5+J7)/36</f>
        <v>252.24033894158669</v>
      </c>
      <c r="M8" s="23">
        <f>(J7*M5+J7)/48</f>
        <v>195.38318545446339</v>
      </c>
      <c r="N8" s="23">
        <f>(J7*N5+J7)/60</f>
        <v>161.26889336218943</v>
      </c>
      <c r="O8" s="92"/>
      <c r="P8" s="83">
        <f>P7/12</f>
        <v>2232.3626171000001</v>
      </c>
      <c r="T8" s="86">
        <f>25973-12973</f>
        <v>13000</v>
      </c>
    </row>
    <row r="9" spans="1:28" ht="24.6" x14ac:dyDescent="0.4">
      <c r="A9" s="8">
        <f>B8/(100%-A8)</f>
        <v>136125</v>
      </c>
      <c r="B9" s="109">
        <f>B7-B8</f>
        <v>0</v>
      </c>
      <c r="C9" s="35"/>
      <c r="D9" s="36"/>
      <c r="E9" s="33"/>
      <c r="F9" s="139"/>
      <c r="G9" s="140"/>
      <c r="H9" s="33"/>
      <c r="I9" s="37" t="s">
        <v>16</v>
      </c>
      <c r="J9" s="38">
        <f>(J7*12)-(I7)</f>
        <v>2560.5756237599853</v>
      </c>
      <c r="K9" s="38">
        <f>(K7*24)-I7</f>
        <v>5121.1512475199852</v>
      </c>
      <c r="L9" s="38">
        <f>(L7*36)-I7</f>
        <v>7681.7268712799996</v>
      </c>
      <c r="M9" s="38">
        <f>(M7*48)-I7</f>
        <v>10242.302495039985</v>
      </c>
      <c r="N9" s="38">
        <f>(N7*60)-I7</f>
        <v>12802.878118799999</v>
      </c>
      <c r="O9" s="92"/>
      <c r="T9" s="86">
        <f>T8/12</f>
        <v>1083.3333333333333</v>
      </c>
      <c r="Z9" s="86" t="s">
        <v>86</v>
      </c>
    </row>
    <row r="10" spans="1:28" ht="24.6" x14ac:dyDescent="0.4">
      <c r="A10" s="8"/>
      <c r="B10" s="37" t="s">
        <v>50</v>
      </c>
      <c r="C10" s="20" t="s">
        <v>17</v>
      </c>
      <c r="D10" s="36">
        <f>IF(C10="YES",800,IF(C10="NO",0))</f>
        <v>0</v>
      </c>
      <c r="E10" s="39"/>
      <c r="F10" s="40"/>
      <c r="G10" s="40"/>
      <c r="H10" s="33"/>
      <c r="I10" s="44" t="s">
        <v>85</v>
      </c>
      <c r="J10" s="117" t="s">
        <v>19</v>
      </c>
      <c r="K10" s="117">
        <f>IF(J10="YES",Z10,IF(J10="NO",0))</f>
        <v>1000</v>
      </c>
      <c r="L10" s="117"/>
      <c r="M10" s="117"/>
      <c r="N10" s="41">
        <f>(N8*60)-J7</f>
        <v>893.22209975136684</v>
      </c>
      <c r="O10" s="92">
        <f>IF(D5="XC",3690,IF(D5="XPML",3690,IF(D5="XPHL",3690,IF(D5="XPMLP",3690,IF(D5="XPMLP-01",3690,IF(D5="Xpander P",3690,IF(D5="MOP57",(U19*2.75/100+510)*1.05,IF(D5="MOG64",(U19*2.75/100+510)*1.05,IF(D5="MOG59",(U19*2.75/100+510)*1.05,IF(D5="MOG59P",(U19*2.75/100+510)*1.05,IF(D5="MOG61",(U19*2.75/100+510)*1.05,IF(D5="MOP61",(U19*2.75/100+510)*1.05,IF(D5="OTF03",(D7*3/100+510)*1.05,IF(D5="OTP03",(U19*3/100+510)*1.05,IF(D5="OTF06",(U19*3/100+510)*1.05,IF(D5="OTP06",(U19*3/100+510)*1.05,IF(D5="OTP06-01",(U19*3/100+510)*1.05,IF(D5="OTF08",(U19*3/100+510)*1.05,IF(D5="OTP08",(U19*3/100+510)*1.05,IF(D5="ECG38",3625,IF(D5="ECG37",3625,IF(D5="ECG40",(D7*3/100+510)*1.05,IF(D5="ECG43",(D7*3/100+510)*1.05,IF(D5="ASG48",3625,IF(D5="ASG43",3625,IF(D5="ASG40",3625,IF(D5="ASG42",3625,IF(D5="ASG44",3625,IF(D5="ASG45",3625,IF(D5="ASX HL 4WD",3625,IF(D5="ATG16",3625,IF(D5="ATG17",3625,IF(D5="ATP16",3625,IF(D5="Attrage S",3625,IF(D5="MIG09",3625,IF(D5="MIG10",3625,IF(D5="Xpander HL",3690)))))))))))))))))))))))))))))))))))))</f>
        <v>4016.0925000000002</v>
      </c>
      <c r="P10" s="97"/>
      <c r="Q10" s="97">
        <f>5.25*3</f>
        <v>15.75</v>
      </c>
      <c r="Z10" s="86">
        <f>IF(D5="MIG09",500,IF(D5="MIG10",500,IF(D5="ATG16",500,IF(D5="ATP16",500,IF(D5="ATG17",500,IF(D5="ASG48",1000,IF(D5="ASG43",1000,IF(D5="ASG40",1000,IF(D5="ASG42",1000,IF(D5="ASG44",1000,IF(D5="ASG45",1000,IF(D5="ECG38",1000,IF(D5="ECG37",1000,IF(D5="ECG40",1000,IF(D5="ECG43",1000,IF(D5="XPML",1000,IF(D5="XPHL",1000,IF(D5="XPMLP",1000,IF(D5="XPMLP-01",1000,IF(D5="XC",1000,IF(D5="OTF03",1000,IF(D5="OTP03",1000,IF(D5="OTF06",1000,IF(D5="OTP06",1000,IF(D5="OTP06-01",1000,IF(D5="OTF08",1000,IF(D5="OTP08",1000,IF(D5="MOP57",1000,IF(D5="MOG64",1000,IF(D5="MOG59",1000,IF(D5="MOG59P",1000,IF(D5="MOG61",1000,IF(D5="MOP61",1000)))))))))))))))))))))))))))))))))</f>
        <v>1000</v>
      </c>
    </row>
    <row r="11" spans="1:28" ht="24.6" x14ac:dyDescent="0.4">
      <c r="A11" s="8"/>
      <c r="B11" s="37" t="s">
        <v>18</v>
      </c>
      <c r="C11" s="20" t="s">
        <v>17</v>
      </c>
      <c r="D11" s="36">
        <f>IF(C11="YES",O17,IF(C11="NO",0))</f>
        <v>0</v>
      </c>
      <c r="E11" s="33"/>
      <c r="F11" s="40"/>
      <c r="G11" s="40"/>
      <c r="H11" s="33"/>
      <c r="I11" s="21"/>
      <c r="J11" s="44" t="s">
        <v>76</v>
      </c>
      <c r="K11" s="44">
        <f>H8-K10</f>
        <v>24708.5906</v>
      </c>
      <c r="L11" s="37"/>
      <c r="M11" s="37"/>
      <c r="N11" s="42"/>
      <c r="O11" s="92">
        <f>IF(D5="XC",6100,IF(D5="XPML",6100,IF(D5="XPHL",6100,IF(D5="XPMLP",6100,IF(D5="XPMLP-01",6100,IF(D5="Xpander P",6100,IF(D5="MOP57",5900,IF(D5="MOG64",5900,IF(D5="MOG59",5900,IF(D5="MOG59P",5900,IF(D5="MOG61",5900,IF(D5="MOP61",5900,IF(D5="OTF03",6700,IF(D5="OTP03",6700,IF(D5="OTF06",6700,IF(D5="OTP06",6700,IF(D5="OTP06-01",6700,IF(D5="OTF08",6700,IF(D5="OTP08",6700,IF(D5="ECG37",6400,IF(D5="ECG38",6400,IF(D5="ECG40",6400,IF(D5="ECG43",6400,IF(D5="ASG48",6600,IF(D5="ASG43",6600,IF(D5="ASG40",6600,IF(D5="ASG42",6600,IF(D5="ASG44",6600,IF(D5="ASG45",6600,IF(D5="ASX HL 4WD",6600,IF(D5="ATG16",5400,IF(D5="ATG17",5400,IF(D5="ATP16",5400,IF(D5="Attrage S",5400,IF(D5="MIG09",5400,IF(D5="MIG10",5400,IF(D5="Xpander HL",6000)))))))))))))))))))))))))))))))))))))</f>
        <v>5900</v>
      </c>
      <c r="P11" s="92"/>
      <c r="Q11" s="92"/>
      <c r="R11" s="92"/>
      <c r="S11" s="92"/>
      <c r="T11" s="92"/>
      <c r="U11" s="92">
        <f>IF(D5="XC",4900,IF(D5="XPML",4900,IF(D5="XPHL",4900,IF(D5="XPMLP",4900,IF(D5="XPMLP-01",4900,IF(D5="Xpander P",4900,IF(D5="MOP57",4600,IF(D5="MOG64",4600,IF(D5="MOG59",4600,IF(D5="MOG59P",4600,IF(D5="MOG61",4600,IF(D5="MOP61",4600,IF(D5="OTF03",5500,IF(D5="OTP03",5500,IF(D5="OTF06",5500,IF(D5="OTP06",5500,IF(D5="OTP06-01",5500,IF(D5="OTF08",5500,IF(D5="OTP08",5500,IF(D5="ECG38",5200,IF(D5="ECG37",5200,IF(D5="ECG40",5200,IF(D5="ECG43",5200,IF(D5="ASG48",5300,IF(D5="ASG43",5300,IF(D5="ASG40",5300,IF(D5="ASG42",5300,IF(D5="ASG44",5300,IF(D5="ASG45",5300,IF(D5="ASX HL",5300,IF(D5="ASX P",5300,IF(D5="ASX HL 4WD",5300,IF(D5="ATG16",4200,IF(D5="ATG17",4200,IF(D5="ATP16",4200,IF(D5="Attrage S",4200,IF(D5="MIG09",4200,IF(D5="MIG10",4200,IF(D5="Xpander HL",4900)))))))))))))))))))))))))))))))))))))))</f>
        <v>4600</v>
      </c>
      <c r="V11" s="92" t="b">
        <f>IF(D5="XC",9700,IF(D5="XPML",9700,IF(D5="XPHL",9700,IF(D5="XPMLP",9700,IF(D5="XPMLP-01",9700,IF(D5="XPMLP-01",9700,IF(D5="Xpander P",9700,IF(D5="MOP57",9300,IF(D5="MG64",9300,IF(D5="MOG59",9300,IF(D5="MOG59P",9300,IF(D5="MOG61",9300,IF(D5="MOP61",9300,IF(D5="OTF03",11000,IF(D5="OTP03",11000,IF(D5="OTF06",11000,IF(D5="OTP06",11000,IF(D5="OTP06-01",11000,IF(D5="OTF08",11000,IF(D5="OTP08",11000,IF(D5="ECG38",10400,IF(D5="ECG37",10400,IF(D5="ECG40",10400,IF(D5="ECG43",10400,IF(D5="ASG48",10700,IF(D5="ASG43",10700,IF(D5="ASG40",10700,IF(D5="ASG42",10700,IF(D5="ASG44",10800,IF(D5="ASG45",10800,IF(D5="ASX HL",12200,IF(D5="ASX P",12200,IF(D5="ASX HL 4WD",12200,IF(D5="ATG16",8500,IF(D5="ATG17",8500,IF(D5="ATP16",8500,IF(D5="Attrage S",9600,IF(D5="MIG09",8500,IF(D5="MIG10",8500,IF(D5="Xpander HL",11300))))))))))))))))))))))))))))))))))))))))</f>
        <v>0</v>
      </c>
      <c r="W11" s="92">
        <f>IF(D5="XC",9200,IF(D5="XPML",9200,IF(D5="XPHL",9200,IF(D5="XPMLP",9200,IF(D5="XPMLP-01",9200,IF(D5="Xpander P",9200,IF(D5="MOP57",8700,IF(D5="MOG64",8700,IF(D5="MOG59",8700,IF(D5="MOG59P",8700,IF(D5="MOG61",8700,IF(D5="MOP61",8700,IF(D5="OTF03",10400,IF(D5="OTP03",10400,IF(D5="OTF06",10400,IF(D5="OTP06",10400,IF(D5="OTP06-01",10400,IF(D5="OTF08",10400,IF(D5="OTP08",10400,IF(D5="ECG38",9800,IF(D5="ECG37",9800,IF(D5="ECG40",9800,IF(D5="ECG43",9800,IF(D5="ASG48",10100,IF(D5="ASG43",10100,IF(D5="ASG40",10100,IF(D5="ASG42",10100,IF(D5="ASG44",10100,IF(D5="ASG45",10100,IF(D5="ASX HL",10100,IF(D5="ASX P",10100,IF(D5="ASX HL 4WD",10100,IF(D5="ATG16",7900,IF(D5="ATG17",7900,IF(D5="ATP16",7900,IF(D5="Attrage S",7900,IF(D5="MIG09",7900,IF(D5="MIG10",7900,IF(D5="Xpander HL",9200)))))))))))))))))))))))))))))))))))))))</f>
        <v>8700</v>
      </c>
      <c r="X11" s="92">
        <f>IF(D5="XC",4500,IF(D5="XPML",4500,IF(D5="XPHL",4500,IF(D5="XPMLP",4500,IF(D5="XPMLP-01",4500,IF(D5="Xpander P",4500,IF(D5="MOP57",4300,IF(D5="MOG64",4300,IF(D5="MOG59",4300,IF(D5="MOG59P",4300,IF(D5="MOG61",4300,IF(D5="MOP61",4300,IF(D5="OTF03",5000,IF(D5="OTP03",5000,IF(D5="OTF06",5000,IF(D5="OTP06",5000,IF(D5="OTP06-01",5000,IF(D5="OTF08",5000,IF(D5="OTP08",5000,IF(D5="ECG38",4900,IF(D5="ECG37",4900,IF(D5="ECG40",4900,IF(D5="ECG43",4900,IF(D5="ASG48",4900,IF(D5="ASG43",4900,IF(D5="ASG40",4900,IF(D5="ASG42",4900,IF(D5="ASG44",4900,IF(D5="ASG45",4900,IF(D5="ASX HL",4900,IF(D5="ASX P",4900,IF(D5="ASX HL 4WD",4900,IF(D5="ATG16",3700,IF(D5="ATG17",3700,IF(D5="ATP16",3700,IF(D5="Attrage S",3700,IF(D5="MIG09",3700,IF(D5="MIG10",3700,IF(D5="Xpander HL",4500)))))))))))))))))))))))))))))))))))))))</f>
        <v>4300</v>
      </c>
      <c r="Y11" s="92">
        <f>IF(D5="XC",5400,IF(D5="XPML ",5400,IF(D5="XPHL",5400,IF(D5="XPMLP",5400,IF(D5="XPMLP-01",5400,IF(D5="Xpander P",5400,IF(D5="MOP57",5200,IF(D5="MOG64",5200,IF(D5="MOG59",5200,IF(D5="MOG59P",5200,IF(D5="MOG61",5200,IF(D5="MOP61",5200,IF(D5="OTF03",6000,IF(D5="OTP03",6000,IF(D5="OTF06",6000,IF(D5="OTP06",6000,IF(D5="OTP06-01",6000,IF(D5="OTF08",6000,IF(D5="OTP08",6000,IF(D5="ECG38",5700,IF(D5="ECG37",5700,IF(D5="ECG40",5700,IF(D5="ECG43",5700,IF(D5="ASG48",5900,IF(D5="ASG43",5900,IF(D5="ASG40",5900,IF(D5="ASG42",5900,IF(D5="ASG44",5900,IF(D5="ASG45",5900,IF(D5="ASX HL",5900,IF(D5="ASX P",5900,IF(D5="ASX HL 4WD",5900,IF(D5="ATG16",4500,IF(D5="ATG17",4500,IF(D5="ATP16",4500,IF(D5="Attrage S",4500,IF(D5="MIG09",4500,IF(D5="MIG10",4500,IF(D5="Xpander HL",5400)))))))))))))))))))))))))))))))))))))))</f>
        <v>5200</v>
      </c>
    </row>
    <row r="12" spans="1:28" ht="24.75" customHeight="1" x14ac:dyDescent="0.4">
      <c r="A12" s="8"/>
      <c r="B12" s="37" t="s">
        <v>20</v>
      </c>
      <c r="C12" s="20" t="s">
        <v>17</v>
      </c>
      <c r="D12" s="36">
        <f>IF(C12="YES",2000,IF(C12="NO",0))</f>
        <v>0</v>
      </c>
      <c r="E12" s="43"/>
      <c r="F12" s="43" t="s">
        <v>21</v>
      </c>
      <c r="G12" s="40"/>
      <c r="H12" s="33">
        <v>600</v>
      </c>
      <c r="I12" s="21"/>
      <c r="J12" s="44" t="s">
        <v>22</v>
      </c>
      <c r="K12" s="45">
        <v>0</v>
      </c>
      <c r="L12" s="45">
        <v>5.2499999999999998E-2</v>
      </c>
      <c r="M12" s="45">
        <v>0.126</v>
      </c>
      <c r="N12" s="46">
        <v>0.26250000000000001</v>
      </c>
      <c r="O12" s="92">
        <f>IF(K20="Esaad",B8*3/100,IF(K20="Emirates Platinum",B8*3/100,IF(K20="Fazaa",B8*3/100,IF(K20="Humat Alwatan",B8*3/100,IF(K20="Permissible",2000,IF(K20="ASX",8400,IF(K20="XPMLP",4000,IF(K20="XP",14100,IF(K20="G43",11000,IF(K20="EC",7000,IF(K20="G37",14000,IF(K20="G38",15000,IF(K20="G40",11000,IF(K20="OUT",9600,IF(K20="F08",15400,IF(K20="P08",11100,IF(K20="F06",14100,IF(K20="P06",17100,IF(K20="F03",17000,IF(K20="P03",19100,IF(K20="MON",10000,IF(K20="MON G57",10000,0))))))))))))))))))))))</f>
        <v>2000</v>
      </c>
      <c r="P12" s="92"/>
      <c r="Q12" s="92"/>
      <c r="R12" s="92"/>
      <c r="S12" s="92"/>
      <c r="T12" s="92"/>
      <c r="U12" s="92"/>
      <c r="V12" s="92"/>
      <c r="W12" s="92"/>
      <c r="X12" s="92"/>
      <c r="Y12" s="92"/>
      <c r="Z12" s="86" t="s">
        <v>83</v>
      </c>
      <c r="AA12" s="86" t="s">
        <v>84</v>
      </c>
    </row>
    <row r="13" spans="1:28" ht="24.6" x14ac:dyDescent="0.4">
      <c r="A13" s="8">
        <f>B8*1.26582</f>
        <v>137847.79799999998</v>
      </c>
      <c r="B13" s="37" t="s">
        <v>23</v>
      </c>
      <c r="C13" s="20" t="s">
        <v>17</v>
      </c>
      <c r="D13" s="36">
        <f>IF(C13="YES",2000,IF(C13="NO",0))</f>
        <v>0</v>
      </c>
      <c r="E13" s="47"/>
      <c r="F13" s="47" t="s">
        <v>75</v>
      </c>
      <c r="G13" s="40"/>
      <c r="H13" s="33">
        <v>315</v>
      </c>
      <c r="I13" s="21"/>
      <c r="J13" s="44" t="s">
        <v>54</v>
      </c>
      <c r="K13" s="29" t="s">
        <v>79</v>
      </c>
      <c r="L13" s="29" t="s">
        <v>25</v>
      </c>
      <c r="M13" s="29" t="s">
        <v>0</v>
      </c>
      <c r="N13" s="49" t="s">
        <v>26</v>
      </c>
      <c r="O13" s="98">
        <f>IF(M21="3000-4999",6%,IF(M21="5000-9999",4.75%,IF(M21="10000-14999",3.15%,IF(M21="15000-24999",2.5%,IF(M21="25000-34999",2.25%,IF(M21="35000-99999",2.25%))))))</f>
        <v>4.7500000000000001E-2</v>
      </c>
      <c r="Q13" s="83">
        <f>H7/12</f>
        <v>2142.3825499999998</v>
      </c>
      <c r="U13" s="9">
        <f>IF(M21="3000-4999",6%,IF(M21="5000-9999",3.25%,IF(M21="10000-14999",3%,IF(M21="15000-24999",2.25%,IF(M21="25000-34999",2.15%,IF(M21="35000-99999",1.99%))))))</f>
        <v>3.2500000000000001E-2</v>
      </c>
      <c r="Z13" s="99">
        <f>IF(M21="5000-9999",2.49%,IF(M21="10000-19999",2.19%,IF(M21="20000-34999",2.09%,IF(M21="35000-49999",1.89%,IF(M21="50000-99999",1.79%)))))</f>
        <v>2.4900000000000002E-2</v>
      </c>
      <c r="AA13" s="99">
        <f>IF(M21="5000-9999",2.59%,IF(M21="10000-19999",2.29%,IF(M21="20000-34999",2.19%,IF(M21="35000-49999",1.99%,IF(M21="50000-99999",1.89%)))))</f>
        <v>2.5899999999999999E-2</v>
      </c>
    </row>
    <row r="14" spans="1:28" ht="24.6" x14ac:dyDescent="0.4">
      <c r="A14" s="10" t="s">
        <v>27</v>
      </c>
      <c r="B14" s="37" t="s">
        <v>24</v>
      </c>
      <c r="C14" s="20" t="s">
        <v>19</v>
      </c>
      <c r="D14" s="50">
        <f>IF(C14="YES",U19*3.15*1.05/100,IF(C14="NO",U19*0/100))</f>
        <v>3986.8604999999998</v>
      </c>
      <c r="E14" s="48"/>
      <c r="F14" s="48" t="s">
        <v>24</v>
      </c>
      <c r="G14" s="51" t="s">
        <v>17</v>
      </c>
      <c r="H14" s="39">
        <f>IF(G14="YES",U19*3.15*1.05/100,IF(G14="NO",U19*0/100))</f>
        <v>0</v>
      </c>
      <c r="I14" s="21"/>
      <c r="J14" s="44" t="s">
        <v>55</v>
      </c>
      <c r="K14" s="44">
        <f>(H8*K12+H8)/3</f>
        <v>8569.5301999999992</v>
      </c>
      <c r="L14" s="44">
        <f>(H8*L12+H8)/12</f>
        <v>2254.8576338749999</v>
      </c>
      <c r="M14" s="44">
        <f>(H8*M12+H8)/24</f>
        <v>1206.1613756499999</v>
      </c>
      <c r="N14" s="52">
        <f>(H7*N12+H7)/60</f>
        <v>540.95159387499996</v>
      </c>
      <c r="O14" s="98">
        <f>IF(M21="3000-4999",3.89%,IF(M21="5000-9999",3.89%,IF(M21="10000-14999",3.89%,IF(M21="15000-24999",2.69%,IF(M21="25000-34999",2.69%,IF(M21="35000-99999",2.39%,IF(M21="76000-99999",2.19%)))))))</f>
        <v>3.8900000000000004E-2</v>
      </c>
    </row>
    <row r="15" spans="1:28" ht="24.6" x14ac:dyDescent="0.4">
      <c r="A15" s="11">
        <f>(B7*3%)+10+120</f>
        <v>3397</v>
      </c>
      <c r="B15" s="37" t="s">
        <v>28</v>
      </c>
      <c r="C15" s="20" t="s">
        <v>19</v>
      </c>
      <c r="D15" s="29">
        <f>IF(C15="YES",O10,IF(C15="NO",0))</f>
        <v>4016.0925000000002</v>
      </c>
      <c r="E15" s="48"/>
      <c r="F15" s="48" t="s">
        <v>53</v>
      </c>
      <c r="G15" s="51" t="s">
        <v>17</v>
      </c>
      <c r="H15" s="39">
        <f>IF(G15="YES",O10,IF(G15="NO",0))</f>
        <v>0</v>
      </c>
      <c r="I15" s="21"/>
      <c r="J15" s="44"/>
      <c r="K15" s="44"/>
      <c r="L15" s="44"/>
      <c r="M15" s="44"/>
      <c r="N15" s="53"/>
      <c r="O15" s="98" t="b">
        <f>IF(M21="3000-4999",4.99%, IF(M21="5000-11999",2.75%,IF(M21="12000-19999",2.75%,IF(M21="20000-39999",2.25%,IF(M21="40000-69999",2.39%,IF(M21="70000-99999",2.25%))))))</f>
        <v>0</v>
      </c>
      <c r="P15" s="99"/>
    </row>
    <row r="16" spans="1:28" ht="24.6" x14ac:dyDescent="0.4">
      <c r="A16" s="11">
        <f>((B7-B8)*3%+10+120)</f>
        <v>130</v>
      </c>
      <c r="B16" s="37" t="s">
        <v>78</v>
      </c>
      <c r="C16" s="20" t="s">
        <v>19</v>
      </c>
      <c r="D16" s="29">
        <f>IF(C16="YES",O16,IF(C16="NO",0))</f>
        <v>5900</v>
      </c>
      <c r="E16" s="47"/>
      <c r="F16" s="47" t="s">
        <v>74</v>
      </c>
      <c r="G16" s="54"/>
      <c r="H16" s="33">
        <f>I7*1.05%</f>
        <v>1079.7608052</v>
      </c>
      <c r="I16" s="21"/>
      <c r="J16" s="44" t="s">
        <v>16</v>
      </c>
      <c r="K16" s="44">
        <f>(K14*3)-H8</f>
        <v>0</v>
      </c>
      <c r="L16" s="44">
        <f>(L14*12)-H8</f>
        <v>1349.7010064999995</v>
      </c>
      <c r="M16" s="44">
        <f>(M14*24)-H8</f>
        <v>3239.2824155999951</v>
      </c>
      <c r="N16" s="53"/>
      <c r="O16" s="92">
        <f>IF(B16="RMC-10-70KMS",O11,IF(B16="RMC-10-100000KMS",V11,IF(B16="RMC-40-70KMS",U11, IF(B16="RMC-10-40KMS",X11, IF(B16="RMC-10-60KMS",Y11, IF(B16="RMC-40-100000KMS",W11,0))))))</f>
        <v>5900</v>
      </c>
    </row>
    <row r="17" spans="1:28" ht="24.6" x14ac:dyDescent="0.4">
      <c r="A17" s="11">
        <f>A15+A16</f>
        <v>3527</v>
      </c>
      <c r="B17" s="37"/>
      <c r="C17" s="20"/>
      <c r="D17" s="29">
        <f>SUM(D10:D16)</f>
        <v>13902.953</v>
      </c>
      <c r="E17" s="33"/>
      <c r="F17" s="33"/>
      <c r="G17" s="33"/>
      <c r="H17" s="33">
        <f>H7+H12+H15+H16</f>
        <v>27388.351405199999</v>
      </c>
      <c r="I17" s="33"/>
      <c r="J17" s="22"/>
      <c r="K17" s="53"/>
      <c r="L17" s="53"/>
      <c r="M17" s="53"/>
      <c r="N17" s="53"/>
      <c r="O17" s="92">
        <f>IF(B11="FO Ceramic+ Intr&amp;Extr CeramicGold WdwTnt",2700,IF(B11="FO Mirror Camera Sensor",2000))</f>
        <v>2700</v>
      </c>
      <c r="T17" s="86">
        <f>19615-791</f>
        <v>18824</v>
      </c>
    </row>
    <row r="18" spans="1:28" ht="24.6" x14ac:dyDescent="0.4">
      <c r="A18" s="12" t="s">
        <v>29</v>
      </c>
      <c r="B18" s="55" t="s">
        <v>30</v>
      </c>
      <c r="C18" s="56"/>
      <c r="D18" s="57">
        <v>0</v>
      </c>
      <c r="E18" s="38"/>
      <c r="F18" s="22"/>
      <c r="G18" s="22"/>
      <c r="H18" s="21"/>
      <c r="I18" s="21"/>
      <c r="J18" s="21"/>
      <c r="K18" s="21"/>
      <c r="L18" s="21"/>
      <c r="M18" s="21"/>
      <c r="N18" s="21"/>
      <c r="O18" s="92"/>
      <c r="U18" s="100" t="s">
        <v>52</v>
      </c>
      <c r="V18" s="100" t="s">
        <v>52</v>
      </c>
    </row>
    <row r="19" spans="1:28" ht="24.6" x14ac:dyDescent="0.4">
      <c r="A19" s="11">
        <f>B8*3.15%</f>
        <v>3430.35</v>
      </c>
      <c r="B19" s="58" t="s">
        <v>31</v>
      </c>
      <c r="C19" s="59"/>
      <c r="D19" s="60">
        <f>IF(K21="DIB EXPAT",O13,IF(K21="DIB LOCAL GVH",U13,IF(K21="Emirates NBD",O14,IF(K21="ADCB",O15,IF(K21="ADCB PAY IN 2027",O19,IF(K21="Ajman Bank",O18,IF(K21="SIB STL",Z13,IF(K21="SIB NON STL",AA13,))))))))</f>
        <v>2.4900000000000002E-2</v>
      </c>
      <c r="E19" s="22"/>
      <c r="F19" s="61"/>
      <c r="G19" s="141" t="s">
        <v>73</v>
      </c>
      <c r="H19" s="142"/>
      <c r="I19" s="143"/>
      <c r="J19" s="109">
        <f>H7/365</f>
        <v>70.434494794520546</v>
      </c>
      <c r="K19" s="21"/>
      <c r="L19" s="21"/>
      <c r="M19" s="21"/>
      <c r="N19" s="23">
        <f>D7</f>
        <v>114345</v>
      </c>
      <c r="O19" s="98" t="b">
        <f>IF(M21="5000-11999",3.35%,IF(M21="12000-19999",3.35%,IF(M21="20000-39999",2.85%,IF(M21="40000-69999",2.85%,IF(M21="70000-99999",2.85%)))))</f>
        <v>0</v>
      </c>
      <c r="P19" s="83">
        <f>81400-2500</f>
        <v>78900</v>
      </c>
      <c r="U19" s="101">
        <f>V19</f>
        <v>120540</v>
      </c>
      <c r="V19" s="102">
        <f>(B7+D10+D11+D12+D13+D16)*1.05</f>
        <v>120540</v>
      </c>
      <c r="X19" s="87">
        <f>G7*3.15*1.05/100</f>
        <v>4251.5581704750002</v>
      </c>
      <c r="Y19" s="87">
        <f>G7*3/100+510*1.05</f>
        <v>4391.7885900000001</v>
      </c>
      <c r="Z19" s="87">
        <f>Y19+X19</f>
        <v>8643.3467604750003</v>
      </c>
      <c r="AA19" s="87">
        <f>(Z19)-(D14+D15)</f>
        <v>640.39376047500082</v>
      </c>
      <c r="AB19" s="87">
        <f>AA19*1.25</f>
        <v>800.49220059375102</v>
      </c>
    </row>
    <row r="20" spans="1:28" ht="24.6" x14ac:dyDescent="0.4">
      <c r="A20" s="11"/>
      <c r="B20" s="58" t="s">
        <v>32</v>
      </c>
      <c r="C20" s="62"/>
      <c r="D20" s="63">
        <v>0.2</v>
      </c>
      <c r="E20" s="21"/>
      <c r="F20" s="21"/>
      <c r="G20" s="42"/>
      <c r="H20" s="42"/>
      <c r="I20" s="42"/>
      <c r="J20" s="103"/>
      <c r="K20" s="104" t="s">
        <v>33</v>
      </c>
      <c r="L20" s="104" t="s">
        <v>17</v>
      </c>
      <c r="M20" s="104">
        <f>IF(L20="YES",O12,IF(L20="NO",0))</f>
        <v>0</v>
      </c>
      <c r="N20" s="23">
        <f>B8-M20</f>
        <v>108900</v>
      </c>
      <c r="O20" s="92"/>
      <c r="P20" s="99"/>
      <c r="T20" s="86">
        <f>1992+1084</f>
        <v>3076</v>
      </c>
      <c r="V20" s="83"/>
      <c r="X20" s="87">
        <f>X19-D14</f>
        <v>264.69767047500045</v>
      </c>
      <c r="Y20" s="87">
        <f>Y19-D15</f>
        <v>375.69608999999991</v>
      </c>
      <c r="AA20" s="87">
        <f>X20+Y20</f>
        <v>640.39376047500036</v>
      </c>
    </row>
    <row r="21" spans="1:28" ht="24.6" x14ac:dyDescent="0.4">
      <c r="A21" s="13">
        <f>A19+A20</f>
        <v>3430.35</v>
      </c>
      <c r="B21" s="21"/>
      <c r="C21" s="22"/>
      <c r="D21" s="21"/>
      <c r="E21" s="21"/>
      <c r="F21" s="21"/>
      <c r="G21" s="21"/>
      <c r="H21" s="21"/>
      <c r="I21" s="21"/>
      <c r="J21" s="37" t="s">
        <v>34</v>
      </c>
      <c r="K21" s="16" t="s">
        <v>83</v>
      </c>
      <c r="L21" s="105" t="s">
        <v>35</v>
      </c>
      <c r="M21" s="106" t="s">
        <v>80</v>
      </c>
      <c r="N21" s="111"/>
      <c r="O21" s="92"/>
      <c r="T21" s="86">
        <f>25973-12973</f>
        <v>13000</v>
      </c>
    </row>
    <row r="22" spans="1:28" ht="24.6" x14ac:dyDescent="0.4">
      <c r="A22" s="13"/>
      <c r="B22" s="130" t="s">
        <v>51</v>
      </c>
      <c r="C22" s="131"/>
      <c r="D22" s="131"/>
      <c r="E22" s="131"/>
      <c r="F22" s="131"/>
      <c r="G22" s="131"/>
      <c r="H22" s="131"/>
      <c r="I22" s="131"/>
      <c r="J22" s="131"/>
      <c r="K22" s="131"/>
      <c r="L22" s="131"/>
      <c r="M22" s="131"/>
      <c r="N22" s="132"/>
      <c r="O22" s="92"/>
    </row>
    <row r="23" spans="1:28" ht="25.2" x14ac:dyDescent="0.45">
      <c r="A23" s="14" t="s">
        <v>36</v>
      </c>
      <c r="B23" s="64" t="s">
        <v>57</v>
      </c>
      <c r="C23" s="65"/>
      <c r="D23" s="65"/>
      <c r="E23" s="65"/>
      <c r="F23" s="65"/>
      <c r="G23" s="65"/>
      <c r="H23" s="66"/>
      <c r="I23" s="66"/>
      <c r="J23" s="65"/>
      <c r="K23" s="65"/>
      <c r="L23" s="65"/>
      <c r="M23" s="65"/>
      <c r="N23" s="67"/>
      <c r="O23" s="92">
        <f>N7+K14</f>
        <v>10496.817541979999</v>
      </c>
    </row>
    <row r="24" spans="1:28" ht="25.2" x14ac:dyDescent="0.45">
      <c r="A24" s="14" t="s">
        <v>36</v>
      </c>
      <c r="B24" s="64" t="s">
        <v>58</v>
      </c>
      <c r="C24" s="65"/>
      <c r="D24" s="65"/>
      <c r="E24" s="65"/>
      <c r="F24" s="65"/>
      <c r="G24" s="65"/>
      <c r="H24" s="85">
        <f>H7/365</f>
        <v>70.434494794520546</v>
      </c>
      <c r="I24" s="85">
        <f>H7/365</f>
        <v>70.434494794520546</v>
      </c>
      <c r="J24" s="65"/>
      <c r="K24" s="65"/>
      <c r="L24" s="65"/>
      <c r="M24" s="65"/>
      <c r="N24" s="68"/>
      <c r="O24" s="92"/>
      <c r="P24" s="83">
        <f>1232+480</f>
        <v>1712</v>
      </c>
      <c r="T24" s="86">
        <f>88704/1.05</f>
        <v>84480</v>
      </c>
    </row>
    <row r="25" spans="1:28" ht="25.2" x14ac:dyDescent="0.45">
      <c r="A25" s="14" t="s">
        <v>36</v>
      </c>
      <c r="B25" s="64" t="s">
        <v>59</v>
      </c>
      <c r="C25" s="65"/>
      <c r="D25" s="65"/>
      <c r="E25" s="65"/>
      <c r="F25" s="65"/>
      <c r="G25" s="65"/>
      <c r="H25" s="66"/>
      <c r="I25" s="85">
        <f>I24*365*3</f>
        <v>77125.771800000002</v>
      </c>
      <c r="J25" s="65"/>
      <c r="K25" s="65"/>
      <c r="L25" s="65"/>
      <c r="M25" s="65"/>
      <c r="N25" s="68"/>
      <c r="O25" s="92"/>
      <c r="Q25" s="86">
        <f>79400-5233.33</f>
        <v>74166.67</v>
      </c>
      <c r="R25" s="86">
        <f>Q25*1.05</f>
        <v>77875.003500000006</v>
      </c>
    </row>
    <row r="26" spans="1:28" ht="25.2" x14ac:dyDescent="0.45">
      <c r="A26" s="14" t="s">
        <v>36</v>
      </c>
      <c r="B26" s="64" t="s">
        <v>60</v>
      </c>
      <c r="C26" s="65"/>
      <c r="D26" s="65"/>
      <c r="E26" s="65"/>
      <c r="F26" s="65"/>
      <c r="G26" s="65"/>
      <c r="H26" s="65"/>
      <c r="I26" s="65"/>
      <c r="J26" s="65"/>
      <c r="K26" s="65"/>
      <c r="L26" s="65"/>
      <c r="M26" s="65"/>
      <c r="N26" s="68"/>
      <c r="O26" s="92" t="s">
        <v>37</v>
      </c>
      <c r="R26" s="86">
        <f>R25+2469</f>
        <v>80344.003500000006</v>
      </c>
    </row>
    <row r="27" spans="1:28" ht="25.2" x14ac:dyDescent="0.45">
      <c r="A27" s="14" t="s">
        <v>36</v>
      </c>
      <c r="B27" s="64" t="s">
        <v>61</v>
      </c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8"/>
      <c r="O27" s="92">
        <f>129500-110900</f>
        <v>18600</v>
      </c>
    </row>
    <row r="28" spans="1:28" ht="25.2" x14ac:dyDescent="0.45">
      <c r="B28" s="64" t="s">
        <v>62</v>
      </c>
      <c r="C28" s="65"/>
      <c r="D28" s="65"/>
      <c r="E28" s="65"/>
      <c r="F28" s="65"/>
      <c r="G28" s="65"/>
      <c r="H28" s="65"/>
      <c r="I28" s="65"/>
      <c r="J28" s="65"/>
      <c r="K28" s="65"/>
      <c r="L28" s="65"/>
      <c r="M28" s="65"/>
      <c r="N28" s="68"/>
      <c r="O28" s="92"/>
    </row>
    <row r="29" spans="1:28" ht="25.2" x14ac:dyDescent="0.45">
      <c r="B29" s="64" t="s">
        <v>63</v>
      </c>
      <c r="C29" s="65"/>
      <c r="D29" s="65"/>
      <c r="E29" s="65"/>
      <c r="F29" s="65"/>
      <c r="G29" s="65"/>
      <c r="H29" s="65"/>
      <c r="I29" s="65"/>
      <c r="J29" s="65"/>
      <c r="K29" s="65"/>
      <c r="L29" s="65"/>
      <c r="M29" s="65"/>
      <c r="N29" s="69"/>
      <c r="O29" s="92"/>
    </row>
    <row r="30" spans="1:28" ht="24.6" x14ac:dyDescent="0.4">
      <c r="B30" s="133" t="s">
        <v>38</v>
      </c>
      <c r="C30" s="134"/>
      <c r="D30" s="134"/>
      <c r="E30" s="134"/>
      <c r="F30" s="134"/>
      <c r="G30" s="134"/>
      <c r="H30" s="134"/>
      <c r="I30" s="134"/>
      <c r="J30" s="134"/>
      <c r="K30" s="134"/>
      <c r="L30" s="134"/>
      <c r="M30" s="134"/>
      <c r="N30" s="135"/>
      <c r="O30" s="92"/>
    </row>
    <row r="31" spans="1:28" ht="24.6" x14ac:dyDescent="0.4">
      <c r="B31" s="136"/>
      <c r="C31" s="137"/>
      <c r="D31" s="137"/>
      <c r="E31" s="137"/>
      <c r="F31" s="137"/>
      <c r="G31" s="137"/>
      <c r="H31" s="137"/>
      <c r="I31" s="137"/>
      <c r="J31" s="137"/>
      <c r="K31" s="137"/>
      <c r="L31" s="137"/>
      <c r="M31" s="137"/>
      <c r="N31" s="138"/>
      <c r="O31" s="92"/>
    </row>
    <row r="32" spans="1:28" ht="24.6" x14ac:dyDescent="0.4">
      <c r="B32" s="136" t="s">
        <v>39</v>
      </c>
      <c r="C32" s="137"/>
      <c r="D32" s="137"/>
      <c r="E32" s="137"/>
      <c r="F32" s="137"/>
      <c r="G32" s="137"/>
      <c r="H32" s="137"/>
      <c r="I32" s="137"/>
      <c r="J32" s="137"/>
      <c r="K32" s="137"/>
      <c r="L32" s="137"/>
      <c r="M32" s="137"/>
      <c r="N32" s="138"/>
      <c r="O32" s="92"/>
    </row>
    <row r="33" spans="2:16" ht="24.6" x14ac:dyDescent="0.4">
      <c r="B33" s="136" t="s">
        <v>40</v>
      </c>
      <c r="C33" s="137"/>
      <c r="D33" s="137"/>
      <c r="E33" s="137"/>
      <c r="F33" s="137"/>
      <c r="G33" s="137"/>
      <c r="H33" s="137"/>
      <c r="I33" s="137"/>
      <c r="J33" s="137"/>
      <c r="K33" s="137"/>
      <c r="L33" s="137"/>
      <c r="M33" s="137"/>
      <c r="N33" s="138"/>
      <c r="O33" s="92"/>
    </row>
    <row r="34" spans="2:16" s="112" customFormat="1" ht="24.6" x14ac:dyDescent="0.4">
      <c r="B34" s="107" t="s">
        <v>81</v>
      </c>
      <c r="C34" s="108"/>
      <c r="D34" s="108"/>
      <c r="E34" s="108"/>
      <c r="F34" s="108"/>
      <c r="G34" s="113"/>
      <c r="H34" s="113"/>
      <c r="I34" s="108"/>
      <c r="J34" s="108"/>
      <c r="K34" s="108"/>
      <c r="L34" s="108"/>
      <c r="M34" s="114" t="s">
        <v>82</v>
      </c>
      <c r="N34" s="116" t="b">
        <f>IF(M34="ALAA",507963328, IF(M34="BACHIR",525246969,IF(M34="JIHAN",566201266, IF(M34="RAMY",505277871, IF(M34="SIMON",505140337,IF(M34="SUJITH",551079817, IF(M34="PRAVEEN",506367792,IF(M34="MHAREN",529224059, IF(M34="MOSSALLEM",505185577,IF(M34="RANJITH",554989288, IF(M34="KHALED",552319494)))))))))))</f>
        <v>0</v>
      </c>
      <c r="O34" s="115"/>
      <c r="P34" s="115"/>
    </row>
    <row r="35" spans="2:16" x14ac:dyDescent="0.35">
      <c r="B35" s="70"/>
      <c r="C35" s="71"/>
      <c r="D35" s="71"/>
      <c r="E35" s="71"/>
      <c r="F35" s="71"/>
      <c r="G35" s="71"/>
      <c r="H35" s="71"/>
      <c r="I35" s="71"/>
      <c r="J35" s="71"/>
      <c r="K35" s="71"/>
      <c r="L35" s="71"/>
      <c r="M35" s="71"/>
      <c r="N35" s="72"/>
    </row>
    <row r="36" spans="2:16" x14ac:dyDescent="0.35">
      <c r="B36" s="70"/>
      <c r="C36" s="71"/>
      <c r="D36" s="71"/>
      <c r="E36" s="71"/>
      <c r="F36" s="71"/>
      <c r="G36" s="71"/>
      <c r="H36" s="71"/>
      <c r="I36" s="71"/>
      <c r="J36" s="71"/>
      <c r="K36" s="71"/>
      <c r="L36" s="71"/>
      <c r="M36" s="71"/>
      <c r="N36" s="72"/>
    </row>
    <row r="37" spans="2:16" x14ac:dyDescent="0.35">
      <c r="B37" s="70"/>
      <c r="C37" s="71"/>
      <c r="D37" s="71"/>
      <c r="E37" s="71"/>
      <c r="F37" s="71"/>
      <c r="G37" s="71"/>
      <c r="H37" s="71"/>
      <c r="I37" s="71"/>
      <c r="J37" s="71"/>
      <c r="K37" s="71"/>
      <c r="L37" s="71"/>
      <c r="M37" s="71"/>
      <c r="N37" s="72"/>
    </row>
    <row r="38" spans="2:16" ht="21" x14ac:dyDescent="0.4">
      <c r="B38" s="73" t="s">
        <v>64</v>
      </c>
      <c r="C38" s="74"/>
      <c r="D38" s="75"/>
      <c r="E38" s="76"/>
      <c r="F38" s="76"/>
      <c r="G38" s="76"/>
      <c r="H38" s="76"/>
      <c r="I38" s="76"/>
      <c r="J38" s="77"/>
      <c r="K38" s="76"/>
      <c r="L38" s="76"/>
      <c r="M38" s="76"/>
      <c r="N38" s="78"/>
    </row>
    <row r="39" spans="2:16" ht="21" x14ac:dyDescent="0.4">
      <c r="B39" s="73" t="s">
        <v>65</v>
      </c>
      <c r="C39" s="79"/>
      <c r="D39" s="75"/>
      <c r="E39" s="76"/>
      <c r="F39" s="76"/>
      <c r="G39" s="76"/>
      <c r="H39" s="76"/>
      <c r="I39" s="76"/>
      <c r="J39" s="77"/>
      <c r="K39" s="76"/>
      <c r="L39" s="76"/>
      <c r="M39" s="76"/>
      <c r="N39" s="80"/>
    </row>
    <row r="40" spans="2:16" ht="21" x14ac:dyDescent="0.35">
      <c r="B40" s="73" t="s">
        <v>66</v>
      </c>
      <c r="C40" s="81"/>
      <c r="D40" s="76"/>
      <c r="E40" s="76"/>
      <c r="F40" s="76"/>
      <c r="G40" s="76"/>
      <c r="H40" s="76"/>
      <c r="I40" s="76"/>
      <c r="J40" s="77"/>
      <c r="K40" s="76"/>
      <c r="L40" s="76"/>
      <c r="M40" s="76"/>
      <c r="N40" s="80"/>
    </row>
    <row r="41" spans="2:16" ht="21" x14ac:dyDescent="0.35">
      <c r="B41" s="73" t="s">
        <v>67</v>
      </c>
      <c r="C41" s="82"/>
      <c r="D41" s="83"/>
      <c r="E41" s="83"/>
      <c r="F41" s="83"/>
      <c r="G41" s="83"/>
      <c r="H41" s="83"/>
      <c r="I41" s="83"/>
      <c r="J41" s="83"/>
      <c r="K41" s="83"/>
      <c r="L41" s="83"/>
      <c r="M41" s="83"/>
      <c r="N41" s="84"/>
    </row>
    <row r="42" spans="2:16" ht="21" x14ac:dyDescent="0.35">
      <c r="B42" s="73" t="s">
        <v>77</v>
      </c>
      <c r="C42" s="82"/>
      <c r="D42" s="83"/>
      <c r="E42" s="83"/>
      <c r="F42" s="83"/>
      <c r="G42" s="83"/>
      <c r="H42" s="83"/>
      <c r="I42" s="83"/>
      <c r="J42" s="83"/>
      <c r="K42" s="83"/>
      <c r="L42" s="83"/>
      <c r="M42" s="83"/>
      <c r="N42" s="84"/>
    </row>
    <row r="43" spans="2:16" ht="21" x14ac:dyDescent="0.35">
      <c r="B43" s="73" t="s">
        <v>68</v>
      </c>
      <c r="C43" s="82"/>
      <c r="D43" s="83"/>
      <c r="E43" s="83"/>
      <c r="F43" s="83"/>
      <c r="G43" s="83"/>
      <c r="H43" s="83"/>
      <c r="I43" s="83"/>
      <c r="J43" s="83"/>
      <c r="K43" s="83"/>
      <c r="L43" s="83"/>
      <c r="M43" s="83"/>
      <c r="N43" s="84"/>
    </row>
    <row r="44" spans="2:16" ht="21" x14ac:dyDescent="0.35">
      <c r="B44" s="73" t="s">
        <v>69</v>
      </c>
      <c r="C44" s="82"/>
      <c r="D44" s="83"/>
      <c r="E44" s="83"/>
      <c r="F44" s="83"/>
      <c r="G44" s="83"/>
      <c r="H44" s="83"/>
      <c r="I44" s="83"/>
      <c r="J44" s="83"/>
      <c r="K44" s="83"/>
      <c r="L44" s="83"/>
      <c r="M44" s="83"/>
      <c r="N44" s="84"/>
    </row>
    <row r="45" spans="2:16" ht="21" x14ac:dyDescent="0.35">
      <c r="B45" s="73" t="s">
        <v>70</v>
      </c>
      <c r="C45" s="82"/>
      <c r="D45" s="83"/>
      <c r="E45" s="83"/>
      <c r="F45" s="83"/>
      <c r="G45" s="83"/>
      <c r="H45" s="83"/>
      <c r="I45" s="83"/>
      <c r="J45" s="83"/>
      <c r="K45" s="83"/>
      <c r="L45" s="83"/>
      <c r="M45" s="83"/>
      <c r="N45" s="84"/>
    </row>
    <row r="46" spans="2:16" ht="21" x14ac:dyDescent="0.35">
      <c r="B46" s="73" t="s">
        <v>71</v>
      </c>
      <c r="C46" s="82"/>
      <c r="D46" s="83"/>
      <c r="E46" s="83"/>
      <c r="F46" s="83"/>
      <c r="G46" s="83"/>
      <c r="H46" s="83"/>
      <c r="I46" s="83"/>
      <c r="J46" s="83"/>
      <c r="K46" s="83"/>
      <c r="L46" s="83"/>
      <c r="M46" s="83"/>
      <c r="N46" s="84"/>
    </row>
    <row r="47" spans="2:16" x14ac:dyDescent="0.35">
      <c r="B47" s="118" t="s">
        <v>39</v>
      </c>
      <c r="C47" s="119"/>
      <c r="D47" s="119"/>
      <c r="E47" s="119"/>
      <c r="F47" s="119"/>
      <c r="G47" s="119"/>
      <c r="H47" s="119"/>
      <c r="I47" s="119"/>
      <c r="J47" s="119"/>
      <c r="K47" s="119"/>
      <c r="L47" s="119"/>
      <c r="M47" s="119"/>
      <c r="N47" s="120"/>
      <c r="O47" s="92"/>
    </row>
    <row r="48" spans="2:16" x14ac:dyDescent="0.35">
      <c r="B48" s="118" t="s">
        <v>40</v>
      </c>
      <c r="C48" s="119"/>
      <c r="D48" s="119"/>
      <c r="E48" s="119"/>
      <c r="F48" s="119"/>
      <c r="G48" s="119"/>
      <c r="H48" s="119"/>
      <c r="I48" s="119"/>
      <c r="J48" s="119"/>
      <c r="K48" s="119"/>
      <c r="L48" s="119"/>
      <c r="M48" s="119"/>
      <c r="N48" s="120"/>
      <c r="O48" s="92"/>
    </row>
    <row r="49" spans="2:14" x14ac:dyDescent="0.35">
      <c r="B49" s="118" t="s">
        <v>72</v>
      </c>
      <c r="C49" s="119"/>
      <c r="D49" s="119"/>
      <c r="E49" s="119"/>
      <c r="F49" s="119"/>
      <c r="G49" s="119"/>
      <c r="H49" s="119"/>
      <c r="I49" s="119"/>
      <c r="J49" s="119"/>
      <c r="K49" s="119"/>
      <c r="L49" s="119"/>
      <c r="M49" s="119"/>
      <c r="N49" s="120"/>
    </row>
    <row r="50" spans="2:14" ht="25.8" x14ac:dyDescent="0.35">
      <c r="C50" s="15" t="s">
        <v>41</v>
      </c>
    </row>
    <row r="51" spans="2:14" ht="25.8" x14ac:dyDescent="0.35">
      <c r="C51" s="15" t="s">
        <v>42</v>
      </c>
    </row>
    <row r="52" spans="2:14" ht="25.8" x14ac:dyDescent="0.35">
      <c r="C52" s="15" t="s">
        <v>43</v>
      </c>
    </row>
    <row r="53" spans="2:14" ht="25.8" x14ac:dyDescent="0.35">
      <c r="C53" s="15" t="s">
        <v>44</v>
      </c>
    </row>
    <row r="54" spans="2:14" ht="25.8" x14ac:dyDescent="0.35">
      <c r="C54" s="15" t="s">
        <v>45</v>
      </c>
    </row>
  </sheetData>
  <mergeCells count="12">
    <mergeCell ref="B49:N49"/>
    <mergeCell ref="B1:N4"/>
    <mergeCell ref="F8:G8"/>
    <mergeCell ref="F9:G9"/>
    <mergeCell ref="G19:I19"/>
    <mergeCell ref="B22:N22"/>
    <mergeCell ref="B30:N30"/>
    <mergeCell ref="B31:N31"/>
    <mergeCell ref="B32:N32"/>
    <mergeCell ref="B33:N33"/>
    <mergeCell ref="B47:N47"/>
    <mergeCell ref="B48:N48"/>
  </mergeCells>
  <dataValidations count="11">
    <dataValidation type="list" allowBlank="1" showInputMessage="1" showErrorMessage="1" sqref="K21" xr:uid="{0AF2C7B8-33BD-4406-AFC9-F3EDE345DC7D}">
      <formula1>"ADCB,ADCB PAY IN 2027,Ajman Bank,ADIB,DIB EXPAT,DIB LOCAL GVH,Emirates NBD,EIB,FAB,RAK,SIB STL,SIB NON STL"</formula1>
    </dataValidation>
    <dataValidation type="list" allowBlank="1" showInputMessage="1" showErrorMessage="1" sqref="D5" xr:uid="{C24709C5-BAF7-4CC6-B7D2-F378E0C18322}">
      <formula1>"MIG09,MIG10,ATG16,ATP16,ATG17,ASG48,ASG43,ASG40,ASG42,ASG44,ASG45,ECG38,ECG37,ECG40,ECG43,XPML,XPHL,XPMLP, XPMLP-01, XC,OTF03,OTP03,OTF06,OTP06, OTP06-01,OTF08, OTP08,MOP57,MOG64,MOG59,MOG59P,MOG61,MOP61"</formula1>
    </dataValidation>
    <dataValidation type="list" allowBlank="1" showInputMessage="1" showErrorMessage="1" sqref="M21" xr:uid="{BEBFDDE8-BC07-4743-9059-7A5C64D4936E}">
      <formula1>"3000-4999,5000-9999,10000-14999,15000-24999,25000-34999,35000-99999,5000-11999,12000-19999,20000-39999,40000-69999,70000-99999"</formula1>
    </dataValidation>
    <dataValidation type="list" allowBlank="1" showInputMessage="1" showErrorMessage="1" sqref="K20" xr:uid="{A1A40E37-CE6F-4572-81AD-379253FC0499}">
      <formula1>"Esaad,Emirates Platinum,Fazaa,Humat Alwatan,Permissible,ASX,XPMLP,XP,MON,MON G57,OUT,F08,P08,F06,P06,F03,P03,EC,G37,G38,G40,G43"</formula1>
    </dataValidation>
    <dataValidation type="list" allowBlank="1" showInputMessage="1" showErrorMessage="1" sqref="L19:L20 L24:L25 G14:G15 C10:C16 L10 J10" xr:uid="{51E72F63-ADF0-4597-A6B4-204BBF58417A}">
      <formula1>"YES,NO"</formula1>
    </dataValidation>
    <dataValidation type="list" allowBlank="1" showInputMessage="1" showErrorMessage="1" sqref="K24" xr:uid="{0B1FF05A-3448-4FE2-9E69-0DC977CCB676}">
      <formula1>"RMC-10-70K,RMC-10-100000K,RMC-40-70K"</formula1>
    </dataValidation>
    <dataValidation type="list" allowBlank="1" showInputMessage="1" showErrorMessage="1" sqref="B16" xr:uid="{E8D4B27F-5B29-41BA-97B3-3F78521049F0}">
      <formula1>"RMC-10-40KMS,RMC-10-60KMS,RMC-10-70KMS,RMC-10-100000KMS,RMC-40-70KMS,RMC-40-100000KMS"</formula1>
    </dataValidation>
    <dataValidation type="list" allowBlank="1" showInputMessage="1" showErrorMessage="1" sqref="B12" xr:uid="{7830CEBF-2709-465A-B432-FFC44407E093}">
      <formula1>"FO Exterior ceramic All Cars SCOTCHGUARD,FO Mirror Camera Sensor,FO PPF Gold Package "</formula1>
    </dataValidation>
    <dataValidation type="list" allowBlank="1" showInputMessage="1" showErrorMessage="1" sqref="B11" xr:uid="{051852B6-4A22-44A5-8F35-2AABD154CCC3}">
      <formula1>"FO Ceramic+ Intr&amp;Extr CeramicGold WdwTnt,FO Mirror Camera Sensor"</formula1>
    </dataValidation>
    <dataValidation type="list" allowBlank="1" showInputMessage="1" showErrorMessage="1" sqref="M34" xr:uid="{08EE0EF9-81DF-42C3-B0FF-54627A570681}">
      <formula1>"Alaa,Bachir ,Khaled,Ramy,Simon,Mharen,Ranjith,Jihan,Praveen,Sujith,Mossallem"</formula1>
    </dataValidation>
    <dataValidation type="list" allowBlank="1" showInputMessage="1" showErrorMessage="1" sqref="H34" xr:uid="{D729E131-582D-4A04-955E-96EFFC06593B}">
      <formula1>"ALAA HAMMAD,KHALED QASSEM,RAMY RAOUF,SIMON LOBO,MHAREN CLEMENTE GARADO"</formula1>
    </dataValidation>
  </dataValidations>
  <pageMargins left="0.23622047244094491" right="0.23622047244094491" top="0.74803149606299213" bottom="0.74803149606299213" header="0.31496062992125984" footer="0.31496062992125984"/>
  <pageSetup paperSize="9" scale="37" orientation="landscape" horizontalDpi="4294967295" verticalDpi="4294967295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E53D1-E6BC-4609-989B-2D9BED00EDEC}">
  <sheetPr>
    <pageSetUpPr fitToPage="1"/>
  </sheetPr>
  <dimension ref="A1:AB54"/>
  <sheetViews>
    <sheetView topLeftCell="B1" zoomScaleNormal="100" workbookViewId="0">
      <selection activeCell="D5" sqref="D5"/>
    </sheetView>
  </sheetViews>
  <sheetFormatPr defaultColWidth="9.109375" defaultRowHeight="20.399999999999999" x14ac:dyDescent="0.35"/>
  <cols>
    <col min="1" max="1" width="16" style="1" hidden="1" customWidth="1"/>
    <col min="2" max="2" width="75.5546875" style="2" customWidth="1"/>
    <col min="3" max="3" width="25.5546875" style="3" customWidth="1"/>
    <col min="4" max="4" width="25.33203125" style="2" customWidth="1"/>
    <col min="5" max="5" width="22.6640625" style="2" customWidth="1"/>
    <col min="6" max="6" width="21" style="2" customWidth="1"/>
    <col min="7" max="7" width="25" style="2" customWidth="1"/>
    <col min="8" max="8" width="29.44140625" style="2" bestFit="1" customWidth="1"/>
    <col min="9" max="9" width="32.109375" style="2" bestFit="1" customWidth="1"/>
    <col min="10" max="10" width="22" style="2" customWidth="1"/>
    <col min="11" max="11" width="23.33203125" style="2" customWidth="1"/>
    <col min="12" max="12" width="31" style="2" customWidth="1"/>
    <col min="13" max="13" width="23.5546875" style="2" customWidth="1"/>
    <col min="14" max="14" width="21.109375" style="2" customWidth="1"/>
    <col min="15" max="15" width="14.44140625" style="83" bestFit="1" customWidth="1"/>
    <col min="16" max="16" width="21.6640625" style="83" hidden="1" customWidth="1"/>
    <col min="17" max="17" width="14.33203125" style="86" hidden="1" customWidth="1"/>
    <col min="18" max="18" width="12.88671875" style="86" hidden="1" customWidth="1"/>
    <col min="19" max="19" width="13" style="86" hidden="1" customWidth="1"/>
    <col min="20" max="20" width="17.109375" style="86" hidden="1" customWidth="1"/>
    <col min="21" max="21" width="21.5546875" style="86" customWidth="1"/>
    <col min="22" max="22" width="22.88671875" style="86" customWidth="1"/>
    <col min="23" max="26" width="17.109375" style="86" bestFit="1" customWidth="1"/>
    <col min="27" max="27" width="15" style="86" customWidth="1"/>
    <col min="28" max="28" width="14.33203125" style="86" bestFit="1" customWidth="1"/>
    <col min="29" max="16384" width="9.109375" style="1"/>
  </cols>
  <sheetData>
    <row r="1" spans="1:28" ht="15.75" customHeight="1" x14ac:dyDescent="0.35">
      <c r="B1" s="121" t="s">
        <v>46</v>
      </c>
      <c r="C1" s="122"/>
      <c r="D1" s="122"/>
      <c r="E1" s="122"/>
      <c r="F1" s="122"/>
      <c r="G1" s="122"/>
      <c r="H1" s="122"/>
      <c r="I1" s="122"/>
      <c r="J1" s="122"/>
      <c r="K1" s="122"/>
      <c r="L1" s="122"/>
      <c r="M1" s="122"/>
      <c r="N1" s="123"/>
    </row>
    <row r="2" spans="1:28" ht="15.75" customHeight="1" x14ac:dyDescent="0.35">
      <c r="B2" s="124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6"/>
      <c r="Q2" s="83"/>
      <c r="S2" s="87"/>
    </row>
    <row r="3" spans="1:28" ht="15.75" customHeight="1" x14ac:dyDescent="0.35">
      <c r="B3" s="124"/>
      <c r="C3" s="125"/>
      <c r="D3" s="125"/>
      <c r="E3" s="125"/>
      <c r="F3" s="125"/>
      <c r="G3" s="125"/>
      <c r="H3" s="125"/>
      <c r="I3" s="125"/>
      <c r="J3" s="125"/>
      <c r="K3" s="125"/>
      <c r="L3" s="125"/>
      <c r="M3" s="125"/>
      <c r="N3" s="126"/>
      <c r="O3" s="82"/>
      <c r="P3" s="82"/>
      <c r="Q3" s="81"/>
      <c r="R3" s="81"/>
      <c r="S3" s="88" t="e">
        <f>N7+J14</f>
        <v>#VALUE!</v>
      </c>
      <c r="T3" s="88"/>
      <c r="U3" s="81"/>
      <c r="V3" s="81"/>
      <c r="W3" s="81"/>
      <c r="AA3" s="86">
        <f>273000/5</f>
        <v>54600</v>
      </c>
    </row>
    <row r="4" spans="1:28" ht="15.75" customHeight="1" x14ac:dyDescent="0.4">
      <c r="B4" s="127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9"/>
      <c r="O4" s="89" t="s">
        <v>0</v>
      </c>
      <c r="P4" s="89"/>
      <c r="Q4" s="90"/>
      <c r="R4" s="90"/>
      <c r="S4" s="91"/>
      <c r="T4" s="91"/>
      <c r="U4" s="90" t="s">
        <v>1</v>
      </c>
      <c r="V4" s="90" t="s">
        <v>2</v>
      </c>
      <c r="W4" s="90" t="s">
        <v>3</v>
      </c>
    </row>
    <row r="5" spans="1:28" ht="25.2" thickBot="1" x14ac:dyDescent="0.45">
      <c r="B5" s="17">
        <f ca="1">TODAY()</f>
        <v>46215</v>
      </c>
      <c r="C5" s="18" t="str">
        <f>IF(D5="MIG09","Mirage G09",IF(D5="MIG10","MirageG10",IF(D5="ATG16","Attrage G16",IF(D5="ATP16","Attrage P16",IF(D5="ATG17","Attrage G17",IF(D5="ASG48","ASX G48",IF(D5="ASG43","ASX G43", IF(D5="ASG40","ASXG40",IF(D5="ASG42","ASX G42",IF(D5="ASG44","ASX G44",IF(D5="ASG45","ASX G45",IF(D5="ECG38","Eclipse G38",IF(D5="ECG37","Eclipse G37",IF(D5="ECG40","Eclipse G40",IF(D5="ECG43","Eclipse G43",IF(D5="XPML","Xpander ML",IF(D5="XPHL","Xpander HL",IF(D5="XPMLP","Xpander ML P",IF(D5="XPMLP-01","Xpander ML P-01",IF(D5="XC","Xpander Cross", IF(D5="OTF03","Outlander F03",IF(D5="OTP03","Outlander P03",IF(D5="OTF06","Outlander F06",IF(D5="OTP06","Outlander P06",IF(D5="OTP06-01","Outlander P06-01",IF(D5="OTF08","Outlander F08",IF(D5="OTP08","Outlander P08P", IF(D5="MOP57","Montero P57",IF(D5="MOG64","Montero G64",IF(D5="MOG59","Montero G59",IF(D5="MOG59P","Montero G59 P",IF(D5="MOG61","Montero G61",IF(D5="MOP61","Montero P61")))))))))))))))))))))))))))))))))</f>
        <v>Montero P57</v>
      </c>
      <c r="D5" s="19" t="s">
        <v>113</v>
      </c>
      <c r="E5" s="20" t="s">
        <v>47</v>
      </c>
      <c r="F5" s="21"/>
      <c r="G5" s="21"/>
      <c r="H5" s="21"/>
      <c r="I5" s="22"/>
      <c r="J5" s="23"/>
      <c r="K5" s="24">
        <v>0</v>
      </c>
      <c r="L5" s="25">
        <v>3.39E-2</v>
      </c>
      <c r="M5" s="25">
        <v>6.7799999999999999E-2</v>
      </c>
      <c r="N5" s="25">
        <v>0.1017</v>
      </c>
      <c r="O5" s="92">
        <f>K7+K14</f>
        <v>12047.475042330001</v>
      </c>
      <c r="S5" s="87"/>
      <c r="U5" s="87">
        <f>L7+L14</f>
        <v>4909.0425688091673</v>
      </c>
      <c r="V5" s="87">
        <f>M7+M14</f>
        <v>3283.843531605</v>
      </c>
      <c r="W5" s="87">
        <f>N7+N14</f>
        <v>2275.5420021424998</v>
      </c>
    </row>
    <row r="6" spans="1:28" s="5" customFormat="1" ht="128.25" customHeight="1" thickBot="1" x14ac:dyDescent="0.35">
      <c r="A6" s="4" t="s">
        <v>4</v>
      </c>
      <c r="B6" s="26" t="s">
        <v>5</v>
      </c>
      <c r="C6" s="27" t="s">
        <v>6</v>
      </c>
      <c r="D6" s="27" t="s">
        <v>48</v>
      </c>
      <c r="E6" s="27" t="s">
        <v>7</v>
      </c>
      <c r="F6" s="27" t="s">
        <v>8</v>
      </c>
      <c r="G6" s="28" t="s">
        <v>9</v>
      </c>
      <c r="H6" s="28" t="s">
        <v>49</v>
      </c>
      <c r="I6" s="28" t="s">
        <v>10</v>
      </c>
      <c r="J6" s="28" t="s">
        <v>56</v>
      </c>
      <c r="K6" s="28" t="s">
        <v>11</v>
      </c>
      <c r="L6" s="28" t="s">
        <v>12</v>
      </c>
      <c r="M6" s="28" t="s">
        <v>13</v>
      </c>
      <c r="N6" s="28" t="s">
        <v>14</v>
      </c>
      <c r="O6" s="93"/>
      <c r="P6" s="94"/>
      <c r="Q6" s="95"/>
      <c r="R6" s="95"/>
      <c r="S6" s="95"/>
      <c r="T6" s="96"/>
      <c r="U6" s="96">
        <f>N7+L14</f>
        <v>3855.6423421425002</v>
      </c>
      <c r="V6" s="96">
        <f>N7+K14</f>
        <v>9677.3245323299998</v>
      </c>
      <c r="W6" s="96"/>
      <c r="X6" s="95"/>
      <c r="Y6" s="95"/>
      <c r="Z6" s="95"/>
      <c r="AA6" s="95"/>
      <c r="AB6" s="95"/>
    </row>
    <row r="7" spans="1:28" ht="25.2" thickBot="1" x14ac:dyDescent="0.45">
      <c r="A7" s="6">
        <f>B8</f>
        <v>99900</v>
      </c>
      <c r="B7" s="29">
        <f>IF(L20="YES",C8*1,IF(L20="NO",B8*1))</f>
        <v>99900</v>
      </c>
      <c r="C7" s="29">
        <f>B7*5/100</f>
        <v>4995</v>
      </c>
      <c r="D7" s="29">
        <f>B7+C7</f>
        <v>104895</v>
      </c>
      <c r="E7" s="29">
        <f>D17</f>
        <v>13317.5255</v>
      </c>
      <c r="F7" s="29">
        <f>(C7)+(D10+D11+D12+D13+D16)*5/100</f>
        <v>5290</v>
      </c>
      <c r="G7" s="30">
        <f>B7+E7+F7</f>
        <v>118507.5255</v>
      </c>
      <c r="H7" s="29">
        <f>G7*D20</f>
        <v>23701.505100000002</v>
      </c>
      <c r="I7" s="29">
        <f>(G7-H7)</f>
        <v>94806.020400000009</v>
      </c>
      <c r="J7" s="30">
        <f>(((I7*D19)*1)+I7)/12</f>
        <v>8097.2241923299998</v>
      </c>
      <c r="K7" s="30">
        <f>(((I7*D19)*2)+I7)/24</f>
        <v>4146.9733423300004</v>
      </c>
      <c r="L7" s="30">
        <f>(((I7*D19)*3)+I7)/36</f>
        <v>2830.2230589966671</v>
      </c>
      <c r="M7" s="30">
        <f>(((I7*D19)*4)+I7)/48</f>
        <v>2171.8479173300002</v>
      </c>
      <c r="N7" s="30">
        <f>((((I7*D19)*5)+I7)/60)</f>
        <v>1776.82283233</v>
      </c>
      <c r="O7" s="92"/>
      <c r="P7" s="83">
        <f>H7+H16</f>
        <v>24696.968314200003</v>
      </c>
      <c r="T7" s="87">
        <f>25973/2</f>
        <v>12986.5</v>
      </c>
    </row>
    <row r="8" spans="1:28" ht="24.6" x14ac:dyDescent="0.4">
      <c r="A8" s="7">
        <v>0.2</v>
      </c>
      <c r="B8" s="31">
        <f>IF(D5="MIG09",39900,IF(D5="MIG10",40400,IF(D5="ATG16",40400,IF(D5="ATP16",49900,IF(D5="ATG17",41900,IF(D5="ASG48",63900,IF(D5="ASG43",62900,IF(D5="ASG40",63900,IF(D5="ASG42",68900,IF(D5="ASG44",89900,IF(D5="ASG45",95900,IF(D5="ECG38",73900,IF(D5="ECG37",70900,IF(D5="ECG40",86900,IF(D5="ECG43",91900,IF(D5="XPML",62900,IF(D5="XPHL",62900,IF(D5="XPMLP",69900,IF(D5="XPMLP-01",77800,IF(D5="XC",77900,IF(D5="OTF03",96900,IF(D5="OTP03",79900,IF(D5="OTF06",92900,IF(D5="OTP06",111900,IF(D5="OTP06-01",118900,IF(D5="OTF08",122900,IF(D5="OTP08",109900,IF(D5="MOP57",99900,IF(D5="MOG64",108900,IF(D5="MOG59",116900,IF(D5="MOG59P",110900,IF(D5="MOG61",127900,IF(D5="MOP61",125900)))))))))))))))))))))))))))))))))</f>
        <v>99900</v>
      </c>
      <c r="C8" s="32">
        <f>IF(L20="YES",N20,IF(L20="NO",N20))</f>
        <v>99900</v>
      </c>
      <c r="D8" s="29">
        <v>0</v>
      </c>
      <c r="E8" s="33"/>
      <c r="F8" s="139"/>
      <c r="G8" s="140"/>
      <c r="H8" s="110">
        <f>G7*20/100</f>
        <v>23701.505100000002</v>
      </c>
      <c r="I8" s="21"/>
      <c r="J8" s="34" t="s">
        <v>15</v>
      </c>
      <c r="K8" s="23">
        <f>(J7*K5+J7)/24</f>
        <v>337.38434134708331</v>
      </c>
      <c r="L8" s="23">
        <f>(J7*L5+J7)/36</f>
        <v>232.54778034583296</v>
      </c>
      <c r="M8" s="23">
        <f>(J7*M5+J7)/48</f>
        <v>180.12949984520779</v>
      </c>
      <c r="N8" s="23">
        <f>(J7*N5+J7)/60</f>
        <v>148.67853154483268</v>
      </c>
      <c r="O8" s="92"/>
      <c r="P8" s="83">
        <f>P7/12</f>
        <v>2058.0806928500001</v>
      </c>
      <c r="T8" s="86">
        <f>25973-12973</f>
        <v>13000</v>
      </c>
    </row>
    <row r="9" spans="1:28" ht="24.6" x14ac:dyDescent="0.4">
      <c r="A9" s="8">
        <f>B8/(100%-A8)</f>
        <v>124875</v>
      </c>
      <c r="B9" s="109">
        <f>B7-B8</f>
        <v>0</v>
      </c>
      <c r="C9" s="35"/>
      <c r="D9" s="36"/>
      <c r="E9" s="33"/>
      <c r="F9" s="139"/>
      <c r="G9" s="140"/>
      <c r="H9" s="33"/>
      <c r="I9" s="37" t="s">
        <v>16</v>
      </c>
      <c r="J9" s="38">
        <f>(J7*12)-(I7)</f>
        <v>2360.669907959993</v>
      </c>
      <c r="K9" s="38">
        <f>(K7*24)-I7</f>
        <v>4721.3398159200005</v>
      </c>
      <c r="L9" s="38">
        <f>(L7*36)-I7</f>
        <v>7082.0097238800081</v>
      </c>
      <c r="M9" s="38">
        <f>(M7*48)-I7</f>
        <v>9442.6796318400011</v>
      </c>
      <c r="N9" s="38">
        <f>(N7*60)-I7</f>
        <v>11803.349539799994</v>
      </c>
      <c r="O9" s="92"/>
      <c r="T9" s="86">
        <f>T8/12</f>
        <v>1083.3333333333333</v>
      </c>
      <c r="Z9" s="86" t="s">
        <v>86</v>
      </c>
    </row>
    <row r="10" spans="1:28" ht="24.6" x14ac:dyDescent="0.4">
      <c r="A10" s="8"/>
      <c r="B10" s="37" t="s">
        <v>50</v>
      </c>
      <c r="C10" s="20" t="s">
        <v>17</v>
      </c>
      <c r="D10" s="36">
        <f>IF(C10="YES",800,IF(C10="NO",0))</f>
        <v>0</v>
      </c>
      <c r="E10" s="39"/>
      <c r="F10" s="40"/>
      <c r="G10" s="40"/>
      <c r="H10" s="33"/>
      <c r="I10" s="44" t="s">
        <v>85</v>
      </c>
      <c r="J10" s="117" t="s">
        <v>19</v>
      </c>
      <c r="K10" s="117">
        <f>IF(J10="YES",Z10,IF(J10="NO",0))</f>
        <v>1000</v>
      </c>
      <c r="L10" s="117"/>
      <c r="M10" s="117"/>
      <c r="N10" s="41">
        <f>(N8*60)-J7</f>
        <v>823.4877003599604</v>
      </c>
      <c r="O10" s="92">
        <f>IF(D5="XC",3690,IF(D5="XPML",3690,IF(D5="XPHL",3690,IF(D5="XPMLP",3690,IF(D5="XPMLP-01",3690,IF(D5="Xpander P",3690,IF(D5="MOP57",(U19*2.75/100+510)*1.05,IF(D5="MOG64",(U19*2.75/100+510)*1.05,IF(D5="MOG59",(U19*2.75/100+510)*1.05,IF(D5="MOG59P",(U19*2.75/100+510)*1.05,IF(D5="MOG61",(U19*2.75/100+510)*1.05,IF(D5="MOP61",(U19*2.75/100+510)*1.05,IF(D5="OTF03",(D7*3/100+510)*1.05,IF(D5="OTP03",(U19*3/100+510)*1.05,IF(D5="OTF06",(U19*3/100+510)*1.05,IF(D5="OTP06",(U19*3/100+510)*1.05,IF(D5="OTP06-01",(U19*3/100+510)*1.05,IF(D5="OTF08",(U19*3/100+510)*1.05,IF(D5="OTP08",(U19*3/100+510)*1.05,IF(D5="ECG38",3625,IF(D5="ECG37",3625,IF(D5="ECG40",(D7*3/100+510)*1.05,IF(D5="ECG43",(D7*3/100+510)*1.05,IF(D5="ASG48",3625,IF(D5="ASG43",3625,IF(D5="ASG40",3625,IF(D5="ASG42",3625,IF(D5="ASG44",3625,IF(D5="ASG45",3625,IF(D5="ASX HL 4WD",3625,IF(D5="ATG16",3625,IF(D5="ATG17",3625,IF(D5="ATP16",3625,IF(D5="Attrage S",3625,IF(D5="MIG09",3625,IF(D5="MIG10",3625,IF(D5="Xpander HL",3690)))))))))))))))))))))))))))))))))))))</f>
        <v>3743.2237500000001</v>
      </c>
      <c r="P10" s="97"/>
      <c r="Q10" s="97">
        <f>5.25*3</f>
        <v>15.75</v>
      </c>
      <c r="Z10" s="86">
        <f>IF(D5="MIG09",500,IF(D5="MIG10",500,IF(D5="ATG16",500,IF(D5="ATP16",500,IF(D5="ATG17",500,IF(D5="ASG48",1000,IF(D5="ASG43",1000,IF(D5="ASG40",1000,IF(D5="ASG42",1000,IF(D5="ASG44",1000,IF(D5="ASG45",1000,IF(D5="ECG38",1000,IF(D5="ECG37",1000,IF(D5="ECG40",1000,IF(D5="ECG43",1000,IF(D5="XPML",1000,IF(D5="XPHL",1000,IF(D5="XPMLP",1000,IF(D5="XPMLP-01",1000,IF(D5="XC",1000,IF(D5="OTF03",1000,IF(D5="OTP03",1000,IF(D5="OTF06",1000,IF(D5="OTP06",1000,IF(D5="OTP06-01",1000,IF(D5="OTF08",1000,IF(D5="OTP08",1000,IF(D5="MOP57",1000,IF(D5="MOG64",1000,IF(D5="MOG59",1000,IF(D5="MOG59P",1000,IF(D5="MOG61",1000,IF(D5="MOP61",1000)))))))))))))))))))))))))))))))))</f>
        <v>1000</v>
      </c>
    </row>
    <row r="11" spans="1:28" ht="24.6" x14ac:dyDescent="0.4">
      <c r="A11" s="8"/>
      <c r="B11" s="37" t="s">
        <v>18</v>
      </c>
      <c r="C11" s="20" t="s">
        <v>17</v>
      </c>
      <c r="D11" s="36">
        <f>IF(C11="YES",O17,IF(C11="NO",0))</f>
        <v>0</v>
      </c>
      <c r="E11" s="33"/>
      <c r="F11" s="40"/>
      <c r="G11" s="40"/>
      <c r="H11" s="33"/>
      <c r="I11" s="21"/>
      <c r="J11" s="44" t="s">
        <v>76</v>
      </c>
      <c r="K11" s="44">
        <f>H8-K10</f>
        <v>22701.505100000002</v>
      </c>
      <c r="L11" s="37"/>
      <c r="M11" s="37"/>
      <c r="N11" s="42"/>
      <c r="O11" s="92">
        <f>IF(D5="XC",6100,IF(D5="XPML",6100,IF(D5="XPHL",6100,IF(D5="XPMLP",6100,IF(D5="XPMLP-01",6100,IF(D5="Xpander P",6100,IF(D5="MOP57",5900,IF(D5="MOG64",5900,IF(D5="MOG59",5900,IF(D5="MOG59P",5900,IF(D5="MOG61",5900,IF(D5="MOP61",5900,IF(D5="OTF03",6700,IF(D5="OTP03",6700,IF(D5="OTF06",6700,IF(D5="OTP06",6700,IF(D5="OTP06-01",6700,IF(D5="OTF08",6700,IF(D5="OTP08",6700,IF(D5="ECG37",6400,IF(D5="ECG38",6400,IF(D5="ECG40",6400,IF(D5="ECG43",6400,IF(D5="ASG48",6600,IF(D5="ASG43",6600,IF(D5="ASG40",6600,IF(D5="ASG42",6600,IF(D5="ASG44",6600,IF(D5="ASG45",6600,IF(D5="ASX HL 4WD",6600,IF(D5="ATG16",5400,IF(D5="ATG17",5400,IF(D5="ATP16",5400,IF(D5="Attrage S",5400,IF(D5="MIG09",5400,IF(D5="MIG10",5400,IF(D5="Xpander HL",6000)))))))))))))))))))))))))))))))))))))</f>
        <v>5900</v>
      </c>
      <c r="P11" s="92"/>
      <c r="Q11" s="92"/>
      <c r="R11" s="92"/>
      <c r="S11" s="92"/>
      <c r="T11" s="92"/>
      <c r="U11" s="92">
        <f>IF(D5="XC",4900,IF(D5="XPML",4900,IF(D5="XPHL",4900,IF(D5="XPMLP",4900,IF(D5="XPMLP-01",4900,IF(D5="Xpander P",4900,IF(D5="MOP57",4600,IF(D5="MOG64",4600,IF(D5="MOG59",4600,IF(D5="MOG59P",4600,IF(D5="MOG61",4600,IF(D5="MOP61",4600,IF(D5="OTF03",5500,IF(D5="OTP03",5500,IF(D5="OTF06",5500,IF(D5="OTP06",5500,IF(D5="OTP06-01",5500,IF(D5="OTF08",5500,IF(D5="OTP08",5500,IF(D5="ECG38",5200,IF(D5="ECG37",5200,IF(D5="ECG40",5200,IF(D5="ECG43",5200,IF(D5="ASG48",5300,IF(D5="ASG43",5300,IF(D5="ASG40",5300,IF(D5="ASG42",5300,IF(D5="ASG44",5300,IF(D5="ASG45",5300,IF(D5="ASX HL",5300,IF(D5="ASX P",5300,IF(D5="ASX HL 4WD",5300,IF(D5="ATG16",4200,IF(D5="ATG17",4200,IF(D5="ATP16",4200,IF(D5="Attrage S",4200,IF(D5="MIG09",4200,IF(D5="MIG10",4200,IF(D5="Xpander HL",4900)))))))))))))))))))))))))))))))))))))))</f>
        <v>4600</v>
      </c>
      <c r="V11" s="92">
        <f>IF(D5="XC",9700,IF(D5="XPML",9700,IF(D5="XPHL",9700,IF(D5="XPMLP",9700,IF(D5="XPMLP-01",9700,IF(D5="XPMLP-01",9700,IF(D5="Xpander P",9700,IF(D5="MOP57",9300,IF(D5="MG64",9300,IF(D5="MOG59",9300,IF(D5="MOG59P",9300,IF(D5="MOG61",9300,IF(D5="MOP61",9300,IF(D5="OTF03",11000,IF(D5="OTP03",11000,IF(D5="OTF06",11000,IF(D5="OTP06",11000,IF(D5="OTP06-01",11000,IF(D5="OTF08",11000,IF(D5="OTP08",11000,IF(D5="ECG38",10400,IF(D5="ECG37",10400,IF(D5="ECG40",10400,IF(D5="ECG43",10400,IF(D5="ASG48",10700,IF(D5="ASG43",10700,IF(D5="ASG40",10700,IF(D5="ASG42",10700,IF(D5="ASG44",10800,IF(D5="ASG45",10800,IF(D5="ASX HL",12200,IF(D5="ASX P",12200,IF(D5="ASX HL 4WD",12200,IF(D5="ATG16",8500,IF(D5="ATG17",8500,IF(D5="ATP16",8500,IF(D5="Attrage S",9600,IF(D5="MIG09",8500,IF(D5="MIG10",8500,IF(D5="Xpander HL",11300))))))))))))))))))))))))))))))))))))))))</f>
        <v>9300</v>
      </c>
      <c r="W11" s="92">
        <f>IF(D5="XC",9200,IF(D5="XPML",9200,IF(D5="XPHL",9200,IF(D5="XPMLP",9200,IF(D5="XPMLP-01",9200,IF(D5="Xpander P",9200,IF(D5="MOP57",8700,IF(D5="MOG64",8700,IF(D5="MOG59",8700,IF(D5="MOG59P",8700,IF(D5="MOG61",8700,IF(D5="MOP61",8700,IF(D5="OTF03",10400,IF(D5="OTP03",10400,IF(D5="OTF06",10400,IF(D5="OTP06",10400,IF(D5="OTP06-01",10400,IF(D5="OTF08",10400,IF(D5="OTP08",10400,IF(D5="ECG38",9800,IF(D5="ECG37",9800,IF(D5="ECG40",9800,IF(D5="ECG43",9800,IF(D5="ASG48",10100,IF(D5="ASG43",10100,IF(D5="ASG40",10100,IF(D5="ASG42",10100,IF(D5="ASG44",10100,IF(D5="ASG45",10100,IF(D5="ASX HL",10100,IF(D5="ASX P",10100,IF(D5="ASX HL 4WD",10100,IF(D5="ATG16",7900,IF(D5="ATG17",7900,IF(D5="ATP16",7900,IF(D5="Attrage S",7900,IF(D5="MIG09",7900,IF(D5="MIG10",7900,IF(D5="Xpander HL",9200)))))))))))))))))))))))))))))))))))))))</f>
        <v>8700</v>
      </c>
      <c r="X11" s="92">
        <f>IF(D5="XC",4500,IF(D5="XPML",4500,IF(D5="XPHL",4500,IF(D5="XPMLP",4500,IF(D5="XPMLP-01",4500,IF(D5="Xpander P",4500,IF(D5="MOP57",4300,IF(D5="MOG64",4300,IF(D5="MOG59",4300,IF(D5="MOG59P",4300,IF(D5="MOG61",4300,IF(D5="MOP61",4300,IF(D5="OTF03",5000,IF(D5="OTP03",5000,IF(D5="OTF06",5000,IF(D5="OTP06",5000,IF(D5="OTP06-01",5000,IF(D5="OTF08",5000,IF(D5="OTP08",5000,IF(D5="ECG38",4900,IF(D5="ECG37",4900,IF(D5="ECG40",4900,IF(D5="ECG43",4900,IF(D5="ASG48",4900,IF(D5="ASG43",4900,IF(D5="ASG40",4900,IF(D5="ASG42",4900,IF(D5="ASG44",4900,IF(D5="ASG45",4900,IF(D5="ASX HL",4900,IF(D5="ASX P",4900,IF(D5="ASX HL 4WD",4900,IF(D5="ATG16",3700,IF(D5="ATG17",3700,IF(D5="ATP16",3700,IF(D5="Attrage S",3700,IF(D5="MIG09",3700,IF(D5="MIG10",3700,IF(D5="Xpander HL",4500)))))))))))))))))))))))))))))))))))))))</f>
        <v>4300</v>
      </c>
      <c r="Y11" s="92">
        <f>IF(D5="XC",5400,IF(D5="XPML ",5400,IF(D5="XPHL",5400,IF(D5="XPMLP",5400,IF(D5="XPMLP-01",5400,IF(D5="Xpander P",5400,IF(D5="MOP57",5200,IF(D5="MOG64",5200,IF(D5="MOG59",5200,IF(D5="MOG59P",5200,IF(D5="MOG61",5200,IF(D5="MOP61",5200,IF(D5="OTF03",6000,IF(D5="OTP03",6000,IF(D5="OTF06",6000,IF(D5="OTP06",6000,IF(D5="OTP06-01",6000,IF(D5="OTF08",6000,IF(D5="OTP08",6000,IF(D5="ECG38",5700,IF(D5="ECG37",5700,IF(D5="ECG40",5700,IF(D5="ECG43",5700,IF(D5="ASG48",5900,IF(D5="ASG43",5900,IF(D5="ASG40",5900,IF(D5="ASG42",5900,IF(D5="ASG44",5900,IF(D5="ASG45",5900,IF(D5="ASX HL",5900,IF(D5="ASX P",5900,IF(D5="ASX HL 4WD",5900,IF(D5="ATG16",4500,IF(D5="ATG17",4500,IF(D5="ATP16",4500,IF(D5="Attrage S",4500,IF(D5="MIG09",4500,IF(D5="MIG10",4500,IF(D5="Xpander HL",5400)))))))))))))))))))))))))))))))))))))))</f>
        <v>5200</v>
      </c>
    </row>
    <row r="12" spans="1:28" ht="24.75" customHeight="1" x14ac:dyDescent="0.4">
      <c r="A12" s="8"/>
      <c r="B12" s="37" t="s">
        <v>20</v>
      </c>
      <c r="C12" s="20" t="s">
        <v>17</v>
      </c>
      <c r="D12" s="36">
        <f>IF(C12="YES",2000,IF(C12="NO",0))</f>
        <v>0</v>
      </c>
      <c r="E12" s="43"/>
      <c r="F12" s="43" t="s">
        <v>21</v>
      </c>
      <c r="G12" s="40"/>
      <c r="H12" s="33">
        <v>600</v>
      </c>
      <c r="I12" s="21"/>
      <c r="J12" s="44" t="s">
        <v>22</v>
      </c>
      <c r="K12" s="45">
        <v>0</v>
      </c>
      <c r="L12" s="45">
        <v>5.2499999999999998E-2</v>
      </c>
      <c r="M12" s="45">
        <v>0.126</v>
      </c>
      <c r="N12" s="46">
        <v>0.26250000000000001</v>
      </c>
      <c r="O12" s="92">
        <f>IF(K20="Esaad",B8*3/100,IF(K20="Emirates Platinum",B8*3/100,IF(K20="Fazaa",B8*3/100,IF(K20="Humat Alwatan",B8*3/100,IF(K20="Permissible",2000,IF(K20="ASX",8400,IF(K20="XPMLP",4000,IF(K20="XP",14100,IF(K20="G43",11000,IF(K20="EC",7000,IF(K20="G37",14000,IF(K20="G38",15000,IF(K20="G40",11000,IF(K20="OUT",9600,IF(K20="F08",15400,IF(K20="P08",11100,IF(K20="F06",14100,IF(K20="P06",17100,IF(K20="F03",17000,IF(K20="P03",19100,IF(K20="MON",10000,IF(K20="MON G57",10000,0))))))))))))))))))))))</f>
        <v>2000</v>
      </c>
      <c r="P12" s="92"/>
      <c r="Q12" s="92"/>
      <c r="R12" s="92"/>
      <c r="S12" s="92"/>
      <c r="T12" s="92"/>
      <c r="U12" s="92"/>
      <c r="V12" s="92"/>
      <c r="W12" s="92"/>
      <c r="X12" s="92"/>
      <c r="Y12" s="92"/>
      <c r="Z12" s="86" t="s">
        <v>83</v>
      </c>
      <c r="AA12" s="86" t="s">
        <v>84</v>
      </c>
    </row>
    <row r="13" spans="1:28" ht="24.6" x14ac:dyDescent="0.4">
      <c r="A13" s="8">
        <f>B8*1.26582</f>
        <v>126455.41799999999</v>
      </c>
      <c r="B13" s="37" t="s">
        <v>23</v>
      </c>
      <c r="C13" s="20" t="s">
        <v>17</v>
      </c>
      <c r="D13" s="36">
        <f>IF(C13="YES",2000,IF(C13="NO",0))</f>
        <v>0</v>
      </c>
      <c r="E13" s="47"/>
      <c r="F13" s="47" t="s">
        <v>75</v>
      </c>
      <c r="G13" s="40"/>
      <c r="H13" s="33">
        <v>315</v>
      </c>
      <c r="I13" s="21"/>
      <c r="J13" s="44" t="s">
        <v>54</v>
      </c>
      <c r="K13" s="29" t="s">
        <v>79</v>
      </c>
      <c r="L13" s="29" t="s">
        <v>25</v>
      </c>
      <c r="M13" s="29" t="s">
        <v>0</v>
      </c>
      <c r="N13" s="49" t="s">
        <v>26</v>
      </c>
      <c r="O13" s="98">
        <f>IF(M21="3000-4999",6%,IF(M21="5000-9999",4.75%,IF(M21="10000-14999",3.15%,IF(M21="15000-24999",2.5%,IF(M21="25000-34999",2.25%,IF(M21="35000-99999",2.25%))))))</f>
        <v>4.7500000000000001E-2</v>
      </c>
      <c r="Q13" s="83">
        <f>H7/12</f>
        <v>1975.1254250000002</v>
      </c>
      <c r="U13" s="9">
        <f>IF(M21="3000-4999",6%,IF(M21="5000-9999",3.25%,IF(M21="10000-14999",3%,IF(M21="15000-24999",2.25%,IF(M21="25000-34999",2.15%,IF(M21="35000-99999",1.99%))))))</f>
        <v>3.2500000000000001E-2</v>
      </c>
      <c r="Z13" s="99">
        <f>IF(M21="5000-9999",2.49%,IF(M21="10000-19999",2.19%,IF(M21="20000-34999",2.09%,IF(M21="35000-49999",1.89%,IF(M21="50000-99999",1.79%)))))</f>
        <v>2.4900000000000002E-2</v>
      </c>
      <c r="AA13" s="99">
        <f>IF(M21="5000-9999",2.59%,IF(M21="10000-19999",2.29%,IF(M21="20000-34999",2.19%,IF(M21="35000-49999",1.99%,IF(M21="50000-99999",1.89%)))))</f>
        <v>2.5899999999999999E-2</v>
      </c>
    </row>
    <row r="14" spans="1:28" ht="24.6" x14ac:dyDescent="0.4">
      <c r="A14" s="10" t="s">
        <v>27</v>
      </c>
      <c r="B14" s="37" t="s">
        <v>24</v>
      </c>
      <c r="C14" s="20" t="s">
        <v>19</v>
      </c>
      <c r="D14" s="50">
        <f>IF(C14="YES",U19*3.15*1.05/100,IF(C14="NO",U19*0/100))</f>
        <v>3674.3017500000001</v>
      </c>
      <c r="E14" s="48"/>
      <c r="F14" s="48" t="s">
        <v>24</v>
      </c>
      <c r="G14" s="51" t="s">
        <v>17</v>
      </c>
      <c r="H14" s="39">
        <f>IF(G14="YES",U19*3.15*1.05/100,IF(G14="NO",U19*0/100))</f>
        <v>0</v>
      </c>
      <c r="I14" s="21"/>
      <c r="J14" s="44" t="s">
        <v>55</v>
      </c>
      <c r="K14" s="44">
        <f>(H8*K12+H8)/3</f>
        <v>7900.5017000000007</v>
      </c>
      <c r="L14" s="44">
        <f>(H8*L12+H8)/12</f>
        <v>2078.8195098125002</v>
      </c>
      <c r="M14" s="44">
        <f>(H8*M12+H8)/24</f>
        <v>1111.995614275</v>
      </c>
      <c r="N14" s="52">
        <f>(H7*N12+H7)/60</f>
        <v>498.71916981250001</v>
      </c>
      <c r="O14" s="98">
        <f>IF(M21="3000-4999",3.89%,IF(M21="5000-9999",3.89%,IF(M21="10000-14999",3.89%,IF(M21="15000-24999",2.69%,IF(M21="25000-34999",2.69%,IF(M21="35000-99999",2.39%,IF(M21="76000-99999",2.19%)))))))</f>
        <v>3.8900000000000004E-2</v>
      </c>
    </row>
    <row r="15" spans="1:28" ht="24.6" x14ac:dyDescent="0.4">
      <c r="A15" s="11">
        <f>(B7*3%)+10+120</f>
        <v>3127</v>
      </c>
      <c r="B15" s="37" t="s">
        <v>28</v>
      </c>
      <c r="C15" s="20" t="s">
        <v>19</v>
      </c>
      <c r="D15" s="29">
        <f>IF(C15="YES",O10,IF(C15="NO",0))</f>
        <v>3743.2237500000001</v>
      </c>
      <c r="E15" s="48"/>
      <c r="F15" s="48" t="s">
        <v>53</v>
      </c>
      <c r="G15" s="51" t="s">
        <v>17</v>
      </c>
      <c r="H15" s="39">
        <f>IF(G15="YES",O10,IF(G15="NO",0))</f>
        <v>0</v>
      </c>
      <c r="I15" s="21"/>
      <c r="J15" s="44"/>
      <c r="K15" s="44"/>
      <c r="L15" s="44"/>
      <c r="M15" s="44"/>
      <c r="N15" s="53"/>
      <c r="O15" s="98" t="b">
        <f>IF(M21="3000-4999",4.99%, IF(M21="5000-11999",2.75%,IF(M21="12000-19999",2.75%,IF(M21="20000-39999",2.25%,IF(M21="40000-69999",2.39%,IF(M21="70000-99999",2.25%))))))</f>
        <v>0</v>
      </c>
      <c r="P15" s="99"/>
    </row>
    <row r="16" spans="1:28" ht="24.6" x14ac:dyDescent="0.4">
      <c r="A16" s="11">
        <f>((B7-B8)*3%+10+120)</f>
        <v>130</v>
      </c>
      <c r="B16" s="37" t="s">
        <v>78</v>
      </c>
      <c r="C16" s="20" t="s">
        <v>19</v>
      </c>
      <c r="D16" s="29">
        <f>IF(C16="YES",O16,IF(C16="NO",0))</f>
        <v>5900</v>
      </c>
      <c r="E16" s="47"/>
      <c r="F16" s="47" t="s">
        <v>74</v>
      </c>
      <c r="G16" s="54"/>
      <c r="H16" s="33">
        <f>I7*1.05%</f>
        <v>995.46321420000015</v>
      </c>
      <c r="I16" s="21"/>
      <c r="J16" s="44" t="s">
        <v>16</v>
      </c>
      <c r="K16" s="44">
        <f>(K14*3)-H8</f>
        <v>0</v>
      </c>
      <c r="L16" s="44">
        <f>(L14*12)-H8</f>
        <v>1244.3290177500021</v>
      </c>
      <c r="M16" s="44">
        <f>(M14*24)-H8</f>
        <v>2986.3896425999992</v>
      </c>
      <c r="N16" s="53"/>
      <c r="O16" s="92">
        <f>IF(B16="RMC-10-70KMS",O11,IF(B16="RMC-10-100000KMS",V11,IF(B16="RMC-40-70KMS",U11, IF(B16="RMC-10-40KMS",X11, IF(B16="RMC-10-60KMS",Y11, IF(B16="RMC-40-100000KMS",W11,0))))))</f>
        <v>5900</v>
      </c>
    </row>
    <row r="17" spans="1:28" ht="24.6" x14ac:dyDescent="0.4">
      <c r="A17" s="11">
        <f>A15+A16</f>
        <v>3257</v>
      </c>
      <c r="B17" s="37"/>
      <c r="C17" s="20"/>
      <c r="D17" s="29">
        <f>SUM(D10:D16)</f>
        <v>13317.5255</v>
      </c>
      <c r="E17" s="33"/>
      <c r="F17" s="33"/>
      <c r="G17" s="33"/>
      <c r="H17" s="33">
        <f>H7+H12+H15+H16</f>
        <v>25296.968314200003</v>
      </c>
      <c r="I17" s="33"/>
      <c r="J17" s="22"/>
      <c r="K17" s="53"/>
      <c r="L17" s="53"/>
      <c r="M17" s="53"/>
      <c r="N17" s="53"/>
      <c r="O17" s="92">
        <f>IF(B11="FO Ceramic+ Intr&amp;Extr CeramicGold WdwTnt",2700,IF(B11="FO Mirror Camera Sensor",2000))</f>
        <v>2700</v>
      </c>
      <c r="T17" s="86">
        <f>19615-791</f>
        <v>18824</v>
      </c>
    </row>
    <row r="18" spans="1:28" ht="24.6" x14ac:dyDescent="0.4">
      <c r="A18" s="12" t="s">
        <v>29</v>
      </c>
      <c r="B18" s="55" t="s">
        <v>30</v>
      </c>
      <c r="C18" s="56"/>
      <c r="D18" s="57">
        <v>0</v>
      </c>
      <c r="E18" s="38"/>
      <c r="F18" s="22"/>
      <c r="G18" s="22"/>
      <c r="H18" s="21"/>
      <c r="I18" s="21"/>
      <c r="J18" s="21"/>
      <c r="K18" s="21"/>
      <c r="L18" s="21"/>
      <c r="M18" s="21"/>
      <c r="N18" s="21"/>
      <c r="O18" s="92"/>
      <c r="U18" s="100" t="s">
        <v>52</v>
      </c>
      <c r="V18" s="100" t="s">
        <v>52</v>
      </c>
    </row>
    <row r="19" spans="1:28" ht="24.6" x14ac:dyDescent="0.4">
      <c r="A19" s="11">
        <f>B8*3.15%</f>
        <v>3146.85</v>
      </c>
      <c r="B19" s="58" t="s">
        <v>31</v>
      </c>
      <c r="C19" s="59"/>
      <c r="D19" s="60">
        <f>IF(K21="DIB EXPAT",O13,IF(K21="DIB LOCAL GVH",U13,IF(K21="Emirates NBD",O14,IF(K21="ADCB",O15,IF(K21="ADCB PAY IN 2027",O19,IF(K21="Ajman Bank",O18,IF(K21="SIB STL",Z13,IF(K21="SIB NON STL",AA13,))))))))</f>
        <v>2.4900000000000002E-2</v>
      </c>
      <c r="E19" s="22"/>
      <c r="F19" s="61"/>
      <c r="G19" s="141" t="s">
        <v>73</v>
      </c>
      <c r="H19" s="142"/>
      <c r="I19" s="143"/>
      <c r="J19" s="109">
        <f>H7/365</f>
        <v>64.935630410958908</v>
      </c>
      <c r="K19" s="21"/>
      <c r="L19" s="21"/>
      <c r="M19" s="21"/>
      <c r="N19" s="23">
        <f>D7</f>
        <v>104895</v>
      </c>
      <c r="O19" s="98" t="b">
        <f>IF(M21="5000-11999",3.35%,IF(M21="12000-19999",3.35%,IF(M21="20000-39999",2.85%,IF(M21="40000-69999",2.85%,IF(M21="70000-99999",2.85%)))))</f>
        <v>0</v>
      </c>
      <c r="P19" s="83">
        <f>81400-2500</f>
        <v>78900</v>
      </c>
      <c r="U19" s="101">
        <f>V19</f>
        <v>111090</v>
      </c>
      <c r="V19" s="102">
        <f>(B7+D10+D11+D12+D13+D16)*1.05</f>
        <v>111090</v>
      </c>
      <c r="X19" s="87">
        <f>G7*3.15*1.05/100</f>
        <v>3919.6364059124999</v>
      </c>
      <c r="Y19" s="87">
        <f>G7*3/100+510*1.05</f>
        <v>4090.7257650000001</v>
      </c>
      <c r="Z19" s="87">
        <f>Y19+X19</f>
        <v>8010.3621709125</v>
      </c>
      <c r="AA19" s="87">
        <f>(Z19)-(D14+D15)</f>
        <v>592.83667091250027</v>
      </c>
      <c r="AB19" s="87">
        <f>AA19*1.25</f>
        <v>741.04583864062533</v>
      </c>
    </row>
    <row r="20" spans="1:28" ht="24.6" x14ac:dyDescent="0.4">
      <c r="A20" s="11"/>
      <c r="B20" s="58" t="s">
        <v>32</v>
      </c>
      <c r="C20" s="62"/>
      <c r="D20" s="63">
        <v>0.2</v>
      </c>
      <c r="E20" s="21"/>
      <c r="F20" s="21"/>
      <c r="G20" s="42"/>
      <c r="H20" s="42"/>
      <c r="I20" s="42"/>
      <c r="J20" s="103"/>
      <c r="K20" s="104" t="s">
        <v>33</v>
      </c>
      <c r="L20" s="104" t="s">
        <v>17</v>
      </c>
      <c r="M20" s="104">
        <f>IF(L20="YES",O12,IF(L20="NO",0))</f>
        <v>0</v>
      </c>
      <c r="N20" s="23">
        <f>B8-M20</f>
        <v>99900</v>
      </c>
      <c r="O20" s="92"/>
      <c r="P20" s="99"/>
      <c r="T20" s="86">
        <f>1992+1084</f>
        <v>3076</v>
      </c>
      <c r="V20" s="83"/>
      <c r="X20" s="87">
        <f>X19-D14</f>
        <v>245.33465591249978</v>
      </c>
      <c r="Y20" s="87">
        <f>Y19-D15</f>
        <v>347.50201500000003</v>
      </c>
      <c r="AA20" s="87">
        <f>X20+Y20</f>
        <v>592.83667091249981</v>
      </c>
    </row>
    <row r="21" spans="1:28" ht="24.6" x14ac:dyDescent="0.4">
      <c r="A21" s="13">
        <f>A19+A20</f>
        <v>3146.85</v>
      </c>
      <c r="B21" s="21"/>
      <c r="C21" s="22"/>
      <c r="D21" s="21"/>
      <c r="E21" s="21"/>
      <c r="F21" s="21"/>
      <c r="G21" s="21"/>
      <c r="H21" s="21"/>
      <c r="I21" s="21"/>
      <c r="J21" s="37" t="s">
        <v>34</v>
      </c>
      <c r="K21" s="16" t="s">
        <v>83</v>
      </c>
      <c r="L21" s="105" t="s">
        <v>35</v>
      </c>
      <c r="M21" s="106" t="s">
        <v>80</v>
      </c>
      <c r="N21" s="111"/>
      <c r="O21" s="92"/>
      <c r="T21" s="86">
        <f>25973-12973</f>
        <v>13000</v>
      </c>
    </row>
    <row r="22" spans="1:28" ht="24.6" x14ac:dyDescent="0.4">
      <c r="A22" s="13"/>
      <c r="B22" s="130" t="s">
        <v>51</v>
      </c>
      <c r="C22" s="131"/>
      <c r="D22" s="131"/>
      <c r="E22" s="131"/>
      <c r="F22" s="131"/>
      <c r="G22" s="131"/>
      <c r="H22" s="131"/>
      <c r="I22" s="131"/>
      <c r="J22" s="131"/>
      <c r="K22" s="131"/>
      <c r="L22" s="131"/>
      <c r="M22" s="131"/>
      <c r="N22" s="132"/>
      <c r="O22" s="92"/>
    </row>
    <row r="23" spans="1:28" ht="25.2" x14ac:dyDescent="0.45">
      <c r="A23" s="14" t="s">
        <v>36</v>
      </c>
      <c r="B23" s="64" t="s">
        <v>57</v>
      </c>
      <c r="C23" s="65"/>
      <c r="D23" s="65"/>
      <c r="E23" s="65"/>
      <c r="F23" s="65"/>
      <c r="G23" s="65"/>
      <c r="H23" s="66"/>
      <c r="I23" s="66"/>
      <c r="J23" s="65"/>
      <c r="K23" s="65"/>
      <c r="L23" s="65"/>
      <c r="M23" s="65"/>
      <c r="N23" s="67"/>
      <c r="O23" s="92">
        <f>N7+K14</f>
        <v>9677.3245323299998</v>
      </c>
    </row>
    <row r="24" spans="1:28" ht="25.2" x14ac:dyDescent="0.45">
      <c r="A24" s="14" t="s">
        <v>36</v>
      </c>
      <c r="B24" s="64" t="s">
        <v>58</v>
      </c>
      <c r="C24" s="65"/>
      <c r="D24" s="65"/>
      <c r="E24" s="65"/>
      <c r="F24" s="65"/>
      <c r="G24" s="65"/>
      <c r="H24" s="85">
        <f>H7/365</f>
        <v>64.935630410958908</v>
      </c>
      <c r="I24" s="85">
        <f>H7/365</f>
        <v>64.935630410958908</v>
      </c>
      <c r="J24" s="65"/>
      <c r="K24" s="65"/>
      <c r="L24" s="65"/>
      <c r="M24" s="65"/>
      <c r="N24" s="68"/>
      <c r="O24" s="92"/>
      <c r="P24" s="83">
        <f>1232+480</f>
        <v>1712</v>
      </c>
      <c r="T24" s="86">
        <f>88704/1.05</f>
        <v>84480</v>
      </c>
    </row>
    <row r="25" spans="1:28" ht="25.2" x14ac:dyDescent="0.45">
      <c r="A25" s="14" t="s">
        <v>36</v>
      </c>
      <c r="B25" s="64" t="s">
        <v>59</v>
      </c>
      <c r="C25" s="65"/>
      <c r="D25" s="65"/>
      <c r="E25" s="65"/>
      <c r="F25" s="65"/>
      <c r="G25" s="65"/>
      <c r="H25" s="66"/>
      <c r="I25" s="85">
        <f>I24*365*3</f>
        <v>71104.515299999999</v>
      </c>
      <c r="J25" s="65"/>
      <c r="K25" s="65"/>
      <c r="L25" s="65"/>
      <c r="M25" s="65"/>
      <c r="N25" s="68"/>
      <c r="O25" s="92"/>
      <c r="Q25" s="86">
        <f>79400-5233.33</f>
        <v>74166.67</v>
      </c>
      <c r="R25" s="86">
        <f>Q25*1.05</f>
        <v>77875.003500000006</v>
      </c>
    </row>
    <row r="26" spans="1:28" ht="25.2" x14ac:dyDescent="0.45">
      <c r="A26" s="14" t="s">
        <v>36</v>
      </c>
      <c r="B26" s="64" t="s">
        <v>60</v>
      </c>
      <c r="C26" s="65"/>
      <c r="D26" s="65"/>
      <c r="E26" s="65"/>
      <c r="F26" s="65"/>
      <c r="G26" s="65"/>
      <c r="H26" s="65"/>
      <c r="I26" s="65"/>
      <c r="J26" s="65"/>
      <c r="K26" s="65"/>
      <c r="L26" s="65"/>
      <c r="M26" s="65"/>
      <c r="N26" s="68"/>
      <c r="O26" s="92" t="s">
        <v>37</v>
      </c>
      <c r="R26" s="86">
        <f>R25+2469</f>
        <v>80344.003500000006</v>
      </c>
    </row>
    <row r="27" spans="1:28" ht="25.2" x14ac:dyDescent="0.45">
      <c r="A27" s="14" t="s">
        <v>36</v>
      </c>
      <c r="B27" s="64" t="s">
        <v>61</v>
      </c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8"/>
      <c r="O27" s="92">
        <f>129500-110900</f>
        <v>18600</v>
      </c>
    </row>
    <row r="28" spans="1:28" ht="25.2" x14ac:dyDescent="0.45">
      <c r="B28" s="64" t="s">
        <v>62</v>
      </c>
      <c r="C28" s="65"/>
      <c r="D28" s="65"/>
      <c r="E28" s="65"/>
      <c r="F28" s="65"/>
      <c r="G28" s="65"/>
      <c r="H28" s="65"/>
      <c r="I28" s="65"/>
      <c r="J28" s="65"/>
      <c r="K28" s="65"/>
      <c r="L28" s="65"/>
      <c r="M28" s="65"/>
      <c r="N28" s="68"/>
      <c r="O28" s="92"/>
    </row>
    <row r="29" spans="1:28" ht="25.2" x14ac:dyDescent="0.45">
      <c r="B29" s="64" t="s">
        <v>63</v>
      </c>
      <c r="C29" s="65"/>
      <c r="D29" s="65"/>
      <c r="E29" s="65"/>
      <c r="F29" s="65"/>
      <c r="G29" s="65"/>
      <c r="H29" s="65"/>
      <c r="I29" s="65"/>
      <c r="J29" s="65"/>
      <c r="K29" s="65"/>
      <c r="L29" s="65"/>
      <c r="M29" s="65"/>
      <c r="N29" s="69"/>
      <c r="O29" s="92"/>
    </row>
    <row r="30" spans="1:28" ht="24.6" x14ac:dyDescent="0.4">
      <c r="B30" s="133" t="s">
        <v>38</v>
      </c>
      <c r="C30" s="134"/>
      <c r="D30" s="134"/>
      <c r="E30" s="134"/>
      <c r="F30" s="134"/>
      <c r="G30" s="134"/>
      <c r="H30" s="134"/>
      <c r="I30" s="134"/>
      <c r="J30" s="134"/>
      <c r="K30" s="134"/>
      <c r="L30" s="134"/>
      <c r="M30" s="134"/>
      <c r="N30" s="135"/>
      <c r="O30" s="92"/>
    </row>
    <row r="31" spans="1:28" ht="24.6" x14ac:dyDescent="0.4">
      <c r="B31" s="136"/>
      <c r="C31" s="137"/>
      <c r="D31" s="137"/>
      <c r="E31" s="137"/>
      <c r="F31" s="137"/>
      <c r="G31" s="137"/>
      <c r="H31" s="137"/>
      <c r="I31" s="137"/>
      <c r="J31" s="137"/>
      <c r="K31" s="137"/>
      <c r="L31" s="137"/>
      <c r="M31" s="137"/>
      <c r="N31" s="138"/>
      <c r="O31" s="92"/>
    </row>
    <row r="32" spans="1:28" ht="24.6" x14ac:dyDescent="0.4">
      <c r="B32" s="136" t="s">
        <v>39</v>
      </c>
      <c r="C32" s="137"/>
      <c r="D32" s="137"/>
      <c r="E32" s="137"/>
      <c r="F32" s="137"/>
      <c r="G32" s="137"/>
      <c r="H32" s="137"/>
      <c r="I32" s="137"/>
      <c r="J32" s="137"/>
      <c r="K32" s="137"/>
      <c r="L32" s="137"/>
      <c r="M32" s="137"/>
      <c r="N32" s="138"/>
      <c r="O32" s="92"/>
    </row>
    <row r="33" spans="2:16" ht="24.6" x14ac:dyDescent="0.4">
      <c r="B33" s="136" t="s">
        <v>40</v>
      </c>
      <c r="C33" s="137"/>
      <c r="D33" s="137"/>
      <c r="E33" s="137"/>
      <c r="F33" s="137"/>
      <c r="G33" s="137"/>
      <c r="H33" s="137"/>
      <c r="I33" s="137"/>
      <c r="J33" s="137"/>
      <c r="K33" s="137"/>
      <c r="L33" s="137"/>
      <c r="M33" s="137"/>
      <c r="N33" s="138"/>
      <c r="O33" s="92"/>
    </row>
    <row r="34" spans="2:16" s="112" customFormat="1" ht="24.6" x14ac:dyDescent="0.4">
      <c r="B34" s="107" t="s">
        <v>81</v>
      </c>
      <c r="C34" s="108"/>
      <c r="D34" s="108"/>
      <c r="E34" s="108"/>
      <c r="F34" s="108"/>
      <c r="G34" s="113"/>
      <c r="H34" s="113"/>
      <c r="I34" s="108"/>
      <c r="J34" s="108"/>
      <c r="K34" s="108"/>
      <c r="L34" s="108"/>
      <c r="M34" s="114" t="s">
        <v>82</v>
      </c>
      <c r="N34" s="116" t="b">
        <f>IF(M34="ALAA",507963328, IF(M34="BACHIR",525246969,IF(M34="JIHAN",566201266, IF(M34="RAMY",505277871, IF(M34="SIMON",505140337,IF(M34="SUJITH",551079817, IF(M34="PRAVEEN",506367792,IF(M34="MHAREN",529224059, IF(M34="MOSSALLEM",505185577,IF(M34="RANJITH",554989288, IF(M34="KHALED",552319494)))))))))))</f>
        <v>0</v>
      </c>
      <c r="O34" s="115"/>
      <c r="P34" s="115"/>
    </row>
    <row r="35" spans="2:16" x14ac:dyDescent="0.35">
      <c r="B35" s="70"/>
      <c r="C35" s="71"/>
      <c r="D35" s="71"/>
      <c r="E35" s="71"/>
      <c r="F35" s="71"/>
      <c r="G35" s="71"/>
      <c r="H35" s="71"/>
      <c r="I35" s="71"/>
      <c r="J35" s="71"/>
      <c r="K35" s="71"/>
      <c r="L35" s="71"/>
      <c r="M35" s="71"/>
      <c r="N35" s="72"/>
    </row>
    <row r="36" spans="2:16" x14ac:dyDescent="0.35">
      <c r="B36" s="70"/>
      <c r="C36" s="71"/>
      <c r="D36" s="71"/>
      <c r="E36" s="71"/>
      <c r="F36" s="71"/>
      <c r="G36" s="71"/>
      <c r="H36" s="71"/>
      <c r="I36" s="71"/>
      <c r="J36" s="71"/>
      <c r="K36" s="71"/>
      <c r="L36" s="71"/>
      <c r="M36" s="71"/>
      <c r="N36" s="72"/>
    </row>
    <row r="37" spans="2:16" x14ac:dyDescent="0.35">
      <c r="B37" s="70"/>
      <c r="C37" s="71"/>
      <c r="D37" s="71"/>
      <c r="E37" s="71"/>
      <c r="F37" s="71"/>
      <c r="G37" s="71"/>
      <c r="H37" s="71"/>
      <c r="I37" s="71"/>
      <c r="J37" s="71"/>
      <c r="K37" s="71"/>
      <c r="L37" s="71"/>
      <c r="M37" s="71"/>
      <c r="N37" s="72"/>
    </row>
    <row r="38" spans="2:16" ht="21" x14ac:dyDescent="0.4">
      <c r="B38" s="73" t="s">
        <v>64</v>
      </c>
      <c r="C38" s="74"/>
      <c r="D38" s="75"/>
      <c r="E38" s="76"/>
      <c r="F38" s="76"/>
      <c r="G38" s="76"/>
      <c r="H38" s="76"/>
      <c r="I38" s="76"/>
      <c r="J38" s="77"/>
      <c r="K38" s="76"/>
      <c r="L38" s="76"/>
      <c r="M38" s="76"/>
      <c r="N38" s="78"/>
    </row>
    <row r="39" spans="2:16" ht="21" x14ac:dyDescent="0.4">
      <c r="B39" s="73" t="s">
        <v>65</v>
      </c>
      <c r="C39" s="79"/>
      <c r="D39" s="75"/>
      <c r="E39" s="76"/>
      <c r="F39" s="76"/>
      <c r="G39" s="76"/>
      <c r="H39" s="76"/>
      <c r="I39" s="76"/>
      <c r="J39" s="77"/>
      <c r="K39" s="76"/>
      <c r="L39" s="76"/>
      <c r="M39" s="76"/>
      <c r="N39" s="80"/>
    </row>
    <row r="40" spans="2:16" ht="21" x14ac:dyDescent="0.35">
      <c r="B40" s="73" t="s">
        <v>66</v>
      </c>
      <c r="C40" s="81"/>
      <c r="D40" s="76"/>
      <c r="E40" s="76"/>
      <c r="F40" s="76"/>
      <c r="G40" s="76"/>
      <c r="H40" s="76"/>
      <c r="I40" s="76"/>
      <c r="J40" s="77"/>
      <c r="K40" s="76"/>
      <c r="L40" s="76"/>
      <c r="M40" s="76"/>
      <c r="N40" s="80"/>
    </row>
    <row r="41" spans="2:16" ht="21" x14ac:dyDescent="0.35">
      <c r="B41" s="73" t="s">
        <v>67</v>
      </c>
      <c r="C41" s="82"/>
      <c r="D41" s="83"/>
      <c r="E41" s="83"/>
      <c r="F41" s="83"/>
      <c r="G41" s="83"/>
      <c r="H41" s="83"/>
      <c r="I41" s="83"/>
      <c r="J41" s="83"/>
      <c r="K41" s="83"/>
      <c r="L41" s="83"/>
      <c r="M41" s="83"/>
      <c r="N41" s="84"/>
    </row>
    <row r="42" spans="2:16" ht="21" x14ac:dyDescent="0.35">
      <c r="B42" s="73" t="s">
        <v>77</v>
      </c>
      <c r="C42" s="82"/>
      <c r="D42" s="83"/>
      <c r="E42" s="83"/>
      <c r="F42" s="83"/>
      <c r="G42" s="83"/>
      <c r="H42" s="83"/>
      <c r="I42" s="83"/>
      <c r="J42" s="83"/>
      <c r="K42" s="83"/>
      <c r="L42" s="83"/>
      <c r="M42" s="83"/>
      <c r="N42" s="84"/>
    </row>
    <row r="43" spans="2:16" ht="21" x14ac:dyDescent="0.35">
      <c r="B43" s="73" t="s">
        <v>68</v>
      </c>
      <c r="C43" s="82"/>
      <c r="D43" s="83"/>
      <c r="E43" s="83"/>
      <c r="F43" s="83"/>
      <c r="G43" s="83"/>
      <c r="H43" s="83"/>
      <c r="I43" s="83"/>
      <c r="J43" s="83"/>
      <c r="K43" s="83"/>
      <c r="L43" s="83"/>
      <c r="M43" s="83"/>
      <c r="N43" s="84"/>
    </row>
    <row r="44" spans="2:16" ht="21" x14ac:dyDescent="0.35">
      <c r="B44" s="73" t="s">
        <v>69</v>
      </c>
      <c r="C44" s="82"/>
      <c r="D44" s="83"/>
      <c r="E44" s="83"/>
      <c r="F44" s="83"/>
      <c r="G44" s="83"/>
      <c r="H44" s="83"/>
      <c r="I44" s="83"/>
      <c r="J44" s="83"/>
      <c r="K44" s="83"/>
      <c r="L44" s="83"/>
      <c r="M44" s="83"/>
      <c r="N44" s="84"/>
    </row>
    <row r="45" spans="2:16" ht="21" x14ac:dyDescent="0.35">
      <c r="B45" s="73" t="s">
        <v>70</v>
      </c>
      <c r="C45" s="82"/>
      <c r="D45" s="83"/>
      <c r="E45" s="83"/>
      <c r="F45" s="83"/>
      <c r="G45" s="83"/>
      <c r="H45" s="83"/>
      <c r="I45" s="83"/>
      <c r="J45" s="83"/>
      <c r="K45" s="83"/>
      <c r="L45" s="83"/>
      <c r="M45" s="83"/>
      <c r="N45" s="84"/>
    </row>
    <row r="46" spans="2:16" ht="21" x14ac:dyDescent="0.35">
      <c r="B46" s="73" t="s">
        <v>71</v>
      </c>
      <c r="C46" s="82"/>
      <c r="D46" s="83"/>
      <c r="E46" s="83"/>
      <c r="F46" s="83"/>
      <c r="G46" s="83"/>
      <c r="H46" s="83"/>
      <c r="I46" s="83"/>
      <c r="J46" s="83"/>
      <c r="K46" s="83"/>
      <c r="L46" s="83"/>
      <c r="M46" s="83"/>
      <c r="N46" s="84"/>
    </row>
    <row r="47" spans="2:16" x14ac:dyDescent="0.35">
      <c r="B47" s="118" t="s">
        <v>39</v>
      </c>
      <c r="C47" s="119"/>
      <c r="D47" s="119"/>
      <c r="E47" s="119"/>
      <c r="F47" s="119"/>
      <c r="G47" s="119"/>
      <c r="H47" s="119"/>
      <c r="I47" s="119"/>
      <c r="J47" s="119"/>
      <c r="K47" s="119"/>
      <c r="L47" s="119"/>
      <c r="M47" s="119"/>
      <c r="N47" s="120"/>
      <c r="O47" s="92"/>
    </row>
    <row r="48" spans="2:16" x14ac:dyDescent="0.35">
      <c r="B48" s="118" t="s">
        <v>40</v>
      </c>
      <c r="C48" s="119"/>
      <c r="D48" s="119"/>
      <c r="E48" s="119"/>
      <c r="F48" s="119"/>
      <c r="G48" s="119"/>
      <c r="H48" s="119"/>
      <c r="I48" s="119"/>
      <c r="J48" s="119"/>
      <c r="K48" s="119"/>
      <c r="L48" s="119"/>
      <c r="M48" s="119"/>
      <c r="N48" s="120"/>
      <c r="O48" s="92"/>
    </row>
    <row r="49" spans="2:14" x14ac:dyDescent="0.35">
      <c r="B49" s="118" t="s">
        <v>72</v>
      </c>
      <c r="C49" s="119"/>
      <c r="D49" s="119"/>
      <c r="E49" s="119"/>
      <c r="F49" s="119"/>
      <c r="G49" s="119"/>
      <c r="H49" s="119"/>
      <c r="I49" s="119"/>
      <c r="J49" s="119"/>
      <c r="K49" s="119"/>
      <c r="L49" s="119"/>
      <c r="M49" s="119"/>
      <c r="N49" s="120"/>
    </row>
    <row r="50" spans="2:14" ht="25.8" x14ac:dyDescent="0.35">
      <c r="C50" s="15" t="s">
        <v>41</v>
      </c>
    </row>
    <row r="51" spans="2:14" ht="25.8" x14ac:dyDescent="0.35">
      <c r="C51" s="15" t="s">
        <v>42</v>
      </c>
    </row>
    <row r="52" spans="2:14" ht="25.8" x14ac:dyDescent="0.35">
      <c r="C52" s="15" t="s">
        <v>43</v>
      </c>
    </row>
    <row r="53" spans="2:14" ht="25.8" x14ac:dyDescent="0.35">
      <c r="C53" s="15" t="s">
        <v>44</v>
      </c>
    </row>
    <row r="54" spans="2:14" ht="25.8" x14ac:dyDescent="0.35">
      <c r="C54" s="15" t="s">
        <v>45</v>
      </c>
    </row>
  </sheetData>
  <mergeCells count="12">
    <mergeCell ref="B49:N49"/>
    <mergeCell ref="B1:N4"/>
    <mergeCell ref="F8:G8"/>
    <mergeCell ref="F9:G9"/>
    <mergeCell ref="G19:I19"/>
    <mergeCell ref="B22:N22"/>
    <mergeCell ref="B30:N30"/>
    <mergeCell ref="B31:N31"/>
    <mergeCell ref="B32:N32"/>
    <mergeCell ref="B33:N33"/>
    <mergeCell ref="B47:N47"/>
    <mergeCell ref="B48:N48"/>
  </mergeCells>
  <dataValidations count="11">
    <dataValidation type="list" allowBlank="1" showInputMessage="1" showErrorMessage="1" sqref="K21" xr:uid="{A56C1E6A-8340-4C96-B140-933135F5D548}">
      <formula1>"ADCB,ADCB PAY IN 2027,Ajman Bank,ADIB,DIB EXPAT,DIB LOCAL GVH,Emirates NBD,EIB,FAB,RAK,SIB STL,SIB NON STL"</formula1>
    </dataValidation>
    <dataValidation type="list" allowBlank="1" showInputMessage="1" showErrorMessage="1" sqref="D5" xr:uid="{C4012433-E4B1-4F98-81B2-92868D276145}">
      <formula1>"MIG09,MIG10,ATG16,ATP16,ATG17,ASG48,ASG43,ASG40,ASG42,ASG44,ASG45,ECG38,ECG37,ECG40,ECG43,XPML,XPHL,XPMLP, XPMLP-01, XC,OTF03,OTP03,OTF06,OTP06, OTP06-01,OTF08, OTP08,MOP57,MOG64,MOG59,MOG59P,MOG61,MOP61"</formula1>
    </dataValidation>
    <dataValidation type="list" allowBlank="1" showInputMessage="1" showErrorMessage="1" sqref="M21" xr:uid="{E772F090-7A0F-497D-830C-A3B13DA47237}">
      <formula1>"3000-4999,5000-9999,10000-14999,15000-24999,25000-34999,35000-99999,5000-11999,12000-19999,20000-39999,40000-69999,70000-99999"</formula1>
    </dataValidation>
    <dataValidation type="list" allowBlank="1" showInputMessage="1" showErrorMessage="1" sqref="K20" xr:uid="{F0FD6BEF-DF14-47FB-98C7-583B0C35CC3D}">
      <formula1>"Esaad,Emirates Platinum,Fazaa,Humat Alwatan,Permissible,ASX,XPMLP,XP,MON,MON G57,OUT,F08,P08,F06,P06,F03,P03,EC,G37,G38,G40,G43"</formula1>
    </dataValidation>
    <dataValidation type="list" allowBlank="1" showInputMessage="1" showErrorMessage="1" sqref="L19:L20 L24:L25 G14:G15 C10:C16 L10 J10" xr:uid="{DC8979C4-1701-4387-AD6A-F1EE3E62C270}">
      <formula1>"YES,NO"</formula1>
    </dataValidation>
    <dataValidation type="list" allowBlank="1" showInputMessage="1" showErrorMessage="1" sqref="K24" xr:uid="{31B96DB1-11C7-43CE-9045-03053278D362}">
      <formula1>"RMC-10-70K,RMC-10-100000K,RMC-40-70K"</formula1>
    </dataValidation>
    <dataValidation type="list" allowBlank="1" showInputMessage="1" showErrorMessage="1" sqref="B16" xr:uid="{0E6CBE55-7AD5-4D58-9F6C-E53CC6F8EFF6}">
      <formula1>"RMC-10-40KMS,RMC-10-60KMS,RMC-10-70KMS,RMC-10-100000KMS,RMC-40-70KMS,RMC-40-100000KMS"</formula1>
    </dataValidation>
    <dataValidation type="list" allowBlank="1" showInputMessage="1" showErrorMessage="1" sqref="B12" xr:uid="{35EA8C87-88B7-4FAD-A351-51B3234CB3C0}">
      <formula1>"FO Exterior ceramic All Cars SCOTCHGUARD,FO Mirror Camera Sensor,FO PPF Gold Package "</formula1>
    </dataValidation>
    <dataValidation type="list" allowBlank="1" showInputMessage="1" showErrorMessage="1" sqref="B11" xr:uid="{BC5EE926-305B-4416-9720-B91214AA576B}">
      <formula1>"FO Ceramic+ Intr&amp;Extr CeramicGold WdwTnt,FO Mirror Camera Sensor"</formula1>
    </dataValidation>
    <dataValidation type="list" allowBlank="1" showInputMessage="1" showErrorMessage="1" sqref="M34" xr:uid="{5BB3C305-FBFE-4CAE-8F0B-4F81008402DF}">
      <formula1>"Alaa,Bachir ,Khaled,Ramy,Simon,Mharen,Ranjith,Jihan,Praveen,Sujith,Mossallem"</formula1>
    </dataValidation>
    <dataValidation type="list" allowBlank="1" showInputMessage="1" showErrorMessage="1" sqref="H34" xr:uid="{E9478027-76E6-4F89-9E6B-B214A56B24C8}">
      <formula1>"ALAA HAMMAD,KHALED QASSEM,RAMY RAOUF,SIMON LOBO,MHAREN CLEMENTE GARADO"</formula1>
    </dataValidation>
  </dataValidations>
  <pageMargins left="0.23622047244094491" right="0.23622047244094491" top="0.74803149606299213" bottom="0.74803149606299213" header="0.31496062992125984" footer="0.31496062992125984"/>
  <pageSetup paperSize="9" scale="37" orientation="landscape" horizontalDpi="4294967295" verticalDpi="4294967295"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E7D7A5-40EF-461E-99B1-44F6C91239E5}">
  <sheetPr>
    <pageSetUpPr fitToPage="1"/>
  </sheetPr>
  <dimension ref="A1:AB54"/>
  <sheetViews>
    <sheetView topLeftCell="B1" zoomScaleNormal="100" workbookViewId="0">
      <selection activeCell="D5" sqref="D5"/>
    </sheetView>
  </sheetViews>
  <sheetFormatPr defaultColWidth="9.109375" defaultRowHeight="20.399999999999999" x14ac:dyDescent="0.35"/>
  <cols>
    <col min="1" max="1" width="16" style="1" hidden="1" customWidth="1"/>
    <col min="2" max="2" width="75.5546875" style="2" customWidth="1"/>
    <col min="3" max="3" width="25.5546875" style="3" customWidth="1"/>
    <col min="4" max="4" width="25.33203125" style="2" customWidth="1"/>
    <col min="5" max="5" width="22.6640625" style="2" customWidth="1"/>
    <col min="6" max="6" width="21" style="2" customWidth="1"/>
    <col min="7" max="7" width="25" style="2" customWidth="1"/>
    <col min="8" max="8" width="29.44140625" style="2" bestFit="1" customWidth="1"/>
    <col min="9" max="9" width="32.109375" style="2" bestFit="1" customWidth="1"/>
    <col min="10" max="10" width="22" style="2" customWidth="1"/>
    <col min="11" max="11" width="23.33203125" style="2" customWidth="1"/>
    <col min="12" max="12" width="31" style="2" customWidth="1"/>
    <col min="13" max="13" width="23.5546875" style="2" customWidth="1"/>
    <col min="14" max="14" width="21.109375" style="2" customWidth="1"/>
    <col min="15" max="15" width="14.44140625" style="83" bestFit="1" customWidth="1"/>
    <col min="16" max="16" width="21.6640625" style="83" hidden="1" customWidth="1"/>
    <col min="17" max="17" width="14.33203125" style="86" hidden="1" customWidth="1"/>
    <col min="18" max="18" width="12.88671875" style="86" hidden="1" customWidth="1"/>
    <col min="19" max="19" width="13" style="86" hidden="1" customWidth="1"/>
    <col min="20" max="20" width="17.109375" style="86" hidden="1" customWidth="1"/>
    <col min="21" max="21" width="21.5546875" style="86" customWidth="1"/>
    <col min="22" max="22" width="22.88671875" style="86" customWidth="1"/>
    <col min="23" max="26" width="17.109375" style="86" bestFit="1" customWidth="1"/>
    <col min="27" max="27" width="15" style="86" customWidth="1"/>
    <col min="28" max="28" width="14.33203125" style="86" bestFit="1" customWidth="1"/>
    <col min="29" max="16384" width="9.109375" style="1"/>
  </cols>
  <sheetData>
    <row r="1" spans="1:28" ht="15.75" customHeight="1" x14ac:dyDescent="0.35">
      <c r="B1" s="121" t="s">
        <v>46</v>
      </c>
      <c r="C1" s="122"/>
      <c r="D1" s="122"/>
      <c r="E1" s="122"/>
      <c r="F1" s="122"/>
      <c r="G1" s="122"/>
      <c r="H1" s="122"/>
      <c r="I1" s="122"/>
      <c r="J1" s="122"/>
      <c r="K1" s="122"/>
      <c r="L1" s="122"/>
      <c r="M1" s="122"/>
      <c r="N1" s="123"/>
    </row>
    <row r="2" spans="1:28" ht="15.75" customHeight="1" x14ac:dyDescent="0.35">
      <c r="B2" s="124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6"/>
      <c r="Q2" s="83"/>
      <c r="S2" s="87"/>
    </row>
    <row r="3" spans="1:28" ht="15.75" customHeight="1" x14ac:dyDescent="0.35">
      <c r="B3" s="124"/>
      <c r="C3" s="125"/>
      <c r="D3" s="125"/>
      <c r="E3" s="125"/>
      <c r="F3" s="125"/>
      <c r="G3" s="125"/>
      <c r="H3" s="125"/>
      <c r="I3" s="125"/>
      <c r="J3" s="125"/>
      <c r="K3" s="125"/>
      <c r="L3" s="125"/>
      <c r="M3" s="125"/>
      <c r="N3" s="126"/>
      <c r="O3" s="82"/>
      <c r="P3" s="82"/>
      <c r="Q3" s="81"/>
      <c r="R3" s="81"/>
      <c r="S3" s="88" t="e">
        <f>N7+J14</f>
        <v>#VALUE!</v>
      </c>
      <c r="T3" s="88"/>
      <c r="U3" s="81"/>
      <c r="V3" s="81"/>
      <c r="W3" s="81"/>
      <c r="AA3" s="86">
        <f>273000/5</f>
        <v>54600</v>
      </c>
    </row>
    <row r="4" spans="1:28" ht="15.75" customHeight="1" x14ac:dyDescent="0.4">
      <c r="B4" s="127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9"/>
      <c r="O4" s="89" t="s">
        <v>0</v>
      </c>
      <c r="P4" s="89"/>
      <c r="Q4" s="90"/>
      <c r="R4" s="90"/>
      <c r="S4" s="91"/>
      <c r="T4" s="91"/>
      <c r="U4" s="90" t="s">
        <v>1</v>
      </c>
      <c r="V4" s="90" t="s">
        <v>2</v>
      </c>
      <c r="W4" s="90" t="s">
        <v>3</v>
      </c>
    </row>
    <row r="5" spans="1:28" ht="25.2" thickBot="1" x14ac:dyDescent="0.45">
      <c r="B5" s="17">
        <f ca="1">TODAY()</f>
        <v>46215</v>
      </c>
      <c r="C5" s="18" t="str">
        <f>IF(D5="MIG09","Mirage G09",IF(D5="MIG10","MirageG10",IF(D5="ATG16","Attrage G16",IF(D5="ATP16","Attrage P16",IF(D5="ATG17","Attrage G17",IF(D5="ASG48","ASX G48",IF(D5="ASG43","ASX G43", IF(D5="ASG40","ASXG40",IF(D5="ASG42","ASX G42",IF(D5="ASG44","ASX G44",IF(D5="ASG45","ASX G45",IF(D5="ECG38","Eclipse G38",IF(D5="ECG37","Eclipse G37",IF(D5="ECG40","Eclipse G40",IF(D5="ECG43","Eclipse G43",IF(D5="XPML","Xpander ML",IF(D5="XPHL","Xpander HL",IF(D5="XPMLP","Xpander ML P",IF(D5="XPMLP-01","Xpander ML P-01",IF(D5="XC","Xpander Cross", IF(D5="OTF03","Outlander F03",IF(D5="OTP03","Outlander P03",IF(D5="OTF06","Outlander F06",IF(D5="OTP06","Outlander P06",IF(D5="OTP06-01","Outlander P06-01",IF(D5="OTF08","Outlander F08",IF(D5="OTP08","Outlander P08P", IF(D5="MOP57","Montero P57",IF(D5="MOG64","Montero G64",IF(D5="MOG59","Montero G59",IF(D5="MOG59P","Montero G59 P",IF(D5="MOG61","Montero G61",IF(D5="MOP61","Montero P61")))))))))))))))))))))))))))))))))</f>
        <v>Outlander P08P</v>
      </c>
      <c r="D5" s="19" t="s">
        <v>112</v>
      </c>
      <c r="E5" s="20" t="s">
        <v>47</v>
      </c>
      <c r="F5" s="21"/>
      <c r="G5" s="21"/>
      <c r="H5" s="21"/>
      <c r="I5" s="22"/>
      <c r="J5" s="23"/>
      <c r="K5" s="24">
        <v>0</v>
      </c>
      <c r="L5" s="25">
        <v>3.39E-2</v>
      </c>
      <c r="M5" s="25">
        <v>6.7799999999999999E-2</v>
      </c>
      <c r="N5" s="25">
        <v>0.1017</v>
      </c>
      <c r="O5" s="92">
        <f>K7+K14</f>
        <v>13304.388277635</v>
      </c>
      <c r="S5" s="87"/>
      <c r="U5" s="87">
        <f>L7+L14</f>
        <v>5421.2030468954163</v>
      </c>
      <c r="V5" s="87">
        <f>M7+M14</f>
        <v>3626.4469719974995</v>
      </c>
      <c r="W5" s="87">
        <f>N7+N14</f>
        <v>2512.9493302287501</v>
      </c>
    </row>
    <row r="6" spans="1:28" s="5" customFormat="1" ht="128.25" customHeight="1" thickBot="1" x14ac:dyDescent="0.35">
      <c r="A6" s="4" t="s">
        <v>4</v>
      </c>
      <c r="B6" s="26" t="s">
        <v>5</v>
      </c>
      <c r="C6" s="27" t="s">
        <v>6</v>
      </c>
      <c r="D6" s="27" t="s">
        <v>48</v>
      </c>
      <c r="E6" s="27" t="s">
        <v>7</v>
      </c>
      <c r="F6" s="27" t="s">
        <v>8</v>
      </c>
      <c r="G6" s="28" t="s">
        <v>9</v>
      </c>
      <c r="H6" s="28" t="s">
        <v>49</v>
      </c>
      <c r="I6" s="28" t="s">
        <v>10</v>
      </c>
      <c r="J6" s="28" t="s">
        <v>56</v>
      </c>
      <c r="K6" s="28" t="s">
        <v>11</v>
      </c>
      <c r="L6" s="28" t="s">
        <v>12</v>
      </c>
      <c r="M6" s="28" t="s">
        <v>13</v>
      </c>
      <c r="N6" s="28" t="s">
        <v>14</v>
      </c>
      <c r="O6" s="93"/>
      <c r="P6" s="94"/>
      <c r="Q6" s="95"/>
      <c r="R6" s="95"/>
      <c r="S6" s="95"/>
      <c r="T6" s="96"/>
      <c r="U6" s="96">
        <f>N7+L14</f>
        <v>4257.90156022875</v>
      </c>
      <c r="V6" s="96">
        <f>N7+K14</f>
        <v>10686.959932635</v>
      </c>
      <c r="W6" s="96"/>
      <c r="X6" s="95"/>
      <c r="Y6" s="95"/>
      <c r="Z6" s="95"/>
      <c r="AA6" s="95"/>
      <c r="AB6" s="95"/>
    </row>
    <row r="7" spans="1:28" ht="25.2" thickBot="1" x14ac:dyDescent="0.45">
      <c r="A7" s="6">
        <f>B8</f>
        <v>109900</v>
      </c>
      <c r="B7" s="29">
        <f>IF(L20="YES",C8*1,IF(L20="NO",B8*1))</f>
        <v>109900</v>
      </c>
      <c r="C7" s="29">
        <f>B7*5/100</f>
        <v>5495</v>
      </c>
      <c r="D7" s="29">
        <f>B7+C7</f>
        <v>115395</v>
      </c>
      <c r="E7" s="29">
        <f>D17</f>
        <v>15141.41725</v>
      </c>
      <c r="F7" s="29">
        <f>(C7)+(D10+D11+D12+D13+D16)*5/100</f>
        <v>5830</v>
      </c>
      <c r="G7" s="30">
        <f>B7+E7+F7</f>
        <v>130871.41725</v>
      </c>
      <c r="H7" s="29">
        <f>G7*D20</f>
        <v>26174.283450000003</v>
      </c>
      <c r="I7" s="29">
        <f>(G7-H7)</f>
        <v>104697.1338</v>
      </c>
      <c r="J7" s="30">
        <f>(((I7*D19)*1)+I7)/12</f>
        <v>8942.0077026349991</v>
      </c>
      <c r="K7" s="30">
        <f>(((I7*D19)*2)+I7)/24</f>
        <v>4579.6271276349999</v>
      </c>
      <c r="L7" s="30">
        <f>(((I7*D19)*3)+I7)/36</f>
        <v>3125.5002693016668</v>
      </c>
      <c r="M7" s="30">
        <f>(((I7*D19)*4)+I7)/48</f>
        <v>2398.4368401349998</v>
      </c>
      <c r="N7" s="30">
        <f>((((I7*D19)*5)+I7)/60)</f>
        <v>1962.198782635</v>
      </c>
      <c r="O7" s="92"/>
      <c r="P7" s="83">
        <f>H7+H16</f>
        <v>27273.603354900002</v>
      </c>
      <c r="T7" s="87">
        <f>25973/2</f>
        <v>12986.5</v>
      </c>
    </row>
    <row r="8" spans="1:28" ht="24.6" x14ac:dyDescent="0.4">
      <c r="A8" s="7">
        <v>0.2</v>
      </c>
      <c r="B8" s="31">
        <f>IF(D5="MIG09",39900,IF(D5="MIG10",40400,IF(D5="ATG16",40400,IF(D5="ATP16",49900,IF(D5="ATG17",41900,IF(D5="ASG48",63900,IF(D5="ASG43",62900,IF(D5="ASG40",63900,IF(D5="ASG42",68900,IF(D5="ASG44",89900,IF(D5="ASG45",95900,IF(D5="ECG38",73900,IF(D5="ECG37",70900,IF(D5="ECG40",86900,IF(D5="ECG43",91900,IF(D5="XPML",62900,IF(D5="XPHL",62900,IF(D5="XPMLP",69900,IF(D5="XPMLP-01",77800,IF(D5="XC",77900,IF(D5="OTF03",96900,IF(D5="OTP03",79900,IF(D5="OTF06",92900,IF(D5="OTP06",111900,IF(D5="OTP06-01",118900,IF(D5="OTF08",122900,IF(D5="OTP08",109900,IF(D5="MOP57",99900,IF(D5="MOG64",108900,IF(D5="MOG59",116900,IF(D5="MOG59P",110900,IF(D5="MOG61",127900,IF(D5="MOP61",125900)))))))))))))))))))))))))))))))))</f>
        <v>109900</v>
      </c>
      <c r="C8" s="32">
        <f>IF(L20="YES",N20,IF(L20="NO",N20))</f>
        <v>109900</v>
      </c>
      <c r="D8" s="29">
        <v>0</v>
      </c>
      <c r="E8" s="33"/>
      <c r="F8" s="139"/>
      <c r="G8" s="140"/>
      <c r="H8" s="110">
        <f>G7*20/100</f>
        <v>26174.283449999999</v>
      </c>
      <c r="I8" s="21"/>
      <c r="J8" s="34" t="s">
        <v>15</v>
      </c>
      <c r="K8" s="23">
        <f>(J7*K5+J7)/24</f>
        <v>372.58365427645828</v>
      </c>
      <c r="L8" s="23">
        <f>(J7*L5+J7)/36</f>
        <v>256.80949343762018</v>
      </c>
      <c r="M8" s="23">
        <f>(J7*M5+J7)/48</f>
        <v>198.92241301820107</v>
      </c>
      <c r="N8" s="23">
        <f>(J7*N5+J7)/60</f>
        <v>164.19016476654963</v>
      </c>
      <c r="O8" s="92"/>
      <c r="P8" s="83">
        <f>P7/12</f>
        <v>2272.8002795750003</v>
      </c>
      <c r="T8" s="86">
        <f>25973-12973</f>
        <v>13000</v>
      </c>
    </row>
    <row r="9" spans="1:28" ht="24.6" x14ac:dyDescent="0.4">
      <c r="A9" s="8">
        <f>B8/(100%-A8)</f>
        <v>137375</v>
      </c>
      <c r="B9" s="109">
        <f>B7-B8</f>
        <v>0</v>
      </c>
      <c r="C9" s="35"/>
      <c r="D9" s="36"/>
      <c r="E9" s="33"/>
      <c r="F9" s="139"/>
      <c r="G9" s="140"/>
      <c r="H9" s="33"/>
      <c r="I9" s="37" t="s">
        <v>16</v>
      </c>
      <c r="J9" s="38">
        <f>(J7*12)-(I7)</f>
        <v>2606.9586316200002</v>
      </c>
      <c r="K9" s="38">
        <f>(K7*24)-I7</f>
        <v>5213.9172632400005</v>
      </c>
      <c r="L9" s="38">
        <f>(L7*36)-I7</f>
        <v>7820.8758948600007</v>
      </c>
      <c r="M9" s="38">
        <f>(M7*48)-I7</f>
        <v>10427.834526479986</v>
      </c>
      <c r="N9" s="38">
        <f>(N7*60)-I7</f>
        <v>13034.793158100001</v>
      </c>
      <c r="O9" s="92"/>
      <c r="T9" s="86">
        <f>T8/12</f>
        <v>1083.3333333333333</v>
      </c>
      <c r="Z9" s="86" t="s">
        <v>86</v>
      </c>
    </row>
    <row r="10" spans="1:28" ht="24.6" x14ac:dyDescent="0.4">
      <c r="A10" s="8"/>
      <c r="B10" s="37" t="s">
        <v>50</v>
      </c>
      <c r="C10" s="20" t="s">
        <v>17</v>
      </c>
      <c r="D10" s="36">
        <f>IF(C10="YES",800,IF(C10="NO",0))</f>
        <v>0</v>
      </c>
      <c r="E10" s="39"/>
      <c r="F10" s="40"/>
      <c r="G10" s="40"/>
      <c r="H10" s="33"/>
      <c r="I10" s="44" t="s">
        <v>85</v>
      </c>
      <c r="J10" s="117" t="s">
        <v>19</v>
      </c>
      <c r="K10" s="117">
        <f>IF(J10="YES",Z10,IF(J10="NO",0))</f>
        <v>1000</v>
      </c>
      <c r="L10" s="117"/>
      <c r="M10" s="117"/>
      <c r="N10" s="41">
        <f>(N8*60)-J7</f>
        <v>909.40218335797908</v>
      </c>
      <c r="O10" s="92">
        <f>IF(D5="XC",3690,IF(D5="XPML",3690,IF(D5="XPHL",3690,IF(D5="XPMLP",3690,IF(D5="XPMLP-01",3690,IF(D5="Xpander P",3690,IF(D5="MOP57",(U19*2.75/100+510)*1.05,IF(D5="MOG64",(U19*2.75/100+510)*1.05,IF(D5="MOG59",(U19*2.75/100+510)*1.05,IF(D5="MOG59P",(U19*2.75/100+510)*1.05,IF(D5="MOG61",(U19*2.75/100+510)*1.05,IF(D5="MOP61",(U19*2.75/100+510)*1.05,IF(D5="OTF03",(D7*3/100+510)*1.05,IF(D5="OTP03",(U19*3/100+510)*1.05,IF(D5="OTF06",(U19*3/100+510)*1.05,IF(D5="OTP06",(U19*3/100+510)*1.05,IF(D5="OTP06-01",(U19*3/100+510)*1.05,IF(D5="OTF08",(U19*3/100+510)*1.05,IF(D5="OTP08",(U19*3/100+510)*1.05,IF(D5="ECG38",3625,IF(D5="ECG37",3625,IF(D5="ECG40",(D7*3/100+510)*1.05,IF(D5="ECG43",(D7*3/100+510)*1.05,IF(D5="ASG48",3625,IF(D5="ASG43",3625,IF(D5="ASG40",3625,IF(D5="ASG42",3625,IF(D5="ASG44",3625,IF(D5="ASG45",3625,IF(D5="ASX HL 4WD",3625,IF(D5="ATG16",3625,IF(D5="ATG17",3625,IF(D5="ATP16",3625,IF(D5="Attrage S",3625,IF(D5="MIG09",3625,IF(D5="MIG10",3625,IF(D5="Xpander HL",3690)))))))))))))))))))))))))))))))))))))</f>
        <v>4392.0450000000001</v>
      </c>
      <c r="P10" s="97"/>
      <c r="Q10" s="97">
        <f>5.25*3</f>
        <v>15.75</v>
      </c>
      <c r="Z10" s="86">
        <f>IF(D5="MIG09",500,IF(D5="MIG10",500,IF(D5="ATG16",500,IF(D5="ATP16",500,IF(D5="ATG17",500,IF(D5="ASG48",1000,IF(D5="ASG43",1000,IF(D5="ASG40",1000,IF(D5="ASG42",1000,IF(D5="ASG44",1000,IF(D5="ASG45",1000,IF(D5="ECG38",1000,IF(D5="ECG37",1000,IF(D5="ECG40",1000,IF(D5="ECG43",1000,IF(D5="XPML",1000,IF(D5="XPHL",1000,IF(D5="XPMLP",1000,IF(D5="XPMLP-01",1000,IF(D5="XC",1000,IF(D5="OTF03",1000,IF(D5="OTP03",1000,IF(D5="OTF06",1000,IF(D5="OTP06",1000,IF(D5="OTP06-01",1000,IF(D5="OTF08",1000,IF(D5="OTP08",1000,IF(D5="MOP57",1000,IF(D5="MOG64",1000,IF(D5="MOG59",1000,IF(D5="MOG59P",1000,IF(D5="MOG61",1000,IF(D5="MOP61",1000)))))))))))))))))))))))))))))))))</f>
        <v>1000</v>
      </c>
    </row>
    <row r="11" spans="1:28" ht="24.6" x14ac:dyDescent="0.4">
      <c r="A11" s="8"/>
      <c r="B11" s="37" t="s">
        <v>18</v>
      </c>
      <c r="C11" s="20" t="s">
        <v>17</v>
      </c>
      <c r="D11" s="36">
        <f>IF(C11="YES",O17,IF(C11="NO",0))</f>
        <v>0</v>
      </c>
      <c r="E11" s="33"/>
      <c r="F11" s="40"/>
      <c r="G11" s="40"/>
      <c r="H11" s="33"/>
      <c r="I11" s="21"/>
      <c r="J11" s="44" t="s">
        <v>76</v>
      </c>
      <c r="K11" s="44">
        <f>H8-K10</f>
        <v>25174.283449999999</v>
      </c>
      <c r="L11" s="37"/>
      <c r="M11" s="37"/>
      <c r="N11" s="42"/>
      <c r="O11" s="92">
        <f>IF(D5="XC",6100,IF(D5="XPML",6100,IF(D5="XPHL",6100,IF(D5="XPMLP",6100,IF(D5="XPMLP-01",6100,IF(D5="Xpander P",6100,IF(D5="MOP57",5900,IF(D5="MOG64",5900,IF(D5="MOG59",5900,IF(D5="MOG59P",5900,IF(D5="MOG61",5900,IF(D5="MOP61",5900,IF(D5="OTF03",6700,IF(D5="OTP03",6700,IF(D5="OTF06",6700,IF(D5="OTP06",6700,IF(D5="OTP06-01",6700,IF(D5="OTF08",6700,IF(D5="OTP08",6700,IF(D5="ECG37",6400,IF(D5="ECG38",6400,IF(D5="ECG40",6400,IF(D5="ECG43",6400,IF(D5="ASG48",6600,IF(D5="ASG43",6600,IF(D5="ASG40",6600,IF(D5="ASG42",6600,IF(D5="ASG44",6600,IF(D5="ASG45",6600,IF(D5="ASX HL 4WD",6600,IF(D5="ATG16",5400,IF(D5="ATG17",5400,IF(D5="ATP16",5400,IF(D5="Attrage S",5400,IF(D5="MIG09",5400,IF(D5="MIG10",5400,IF(D5="Xpander HL",6000)))))))))))))))))))))))))))))))))))))</f>
        <v>6700</v>
      </c>
      <c r="P11" s="92"/>
      <c r="Q11" s="92"/>
      <c r="R11" s="92"/>
      <c r="S11" s="92"/>
      <c r="T11" s="92"/>
      <c r="U11" s="92">
        <f>IF(D5="XC",4900,IF(D5="XPML",4900,IF(D5="XPHL",4900,IF(D5="XPMLP",4900,IF(D5="XPMLP-01",4900,IF(D5="Xpander P",4900,IF(D5="MOP57",4600,IF(D5="MOG64",4600,IF(D5="MOG59",4600,IF(D5="MOG59P",4600,IF(D5="MOG61",4600,IF(D5="MOP61",4600,IF(D5="OTF03",5500,IF(D5="OTP03",5500,IF(D5="OTF06",5500,IF(D5="OTP06",5500,IF(D5="OTP06-01",5500,IF(D5="OTF08",5500,IF(D5="OTP08",5500,IF(D5="ECG38",5200,IF(D5="ECG37",5200,IF(D5="ECG40",5200,IF(D5="ECG43",5200,IF(D5="ASG48",5300,IF(D5="ASG43",5300,IF(D5="ASG40",5300,IF(D5="ASG42",5300,IF(D5="ASG44",5300,IF(D5="ASG45",5300,IF(D5="ASX HL",5300,IF(D5="ASX P",5300,IF(D5="ASX HL 4WD",5300,IF(D5="ATG16",4200,IF(D5="ATG17",4200,IF(D5="ATP16",4200,IF(D5="Attrage S",4200,IF(D5="MIG09",4200,IF(D5="MIG10",4200,IF(D5="Xpander HL",4900)))))))))))))))))))))))))))))))))))))))</f>
        <v>5500</v>
      </c>
      <c r="V11" s="92">
        <f>IF(D5="XC",9700,IF(D5="XPML",9700,IF(D5="XPHL",9700,IF(D5="XPMLP",9700,IF(D5="XPMLP-01",9700,IF(D5="XPMLP-01",9700,IF(D5="Xpander P",9700,IF(D5="MOP57",9300,IF(D5="MG64",9300,IF(D5="MOG59",9300,IF(D5="MOG59P",9300,IF(D5="MOG61",9300,IF(D5="MOP61",9300,IF(D5="OTF03",11000,IF(D5="OTP03",11000,IF(D5="OTF06",11000,IF(D5="OTP06",11000,IF(D5="OTP06-01",11000,IF(D5="OTF08",11000,IF(D5="OTP08",11000,IF(D5="ECG38",10400,IF(D5="ECG37",10400,IF(D5="ECG40",10400,IF(D5="ECG43",10400,IF(D5="ASG48",10700,IF(D5="ASG43",10700,IF(D5="ASG40",10700,IF(D5="ASG42",10700,IF(D5="ASG44",10800,IF(D5="ASG45",10800,IF(D5="ASX HL",12200,IF(D5="ASX P",12200,IF(D5="ASX HL 4WD",12200,IF(D5="ATG16",8500,IF(D5="ATG17",8500,IF(D5="ATP16",8500,IF(D5="Attrage S",9600,IF(D5="MIG09",8500,IF(D5="MIG10",8500,IF(D5="Xpander HL",11300))))))))))))))))))))))))))))))))))))))))</f>
        <v>11000</v>
      </c>
      <c r="W11" s="92">
        <f>IF(D5="XC",9200,IF(D5="XPML",9200,IF(D5="XPHL",9200,IF(D5="XPMLP",9200,IF(D5="XPMLP-01",9200,IF(D5="Xpander P",9200,IF(D5="MOP57",8700,IF(D5="MOG64",8700,IF(D5="MOG59",8700,IF(D5="MOG59P",8700,IF(D5="MOG61",8700,IF(D5="MOP61",8700,IF(D5="OTF03",10400,IF(D5="OTP03",10400,IF(D5="OTF06",10400,IF(D5="OTP06",10400,IF(D5="OTP06-01",10400,IF(D5="OTF08",10400,IF(D5="OTP08",10400,IF(D5="ECG38",9800,IF(D5="ECG37",9800,IF(D5="ECG40",9800,IF(D5="ECG43",9800,IF(D5="ASG48",10100,IF(D5="ASG43",10100,IF(D5="ASG40",10100,IF(D5="ASG42",10100,IF(D5="ASG44",10100,IF(D5="ASG45",10100,IF(D5="ASX HL",10100,IF(D5="ASX P",10100,IF(D5="ASX HL 4WD",10100,IF(D5="ATG16",7900,IF(D5="ATG17",7900,IF(D5="ATP16",7900,IF(D5="Attrage S",7900,IF(D5="MIG09",7900,IF(D5="MIG10",7900,IF(D5="Xpander HL",9200)))))))))))))))))))))))))))))))))))))))</f>
        <v>10400</v>
      </c>
      <c r="X11" s="92">
        <f>IF(D5="XC",4500,IF(D5="XPML",4500,IF(D5="XPHL",4500,IF(D5="XPMLP",4500,IF(D5="XPMLP-01",4500,IF(D5="Xpander P",4500,IF(D5="MOP57",4300,IF(D5="MOG64",4300,IF(D5="MOG59",4300,IF(D5="MOG59P",4300,IF(D5="MOG61",4300,IF(D5="MOP61",4300,IF(D5="OTF03",5000,IF(D5="OTP03",5000,IF(D5="OTF06",5000,IF(D5="OTP06",5000,IF(D5="OTP06-01",5000,IF(D5="OTF08",5000,IF(D5="OTP08",5000,IF(D5="ECG38",4900,IF(D5="ECG37",4900,IF(D5="ECG40",4900,IF(D5="ECG43",4900,IF(D5="ASG48",4900,IF(D5="ASG43",4900,IF(D5="ASG40",4900,IF(D5="ASG42",4900,IF(D5="ASG44",4900,IF(D5="ASG45",4900,IF(D5="ASX HL",4900,IF(D5="ASX P",4900,IF(D5="ASX HL 4WD",4900,IF(D5="ATG16",3700,IF(D5="ATG17",3700,IF(D5="ATP16",3700,IF(D5="Attrage S",3700,IF(D5="MIG09",3700,IF(D5="MIG10",3700,IF(D5="Xpander HL",4500)))))))))))))))))))))))))))))))))))))))</f>
        <v>5000</v>
      </c>
      <c r="Y11" s="92">
        <f>IF(D5="XC",5400,IF(D5="XPML ",5400,IF(D5="XPHL",5400,IF(D5="XPMLP",5400,IF(D5="XPMLP-01",5400,IF(D5="Xpander P",5400,IF(D5="MOP57",5200,IF(D5="MOG64",5200,IF(D5="MOG59",5200,IF(D5="MOG59P",5200,IF(D5="MOG61",5200,IF(D5="MOP61",5200,IF(D5="OTF03",6000,IF(D5="OTP03",6000,IF(D5="OTF06",6000,IF(D5="OTP06",6000,IF(D5="OTP06-01",6000,IF(D5="OTF08",6000,IF(D5="OTP08",6000,IF(D5="ECG38",5700,IF(D5="ECG37",5700,IF(D5="ECG40",5700,IF(D5="ECG43",5700,IF(D5="ASG48",5900,IF(D5="ASG43",5900,IF(D5="ASG40",5900,IF(D5="ASG42",5900,IF(D5="ASG44",5900,IF(D5="ASG45",5900,IF(D5="ASX HL",5900,IF(D5="ASX P",5900,IF(D5="ASX HL 4WD",5900,IF(D5="ATG16",4500,IF(D5="ATG17",4500,IF(D5="ATP16",4500,IF(D5="Attrage S",4500,IF(D5="MIG09",4500,IF(D5="MIG10",4500,IF(D5="Xpander HL",5400)))))))))))))))))))))))))))))))))))))))</f>
        <v>6000</v>
      </c>
    </row>
    <row r="12" spans="1:28" ht="24.75" customHeight="1" x14ac:dyDescent="0.4">
      <c r="A12" s="8"/>
      <c r="B12" s="37" t="s">
        <v>20</v>
      </c>
      <c r="C12" s="20" t="s">
        <v>17</v>
      </c>
      <c r="D12" s="36">
        <f>IF(C12="YES",2000,IF(C12="NO",0))</f>
        <v>0</v>
      </c>
      <c r="E12" s="43"/>
      <c r="F12" s="43" t="s">
        <v>21</v>
      </c>
      <c r="G12" s="40"/>
      <c r="H12" s="33">
        <v>600</v>
      </c>
      <c r="I12" s="21"/>
      <c r="J12" s="44" t="s">
        <v>22</v>
      </c>
      <c r="K12" s="45">
        <v>0</v>
      </c>
      <c r="L12" s="45">
        <v>5.2499999999999998E-2</v>
      </c>
      <c r="M12" s="45">
        <v>0.126</v>
      </c>
      <c r="N12" s="46">
        <v>0.26250000000000001</v>
      </c>
      <c r="O12" s="92">
        <f>IF(K20="Esaad",B8*3/100,IF(K20="Emirates Platinum",B8*3/100,IF(K20="Fazaa",B8*3/100,IF(K20="Humat Alwatan",B8*3/100,IF(K20="Permissible",2000,IF(K20="ASX",8400,IF(K20="XPMLP",4000,IF(K20="XP",14100,IF(K20="G43",11000,IF(K20="EC",7000,IF(K20="G37",14000,IF(K20="G38",15000,IF(K20="G40",11000,IF(K20="OUT",9600,IF(K20="F08",15400,IF(K20="P08",11100,IF(K20="F06",14100,IF(K20="P06",17100,IF(K20="F03",17000,IF(K20="P03",19100,IF(K20="MON",10000,IF(K20="MON G57",10000,0))))))))))))))))))))))</f>
        <v>2000</v>
      </c>
      <c r="P12" s="92"/>
      <c r="Q12" s="92"/>
      <c r="R12" s="92"/>
      <c r="S12" s="92"/>
      <c r="T12" s="92"/>
      <c r="U12" s="92"/>
      <c r="V12" s="92"/>
      <c r="W12" s="92"/>
      <c r="X12" s="92"/>
      <c r="Y12" s="92"/>
      <c r="Z12" s="86" t="s">
        <v>83</v>
      </c>
      <c r="AA12" s="86" t="s">
        <v>84</v>
      </c>
    </row>
    <row r="13" spans="1:28" ht="24.6" x14ac:dyDescent="0.4">
      <c r="A13" s="8">
        <f>B8*1.26582</f>
        <v>139113.61799999999</v>
      </c>
      <c r="B13" s="37" t="s">
        <v>23</v>
      </c>
      <c r="C13" s="20" t="s">
        <v>17</v>
      </c>
      <c r="D13" s="36">
        <f>IF(C13="YES",2000,IF(C13="NO",0))</f>
        <v>0</v>
      </c>
      <c r="E13" s="47"/>
      <c r="F13" s="47" t="s">
        <v>75</v>
      </c>
      <c r="G13" s="40"/>
      <c r="H13" s="33">
        <v>315</v>
      </c>
      <c r="I13" s="21"/>
      <c r="J13" s="44" t="s">
        <v>54</v>
      </c>
      <c r="K13" s="29" t="s">
        <v>79</v>
      </c>
      <c r="L13" s="29" t="s">
        <v>25</v>
      </c>
      <c r="M13" s="29" t="s">
        <v>0</v>
      </c>
      <c r="N13" s="49" t="s">
        <v>26</v>
      </c>
      <c r="O13" s="98">
        <f>IF(M21="3000-4999",6%,IF(M21="5000-9999",4.75%,IF(M21="10000-14999",3.15%,IF(M21="15000-24999",2.5%,IF(M21="25000-34999",2.25%,IF(M21="35000-99999",2.25%))))))</f>
        <v>4.7500000000000001E-2</v>
      </c>
      <c r="Q13" s="83">
        <f>H7/12</f>
        <v>2181.1902875000001</v>
      </c>
      <c r="U13" s="9">
        <f>IF(M21="3000-4999",6%,IF(M21="5000-9999",3.25%,IF(M21="10000-14999",3%,IF(M21="15000-24999",2.25%,IF(M21="25000-34999",2.15%,IF(M21="35000-99999",1.99%))))))</f>
        <v>3.2500000000000001E-2</v>
      </c>
      <c r="Z13" s="99">
        <f>IF(M21="5000-9999",2.49%,IF(M21="10000-19999",2.19%,IF(M21="20000-34999",2.09%,IF(M21="35000-49999",1.89%,IF(M21="50000-99999",1.79%)))))</f>
        <v>2.4900000000000002E-2</v>
      </c>
      <c r="AA13" s="99">
        <f>IF(M21="5000-9999",2.59%,IF(M21="10000-19999",2.29%,IF(M21="20000-34999",2.19%,IF(M21="35000-49999",1.99%,IF(M21="50000-99999",1.89%)))))</f>
        <v>2.5899999999999999E-2</v>
      </c>
    </row>
    <row r="14" spans="1:28" ht="24.6" x14ac:dyDescent="0.4">
      <c r="A14" s="10" t="s">
        <v>27</v>
      </c>
      <c r="B14" s="37" t="s">
        <v>24</v>
      </c>
      <c r="C14" s="20" t="s">
        <v>19</v>
      </c>
      <c r="D14" s="50">
        <f>IF(C14="YES",U19*3.15*1.05/100,IF(C14="NO",U19*0/100))</f>
        <v>4049.3722500000003</v>
      </c>
      <c r="E14" s="48"/>
      <c r="F14" s="48" t="s">
        <v>24</v>
      </c>
      <c r="G14" s="51" t="s">
        <v>17</v>
      </c>
      <c r="H14" s="39">
        <f>IF(G14="YES",U19*3.15*1.05/100,IF(G14="NO",U19*0/100))</f>
        <v>0</v>
      </c>
      <c r="I14" s="21"/>
      <c r="J14" s="44" t="s">
        <v>55</v>
      </c>
      <c r="K14" s="44">
        <f>(H8*K12+H8)/3</f>
        <v>8724.7611500000003</v>
      </c>
      <c r="L14" s="44">
        <f>(H8*L12+H8)/12</f>
        <v>2295.7027775937499</v>
      </c>
      <c r="M14" s="44">
        <f>(H8*M12+H8)/24</f>
        <v>1228.0101318625</v>
      </c>
      <c r="N14" s="52">
        <f>(H7*N12+H7)/60</f>
        <v>550.75054759375007</v>
      </c>
      <c r="O14" s="98">
        <f>IF(M21="3000-4999",3.89%,IF(M21="5000-9999",3.89%,IF(M21="10000-14999",3.89%,IF(M21="15000-24999",2.69%,IF(M21="25000-34999",2.69%,IF(M21="35000-99999",2.39%,IF(M21="76000-99999",2.19%)))))))</f>
        <v>3.8900000000000004E-2</v>
      </c>
    </row>
    <row r="15" spans="1:28" ht="24.6" x14ac:dyDescent="0.4">
      <c r="A15" s="11">
        <f>(B7*3%)+10+120</f>
        <v>3427</v>
      </c>
      <c r="B15" s="37" t="s">
        <v>28</v>
      </c>
      <c r="C15" s="20" t="s">
        <v>19</v>
      </c>
      <c r="D15" s="29">
        <f>IF(C15="YES",O10,IF(C15="NO",0))</f>
        <v>4392.0450000000001</v>
      </c>
      <c r="E15" s="48"/>
      <c r="F15" s="48" t="s">
        <v>53</v>
      </c>
      <c r="G15" s="51" t="s">
        <v>17</v>
      </c>
      <c r="H15" s="39">
        <f>IF(G15="YES",O10,IF(G15="NO",0))</f>
        <v>0</v>
      </c>
      <c r="I15" s="21"/>
      <c r="J15" s="44"/>
      <c r="K15" s="44"/>
      <c r="L15" s="44"/>
      <c r="M15" s="44"/>
      <c r="N15" s="53"/>
      <c r="O15" s="98" t="b">
        <f>IF(M21="3000-4999",4.99%, IF(M21="5000-11999",2.75%,IF(M21="12000-19999",2.75%,IF(M21="20000-39999",2.25%,IF(M21="40000-69999",2.39%,IF(M21="70000-99999",2.25%))))))</f>
        <v>0</v>
      </c>
      <c r="P15" s="99"/>
    </row>
    <row r="16" spans="1:28" ht="24.6" x14ac:dyDescent="0.4">
      <c r="A16" s="11">
        <f>((B7-B8)*3%+10+120)</f>
        <v>130</v>
      </c>
      <c r="B16" s="37" t="s">
        <v>78</v>
      </c>
      <c r="C16" s="20" t="s">
        <v>19</v>
      </c>
      <c r="D16" s="29">
        <f>IF(C16="YES",O16,IF(C16="NO",0))</f>
        <v>6700</v>
      </c>
      <c r="E16" s="47"/>
      <c r="F16" s="47" t="s">
        <v>74</v>
      </c>
      <c r="G16" s="54"/>
      <c r="H16" s="33">
        <f>I7*1.05%</f>
        <v>1099.3199049</v>
      </c>
      <c r="I16" s="21"/>
      <c r="J16" s="44" t="s">
        <v>16</v>
      </c>
      <c r="K16" s="44">
        <f>(K14*3)-H8</f>
        <v>0</v>
      </c>
      <c r="L16" s="44">
        <f>(L14*12)-H8</f>
        <v>1374.1498811250021</v>
      </c>
      <c r="M16" s="44">
        <f>(M14*24)-H8</f>
        <v>3297.9597146999986</v>
      </c>
      <c r="N16" s="53"/>
      <c r="O16" s="92">
        <f>IF(B16="RMC-10-70KMS",O11,IF(B16="RMC-10-100000KMS",V11,IF(B16="RMC-40-70KMS",U11, IF(B16="RMC-10-40KMS",X11, IF(B16="RMC-10-60KMS",Y11, IF(B16="RMC-40-100000KMS",W11,0))))))</f>
        <v>6700</v>
      </c>
    </row>
    <row r="17" spans="1:28" ht="24.6" x14ac:dyDescent="0.4">
      <c r="A17" s="11">
        <f>A15+A16</f>
        <v>3557</v>
      </c>
      <c r="B17" s="37"/>
      <c r="C17" s="20"/>
      <c r="D17" s="29">
        <f>SUM(D10:D16)</f>
        <v>15141.41725</v>
      </c>
      <c r="E17" s="33"/>
      <c r="F17" s="33"/>
      <c r="G17" s="33"/>
      <c r="H17" s="33">
        <f>H7+H12+H15+H16</f>
        <v>27873.603354900002</v>
      </c>
      <c r="I17" s="33"/>
      <c r="J17" s="22"/>
      <c r="K17" s="53"/>
      <c r="L17" s="53"/>
      <c r="M17" s="53"/>
      <c r="N17" s="53"/>
      <c r="O17" s="92">
        <f>IF(B11="FO Ceramic+ Intr&amp;Extr CeramicGold WdwTnt",2700,IF(B11="FO Mirror Camera Sensor",2000))</f>
        <v>2700</v>
      </c>
      <c r="T17" s="86">
        <f>19615-791</f>
        <v>18824</v>
      </c>
    </row>
    <row r="18" spans="1:28" ht="24.6" x14ac:dyDescent="0.4">
      <c r="A18" s="12" t="s">
        <v>29</v>
      </c>
      <c r="B18" s="55" t="s">
        <v>30</v>
      </c>
      <c r="C18" s="56"/>
      <c r="D18" s="57">
        <v>0</v>
      </c>
      <c r="E18" s="38"/>
      <c r="F18" s="22"/>
      <c r="G18" s="22"/>
      <c r="H18" s="21"/>
      <c r="I18" s="21"/>
      <c r="J18" s="21"/>
      <c r="K18" s="21"/>
      <c r="L18" s="21"/>
      <c r="M18" s="21"/>
      <c r="N18" s="21"/>
      <c r="O18" s="92"/>
      <c r="U18" s="100" t="s">
        <v>52</v>
      </c>
      <c r="V18" s="100" t="s">
        <v>52</v>
      </c>
    </row>
    <row r="19" spans="1:28" ht="24.6" x14ac:dyDescent="0.4">
      <c r="A19" s="11">
        <f>B8*3.15%</f>
        <v>3461.85</v>
      </c>
      <c r="B19" s="58" t="s">
        <v>31</v>
      </c>
      <c r="C19" s="59"/>
      <c r="D19" s="60">
        <f>IF(K21="DIB EXPAT",O13,IF(K21="DIB LOCAL GVH",U13,IF(K21="Emirates NBD",O14,IF(K21="ADCB",O15,IF(K21="ADCB PAY IN 2027",O19,IF(K21="Ajman Bank",O18,IF(K21="SIB STL",Z13,IF(K21="SIB NON STL",AA13,))))))))</f>
        <v>2.4900000000000002E-2</v>
      </c>
      <c r="E19" s="22"/>
      <c r="F19" s="61"/>
      <c r="G19" s="141" t="s">
        <v>73</v>
      </c>
      <c r="H19" s="142"/>
      <c r="I19" s="143"/>
      <c r="J19" s="109">
        <f>H7/365</f>
        <v>71.710365616438366</v>
      </c>
      <c r="K19" s="21"/>
      <c r="L19" s="21"/>
      <c r="M19" s="21"/>
      <c r="N19" s="23">
        <f>D7</f>
        <v>115395</v>
      </c>
      <c r="O19" s="98" t="b">
        <f>IF(M21="5000-11999",3.35%,IF(M21="12000-19999",3.35%,IF(M21="20000-39999",2.85%,IF(M21="40000-69999",2.85%,IF(M21="70000-99999",2.85%)))))</f>
        <v>0</v>
      </c>
      <c r="P19" s="83">
        <f>81400-2500</f>
        <v>78900</v>
      </c>
      <c r="U19" s="101">
        <f>V19</f>
        <v>122430</v>
      </c>
      <c r="V19" s="102">
        <f>(B7+D10+D11+D12+D13+D16)*1.05</f>
        <v>122430</v>
      </c>
      <c r="X19" s="87">
        <f>G7*3.15*1.05/100</f>
        <v>4328.5721255437502</v>
      </c>
      <c r="Y19" s="87">
        <f>G7*3/100+510*1.05</f>
        <v>4461.6425175000004</v>
      </c>
      <c r="Z19" s="87">
        <f>Y19+X19</f>
        <v>8790.2146430437497</v>
      </c>
      <c r="AA19" s="87">
        <f>(Z19)-(D14+D15)</f>
        <v>348.79739304374925</v>
      </c>
      <c r="AB19" s="87">
        <f>AA19*1.25</f>
        <v>435.99674130468657</v>
      </c>
    </row>
    <row r="20" spans="1:28" ht="24.6" x14ac:dyDescent="0.4">
      <c r="A20" s="11"/>
      <c r="B20" s="58" t="s">
        <v>32</v>
      </c>
      <c r="C20" s="62"/>
      <c r="D20" s="63">
        <v>0.2</v>
      </c>
      <c r="E20" s="21"/>
      <c r="F20" s="21"/>
      <c r="G20" s="42"/>
      <c r="H20" s="42"/>
      <c r="I20" s="42"/>
      <c r="J20" s="103"/>
      <c r="K20" s="104" t="s">
        <v>33</v>
      </c>
      <c r="L20" s="104" t="s">
        <v>17</v>
      </c>
      <c r="M20" s="104">
        <f>IF(L20="YES",O12,IF(L20="NO",0))</f>
        <v>0</v>
      </c>
      <c r="N20" s="23">
        <f>B8-M20</f>
        <v>109900</v>
      </c>
      <c r="O20" s="92"/>
      <c r="P20" s="99"/>
      <c r="T20" s="86">
        <f>1992+1084</f>
        <v>3076</v>
      </c>
      <c r="V20" s="83"/>
      <c r="X20" s="87">
        <f>X19-D14</f>
        <v>279.19987554374984</v>
      </c>
      <c r="Y20" s="87">
        <f>Y19-D15</f>
        <v>69.597517500000322</v>
      </c>
      <c r="AA20" s="87">
        <f>X20+Y20</f>
        <v>348.79739304375016</v>
      </c>
    </row>
    <row r="21" spans="1:28" ht="24.6" x14ac:dyDescent="0.4">
      <c r="A21" s="13">
        <f>A19+A20</f>
        <v>3461.85</v>
      </c>
      <c r="B21" s="21"/>
      <c r="C21" s="22"/>
      <c r="D21" s="21"/>
      <c r="E21" s="21"/>
      <c r="F21" s="21"/>
      <c r="G21" s="21"/>
      <c r="H21" s="21"/>
      <c r="I21" s="21"/>
      <c r="J21" s="37" t="s">
        <v>34</v>
      </c>
      <c r="K21" s="16" t="s">
        <v>83</v>
      </c>
      <c r="L21" s="105" t="s">
        <v>35</v>
      </c>
      <c r="M21" s="106" t="s">
        <v>80</v>
      </c>
      <c r="N21" s="111"/>
      <c r="O21" s="92"/>
      <c r="T21" s="86">
        <f>25973-12973</f>
        <v>13000</v>
      </c>
    </row>
    <row r="22" spans="1:28" ht="24.6" x14ac:dyDescent="0.4">
      <c r="A22" s="13"/>
      <c r="B22" s="130" t="s">
        <v>51</v>
      </c>
      <c r="C22" s="131"/>
      <c r="D22" s="131"/>
      <c r="E22" s="131"/>
      <c r="F22" s="131"/>
      <c r="G22" s="131"/>
      <c r="H22" s="131"/>
      <c r="I22" s="131"/>
      <c r="J22" s="131"/>
      <c r="K22" s="131"/>
      <c r="L22" s="131"/>
      <c r="M22" s="131"/>
      <c r="N22" s="132"/>
      <c r="O22" s="92"/>
    </row>
    <row r="23" spans="1:28" ht="25.2" x14ac:dyDescent="0.45">
      <c r="A23" s="14" t="s">
        <v>36</v>
      </c>
      <c r="B23" s="64" t="s">
        <v>57</v>
      </c>
      <c r="C23" s="65"/>
      <c r="D23" s="65"/>
      <c r="E23" s="65"/>
      <c r="F23" s="65"/>
      <c r="G23" s="65"/>
      <c r="H23" s="66"/>
      <c r="I23" s="66"/>
      <c r="J23" s="65"/>
      <c r="K23" s="65"/>
      <c r="L23" s="65"/>
      <c r="M23" s="65"/>
      <c r="N23" s="67"/>
      <c r="O23" s="92">
        <f>N7+K14</f>
        <v>10686.959932635</v>
      </c>
    </row>
    <row r="24" spans="1:28" ht="25.2" x14ac:dyDescent="0.45">
      <c r="A24" s="14" t="s">
        <v>36</v>
      </c>
      <c r="B24" s="64" t="s">
        <v>58</v>
      </c>
      <c r="C24" s="65"/>
      <c r="D24" s="65"/>
      <c r="E24" s="65"/>
      <c r="F24" s="65"/>
      <c r="G24" s="65"/>
      <c r="H24" s="85">
        <f>H7/365</f>
        <v>71.710365616438366</v>
      </c>
      <c r="I24" s="85">
        <f>H7/365</f>
        <v>71.710365616438366</v>
      </c>
      <c r="J24" s="65"/>
      <c r="K24" s="65"/>
      <c r="L24" s="65"/>
      <c r="M24" s="65"/>
      <c r="N24" s="68"/>
      <c r="O24" s="92"/>
      <c r="P24" s="83">
        <f>1232+480</f>
        <v>1712</v>
      </c>
      <c r="T24" s="86">
        <f>88704/1.05</f>
        <v>84480</v>
      </c>
    </row>
    <row r="25" spans="1:28" ht="25.2" x14ac:dyDescent="0.45">
      <c r="A25" s="14" t="s">
        <v>36</v>
      </c>
      <c r="B25" s="64" t="s">
        <v>59</v>
      </c>
      <c r="C25" s="65"/>
      <c r="D25" s="65"/>
      <c r="E25" s="65"/>
      <c r="F25" s="65"/>
      <c r="G25" s="65"/>
      <c r="H25" s="66"/>
      <c r="I25" s="85">
        <f>I24*365*3</f>
        <v>78522.850350000008</v>
      </c>
      <c r="J25" s="65"/>
      <c r="K25" s="65"/>
      <c r="L25" s="65"/>
      <c r="M25" s="65"/>
      <c r="N25" s="68"/>
      <c r="O25" s="92"/>
      <c r="Q25" s="86">
        <f>79400-5233.33</f>
        <v>74166.67</v>
      </c>
      <c r="R25" s="86">
        <f>Q25*1.05</f>
        <v>77875.003500000006</v>
      </c>
    </row>
    <row r="26" spans="1:28" ht="25.2" x14ac:dyDescent="0.45">
      <c r="A26" s="14" t="s">
        <v>36</v>
      </c>
      <c r="B26" s="64" t="s">
        <v>60</v>
      </c>
      <c r="C26" s="65"/>
      <c r="D26" s="65"/>
      <c r="E26" s="65"/>
      <c r="F26" s="65"/>
      <c r="G26" s="65"/>
      <c r="H26" s="65"/>
      <c r="I26" s="65"/>
      <c r="J26" s="65"/>
      <c r="K26" s="65"/>
      <c r="L26" s="65"/>
      <c r="M26" s="65"/>
      <c r="N26" s="68"/>
      <c r="O26" s="92" t="s">
        <v>37</v>
      </c>
      <c r="R26" s="86">
        <f>R25+2469</f>
        <v>80344.003500000006</v>
      </c>
    </row>
    <row r="27" spans="1:28" ht="25.2" x14ac:dyDescent="0.45">
      <c r="A27" s="14" t="s">
        <v>36</v>
      </c>
      <c r="B27" s="64" t="s">
        <v>61</v>
      </c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8"/>
      <c r="O27" s="92">
        <f>129500-110900</f>
        <v>18600</v>
      </c>
    </row>
    <row r="28" spans="1:28" ht="25.2" x14ac:dyDescent="0.45">
      <c r="B28" s="64" t="s">
        <v>62</v>
      </c>
      <c r="C28" s="65"/>
      <c r="D28" s="65"/>
      <c r="E28" s="65"/>
      <c r="F28" s="65"/>
      <c r="G28" s="65"/>
      <c r="H28" s="65"/>
      <c r="I28" s="65"/>
      <c r="J28" s="65"/>
      <c r="K28" s="65"/>
      <c r="L28" s="65"/>
      <c r="M28" s="65"/>
      <c r="N28" s="68"/>
      <c r="O28" s="92"/>
    </row>
    <row r="29" spans="1:28" ht="25.2" x14ac:dyDescent="0.45">
      <c r="B29" s="64" t="s">
        <v>63</v>
      </c>
      <c r="C29" s="65"/>
      <c r="D29" s="65"/>
      <c r="E29" s="65"/>
      <c r="F29" s="65"/>
      <c r="G29" s="65"/>
      <c r="H29" s="65"/>
      <c r="I29" s="65"/>
      <c r="J29" s="65"/>
      <c r="K29" s="65"/>
      <c r="L29" s="65"/>
      <c r="M29" s="65"/>
      <c r="N29" s="69"/>
      <c r="O29" s="92"/>
    </row>
    <row r="30" spans="1:28" ht="24.6" x14ac:dyDescent="0.4">
      <c r="B30" s="133" t="s">
        <v>38</v>
      </c>
      <c r="C30" s="134"/>
      <c r="D30" s="134"/>
      <c r="E30" s="134"/>
      <c r="F30" s="134"/>
      <c r="G30" s="134"/>
      <c r="H30" s="134"/>
      <c r="I30" s="134"/>
      <c r="J30" s="134"/>
      <c r="K30" s="134"/>
      <c r="L30" s="134"/>
      <c r="M30" s="134"/>
      <c r="N30" s="135"/>
      <c r="O30" s="92"/>
    </row>
    <row r="31" spans="1:28" ht="24.6" x14ac:dyDescent="0.4">
      <c r="B31" s="136"/>
      <c r="C31" s="137"/>
      <c r="D31" s="137"/>
      <c r="E31" s="137"/>
      <c r="F31" s="137"/>
      <c r="G31" s="137"/>
      <c r="H31" s="137"/>
      <c r="I31" s="137"/>
      <c r="J31" s="137"/>
      <c r="K31" s="137"/>
      <c r="L31" s="137"/>
      <c r="M31" s="137"/>
      <c r="N31" s="138"/>
      <c r="O31" s="92"/>
    </row>
    <row r="32" spans="1:28" ht="24.6" x14ac:dyDescent="0.4">
      <c r="B32" s="136" t="s">
        <v>39</v>
      </c>
      <c r="C32" s="137"/>
      <c r="D32" s="137"/>
      <c r="E32" s="137"/>
      <c r="F32" s="137"/>
      <c r="G32" s="137"/>
      <c r="H32" s="137"/>
      <c r="I32" s="137"/>
      <c r="J32" s="137"/>
      <c r="K32" s="137"/>
      <c r="L32" s="137"/>
      <c r="M32" s="137"/>
      <c r="N32" s="138"/>
      <c r="O32" s="92"/>
    </row>
    <row r="33" spans="2:16" ht="24.6" x14ac:dyDescent="0.4">
      <c r="B33" s="136" t="s">
        <v>40</v>
      </c>
      <c r="C33" s="137"/>
      <c r="D33" s="137"/>
      <c r="E33" s="137"/>
      <c r="F33" s="137"/>
      <c r="G33" s="137"/>
      <c r="H33" s="137"/>
      <c r="I33" s="137"/>
      <c r="J33" s="137"/>
      <c r="K33" s="137"/>
      <c r="L33" s="137"/>
      <c r="M33" s="137"/>
      <c r="N33" s="138"/>
      <c r="O33" s="92"/>
    </row>
    <row r="34" spans="2:16" s="112" customFormat="1" ht="24.6" x14ac:dyDescent="0.4">
      <c r="B34" s="107" t="s">
        <v>81</v>
      </c>
      <c r="C34" s="108"/>
      <c r="D34" s="108"/>
      <c r="E34" s="108"/>
      <c r="F34" s="108"/>
      <c r="G34" s="113"/>
      <c r="H34" s="113"/>
      <c r="I34" s="108"/>
      <c r="J34" s="108"/>
      <c r="K34" s="108"/>
      <c r="L34" s="108"/>
      <c r="M34" s="114" t="s">
        <v>82</v>
      </c>
      <c r="N34" s="116" t="b">
        <f>IF(M34="ALAA",507963328, IF(M34="BACHIR",525246969,IF(M34="JIHAN",566201266, IF(M34="RAMY",505277871, IF(M34="SIMON",505140337,IF(M34="SUJITH",551079817, IF(M34="PRAVEEN",506367792,IF(M34="MHAREN",529224059, IF(M34="MOSSALLEM",505185577,IF(M34="RANJITH",554989288, IF(M34="KHALED",552319494)))))))))))</f>
        <v>0</v>
      </c>
      <c r="O34" s="115"/>
      <c r="P34" s="115"/>
    </row>
    <row r="35" spans="2:16" x14ac:dyDescent="0.35">
      <c r="B35" s="70"/>
      <c r="C35" s="71"/>
      <c r="D35" s="71"/>
      <c r="E35" s="71"/>
      <c r="F35" s="71"/>
      <c r="G35" s="71"/>
      <c r="H35" s="71"/>
      <c r="I35" s="71"/>
      <c r="J35" s="71"/>
      <c r="K35" s="71"/>
      <c r="L35" s="71"/>
      <c r="M35" s="71"/>
      <c r="N35" s="72"/>
    </row>
    <row r="36" spans="2:16" x14ac:dyDescent="0.35">
      <c r="B36" s="70"/>
      <c r="C36" s="71"/>
      <c r="D36" s="71"/>
      <c r="E36" s="71"/>
      <c r="F36" s="71"/>
      <c r="G36" s="71"/>
      <c r="H36" s="71"/>
      <c r="I36" s="71"/>
      <c r="J36" s="71"/>
      <c r="K36" s="71"/>
      <c r="L36" s="71"/>
      <c r="M36" s="71"/>
      <c r="N36" s="72"/>
    </row>
    <row r="37" spans="2:16" x14ac:dyDescent="0.35">
      <c r="B37" s="70"/>
      <c r="C37" s="71"/>
      <c r="D37" s="71"/>
      <c r="E37" s="71"/>
      <c r="F37" s="71"/>
      <c r="G37" s="71"/>
      <c r="H37" s="71"/>
      <c r="I37" s="71"/>
      <c r="J37" s="71"/>
      <c r="K37" s="71"/>
      <c r="L37" s="71"/>
      <c r="M37" s="71"/>
      <c r="N37" s="72"/>
    </row>
    <row r="38" spans="2:16" ht="21" x14ac:dyDescent="0.4">
      <c r="B38" s="73" t="s">
        <v>64</v>
      </c>
      <c r="C38" s="74"/>
      <c r="D38" s="75"/>
      <c r="E38" s="76"/>
      <c r="F38" s="76"/>
      <c r="G38" s="76"/>
      <c r="H38" s="76"/>
      <c r="I38" s="76"/>
      <c r="J38" s="77"/>
      <c r="K38" s="76"/>
      <c r="L38" s="76"/>
      <c r="M38" s="76"/>
      <c r="N38" s="78"/>
    </row>
    <row r="39" spans="2:16" ht="21" x14ac:dyDescent="0.4">
      <c r="B39" s="73" t="s">
        <v>65</v>
      </c>
      <c r="C39" s="79"/>
      <c r="D39" s="75"/>
      <c r="E39" s="76"/>
      <c r="F39" s="76"/>
      <c r="G39" s="76"/>
      <c r="H39" s="76"/>
      <c r="I39" s="76"/>
      <c r="J39" s="77"/>
      <c r="K39" s="76"/>
      <c r="L39" s="76"/>
      <c r="M39" s="76"/>
      <c r="N39" s="80"/>
    </row>
    <row r="40" spans="2:16" ht="21" x14ac:dyDescent="0.35">
      <c r="B40" s="73" t="s">
        <v>66</v>
      </c>
      <c r="C40" s="81"/>
      <c r="D40" s="76"/>
      <c r="E40" s="76"/>
      <c r="F40" s="76"/>
      <c r="G40" s="76"/>
      <c r="H40" s="76"/>
      <c r="I40" s="76"/>
      <c r="J40" s="77"/>
      <c r="K40" s="76"/>
      <c r="L40" s="76"/>
      <c r="M40" s="76"/>
      <c r="N40" s="80"/>
    </row>
    <row r="41" spans="2:16" ht="21" x14ac:dyDescent="0.35">
      <c r="B41" s="73" t="s">
        <v>67</v>
      </c>
      <c r="C41" s="82"/>
      <c r="D41" s="83"/>
      <c r="E41" s="83"/>
      <c r="F41" s="83"/>
      <c r="G41" s="83"/>
      <c r="H41" s="83"/>
      <c r="I41" s="83"/>
      <c r="J41" s="83"/>
      <c r="K41" s="83"/>
      <c r="L41" s="83"/>
      <c r="M41" s="83"/>
      <c r="N41" s="84"/>
    </row>
    <row r="42" spans="2:16" ht="21" x14ac:dyDescent="0.35">
      <c r="B42" s="73" t="s">
        <v>77</v>
      </c>
      <c r="C42" s="82"/>
      <c r="D42" s="83"/>
      <c r="E42" s="83"/>
      <c r="F42" s="83"/>
      <c r="G42" s="83"/>
      <c r="H42" s="83"/>
      <c r="I42" s="83"/>
      <c r="J42" s="83"/>
      <c r="K42" s="83"/>
      <c r="L42" s="83"/>
      <c r="M42" s="83"/>
      <c r="N42" s="84"/>
    </row>
    <row r="43" spans="2:16" ht="21" x14ac:dyDescent="0.35">
      <c r="B43" s="73" t="s">
        <v>68</v>
      </c>
      <c r="C43" s="82"/>
      <c r="D43" s="83"/>
      <c r="E43" s="83"/>
      <c r="F43" s="83"/>
      <c r="G43" s="83"/>
      <c r="H43" s="83"/>
      <c r="I43" s="83"/>
      <c r="J43" s="83"/>
      <c r="K43" s="83"/>
      <c r="L43" s="83"/>
      <c r="M43" s="83"/>
      <c r="N43" s="84"/>
    </row>
    <row r="44" spans="2:16" ht="21" x14ac:dyDescent="0.35">
      <c r="B44" s="73" t="s">
        <v>69</v>
      </c>
      <c r="C44" s="82"/>
      <c r="D44" s="83"/>
      <c r="E44" s="83"/>
      <c r="F44" s="83"/>
      <c r="G44" s="83"/>
      <c r="H44" s="83"/>
      <c r="I44" s="83"/>
      <c r="J44" s="83"/>
      <c r="K44" s="83"/>
      <c r="L44" s="83"/>
      <c r="M44" s="83"/>
      <c r="N44" s="84"/>
    </row>
    <row r="45" spans="2:16" ht="21" x14ac:dyDescent="0.35">
      <c r="B45" s="73" t="s">
        <v>70</v>
      </c>
      <c r="C45" s="82"/>
      <c r="D45" s="83"/>
      <c r="E45" s="83"/>
      <c r="F45" s="83"/>
      <c r="G45" s="83"/>
      <c r="H45" s="83"/>
      <c r="I45" s="83"/>
      <c r="J45" s="83"/>
      <c r="K45" s="83"/>
      <c r="L45" s="83"/>
      <c r="M45" s="83"/>
      <c r="N45" s="84"/>
    </row>
    <row r="46" spans="2:16" ht="21" x14ac:dyDescent="0.35">
      <c r="B46" s="73" t="s">
        <v>71</v>
      </c>
      <c r="C46" s="82"/>
      <c r="D46" s="83"/>
      <c r="E46" s="83"/>
      <c r="F46" s="83"/>
      <c r="G46" s="83"/>
      <c r="H46" s="83"/>
      <c r="I46" s="83"/>
      <c r="J46" s="83"/>
      <c r="K46" s="83"/>
      <c r="L46" s="83"/>
      <c r="M46" s="83"/>
      <c r="N46" s="84"/>
    </row>
    <row r="47" spans="2:16" x14ac:dyDescent="0.35">
      <c r="B47" s="118" t="s">
        <v>39</v>
      </c>
      <c r="C47" s="119"/>
      <c r="D47" s="119"/>
      <c r="E47" s="119"/>
      <c r="F47" s="119"/>
      <c r="G47" s="119"/>
      <c r="H47" s="119"/>
      <c r="I47" s="119"/>
      <c r="J47" s="119"/>
      <c r="K47" s="119"/>
      <c r="L47" s="119"/>
      <c r="M47" s="119"/>
      <c r="N47" s="120"/>
      <c r="O47" s="92"/>
    </row>
    <row r="48" spans="2:16" x14ac:dyDescent="0.35">
      <c r="B48" s="118" t="s">
        <v>40</v>
      </c>
      <c r="C48" s="119"/>
      <c r="D48" s="119"/>
      <c r="E48" s="119"/>
      <c r="F48" s="119"/>
      <c r="G48" s="119"/>
      <c r="H48" s="119"/>
      <c r="I48" s="119"/>
      <c r="J48" s="119"/>
      <c r="K48" s="119"/>
      <c r="L48" s="119"/>
      <c r="M48" s="119"/>
      <c r="N48" s="120"/>
      <c r="O48" s="92"/>
    </row>
    <row r="49" spans="2:14" x14ac:dyDescent="0.35">
      <c r="B49" s="118" t="s">
        <v>72</v>
      </c>
      <c r="C49" s="119"/>
      <c r="D49" s="119"/>
      <c r="E49" s="119"/>
      <c r="F49" s="119"/>
      <c r="G49" s="119"/>
      <c r="H49" s="119"/>
      <c r="I49" s="119"/>
      <c r="J49" s="119"/>
      <c r="K49" s="119"/>
      <c r="L49" s="119"/>
      <c r="M49" s="119"/>
      <c r="N49" s="120"/>
    </row>
    <row r="50" spans="2:14" ht="25.8" x14ac:dyDescent="0.35">
      <c r="C50" s="15" t="s">
        <v>41</v>
      </c>
    </row>
    <row r="51" spans="2:14" ht="25.8" x14ac:dyDescent="0.35">
      <c r="C51" s="15" t="s">
        <v>42</v>
      </c>
    </row>
    <row r="52" spans="2:14" ht="25.8" x14ac:dyDescent="0.35">
      <c r="C52" s="15" t="s">
        <v>43</v>
      </c>
    </row>
    <row r="53" spans="2:14" ht="25.8" x14ac:dyDescent="0.35">
      <c r="C53" s="15" t="s">
        <v>44</v>
      </c>
    </row>
    <row r="54" spans="2:14" ht="25.8" x14ac:dyDescent="0.35">
      <c r="C54" s="15" t="s">
        <v>45</v>
      </c>
    </row>
  </sheetData>
  <mergeCells count="12">
    <mergeCell ref="B49:N49"/>
    <mergeCell ref="B1:N4"/>
    <mergeCell ref="F8:G8"/>
    <mergeCell ref="F9:G9"/>
    <mergeCell ref="G19:I19"/>
    <mergeCell ref="B22:N22"/>
    <mergeCell ref="B30:N30"/>
    <mergeCell ref="B31:N31"/>
    <mergeCell ref="B32:N32"/>
    <mergeCell ref="B33:N33"/>
    <mergeCell ref="B47:N47"/>
    <mergeCell ref="B48:N48"/>
  </mergeCells>
  <dataValidations count="11">
    <dataValidation type="list" allowBlank="1" showInputMessage="1" showErrorMessage="1" sqref="K21" xr:uid="{6B8A4713-3812-4138-A8F6-2DAB92FFC1D0}">
      <formula1>"ADCB,ADCB PAY IN 2027,Ajman Bank,ADIB,DIB EXPAT,DIB LOCAL GVH,Emirates NBD,EIB,FAB,RAK,SIB STL,SIB NON STL"</formula1>
    </dataValidation>
    <dataValidation type="list" allowBlank="1" showInputMessage="1" showErrorMessage="1" sqref="D5" xr:uid="{242911B8-1BDB-4104-B61B-E045FDFBD5A5}">
      <formula1>"MIG09,MIG10,ATG16,ATP16,ATG17,ASG48,ASG43,ASG40,ASG42,ASG44,ASG45,ECG38,ECG37,ECG40,ECG43,XPML,XPHL,XPMLP, XPMLP-01, XC,OTF03,OTP03,OTF06,OTP06, OTP06-01,OTF08, OTP08,MOP57,MOG64,MOG59,MOG59P,MOG61,MOP61"</formula1>
    </dataValidation>
    <dataValidation type="list" allowBlank="1" showInputMessage="1" showErrorMessage="1" sqref="M21" xr:uid="{65BC4310-182C-48F5-81EE-512340984DA9}">
      <formula1>"3000-4999,5000-9999,10000-14999,15000-24999,25000-34999,35000-99999,5000-11999,12000-19999,20000-39999,40000-69999,70000-99999"</formula1>
    </dataValidation>
    <dataValidation type="list" allowBlank="1" showInputMessage="1" showErrorMessage="1" sqref="K20" xr:uid="{3ACEC09D-1751-4C7E-944B-7256DC783BB4}">
      <formula1>"Esaad,Emirates Platinum,Fazaa,Humat Alwatan,Permissible,ASX,XPMLP,XP,MON,MON G57,OUT,F08,P08,F06,P06,F03,P03,EC,G37,G38,G40,G43"</formula1>
    </dataValidation>
    <dataValidation type="list" allowBlank="1" showInputMessage="1" showErrorMessage="1" sqref="L19:L20 L24:L25 G14:G15 C10:C16 L10 J10" xr:uid="{7A7DB3A6-417E-43C9-8D46-356832A9A037}">
      <formula1>"YES,NO"</formula1>
    </dataValidation>
    <dataValidation type="list" allowBlank="1" showInputMessage="1" showErrorMessage="1" sqref="K24" xr:uid="{604448A5-465F-4179-B0C8-911A396351A7}">
      <formula1>"RMC-10-70K,RMC-10-100000K,RMC-40-70K"</formula1>
    </dataValidation>
    <dataValidation type="list" allowBlank="1" showInputMessage="1" showErrorMessage="1" sqref="B16" xr:uid="{0960E1AD-7FA0-4AB0-9740-452AEA391D22}">
      <formula1>"RMC-10-40KMS,RMC-10-60KMS,RMC-10-70KMS,RMC-10-100000KMS,RMC-40-70KMS,RMC-40-100000KMS"</formula1>
    </dataValidation>
    <dataValidation type="list" allowBlank="1" showInputMessage="1" showErrorMessage="1" sqref="B12" xr:uid="{9A4CE96C-B6EC-4FB7-A622-34990DD8D552}">
      <formula1>"FO Exterior ceramic All Cars SCOTCHGUARD,FO Mirror Camera Sensor,FO PPF Gold Package "</formula1>
    </dataValidation>
    <dataValidation type="list" allowBlank="1" showInputMessage="1" showErrorMessage="1" sqref="B11" xr:uid="{BCD6C802-D0A8-4ED6-AF11-A31A26312771}">
      <formula1>"FO Ceramic+ Intr&amp;Extr CeramicGold WdwTnt,FO Mirror Camera Sensor"</formula1>
    </dataValidation>
    <dataValidation type="list" allowBlank="1" showInputMessage="1" showErrorMessage="1" sqref="M34" xr:uid="{0E82E90F-4BE8-47D4-BB0A-0A61A71BA35B}">
      <formula1>"Alaa,Bachir ,Khaled,Ramy,Simon,Mharen,Ranjith,Jihan,Praveen,Sujith,Mossallem"</formula1>
    </dataValidation>
    <dataValidation type="list" allowBlank="1" showInputMessage="1" showErrorMessage="1" sqref="H34" xr:uid="{4ED6A67D-6083-442F-9228-94F95FE5800C}">
      <formula1>"ALAA HAMMAD,KHALED QASSEM,RAMY RAOUF,SIMON LOBO,MHAREN CLEMENTE GARADO"</formula1>
    </dataValidation>
  </dataValidations>
  <pageMargins left="0.23622047244094491" right="0.23622047244094491" top="0.74803149606299213" bottom="0.74803149606299213" header="0.31496062992125984" footer="0.31496062992125984"/>
  <pageSetup paperSize="9" scale="37" orientation="landscape" horizontalDpi="4294967295" verticalDpi="4294967295"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A5693D-EAEC-45CE-93DC-48255BF84679}">
  <sheetPr>
    <pageSetUpPr fitToPage="1"/>
  </sheetPr>
  <dimension ref="A1:AB54"/>
  <sheetViews>
    <sheetView topLeftCell="B1" zoomScaleNormal="100" workbookViewId="0">
      <selection activeCell="D5" sqref="D5"/>
    </sheetView>
  </sheetViews>
  <sheetFormatPr defaultColWidth="9.109375" defaultRowHeight="20.399999999999999" x14ac:dyDescent="0.35"/>
  <cols>
    <col min="1" max="1" width="16" style="1" hidden="1" customWidth="1"/>
    <col min="2" max="2" width="75.5546875" style="2" customWidth="1"/>
    <col min="3" max="3" width="25.5546875" style="3" customWidth="1"/>
    <col min="4" max="4" width="25.33203125" style="2" customWidth="1"/>
    <col min="5" max="5" width="22.6640625" style="2" customWidth="1"/>
    <col min="6" max="6" width="21" style="2" customWidth="1"/>
    <col min="7" max="7" width="25" style="2" customWidth="1"/>
    <col min="8" max="8" width="29.44140625" style="2" bestFit="1" customWidth="1"/>
    <col min="9" max="9" width="32.109375" style="2" bestFit="1" customWidth="1"/>
    <col min="10" max="10" width="22" style="2" customWidth="1"/>
    <col min="11" max="11" width="23.33203125" style="2" customWidth="1"/>
    <col min="12" max="12" width="31" style="2" customWidth="1"/>
    <col min="13" max="13" width="23.5546875" style="2" customWidth="1"/>
    <col min="14" max="14" width="21.109375" style="2" customWidth="1"/>
    <col min="15" max="15" width="14.44140625" style="83" bestFit="1" customWidth="1"/>
    <col min="16" max="16" width="21.6640625" style="83" hidden="1" customWidth="1"/>
    <col min="17" max="17" width="14.33203125" style="86" hidden="1" customWidth="1"/>
    <col min="18" max="18" width="12.88671875" style="86" hidden="1" customWidth="1"/>
    <col min="19" max="19" width="13" style="86" hidden="1" customWidth="1"/>
    <col min="20" max="20" width="17.109375" style="86" hidden="1" customWidth="1"/>
    <col min="21" max="21" width="21.5546875" style="86" customWidth="1"/>
    <col min="22" max="22" width="22.88671875" style="86" customWidth="1"/>
    <col min="23" max="26" width="17.109375" style="86" bestFit="1" customWidth="1"/>
    <col min="27" max="27" width="15" style="86" customWidth="1"/>
    <col min="28" max="28" width="14.33203125" style="86" bestFit="1" customWidth="1"/>
    <col min="29" max="16384" width="9.109375" style="1"/>
  </cols>
  <sheetData>
    <row r="1" spans="1:28" ht="15.75" customHeight="1" x14ac:dyDescent="0.35">
      <c r="B1" s="121" t="s">
        <v>46</v>
      </c>
      <c r="C1" s="122"/>
      <c r="D1" s="122"/>
      <c r="E1" s="122"/>
      <c r="F1" s="122"/>
      <c r="G1" s="122"/>
      <c r="H1" s="122"/>
      <c r="I1" s="122"/>
      <c r="J1" s="122"/>
      <c r="K1" s="122"/>
      <c r="L1" s="122"/>
      <c r="M1" s="122"/>
      <c r="N1" s="123"/>
    </row>
    <row r="2" spans="1:28" ht="15.75" customHeight="1" x14ac:dyDescent="0.35">
      <c r="B2" s="124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6"/>
      <c r="Q2" s="83"/>
      <c r="S2" s="87"/>
    </row>
    <row r="3" spans="1:28" ht="15.75" customHeight="1" x14ac:dyDescent="0.35">
      <c r="B3" s="124"/>
      <c r="C3" s="125"/>
      <c r="D3" s="125"/>
      <c r="E3" s="125"/>
      <c r="F3" s="125"/>
      <c r="G3" s="125"/>
      <c r="H3" s="125"/>
      <c r="I3" s="125"/>
      <c r="J3" s="125"/>
      <c r="K3" s="125"/>
      <c r="L3" s="125"/>
      <c r="M3" s="125"/>
      <c r="N3" s="126"/>
      <c r="O3" s="82"/>
      <c r="P3" s="82"/>
      <c r="Q3" s="81"/>
      <c r="R3" s="81"/>
      <c r="S3" s="88" t="e">
        <f>N7+J14</f>
        <v>#VALUE!</v>
      </c>
      <c r="T3" s="88"/>
      <c r="U3" s="81"/>
      <c r="V3" s="81"/>
      <c r="W3" s="81"/>
      <c r="AA3" s="86">
        <f>273000/5</f>
        <v>54600</v>
      </c>
    </row>
    <row r="4" spans="1:28" ht="15.75" customHeight="1" x14ac:dyDescent="0.4">
      <c r="B4" s="127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9"/>
      <c r="O4" s="89" t="s">
        <v>0</v>
      </c>
      <c r="P4" s="89"/>
      <c r="Q4" s="90"/>
      <c r="R4" s="90"/>
      <c r="S4" s="91"/>
      <c r="T4" s="91"/>
      <c r="U4" s="90" t="s">
        <v>1</v>
      </c>
      <c r="V4" s="90" t="s">
        <v>2</v>
      </c>
      <c r="W4" s="90" t="s">
        <v>3</v>
      </c>
    </row>
    <row r="5" spans="1:28" ht="25.2" thickBot="1" x14ac:dyDescent="0.45">
      <c r="B5" s="17">
        <f ca="1">TODAY()</f>
        <v>46215</v>
      </c>
      <c r="C5" s="18" t="str">
        <f>IF(D5="MIG09","Mirage G09",IF(D5="MIG10","MirageG10",IF(D5="ATG16","Attrage G16",IF(D5="ATP16","Attrage P16",IF(D5="ATG17","Attrage G17",IF(D5="ASG48","ASX G48",IF(D5="ASG43","ASX G43", IF(D5="ASG40","ASXG40",IF(D5="ASG42","ASX G42",IF(D5="ASG44","ASX G44",IF(D5="ASG45","ASX G45",IF(D5="ECG38","Eclipse G38",IF(D5="ECG37","Eclipse G37",IF(D5="ECG40","Eclipse G40",IF(D5="ECG43","Eclipse G43",IF(D5="XPML","Xpander ML",IF(D5="XPHL","Xpander HL",IF(D5="XPMLP","Xpander ML P",IF(D5="XPMLP-01","Xpander ML P-01",IF(D5="XC","Xpander Cross", IF(D5="OTF03","Outlander F03",IF(D5="OTP03","Outlander P03",IF(D5="OTF06","Outlander F06",IF(D5="OTP06","Outlander P06",IF(D5="OTP06-01","Outlander P06-01",IF(D5="OTF08","Outlander F08",IF(D5="OTP08","Outlander P08P", IF(D5="MOP57","Montero P57",IF(D5="MOG64","Montero G64",IF(D5="MOG59","Montero G59",IF(D5="MOG59P","Montero G59 P",IF(D5="MOG61","Montero G61",IF(D5="MOP61","Montero P61")))))))))))))))))))))))))))))))))</f>
        <v>Outlander F08</v>
      </c>
      <c r="D5" s="19" t="s">
        <v>111</v>
      </c>
      <c r="E5" s="20" t="s">
        <v>47</v>
      </c>
      <c r="F5" s="21"/>
      <c r="G5" s="21"/>
      <c r="H5" s="21"/>
      <c r="I5" s="22"/>
      <c r="J5" s="23"/>
      <c r="K5" s="24">
        <v>0</v>
      </c>
      <c r="L5" s="25">
        <v>3.39E-2</v>
      </c>
      <c r="M5" s="25">
        <v>6.7799999999999999E-2</v>
      </c>
      <c r="N5" s="25">
        <v>0.1017</v>
      </c>
      <c r="O5" s="92">
        <f>K7+K14</f>
        <v>14781.655357560001</v>
      </c>
      <c r="S5" s="87"/>
      <c r="U5" s="87">
        <f>L7+L14</f>
        <v>6023.1521653100008</v>
      </c>
      <c r="V5" s="87">
        <f>M7+M14</f>
        <v>4029.1134168600001</v>
      </c>
      <c r="W5" s="87">
        <f>N7+N14</f>
        <v>2791.9773653100006</v>
      </c>
    </row>
    <row r="6" spans="1:28" s="5" customFormat="1" ht="128.25" customHeight="1" thickBot="1" x14ac:dyDescent="0.35">
      <c r="A6" s="4" t="s">
        <v>4</v>
      </c>
      <c r="B6" s="26" t="s">
        <v>5</v>
      </c>
      <c r="C6" s="27" t="s">
        <v>6</v>
      </c>
      <c r="D6" s="27" t="s">
        <v>48</v>
      </c>
      <c r="E6" s="27" t="s">
        <v>7</v>
      </c>
      <c r="F6" s="27" t="s">
        <v>8</v>
      </c>
      <c r="G6" s="28" t="s">
        <v>9</v>
      </c>
      <c r="H6" s="28" t="s">
        <v>49</v>
      </c>
      <c r="I6" s="28" t="s">
        <v>10</v>
      </c>
      <c r="J6" s="28" t="s">
        <v>56</v>
      </c>
      <c r="K6" s="28" t="s">
        <v>11</v>
      </c>
      <c r="L6" s="28" t="s">
        <v>12</v>
      </c>
      <c r="M6" s="28" t="s">
        <v>13</v>
      </c>
      <c r="N6" s="28" t="s">
        <v>14</v>
      </c>
      <c r="O6" s="93"/>
      <c r="P6" s="94"/>
      <c r="Q6" s="95"/>
      <c r="R6" s="95"/>
      <c r="S6" s="95"/>
      <c r="T6" s="96"/>
      <c r="U6" s="96">
        <f>N7+L14</f>
        <v>4730.6822453100012</v>
      </c>
      <c r="V6" s="96">
        <f>N7+K14</f>
        <v>11873.598037560001</v>
      </c>
      <c r="W6" s="96"/>
      <c r="X6" s="95"/>
      <c r="Y6" s="95"/>
      <c r="Z6" s="95"/>
      <c r="AA6" s="95"/>
      <c r="AB6" s="95"/>
    </row>
    <row r="7" spans="1:28" ht="25.2" thickBot="1" x14ac:dyDescent="0.45">
      <c r="A7" s="6">
        <f>B8</f>
        <v>122900</v>
      </c>
      <c r="B7" s="29">
        <f>IF(L20="YES",C8*1,IF(L20="NO",B8*1))</f>
        <v>122900</v>
      </c>
      <c r="C7" s="29">
        <f>B7*5/100</f>
        <v>6145</v>
      </c>
      <c r="D7" s="29">
        <f>B7+C7</f>
        <v>129045</v>
      </c>
      <c r="E7" s="29">
        <f>D17</f>
        <v>16022.866</v>
      </c>
      <c r="F7" s="29">
        <f>(C7)+(D10+D11+D12+D13+D16)*5/100</f>
        <v>6480</v>
      </c>
      <c r="G7" s="30">
        <f>B7+E7+F7</f>
        <v>145402.86600000001</v>
      </c>
      <c r="H7" s="29">
        <f>G7*D20</f>
        <v>29080.573200000003</v>
      </c>
      <c r="I7" s="29">
        <f>(G7-H7)</f>
        <v>116322.29280000001</v>
      </c>
      <c r="J7" s="30">
        <f>(((I7*D19)*1)+I7)/12</f>
        <v>9934.8931575600018</v>
      </c>
      <c r="K7" s="30">
        <f>(((I7*D19)*2)+I7)/24</f>
        <v>5088.1309575599998</v>
      </c>
      <c r="L7" s="30">
        <f>(((I7*D19)*3)+I7)/36</f>
        <v>3472.5435575600004</v>
      </c>
      <c r="M7" s="30">
        <f>(((I7*D19)*4)+I7)/48</f>
        <v>2664.7498575600002</v>
      </c>
      <c r="N7" s="30">
        <f>((((I7*D19)*5)+I7)/60)</f>
        <v>2180.0736375600004</v>
      </c>
      <c r="O7" s="92"/>
      <c r="P7" s="83">
        <f>H7+H16</f>
        <v>30301.957274400003</v>
      </c>
      <c r="T7" s="87">
        <f>25973/2</f>
        <v>12986.5</v>
      </c>
    </row>
    <row r="8" spans="1:28" ht="24.6" x14ac:dyDescent="0.4">
      <c r="A8" s="7">
        <v>0.2</v>
      </c>
      <c r="B8" s="31">
        <f>IF(D5="MIG09",39900,IF(D5="MIG10",40400,IF(D5="ATG16",40400,IF(D5="ATP16",49900,IF(D5="ATG17",41900,IF(D5="ASG48",63900,IF(D5="ASG43",62900,IF(D5="ASG40",63900,IF(D5="ASG42",68900,IF(D5="ASG44",89900,IF(D5="ASG45",95900,IF(D5="ECG38",73900,IF(D5="ECG37",70900,IF(D5="ECG40",86900,IF(D5="ECG43",91900,IF(D5="XPML",62900,IF(D5="XPHL",62900,IF(D5="XPMLP",69900,IF(D5="XPMLP-01",77800,IF(D5="XC",77900,IF(D5="OTF03",96900,IF(D5="OTP03",79900,IF(D5="OTF06",92900,IF(D5="OTP06",111900,IF(D5="OTP06-01",118900,IF(D5="OTF08",122900,IF(D5="OTP08",109900,IF(D5="MOP57",99900,IF(D5="MOG64",108900,IF(D5="MOG59",116900,IF(D5="MOG59P",110900,IF(D5="MOG61",127900,IF(D5="MOP61",125900)))))))))))))))))))))))))))))))))</f>
        <v>122900</v>
      </c>
      <c r="C8" s="32">
        <f>IF(L20="YES",N20,IF(L20="NO",N20))</f>
        <v>122900</v>
      </c>
      <c r="D8" s="29">
        <v>0</v>
      </c>
      <c r="E8" s="33"/>
      <c r="F8" s="139"/>
      <c r="G8" s="140"/>
      <c r="H8" s="110">
        <f>G7*20/100</f>
        <v>29080.573200000003</v>
      </c>
      <c r="I8" s="21"/>
      <c r="J8" s="34" t="s">
        <v>15</v>
      </c>
      <c r="K8" s="23">
        <f>(J7*K5+J7)/24</f>
        <v>413.95388156500007</v>
      </c>
      <c r="L8" s="23">
        <f>(J7*L5+J7)/36</f>
        <v>285.32461210003572</v>
      </c>
      <c r="M8" s="23">
        <f>(J7*M5+J7)/48</f>
        <v>221.00997736755355</v>
      </c>
      <c r="N8" s="23">
        <f>(J7*N5+J7)/60</f>
        <v>182.42119652806423</v>
      </c>
      <c r="O8" s="92"/>
      <c r="P8" s="83">
        <f>P7/12</f>
        <v>2525.1631062000001</v>
      </c>
      <c r="T8" s="86">
        <f>25973-12973</f>
        <v>13000</v>
      </c>
    </row>
    <row r="9" spans="1:28" ht="24.6" x14ac:dyDescent="0.4">
      <c r="A9" s="8">
        <f>B8/(100%-A8)</f>
        <v>153625</v>
      </c>
      <c r="B9" s="109">
        <f>B7-B8</f>
        <v>0</v>
      </c>
      <c r="C9" s="35"/>
      <c r="D9" s="36"/>
      <c r="E9" s="33"/>
      <c r="F9" s="139"/>
      <c r="G9" s="140"/>
      <c r="H9" s="33"/>
      <c r="I9" s="37" t="s">
        <v>16</v>
      </c>
      <c r="J9" s="38">
        <f>(J7*12)-(I7)</f>
        <v>2896.4250907200185</v>
      </c>
      <c r="K9" s="38">
        <f>(K7*24)-I7</f>
        <v>5792.8501814399933</v>
      </c>
      <c r="L9" s="38">
        <f>(L7*36)-I7</f>
        <v>8689.2752721599973</v>
      </c>
      <c r="M9" s="38">
        <f>(M7*48)-I7</f>
        <v>11585.700362880001</v>
      </c>
      <c r="N9" s="38">
        <f>(N7*60)-I7</f>
        <v>14482.12545360002</v>
      </c>
      <c r="O9" s="92"/>
      <c r="T9" s="86">
        <f>T8/12</f>
        <v>1083.3333333333333</v>
      </c>
      <c r="Z9" s="86" t="s">
        <v>86</v>
      </c>
    </row>
    <row r="10" spans="1:28" ht="24.6" x14ac:dyDescent="0.4">
      <c r="A10" s="8"/>
      <c r="B10" s="37" t="s">
        <v>50</v>
      </c>
      <c r="C10" s="20" t="s">
        <v>17</v>
      </c>
      <c r="D10" s="36">
        <f>IF(C10="YES",800,IF(C10="NO",0))</f>
        <v>0</v>
      </c>
      <c r="E10" s="39"/>
      <c r="F10" s="40"/>
      <c r="G10" s="40"/>
      <c r="H10" s="33"/>
      <c r="I10" s="44" t="s">
        <v>85</v>
      </c>
      <c r="J10" s="117" t="s">
        <v>19</v>
      </c>
      <c r="K10" s="117">
        <f>IF(J10="YES",Z10,IF(J10="NO",0))</f>
        <v>1000</v>
      </c>
      <c r="L10" s="117"/>
      <c r="M10" s="117"/>
      <c r="N10" s="41">
        <f>(N8*60)-J7</f>
        <v>1010.378634123852</v>
      </c>
      <c r="O10" s="92">
        <f>IF(D5="XC",3690,IF(D5="XPML",3690,IF(D5="XPHL",3690,IF(D5="XPMLP",3690,IF(D5="XPMLP-01",3690,IF(D5="Xpander P",3690,IF(D5="MOP57",(U19*2.75/100+510)*1.05,IF(D5="MOG64",(U19*2.75/100+510)*1.05,IF(D5="MOG59",(U19*2.75/100+510)*1.05,IF(D5="MOG59P",(U19*2.75/100+510)*1.05,IF(D5="MOG61",(U19*2.75/100+510)*1.05,IF(D5="MOP61",(U19*2.75/100+510)*1.05,IF(D5="OTF03",(D7*3/100+510)*1.05,IF(D5="OTP03",(U19*3/100+510)*1.05,IF(D5="OTF06",(U19*3/100+510)*1.05,IF(D5="OTP06",(U19*3/100+510)*1.05,IF(D5="OTP06-01",(U19*3/100+510)*1.05,IF(D5="OTF08",(U19*3/100+510)*1.05,IF(D5="OTP08",(U19*3/100+510)*1.05,IF(D5="ECG38",3625,IF(D5="ECG37",3625,IF(D5="ECG40",(D7*3/100+510)*1.05,IF(D5="ECG43",(D7*3/100+510)*1.05,IF(D5="ASG48",3625,IF(D5="ASG43",3625,IF(D5="ASG40",3625,IF(D5="ASG42",3625,IF(D5="ASG44",3625,IF(D5="ASG45",3625,IF(D5="ASX HL 4WD",3625,IF(D5="ATG16",3625,IF(D5="ATG17",3625,IF(D5="ATP16",3625,IF(D5="Attrage S",3625,IF(D5="MIG09",3625,IF(D5="MIG10",3625,IF(D5="Xpander HL",3690)))))))))))))))))))))))))))))))))))))</f>
        <v>4822.0199999999995</v>
      </c>
      <c r="P10" s="97"/>
      <c r="Q10" s="97">
        <f>5.25*3</f>
        <v>15.75</v>
      </c>
      <c r="Z10" s="86">
        <f>IF(D5="MIG09",500,IF(D5="MIG10",500,IF(D5="ATG16",500,IF(D5="ATP16",500,IF(D5="ATG17",500,IF(D5="ASG48",1000,IF(D5="ASG43",1000,IF(D5="ASG40",1000,IF(D5="ASG42",1000,IF(D5="ASG44",1000,IF(D5="ASG45",1000,IF(D5="ECG38",1000,IF(D5="ECG37",1000,IF(D5="ECG40",1000,IF(D5="ECG43",1000,IF(D5="XPML",1000,IF(D5="XPHL",1000,IF(D5="XPMLP",1000,IF(D5="XPMLP-01",1000,IF(D5="XC",1000,IF(D5="OTF03",1000,IF(D5="OTP03",1000,IF(D5="OTF06",1000,IF(D5="OTP06",1000,IF(D5="OTP06-01",1000,IF(D5="OTF08",1000,IF(D5="OTP08",1000,IF(D5="MOP57",1000,IF(D5="MOG64",1000,IF(D5="MOG59",1000,IF(D5="MOG59P",1000,IF(D5="MOG61",1000,IF(D5="MOP61",1000)))))))))))))))))))))))))))))))))</f>
        <v>1000</v>
      </c>
    </row>
    <row r="11" spans="1:28" ht="24.6" x14ac:dyDescent="0.4">
      <c r="A11" s="8"/>
      <c r="B11" s="37" t="s">
        <v>18</v>
      </c>
      <c r="C11" s="20" t="s">
        <v>17</v>
      </c>
      <c r="D11" s="36">
        <f>IF(C11="YES",O17,IF(C11="NO",0))</f>
        <v>0</v>
      </c>
      <c r="E11" s="33"/>
      <c r="F11" s="40"/>
      <c r="G11" s="40"/>
      <c r="H11" s="33"/>
      <c r="I11" s="21"/>
      <c r="J11" s="44" t="s">
        <v>76</v>
      </c>
      <c r="K11" s="44">
        <f>H8-K10</f>
        <v>28080.573200000003</v>
      </c>
      <c r="L11" s="37"/>
      <c r="M11" s="37"/>
      <c r="N11" s="42"/>
      <c r="O11" s="92">
        <f>IF(D5="XC",6100,IF(D5="XPML",6100,IF(D5="XPHL",6100,IF(D5="XPMLP",6100,IF(D5="XPMLP-01",6100,IF(D5="Xpander P",6100,IF(D5="MOP57",5900,IF(D5="MOG64",5900,IF(D5="MOG59",5900,IF(D5="MOG59P",5900,IF(D5="MOG61",5900,IF(D5="MOP61",5900,IF(D5="OTF03",6700,IF(D5="OTP03",6700,IF(D5="OTF06",6700,IF(D5="OTP06",6700,IF(D5="OTP06-01",6700,IF(D5="OTF08",6700,IF(D5="OTP08",6700,IF(D5="ECG37",6400,IF(D5="ECG38",6400,IF(D5="ECG40",6400,IF(D5="ECG43",6400,IF(D5="ASG48",6600,IF(D5="ASG43",6600,IF(D5="ASG40",6600,IF(D5="ASG42",6600,IF(D5="ASG44",6600,IF(D5="ASG45",6600,IF(D5="ASX HL 4WD",6600,IF(D5="ATG16",5400,IF(D5="ATG17",5400,IF(D5="ATP16",5400,IF(D5="Attrage S",5400,IF(D5="MIG09",5400,IF(D5="MIG10",5400,IF(D5="Xpander HL",6000)))))))))))))))))))))))))))))))))))))</f>
        <v>6700</v>
      </c>
      <c r="P11" s="92"/>
      <c r="Q11" s="92"/>
      <c r="R11" s="92"/>
      <c r="S11" s="92"/>
      <c r="T11" s="92"/>
      <c r="U11" s="92">
        <f>IF(D5="XC",4900,IF(D5="XPML",4900,IF(D5="XPHL",4900,IF(D5="XPMLP",4900,IF(D5="XPMLP-01",4900,IF(D5="Xpander P",4900,IF(D5="MOP57",4600,IF(D5="MOG64",4600,IF(D5="MOG59",4600,IF(D5="MOG59P",4600,IF(D5="MOG61",4600,IF(D5="MOP61",4600,IF(D5="OTF03",5500,IF(D5="OTP03",5500,IF(D5="OTF06",5500,IF(D5="OTP06",5500,IF(D5="OTP06-01",5500,IF(D5="OTF08",5500,IF(D5="OTP08",5500,IF(D5="ECG38",5200,IF(D5="ECG37",5200,IF(D5="ECG40",5200,IF(D5="ECG43",5200,IF(D5="ASG48",5300,IF(D5="ASG43",5300,IF(D5="ASG40",5300,IF(D5="ASG42",5300,IF(D5="ASG44",5300,IF(D5="ASG45",5300,IF(D5="ASX HL",5300,IF(D5="ASX P",5300,IF(D5="ASX HL 4WD",5300,IF(D5="ATG16",4200,IF(D5="ATG17",4200,IF(D5="ATP16",4200,IF(D5="Attrage S",4200,IF(D5="MIG09",4200,IF(D5="MIG10",4200,IF(D5="Xpander HL",4900)))))))))))))))))))))))))))))))))))))))</f>
        <v>5500</v>
      </c>
      <c r="V11" s="92">
        <f>IF(D5="XC",9700,IF(D5="XPML",9700,IF(D5="XPHL",9700,IF(D5="XPMLP",9700,IF(D5="XPMLP-01",9700,IF(D5="XPMLP-01",9700,IF(D5="Xpander P",9700,IF(D5="MOP57",9300,IF(D5="MG64",9300,IF(D5="MOG59",9300,IF(D5="MOG59P",9300,IF(D5="MOG61",9300,IF(D5="MOP61",9300,IF(D5="OTF03",11000,IF(D5="OTP03",11000,IF(D5="OTF06",11000,IF(D5="OTP06",11000,IF(D5="OTP06-01",11000,IF(D5="OTF08",11000,IF(D5="OTP08",11000,IF(D5="ECG38",10400,IF(D5="ECG37",10400,IF(D5="ECG40",10400,IF(D5="ECG43",10400,IF(D5="ASG48",10700,IF(D5="ASG43",10700,IF(D5="ASG40",10700,IF(D5="ASG42",10700,IF(D5="ASG44",10800,IF(D5="ASG45",10800,IF(D5="ASX HL",12200,IF(D5="ASX P",12200,IF(D5="ASX HL 4WD",12200,IF(D5="ATG16",8500,IF(D5="ATG17",8500,IF(D5="ATP16",8500,IF(D5="Attrage S",9600,IF(D5="MIG09",8500,IF(D5="MIG10",8500,IF(D5="Xpander HL",11300))))))))))))))))))))))))))))))))))))))))</f>
        <v>11000</v>
      </c>
      <c r="W11" s="92">
        <f>IF(D5="XC",9200,IF(D5="XPML",9200,IF(D5="XPHL",9200,IF(D5="XPMLP",9200,IF(D5="XPMLP-01",9200,IF(D5="Xpander P",9200,IF(D5="MOP57",8700,IF(D5="MOG64",8700,IF(D5="MOG59",8700,IF(D5="MOG59P",8700,IF(D5="MOG61",8700,IF(D5="MOP61",8700,IF(D5="OTF03",10400,IF(D5="OTP03",10400,IF(D5="OTF06",10400,IF(D5="OTP06",10400,IF(D5="OTP06-01",10400,IF(D5="OTF08",10400,IF(D5="OTP08",10400,IF(D5="ECG38",9800,IF(D5="ECG37",9800,IF(D5="ECG40",9800,IF(D5="ECG43",9800,IF(D5="ASG48",10100,IF(D5="ASG43",10100,IF(D5="ASG40",10100,IF(D5="ASG42",10100,IF(D5="ASG44",10100,IF(D5="ASG45",10100,IF(D5="ASX HL",10100,IF(D5="ASX P",10100,IF(D5="ASX HL 4WD",10100,IF(D5="ATG16",7900,IF(D5="ATG17",7900,IF(D5="ATP16",7900,IF(D5="Attrage S",7900,IF(D5="MIG09",7900,IF(D5="MIG10",7900,IF(D5="Xpander HL",9200)))))))))))))))))))))))))))))))))))))))</f>
        <v>10400</v>
      </c>
      <c r="X11" s="92">
        <f>IF(D5="XC",4500,IF(D5="XPML",4500,IF(D5="XPHL",4500,IF(D5="XPMLP",4500,IF(D5="XPMLP-01",4500,IF(D5="Xpander P",4500,IF(D5="MOP57",4300,IF(D5="MOG64",4300,IF(D5="MOG59",4300,IF(D5="MOG59P",4300,IF(D5="MOG61",4300,IF(D5="MOP61",4300,IF(D5="OTF03",5000,IF(D5="OTP03",5000,IF(D5="OTF06",5000,IF(D5="OTP06",5000,IF(D5="OTP06-01",5000,IF(D5="OTF08",5000,IF(D5="OTP08",5000,IF(D5="ECG38",4900,IF(D5="ECG37",4900,IF(D5="ECG40",4900,IF(D5="ECG43",4900,IF(D5="ASG48",4900,IF(D5="ASG43",4900,IF(D5="ASG40",4900,IF(D5="ASG42",4900,IF(D5="ASG44",4900,IF(D5="ASG45",4900,IF(D5="ASX HL",4900,IF(D5="ASX P",4900,IF(D5="ASX HL 4WD",4900,IF(D5="ATG16",3700,IF(D5="ATG17",3700,IF(D5="ATP16",3700,IF(D5="Attrage S",3700,IF(D5="MIG09",3700,IF(D5="MIG10",3700,IF(D5="Xpander HL",4500)))))))))))))))))))))))))))))))))))))))</f>
        <v>5000</v>
      </c>
      <c r="Y11" s="92">
        <f>IF(D5="XC",5400,IF(D5="XPML ",5400,IF(D5="XPHL",5400,IF(D5="XPMLP",5400,IF(D5="XPMLP-01",5400,IF(D5="Xpander P",5400,IF(D5="MOP57",5200,IF(D5="MOG64",5200,IF(D5="MOG59",5200,IF(D5="MOG59P",5200,IF(D5="MOG61",5200,IF(D5="MOP61",5200,IF(D5="OTF03",6000,IF(D5="OTP03",6000,IF(D5="OTF06",6000,IF(D5="OTP06",6000,IF(D5="OTP06-01",6000,IF(D5="OTF08",6000,IF(D5="OTP08",6000,IF(D5="ECG38",5700,IF(D5="ECG37",5700,IF(D5="ECG40",5700,IF(D5="ECG43",5700,IF(D5="ASG48",5900,IF(D5="ASG43",5900,IF(D5="ASG40",5900,IF(D5="ASG42",5900,IF(D5="ASG44",5900,IF(D5="ASG45",5900,IF(D5="ASX HL",5900,IF(D5="ASX P",5900,IF(D5="ASX HL 4WD",5900,IF(D5="ATG16",4500,IF(D5="ATG17",4500,IF(D5="ATP16",4500,IF(D5="Attrage S",4500,IF(D5="MIG09",4500,IF(D5="MIG10",4500,IF(D5="Xpander HL",5400)))))))))))))))))))))))))))))))))))))))</f>
        <v>6000</v>
      </c>
    </row>
    <row r="12" spans="1:28" ht="24.75" customHeight="1" x14ac:dyDescent="0.4">
      <c r="A12" s="8"/>
      <c r="B12" s="37" t="s">
        <v>20</v>
      </c>
      <c r="C12" s="20" t="s">
        <v>17</v>
      </c>
      <c r="D12" s="36">
        <f>IF(C12="YES",2000,IF(C12="NO",0))</f>
        <v>0</v>
      </c>
      <c r="E12" s="43"/>
      <c r="F12" s="43" t="s">
        <v>21</v>
      </c>
      <c r="G12" s="40"/>
      <c r="H12" s="33">
        <v>600</v>
      </c>
      <c r="I12" s="21"/>
      <c r="J12" s="44" t="s">
        <v>22</v>
      </c>
      <c r="K12" s="45">
        <v>0</v>
      </c>
      <c r="L12" s="45">
        <v>5.2499999999999998E-2</v>
      </c>
      <c r="M12" s="45">
        <v>0.126</v>
      </c>
      <c r="N12" s="46">
        <v>0.26250000000000001</v>
      </c>
      <c r="O12" s="92">
        <f>IF(K20="Esaad",B8*3/100,IF(K20="Emirates Platinum",B8*3/100,IF(K20="Fazaa",B8*3/100,IF(K20="Humat Alwatan",B8*3/100,IF(K20="Permissible",2000,IF(K20="ASX",8400,IF(K20="XPMLP",4000,IF(K20="XP",14100,IF(K20="G43",11000,IF(K20="EC",7000,IF(K20="G37",14000,IF(K20="G38",15000,IF(K20="G40",11000,IF(K20="OUT",9600,IF(K20="F08",15400,IF(K20="P08",11100,IF(K20="F06",14100,IF(K20="P06",17100,IF(K20="F03",17000,IF(K20="P03",19100,IF(K20="MON",10000,IF(K20="MON G57",10000,0))))))))))))))))))))))</f>
        <v>2000</v>
      </c>
      <c r="P12" s="92"/>
      <c r="Q12" s="92"/>
      <c r="R12" s="92"/>
      <c r="S12" s="92"/>
      <c r="T12" s="92"/>
      <c r="U12" s="92"/>
      <c r="V12" s="92"/>
      <c r="W12" s="92"/>
      <c r="X12" s="92"/>
      <c r="Y12" s="92"/>
      <c r="Z12" s="86" t="s">
        <v>83</v>
      </c>
      <c r="AA12" s="86" t="s">
        <v>84</v>
      </c>
    </row>
    <row r="13" spans="1:28" ht="24.6" x14ac:dyDescent="0.4">
      <c r="A13" s="8">
        <f>B8*1.26582</f>
        <v>155569.27799999999</v>
      </c>
      <c r="B13" s="37" t="s">
        <v>23</v>
      </c>
      <c r="C13" s="20" t="s">
        <v>17</v>
      </c>
      <c r="D13" s="36">
        <f>IF(C13="YES",2000,IF(C13="NO",0))</f>
        <v>0</v>
      </c>
      <c r="E13" s="47"/>
      <c r="F13" s="47" t="s">
        <v>75</v>
      </c>
      <c r="G13" s="40"/>
      <c r="H13" s="33">
        <v>315</v>
      </c>
      <c r="I13" s="21"/>
      <c r="J13" s="44" t="s">
        <v>54</v>
      </c>
      <c r="K13" s="29" t="s">
        <v>79</v>
      </c>
      <c r="L13" s="29" t="s">
        <v>25</v>
      </c>
      <c r="M13" s="29" t="s">
        <v>0</v>
      </c>
      <c r="N13" s="49" t="s">
        <v>26</v>
      </c>
      <c r="O13" s="98">
        <f>IF(M21="3000-4999",6%,IF(M21="5000-9999",4.75%,IF(M21="10000-14999",3.15%,IF(M21="15000-24999",2.5%,IF(M21="25000-34999",2.25%,IF(M21="35000-99999",2.25%))))))</f>
        <v>4.7500000000000001E-2</v>
      </c>
      <c r="Q13" s="83">
        <f>H7/12</f>
        <v>2423.3811000000001</v>
      </c>
      <c r="U13" s="9">
        <f>IF(M21="3000-4999",6%,IF(M21="5000-9999",3.25%,IF(M21="10000-14999",3%,IF(M21="15000-24999",2.25%,IF(M21="25000-34999",2.15%,IF(M21="35000-99999",1.99%))))))</f>
        <v>3.2500000000000001E-2</v>
      </c>
      <c r="Z13" s="99">
        <f>IF(M21="5000-9999",2.49%,IF(M21="10000-19999",2.19%,IF(M21="20000-34999",2.09%,IF(M21="35000-49999",1.89%,IF(M21="50000-99999",1.79%)))))</f>
        <v>2.4900000000000002E-2</v>
      </c>
      <c r="AA13" s="99">
        <f>IF(M21="5000-9999",2.59%,IF(M21="10000-19999",2.29%,IF(M21="20000-34999",2.19%,IF(M21="35000-49999",1.99%,IF(M21="50000-99999",1.89%)))))</f>
        <v>2.5899999999999999E-2</v>
      </c>
    </row>
    <row r="14" spans="1:28" ht="24.6" x14ac:dyDescent="0.4">
      <c r="A14" s="10" t="s">
        <v>27</v>
      </c>
      <c r="B14" s="37" t="s">
        <v>24</v>
      </c>
      <c r="C14" s="20" t="s">
        <v>19</v>
      </c>
      <c r="D14" s="50">
        <f>IF(C14="YES",U19*3.15*1.05/100,IF(C14="NO",U19*0/100))</f>
        <v>4500.8460000000005</v>
      </c>
      <c r="E14" s="48"/>
      <c r="F14" s="48" t="s">
        <v>24</v>
      </c>
      <c r="G14" s="51" t="s">
        <v>17</v>
      </c>
      <c r="H14" s="39">
        <f>IF(G14="YES",U19*3.15*1.05/100,IF(G14="NO",U19*0/100))</f>
        <v>0</v>
      </c>
      <c r="I14" s="21"/>
      <c r="J14" s="44" t="s">
        <v>55</v>
      </c>
      <c r="K14" s="44">
        <f>(H8*K12+H8)/3</f>
        <v>9693.5244000000002</v>
      </c>
      <c r="L14" s="44">
        <f>(H8*L12+H8)/12</f>
        <v>2550.6086077500004</v>
      </c>
      <c r="M14" s="44">
        <f>(H8*M12+H8)/24</f>
        <v>1364.3635593000001</v>
      </c>
      <c r="N14" s="52">
        <f>(H7*N12+H7)/60</f>
        <v>611.90372775000003</v>
      </c>
      <c r="O14" s="98">
        <f>IF(M21="3000-4999",3.89%,IF(M21="5000-9999",3.89%,IF(M21="10000-14999",3.89%,IF(M21="15000-24999",2.69%,IF(M21="25000-34999",2.69%,IF(M21="35000-99999",2.39%,IF(M21="76000-99999",2.19%)))))))</f>
        <v>3.8900000000000004E-2</v>
      </c>
    </row>
    <row r="15" spans="1:28" ht="24.6" x14ac:dyDescent="0.4">
      <c r="A15" s="11">
        <f>(B7*3%)+10+120</f>
        <v>3817</v>
      </c>
      <c r="B15" s="37" t="s">
        <v>28</v>
      </c>
      <c r="C15" s="20" t="s">
        <v>19</v>
      </c>
      <c r="D15" s="29">
        <f>IF(C15="YES",O10,IF(C15="NO",0))</f>
        <v>4822.0199999999995</v>
      </c>
      <c r="E15" s="48"/>
      <c r="F15" s="48" t="s">
        <v>53</v>
      </c>
      <c r="G15" s="51" t="s">
        <v>17</v>
      </c>
      <c r="H15" s="39">
        <f>IF(G15="YES",O10,IF(G15="NO",0))</f>
        <v>0</v>
      </c>
      <c r="I15" s="21"/>
      <c r="J15" s="44"/>
      <c r="K15" s="44"/>
      <c r="L15" s="44"/>
      <c r="M15" s="44"/>
      <c r="N15" s="53"/>
      <c r="O15" s="98" t="b">
        <f>IF(M21="3000-4999",4.99%, IF(M21="5000-11999",2.75%,IF(M21="12000-19999",2.75%,IF(M21="20000-39999",2.25%,IF(M21="40000-69999",2.39%,IF(M21="70000-99999",2.25%))))))</f>
        <v>0</v>
      </c>
      <c r="P15" s="99"/>
    </row>
    <row r="16" spans="1:28" ht="24.6" x14ac:dyDescent="0.4">
      <c r="A16" s="11">
        <f>((B7-B8)*3%+10+120)</f>
        <v>130</v>
      </c>
      <c r="B16" s="37" t="s">
        <v>78</v>
      </c>
      <c r="C16" s="20" t="s">
        <v>19</v>
      </c>
      <c r="D16" s="29">
        <f>IF(C16="YES",O16,IF(C16="NO",0))</f>
        <v>6700</v>
      </c>
      <c r="E16" s="47"/>
      <c r="F16" s="47" t="s">
        <v>74</v>
      </c>
      <c r="G16" s="54"/>
      <c r="H16" s="33">
        <f>I7*1.05%</f>
        <v>1221.3840744000001</v>
      </c>
      <c r="I16" s="21"/>
      <c r="J16" s="44" t="s">
        <v>16</v>
      </c>
      <c r="K16" s="44">
        <f>(K14*3)-H8</f>
        <v>0</v>
      </c>
      <c r="L16" s="44">
        <f>(L14*12)-H8</f>
        <v>1526.7300930000019</v>
      </c>
      <c r="M16" s="44">
        <f>(M14*24)-H8</f>
        <v>3664.1522232000025</v>
      </c>
      <c r="N16" s="53"/>
      <c r="O16" s="92">
        <f>IF(B16="RMC-10-70KMS",O11,IF(B16="RMC-10-100000KMS",V11,IF(B16="RMC-40-70KMS",U11, IF(B16="RMC-10-40KMS",X11, IF(B16="RMC-10-60KMS",Y11, IF(B16="RMC-40-100000KMS",W11,0))))))</f>
        <v>6700</v>
      </c>
    </row>
    <row r="17" spans="1:28" ht="24.6" x14ac:dyDescent="0.4">
      <c r="A17" s="11">
        <f>A15+A16</f>
        <v>3947</v>
      </c>
      <c r="B17" s="37"/>
      <c r="C17" s="20"/>
      <c r="D17" s="29">
        <f>SUM(D10:D16)</f>
        <v>16022.866</v>
      </c>
      <c r="E17" s="33"/>
      <c r="F17" s="33"/>
      <c r="G17" s="33"/>
      <c r="H17" s="33">
        <f>H7+H12+H15+H16</f>
        <v>30901.957274400003</v>
      </c>
      <c r="I17" s="33"/>
      <c r="J17" s="22"/>
      <c r="K17" s="53"/>
      <c r="L17" s="53"/>
      <c r="M17" s="53"/>
      <c r="N17" s="53"/>
      <c r="O17" s="92">
        <f>IF(B11="FO Ceramic+ Intr&amp;Extr CeramicGold WdwTnt",2700,IF(B11="FO Mirror Camera Sensor",2000))</f>
        <v>2700</v>
      </c>
      <c r="T17" s="86">
        <f>19615-791</f>
        <v>18824</v>
      </c>
    </row>
    <row r="18" spans="1:28" ht="24.6" x14ac:dyDescent="0.4">
      <c r="A18" s="12" t="s">
        <v>29</v>
      </c>
      <c r="B18" s="55" t="s">
        <v>30</v>
      </c>
      <c r="C18" s="56"/>
      <c r="D18" s="57">
        <v>0</v>
      </c>
      <c r="E18" s="38"/>
      <c r="F18" s="22"/>
      <c r="G18" s="22"/>
      <c r="H18" s="21"/>
      <c r="I18" s="21"/>
      <c r="J18" s="21"/>
      <c r="K18" s="21"/>
      <c r="L18" s="21"/>
      <c r="M18" s="21"/>
      <c r="N18" s="21"/>
      <c r="O18" s="92"/>
      <c r="U18" s="100" t="s">
        <v>52</v>
      </c>
      <c r="V18" s="100" t="s">
        <v>52</v>
      </c>
    </row>
    <row r="19" spans="1:28" ht="24.6" x14ac:dyDescent="0.4">
      <c r="A19" s="11">
        <f>B8*3.15%</f>
        <v>3871.35</v>
      </c>
      <c r="B19" s="58" t="s">
        <v>31</v>
      </c>
      <c r="C19" s="59"/>
      <c r="D19" s="60">
        <f>IF(K21="DIB EXPAT",O13,IF(K21="DIB LOCAL GVH",U13,IF(K21="Emirates NBD",O14,IF(K21="ADCB",O15,IF(K21="ADCB PAY IN 2027",O19,IF(K21="Ajman Bank",O18,IF(K21="SIB STL",Z13,IF(K21="SIB NON STL",AA13,))))))))</f>
        <v>2.4900000000000002E-2</v>
      </c>
      <c r="E19" s="22"/>
      <c r="F19" s="61"/>
      <c r="G19" s="141" t="s">
        <v>73</v>
      </c>
      <c r="H19" s="142"/>
      <c r="I19" s="143"/>
      <c r="J19" s="109">
        <f>H7/365</f>
        <v>79.672803287671243</v>
      </c>
      <c r="K19" s="21"/>
      <c r="L19" s="21"/>
      <c r="M19" s="21"/>
      <c r="N19" s="23">
        <f>D7</f>
        <v>129045</v>
      </c>
      <c r="O19" s="98" t="b">
        <f>IF(M21="5000-11999",3.35%,IF(M21="12000-19999",3.35%,IF(M21="20000-39999",2.85%,IF(M21="40000-69999",2.85%,IF(M21="70000-99999",2.85%)))))</f>
        <v>0</v>
      </c>
      <c r="P19" s="83">
        <f>81400-2500</f>
        <v>78900</v>
      </c>
      <c r="U19" s="101">
        <f>V19</f>
        <v>136080</v>
      </c>
      <c r="V19" s="102">
        <f>(B7+D10+D11+D12+D13+D16)*1.05</f>
        <v>136080</v>
      </c>
      <c r="X19" s="87">
        <f>G7*3.15*1.05/100</f>
        <v>4809.1997929500012</v>
      </c>
      <c r="Y19" s="87">
        <f>G7*3/100+510*1.05</f>
        <v>4897.5859799999998</v>
      </c>
      <c r="Z19" s="87">
        <f>Y19+X19</f>
        <v>9706.785772950001</v>
      </c>
      <c r="AA19" s="87">
        <f>(Z19)-(D14+D15)</f>
        <v>383.91977295000106</v>
      </c>
      <c r="AB19" s="87">
        <f>AA19*1.25</f>
        <v>479.89971618750133</v>
      </c>
    </row>
    <row r="20" spans="1:28" ht="24.6" x14ac:dyDescent="0.4">
      <c r="A20" s="11"/>
      <c r="B20" s="58" t="s">
        <v>32</v>
      </c>
      <c r="C20" s="62"/>
      <c r="D20" s="63">
        <v>0.2</v>
      </c>
      <c r="E20" s="21"/>
      <c r="F20" s="21"/>
      <c r="G20" s="42"/>
      <c r="H20" s="42"/>
      <c r="I20" s="42"/>
      <c r="J20" s="103"/>
      <c r="K20" s="104" t="s">
        <v>33</v>
      </c>
      <c r="L20" s="104" t="s">
        <v>17</v>
      </c>
      <c r="M20" s="104">
        <f>IF(L20="YES",O12,IF(L20="NO",0))</f>
        <v>0</v>
      </c>
      <c r="N20" s="23">
        <f>B8-M20</f>
        <v>122900</v>
      </c>
      <c r="O20" s="92"/>
      <c r="P20" s="99"/>
      <c r="T20" s="86">
        <f>1992+1084</f>
        <v>3076</v>
      </c>
      <c r="V20" s="83"/>
      <c r="X20" s="87">
        <f>X19-D14</f>
        <v>308.35379295000075</v>
      </c>
      <c r="Y20" s="87">
        <f>Y19-D15</f>
        <v>75.565980000000309</v>
      </c>
      <c r="AA20" s="87">
        <f>X20+Y20</f>
        <v>383.91977295000106</v>
      </c>
    </row>
    <row r="21" spans="1:28" ht="24.6" x14ac:dyDescent="0.4">
      <c r="A21" s="13">
        <f>A19+A20</f>
        <v>3871.35</v>
      </c>
      <c r="B21" s="21"/>
      <c r="C21" s="22"/>
      <c r="D21" s="21"/>
      <c r="E21" s="21"/>
      <c r="F21" s="21"/>
      <c r="G21" s="21"/>
      <c r="H21" s="21"/>
      <c r="I21" s="21"/>
      <c r="J21" s="37" t="s">
        <v>34</v>
      </c>
      <c r="K21" s="16" t="s">
        <v>83</v>
      </c>
      <c r="L21" s="105" t="s">
        <v>35</v>
      </c>
      <c r="M21" s="106" t="s">
        <v>80</v>
      </c>
      <c r="N21" s="111"/>
      <c r="O21" s="92"/>
      <c r="T21" s="86">
        <f>25973-12973</f>
        <v>13000</v>
      </c>
    </row>
    <row r="22" spans="1:28" ht="24.6" x14ac:dyDescent="0.4">
      <c r="A22" s="13"/>
      <c r="B22" s="130" t="s">
        <v>51</v>
      </c>
      <c r="C22" s="131"/>
      <c r="D22" s="131"/>
      <c r="E22" s="131"/>
      <c r="F22" s="131"/>
      <c r="G22" s="131"/>
      <c r="H22" s="131"/>
      <c r="I22" s="131"/>
      <c r="J22" s="131"/>
      <c r="K22" s="131"/>
      <c r="L22" s="131"/>
      <c r="M22" s="131"/>
      <c r="N22" s="132"/>
      <c r="O22" s="92"/>
    </row>
    <row r="23" spans="1:28" ht="25.2" x14ac:dyDescent="0.45">
      <c r="A23" s="14" t="s">
        <v>36</v>
      </c>
      <c r="B23" s="64" t="s">
        <v>57</v>
      </c>
      <c r="C23" s="65"/>
      <c r="D23" s="65"/>
      <c r="E23" s="65"/>
      <c r="F23" s="65"/>
      <c r="G23" s="65"/>
      <c r="H23" s="66"/>
      <c r="I23" s="66"/>
      <c r="J23" s="65"/>
      <c r="K23" s="65"/>
      <c r="L23" s="65"/>
      <c r="M23" s="65"/>
      <c r="N23" s="67"/>
      <c r="O23" s="92">
        <f>N7+K14</f>
        <v>11873.598037560001</v>
      </c>
    </row>
    <row r="24" spans="1:28" ht="25.2" x14ac:dyDescent="0.45">
      <c r="A24" s="14" t="s">
        <v>36</v>
      </c>
      <c r="B24" s="64" t="s">
        <v>58</v>
      </c>
      <c r="C24" s="65"/>
      <c r="D24" s="65"/>
      <c r="E24" s="65"/>
      <c r="F24" s="65"/>
      <c r="G24" s="65"/>
      <c r="H24" s="85">
        <f>H7/365</f>
        <v>79.672803287671243</v>
      </c>
      <c r="I24" s="85">
        <f>H7/365</f>
        <v>79.672803287671243</v>
      </c>
      <c r="J24" s="65"/>
      <c r="K24" s="65"/>
      <c r="L24" s="65"/>
      <c r="M24" s="65"/>
      <c r="N24" s="68"/>
      <c r="O24" s="92"/>
      <c r="P24" s="83">
        <f>1232+480</f>
        <v>1712</v>
      </c>
      <c r="T24" s="86">
        <f>88704/1.05</f>
        <v>84480</v>
      </c>
    </row>
    <row r="25" spans="1:28" ht="25.2" x14ac:dyDescent="0.45">
      <c r="A25" s="14" t="s">
        <v>36</v>
      </c>
      <c r="B25" s="64" t="s">
        <v>59</v>
      </c>
      <c r="C25" s="65"/>
      <c r="D25" s="65"/>
      <c r="E25" s="65"/>
      <c r="F25" s="65"/>
      <c r="G25" s="65"/>
      <c r="H25" s="66"/>
      <c r="I25" s="85">
        <f>I24*365*3</f>
        <v>87241.719600000011</v>
      </c>
      <c r="J25" s="65"/>
      <c r="K25" s="65"/>
      <c r="L25" s="65"/>
      <c r="M25" s="65"/>
      <c r="N25" s="68"/>
      <c r="O25" s="92"/>
      <c r="Q25" s="86">
        <f>79400-5233.33</f>
        <v>74166.67</v>
      </c>
      <c r="R25" s="86">
        <f>Q25*1.05</f>
        <v>77875.003500000006</v>
      </c>
    </row>
    <row r="26" spans="1:28" ht="25.2" x14ac:dyDescent="0.45">
      <c r="A26" s="14" t="s">
        <v>36</v>
      </c>
      <c r="B26" s="64" t="s">
        <v>60</v>
      </c>
      <c r="C26" s="65"/>
      <c r="D26" s="65"/>
      <c r="E26" s="65"/>
      <c r="F26" s="65"/>
      <c r="G26" s="65"/>
      <c r="H26" s="65"/>
      <c r="I26" s="65"/>
      <c r="J26" s="65"/>
      <c r="K26" s="65"/>
      <c r="L26" s="65"/>
      <c r="M26" s="65"/>
      <c r="N26" s="68"/>
      <c r="O26" s="92" t="s">
        <v>37</v>
      </c>
      <c r="R26" s="86">
        <f>R25+2469</f>
        <v>80344.003500000006</v>
      </c>
    </row>
    <row r="27" spans="1:28" ht="25.2" x14ac:dyDescent="0.45">
      <c r="A27" s="14" t="s">
        <v>36</v>
      </c>
      <c r="B27" s="64" t="s">
        <v>61</v>
      </c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8"/>
      <c r="O27" s="92">
        <f>129500-110900</f>
        <v>18600</v>
      </c>
    </row>
    <row r="28" spans="1:28" ht="25.2" x14ac:dyDescent="0.45">
      <c r="B28" s="64" t="s">
        <v>62</v>
      </c>
      <c r="C28" s="65"/>
      <c r="D28" s="65"/>
      <c r="E28" s="65"/>
      <c r="F28" s="65"/>
      <c r="G28" s="65"/>
      <c r="H28" s="65"/>
      <c r="I28" s="65"/>
      <c r="J28" s="65"/>
      <c r="K28" s="65"/>
      <c r="L28" s="65"/>
      <c r="M28" s="65"/>
      <c r="N28" s="68"/>
      <c r="O28" s="92"/>
    </row>
    <row r="29" spans="1:28" ht="25.2" x14ac:dyDescent="0.45">
      <c r="B29" s="64" t="s">
        <v>63</v>
      </c>
      <c r="C29" s="65"/>
      <c r="D29" s="65"/>
      <c r="E29" s="65"/>
      <c r="F29" s="65"/>
      <c r="G29" s="65"/>
      <c r="H29" s="65"/>
      <c r="I29" s="65"/>
      <c r="J29" s="65"/>
      <c r="K29" s="65"/>
      <c r="L29" s="65"/>
      <c r="M29" s="65"/>
      <c r="N29" s="69"/>
      <c r="O29" s="92"/>
    </row>
    <row r="30" spans="1:28" ht="24.6" x14ac:dyDescent="0.4">
      <c r="B30" s="133" t="s">
        <v>38</v>
      </c>
      <c r="C30" s="134"/>
      <c r="D30" s="134"/>
      <c r="E30" s="134"/>
      <c r="F30" s="134"/>
      <c r="G30" s="134"/>
      <c r="H30" s="134"/>
      <c r="I30" s="134"/>
      <c r="J30" s="134"/>
      <c r="K30" s="134"/>
      <c r="L30" s="134"/>
      <c r="M30" s="134"/>
      <c r="N30" s="135"/>
      <c r="O30" s="92"/>
    </row>
    <row r="31" spans="1:28" ht="24.6" x14ac:dyDescent="0.4">
      <c r="B31" s="136"/>
      <c r="C31" s="137"/>
      <c r="D31" s="137"/>
      <c r="E31" s="137"/>
      <c r="F31" s="137"/>
      <c r="G31" s="137"/>
      <c r="H31" s="137"/>
      <c r="I31" s="137"/>
      <c r="J31" s="137"/>
      <c r="K31" s="137"/>
      <c r="L31" s="137"/>
      <c r="M31" s="137"/>
      <c r="N31" s="138"/>
      <c r="O31" s="92"/>
    </row>
    <row r="32" spans="1:28" ht="24.6" x14ac:dyDescent="0.4">
      <c r="B32" s="136" t="s">
        <v>39</v>
      </c>
      <c r="C32" s="137"/>
      <c r="D32" s="137"/>
      <c r="E32" s="137"/>
      <c r="F32" s="137"/>
      <c r="G32" s="137"/>
      <c r="H32" s="137"/>
      <c r="I32" s="137"/>
      <c r="J32" s="137"/>
      <c r="K32" s="137"/>
      <c r="L32" s="137"/>
      <c r="M32" s="137"/>
      <c r="N32" s="138"/>
      <c r="O32" s="92"/>
    </row>
    <row r="33" spans="2:16" ht="24.6" x14ac:dyDescent="0.4">
      <c r="B33" s="136" t="s">
        <v>40</v>
      </c>
      <c r="C33" s="137"/>
      <c r="D33" s="137"/>
      <c r="E33" s="137"/>
      <c r="F33" s="137"/>
      <c r="G33" s="137"/>
      <c r="H33" s="137"/>
      <c r="I33" s="137"/>
      <c r="J33" s="137"/>
      <c r="K33" s="137"/>
      <c r="L33" s="137"/>
      <c r="M33" s="137"/>
      <c r="N33" s="138"/>
      <c r="O33" s="92"/>
    </row>
    <row r="34" spans="2:16" s="112" customFormat="1" ht="24.6" x14ac:dyDescent="0.4">
      <c r="B34" s="107" t="s">
        <v>81</v>
      </c>
      <c r="C34" s="108"/>
      <c r="D34" s="108"/>
      <c r="E34" s="108"/>
      <c r="F34" s="108"/>
      <c r="G34" s="113"/>
      <c r="H34" s="113"/>
      <c r="I34" s="108"/>
      <c r="J34" s="108"/>
      <c r="K34" s="108"/>
      <c r="L34" s="108"/>
      <c r="M34" s="114" t="s">
        <v>82</v>
      </c>
      <c r="N34" s="116" t="b">
        <f>IF(M34="ALAA",507963328, IF(M34="BACHIR",525246969,IF(M34="JIHAN",566201266, IF(M34="RAMY",505277871, IF(M34="SIMON",505140337,IF(M34="SUJITH",551079817, IF(M34="PRAVEEN",506367792,IF(M34="MHAREN",529224059, IF(M34="MOSSALLEM",505185577,IF(M34="RANJITH",554989288, IF(M34="KHALED",552319494)))))))))))</f>
        <v>0</v>
      </c>
      <c r="O34" s="115"/>
      <c r="P34" s="115"/>
    </row>
    <row r="35" spans="2:16" x14ac:dyDescent="0.35">
      <c r="B35" s="70"/>
      <c r="C35" s="71"/>
      <c r="D35" s="71"/>
      <c r="E35" s="71"/>
      <c r="F35" s="71"/>
      <c r="G35" s="71"/>
      <c r="H35" s="71"/>
      <c r="I35" s="71"/>
      <c r="J35" s="71"/>
      <c r="K35" s="71"/>
      <c r="L35" s="71"/>
      <c r="M35" s="71"/>
      <c r="N35" s="72"/>
    </row>
    <row r="36" spans="2:16" x14ac:dyDescent="0.35">
      <c r="B36" s="70"/>
      <c r="C36" s="71"/>
      <c r="D36" s="71"/>
      <c r="E36" s="71"/>
      <c r="F36" s="71"/>
      <c r="G36" s="71"/>
      <c r="H36" s="71"/>
      <c r="I36" s="71"/>
      <c r="J36" s="71"/>
      <c r="K36" s="71"/>
      <c r="L36" s="71"/>
      <c r="M36" s="71"/>
      <c r="N36" s="72"/>
    </row>
    <row r="37" spans="2:16" x14ac:dyDescent="0.35">
      <c r="B37" s="70"/>
      <c r="C37" s="71"/>
      <c r="D37" s="71"/>
      <c r="E37" s="71"/>
      <c r="F37" s="71"/>
      <c r="G37" s="71"/>
      <c r="H37" s="71"/>
      <c r="I37" s="71"/>
      <c r="J37" s="71"/>
      <c r="K37" s="71"/>
      <c r="L37" s="71"/>
      <c r="M37" s="71"/>
      <c r="N37" s="72"/>
    </row>
    <row r="38" spans="2:16" ht="21" x14ac:dyDescent="0.4">
      <c r="B38" s="73" t="s">
        <v>64</v>
      </c>
      <c r="C38" s="74"/>
      <c r="D38" s="75"/>
      <c r="E38" s="76"/>
      <c r="F38" s="76"/>
      <c r="G38" s="76"/>
      <c r="H38" s="76"/>
      <c r="I38" s="76"/>
      <c r="J38" s="77"/>
      <c r="K38" s="76"/>
      <c r="L38" s="76"/>
      <c r="M38" s="76"/>
      <c r="N38" s="78"/>
    </row>
    <row r="39" spans="2:16" ht="21" x14ac:dyDescent="0.4">
      <c r="B39" s="73" t="s">
        <v>65</v>
      </c>
      <c r="C39" s="79"/>
      <c r="D39" s="75"/>
      <c r="E39" s="76"/>
      <c r="F39" s="76"/>
      <c r="G39" s="76"/>
      <c r="H39" s="76"/>
      <c r="I39" s="76"/>
      <c r="J39" s="77"/>
      <c r="K39" s="76"/>
      <c r="L39" s="76"/>
      <c r="M39" s="76"/>
      <c r="N39" s="80"/>
    </row>
    <row r="40" spans="2:16" ht="21" x14ac:dyDescent="0.35">
      <c r="B40" s="73" t="s">
        <v>66</v>
      </c>
      <c r="C40" s="81"/>
      <c r="D40" s="76"/>
      <c r="E40" s="76"/>
      <c r="F40" s="76"/>
      <c r="G40" s="76"/>
      <c r="H40" s="76"/>
      <c r="I40" s="76"/>
      <c r="J40" s="77"/>
      <c r="K40" s="76"/>
      <c r="L40" s="76"/>
      <c r="M40" s="76"/>
      <c r="N40" s="80"/>
    </row>
    <row r="41" spans="2:16" ht="21" x14ac:dyDescent="0.35">
      <c r="B41" s="73" t="s">
        <v>67</v>
      </c>
      <c r="C41" s="82"/>
      <c r="D41" s="83"/>
      <c r="E41" s="83"/>
      <c r="F41" s="83"/>
      <c r="G41" s="83"/>
      <c r="H41" s="83"/>
      <c r="I41" s="83"/>
      <c r="J41" s="83"/>
      <c r="K41" s="83"/>
      <c r="L41" s="83"/>
      <c r="M41" s="83"/>
      <c r="N41" s="84"/>
    </row>
    <row r="42" spans="2:16" ht="21" x14ac:dyDescent="0.35">
      <c r="B42" s="73" t="s">
        <v>77</v>
      </c>
      <c r="C42" s="82"/>
      <c r="D42" s="83"/>
      <c r="E42" s="83"/>
      <c r="F42" s="83"/>
      <c r="G42" s="83"/>
      <c r="H42" s="83"/>
      <c r="I42" s="83"/>
      <c r="J42" s="83"/>
      <c r="K42" s="83"/>
      <c r="L42" s="83"/>
      <c r="M42" s="83"/>
      <c r="N42" s="84"/>
    </row>
    <row r="43" spans="2:16" ht="21" x14ac:dyDescent="0.35">
      <c r="B43" s="73" t="s">
        <v>68</v>
      </c>
      <c r="C43" s="82"/>
      <c r="D43" s="83"/>
      <c r="E43" s="83"/>
      <c r="F43" s="83"/>
      <c r="G43" s="83"/>
      <c r="H43" s="83"/>
      <c r="I43" s="83"/>
      <c r="J43" s="83"/>
      <c r="K43" s="83"/>
      <c r="L43" s="83"/>
      <c r="M43" s="83"/>
      <c r="N43" s="84"/>
    </row>
    <row r="44" spans="2:16" ht="21" x14ac:dyDescent="0.35">
      <c r="B44" s="73" t="s">
        <v>69</v>
      </c>
      <c r="C44" s="82"/>
      <c r="D44" s="83"/>
      <c r="E44" s="83"/>
      <c r="F44" s="83"/>
      <c r="G44" s="83"/>
      <c r="H44" s="83"/>
      <c r="I44" s="83"/>
      <c r="J44" s="83"/>
      <c r="K44" s="83"/>
      <c r="L44" s="83"/>
      <c r="M44" s="83"/>
      <c r="N44" s="84"/>
    </row>
    <row r="45" spans="2:16" ht="21" x14ac:dyDescent="0.35">
      <c r="B45" s="73" t="s">
        <v>70</v>
      </c>
      <c r="C45" s="82"/>
      <c r="D45" s="83"/>
      <c r="E45" s="83"/>
      <c r="F45" s="83"/>
      <c r="G45" s="83"/>
      <c r="H45" s="83"/>
      <c r="I45" s="83"/>
      <c r="J45" s="83"/>
      <c r="K45" s="83"/>
      <c r="L45" s="83"/>
      <c r="M45" s="83"/>
      <c r="N45" s="84"/>
    </row>
    <row r="46" spans="2:16" ht="21" x14ac:dyDescent="0.35">
      <c r="B46" s="73" t="s">
        <v>71</v>
      </c>
      <c r="C46" s="82"/>
      <c r="D46" s="83"/>
      <c r="E46" s="83"/>
      <c r="F46" s="83"/>
      <c r="G46" s="83"/>
      <c r="H46" s="83"/>
      <c r="I46" s="83"/>
      <c r="J46" s="83"/>
      <c r="K46" s="83"/>
      <c r="L46" s="83"/>
      <c r="M46" s="83"/>
      <c r="N46" s="84"/>
    </row>
    <row r="47" spans="2:16" x14ac:dyDescent="0.35">
      <c r="B47" s="118" t="s">
        <v>39</v>
      </c>
      <c r="C47" s="119"/>
      <c r="D47" s="119"/>
      <c r="E47" s="119"/>
      <c r="F47" s="119"/>
      <c r="G47" s="119"/>
      <c r="H47" s="119"/>
      <c r="I47" s="119"/>
      <c r="J47" s="119"/>
      <c r="K47" s="119"/>
      <c r="L47" s="119"/>
      <c r="M47" s="119"/>
      <c r="N47" s="120"/>
      <c r="O47" s="92"/>
    </row>
    <row r="48" spans="2:16" x14ac:dyDescent="0.35">
      <c r="B48" s="118" t="s">
        <v>40</v>
      </c>
      <c r="C48" s="119"/>
      <c r="D48" s="119"/>
      <c r="E48" s="119"/>
      <c r="F48" s="119"/>
      <c r="G48" s="119"/>
      <c r="H48" s="119"/>
      <c r="I48" s="119"/>
      <c r="J48" s="119"/>
      <c r="K48" s="119"/>
      <c r="L48" s="119"/>
      <c r="M48" s="119"/>
      <c r="N48" s="120"/>
      <c r="O48" s="92"/>
    </row>
    <row r="49" spans="2:14" x14ac:dyDescent="0.35">
      <c r="B49" s="118" t="s">
        <v>72</v>
      </c>
      <c r="C49" s="119"/>
      <c r="D49" s="119"/>
      <c r="E49" s="119"/>
      <c r="F49" s="119"/>
      <c r="G49" s="119"/>
      <c r="H49" s="119"/>
      <c r="I49" s="119"/>
      <c r="J49" s="119"/>
      <c r="K49" s="119"/>
      <c r="L49" s="119"/>
      <c r="M49" s="119"/>
      <c r="N49" s="120"/>
    </row>
    <row r="50" spans="2:14" ht="25.8" x14ac:dyDescent="0.35">
      <c r="C50" s="15" t="s">
        <v>41</v>
      </c>
    </row>
    <row r="51" spans="2:14" ht="25.8" x14ac:dyDescent="0.35">
      <c r="C51" s="15" t="s">
        <v>42</v>
      </c>
    </row>
    <row r="52" spans="2:14" ht="25.8" x14ac:dyDescent="0.35">
      <c r="C52" s="15" t="s">
        <v>43</v>
      </c>
    </row>
    <row r="53" spans="2:14" ht="25.8" x14ac:dyDescent="0.35">
      <c r="C53" s="15" t="s">
        <v>44</v>
      </c>
    </row>
    <row r="54" spans="2:14" ht="25.8" x14ac:dyDescent="0.35">
      <c r="C54" s="15" t="s">
        <v>45</v>
      </c>
    </row>
  </sheetData>
  <mergeCells count="12">
    <mergeCell ref="B49:N49"/>
    <mergeCell ref="B1:N4"/>
    <mergeCell ref="F8:G8"/>
    <mergeCell ref="F9:G9"/>
    <mergeCell ref="G19:I19"/>
    <mergeCell ref="B22:N22"/>
    <mergeCell ref="B30:N30"/>
    <mergeCell ref="B31:N31"/>
    <mergeCell ref="B32:N32"/>
    <mergeCell ref="B33:N33"/>
    <mergeCell ref="B47:N47"/>
    <mergeCell ref="B48:N48"/>
  </mergeCells>
  <dataValidations count="11">
    <dataValidation type="list" allowBlank="1" showInputMessage="1" showErrorMessage="1" sqref="K21" xr:uid="{93B02D36-3B1A-4000-96E8-4771A2A357F6}">
      <formula1>"ADCB,ADCB PAY IN 2027,Ajman Bank,ADIB,DIB EXPAT,DIB LOCAL GVH,Emirates NBD,EIB,FAB,RAK,SIB STL,SIB NON STL"</formula1>
    </dataValidation>
    <dataValidation type="list" allowBlank="1" showInputMessage="1" showErrorMessage="1" sqref="D5" xr:uid="{8C42BF68-EF1B-4192-B4D0-0A26032DE8DB}">
      <formula1>"MIG09,MIG10,ATG16,ATP16,ATG17,ASG48,ASG43,ASG40,ASG42,ASG44,ASG45,ECG38,ECG37,ECG40,ECG43,XPML,XPHL,XPMLP, XPMLP-01, XC,OTF03,OTP03,OTF06,OTP06, OTP06-01,OTF08, OTP08,MOP57,MOG64,MOG59,MOG59P,MOG61,MOP61"</formula1>
    </dataValidation>
    <dataValidation type="list" allowBlank="1" showInputMessage="1" showErrorMessage="1" sqref="M21" xr:uid="{5F1BE371-AC4A-46B7-822E-8E208C364A42}">
      <formula1>"3000-4999,5000-9999,10000-14999,15000-24999,25000-34999,35000-99999,5000-11999,12000-19999,20000-39999,40000-69999,70000-99999"</formula1>
    </dataValidation>
    <dataValidation type="list" allowBlank="1" showInputMessage="1" showErrorMessage="1" sqref="K20" xr:uid="{422CF653-5931-4D8F-8DC6-3ABFE53F2019}">
      <formula1>"Esaad,Emirates Platinum,Fazaa,Humat Alwatan,Permissible,ASX,XPMLP,XP,MON,MON G57,OUT,F08,P08,F06,P06,F03,P03,EC,G37,G38,G40,G43"</formula1>
    </dataValidation>
    <dataValidation type="list" allowBlank="1" showInputMessage="1" showErrorMessage="1" sqref="L19:L20 L24:L25 G14:G15 C10:C16 L10 J10" xr:uid="{DB73415B-F77E-4CB2-8AFF-AB04913994BD}">
      <formula1>"YES,NO"</formula1>
    </dataValidation>
    <dataValidation type="list" allowBlank="1" showInputMessage="1" showErrorMessage="1" sqref="K24" xr:uid="{D9CBAAC4-E99D-4995-8B05-BB72DBB3E8FC}">
      <formula1>"RMC-10-70K,RMC-10-100000K,RMC-40-70K"</formula1>
    </dataValidation>
    <dataValidation type="list" allowBlank="1" showInputMessage="1" showErrorMessage="1" sqref="B16" xr:uid="{ECB5759B-AE26-43BC-ACA4-CEA95482B283}">
      <formula1>"RMC-10-40KMS,RMC-10-60KMS,RMC-10-70KMS,RMC-10-100000KMS,RMC-40-70KMS,RMC-40-100000KMS"</formula1>
    </dataValidation>
    <dataValidation type="list" allowBlank="1" showInputMessage="1" showErrorMessage="1" sqref="B12" xr:uid="{064D29C1-0643-49D7-8ECD-E99AFAC1290E}">
      <formula1>"FO Exterior ceramic All Cars SCOTCHGUARD,FO Mirror Camera Sensor,FO PPF Gold Package "</formula1>
    </dataValidation>
    <dataValidation type="list" allowBlank="1" showInputMessage="1" showErrorMessage="1" sqref="B11" xr:uid="{0A07DE6A-6335-4208-9051-682FB709D728}">
      <formula1>"FO Ceramic+ Intr&amp;Extr CeramicGold WdwTnt,FO Mirror Camera Sensor"</formula1>
    </dataValidation>
    <dataValidation type="list" allowBlank="1" showInputMessage="1" showErrorMessage="1" sqref="M34" xr:uid="{3FDE658D-43AD-4B0C-81E5-48895FC054AA}">
      <formula1>"Alaa,Bachir ,Khaled,Ramy,Simon,Mharen,Ranjith,Jihan,Praveen,Sujith,Mossallem"</formula1>
    </dataValidation>
    <dataValidation type="list" allowBlank="1" showInputMessage="1" showErrorMessage="1" sqref="H34" xr:uid="{62998388-DD40-4A31-9D5D-E51712844371}">
      <formula1>"ALAA HAMMAD,KHALED QASSEM,RAMY RAOUF,SIMON LOBO,MHAREN CLEMENTE GARADO"</formula1>
    </dataValidation>
  </dataValidations>
  <pageMargins left="0.23622047244094491" right="0.23622047244094491" top="0.74803149606299213" bottom="0.74803149606299213" header="0.31496062992125984" footer="0.31496062992125984"/>
  <pageSetup paperSize="9" scale="37" orientation="landscape" horizontalDpi="4294967295" verticalDpi="4294967295"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96A25B-4EDF-4388-A62D-0FC5CA5C9C82}">
  <sheetPr>
    <pageSetUpPr fitToPage="1"/>
  </sheetPr>
  <dimension ref="A1:AB54"/>
  <sheetViews>
    <sheetView topLeftCell="B1" zoomScaleNormal="100" workbookViewId="0">
      <selection activeCell="D5" sqref="D5"/>
    </sheetView>
  </sheetViews>
  <sheetFormatPr defaultColWidth="9.109375" defaultRowHeight="20.399999999999999" x14ac:dyDescent="0.35"/>
  <cols>
    <col min="1" max="1" width="16" style="1" hidden="1" customWidth="1"/>
    <col min="2" max="2" width="75.5546875" style="2" customWidth="1"/>
    <col min="3" max="3" width="25.5546875" style="3" customWidth="1"/>
    <col min="4" max="4" width="25.33203125" style="2" customWidth="1"/>
    <col min="5" max="5" width="22.6640625" style="2" customWidth="1"/>
    <col min="6" max="6" width="21" style="2" customWidth="1"/>
    <col min="7" max="7" width="25" style="2" customWidth="1"/>
    <col min="8" max="8" width="29.44140625" style="2" bestFit="1" customWidth="1"/>
    <col min="9" max="9" width="32.109375" style="2" bestFit="1" customWidth="1"/>
    <col min="10" max="10" width="22" style="2" customWidth="1"/>
    <col min="11" max="11" width="23.33203125" style="2" customWidth="1"/>
    <col min="12" max="12" width="31" style="2" customWidth="1"/>
    <col min="13" max="13" width="23.5546875" style="2" customWidth="1"/>
    <col min="14" max="14" width="21.109375" style="2" customWidth="1"/>
    <col min="15" max="15" width="14.44140625" style="83" bestFit="1" customWidth="1"/>
    <col min="16" max="16" width="21.6640625" style="83" hidden="1" customWidth="1"/>
    <col min="17" max="17" width="14.33203125" style="86" hidden="1" customWidth="1"/>
    <col min="18" max="18" width="12.88671875" style="86" hidden="1" customWidth="1"/>
    <col min="19" max="19" width="13" style="86" hidden="1" customWidth="1"/>
    <col min="20" max="20" width="17.109375" style="86" hidden="1" customWidth="1"/>
    <col min="21" max="21" width="21.5546875" style="86" customWidth="1"/>
    <col min="22" max="22" width="22.88671875" style="86" customWidth="1"/>
    <col min="23" max="26" width="17.109375" style="86" bestFit="1" customWidth="1"/>
    <col min="27" max="27" width="15" style="86" customWidth="1"/>
    <col min="28" max="28" width="14.33203125" style="86" bestFit="1" customWidth="1"/>
    <col min="29" max="16384" width="9.109375" style="1"/>
  </cols>
  <sheetData>
    <row r="1" spans="1:28" ht="15.75" customHeight="1" x14ac:dyDescent="0.35">
      <c r="B1" s="121" t="s">
        <v>46</v>
      </c>
      <c r="C1" s="122"/>
      <c r="D1" s="122"/>
      <c r="E1" s="122"/>
      <c r="F1" s="122"/>
      <c r="G1" s="122"/>
      <c r="H1" s="122"/>
      <c r="I1" s="122"/>
      <c r="J1" s="122"/>
      <c r="K1" s="122"/>
      <c r="L1" s="122"/>
      <c r="M1" s="122"/>
      <c r="N1" s="123"/>
    </row>
    <row r="2" spans="1:28" ht="15.75" customHeight="1" x14ac:dyDescent="0.35">
      <c r="B2" s="124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6"/>
      <c r="Q2" s="83"/>
      <c r="S2" s="87"/>
    </row>
    <row r="3" spans="1:28" ht="15.75" customHeight="1" x14ac:dyDescent="0.35">
      <c r="B3" s="124"/>
      <c r="C3" s="125"/>
      <c r="D3" s="125"/>
      <c r="E3" s="125"/>
      <c r="F3" s="125"/>
      <c r="G3" s="125"/>
      <c r="H3" s="125"/>
      <c r="I3" s="125"/>
      <c r="J3" s="125"/>
      <c r="K3" s="125"/>
      <c r="L3" s="125"/>
      <c r="M3" s="125"/>
      <c r="N3" s="126"/>
      <c r="O3" s="82"/>
      <c r="P3" s="82"/>
      <c r="Q3" s="81"/>
      <c r="R3" s="81"/>
      <c r="S3" s="88" t="e">
        <f>N7+J14</f>
        <v>#VALUE!</v>
      </c>
      <c r="T3" s="88"/>
      <c r="U3" s="81"/>
      <c r="V3" s="81"/>
      <c r="W3" s="81"/>
      <c r="AA3" s="86">
        <f>273000/5</f>
        <v>54600</v>
      </c>
    </row>
    <row r="4" spans="1:28" ht="15.75" customHeight="1" x14ac:dyDescent="0.4">
      <c r="B4" s="127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9"/>
      <c r="O4" s="89" t="s">
        <v>0</v>
      </c>
      <c r="P4" s="89"/>
      <c r="Q4" s="90"/>
      <c r="R4" s="90"/>
      <c r="S4" s="91"/>
      <c r="T4" s="91"/>
      <c r="U4" s="90" t="s">
        <v>1</v>
      </c>
      <c r="V4" s="90" t="s">
        <v>2</v>
      </c>
      <c r="W4" s="90" t="s">
        <v>3</v>
      </c>
    </row>
    <row r="5" spans="1:28" ht="25.2" thickBot="1" x14ac:dyDescent="0.45">
      <c r="B5" s="17">
        <f ca="1">TODAY()</f>
        <v>46215</v>
      </c>
      <c r="C5" s="18" t="str">
        <f>IF(D5="MIG09","Mirage G09",IF(D5="MIG10","MirageG10",IF(D5="ATG16","Attrage G16",IF(D5="ATP16","Attrage P16",IF(D5="ATG17","Attrage G17",IF(D5="ASG48","ASX G48",IF(D5="ASG43","ASX G43", IF(D5="ASG40","ASXG40",IF(D5="ASG42","ASX G42",IF(D5="ASG44","ASX G44",IF(D5="ASG45","ASX G45",IF(D5="ECG38","Eclipse G38",IF(D5="ECG37","Eclipse G37",IF(D5="ECG40","Eclipse G40",IF(D5="ECG43","Eclipse G43",IF(D5="XPML","Xpander ML",IF(D5="XPHL","Xpander HL",IF(D5="XPMLP","Xpander ML P",IF(D5="XPMLP-01","Xpander ML P-01",IF(D5="XC","Xpander Cross", IF(D5="OTF03","Outlander F03",IF(D5="OTP03","Outlander P03",IF(D5="OTF06","Outlander F06",IF(D5="OTP06","Outlander P06",IF(D5="OTP06-01","Outlander P06-01",IF(D5="OTF08","Outlander F08",IF(D5="OTP08","Outlander P08P", IF(D5="MOP57","Montero P57",IF(D5="MOG64","Montero G64",IF(D5="MOG59","Montero G59",IF(D5="MOG59P","Montero G59 P",IF(D5="MOG61","Montero G61",IF(D5="MOP61","Montero P61")))))))))))))))))))))))))))))))))</f>
        <v>Outlander P06-01</v>
      </c>
      <c r="D5" s="19" t="s">
        <v>110</v>
      </c>
      <c r="E5" s="20" t="s">
        <v>47</v>
      </c>
      <c r="F5" s="21"/>
      <c r="G5" s="21"/>
      <c r="H5" s="21"/>
      <c r="I5" s="22"/>
      <c r="J5" s="23"/>
      <c r="K5" s="24">
        <v>0</v>
      </c>
      <c r="L5" s="25">
        <v>3.39E-2</v>
      </c>
      <c r="M5" s="25">
        <v>6.7799999999999999E-2</v>
      </c>
      <c r="N5" s="25">
        <v>0.1017</v>
      </c>
      <c r="O5" s="92">
        <f>K7+K14</f>
        <v>14327.111640660001</v>
      </c>
      <c r="S5" s="87"/>
      <c r="U5" s="87">
        <f>L7+L14</f>
        <v>5837.9370519516679</v>
      </c>
      <c r="V5" s="87">
        <f>M7+M14</f>
        <v>3905.2160492100002</v>
      </c>
      <c r="W5" s="87">
        <f>N7+N14</f>
        <v>2706.1225852850007</v>
      </c>
    </row>
    <row r="6" spans="1:28" s="5" customFormat="1" ht="128.25" customHeight="1" thickBot="1" x14ac:dyDescent="0.35">
      <c r="A6" s="4" t="s">
        <v>4</v>
      </c>
      <c r="B6" s="26" t="s">
        <v>5</v>
      </c>
      <c r="C6" s="27" t="s">
        <v>6</v>
      </c>
      <c r="D6" s="27" t="s">
        <v>48</v>
      </c>
      <c r="E6" s="27" t="s">
        <v>7</v>
      </c>
      <c r="F6" s="27" t="s">
        <v>8</v>
      </c>
      <c r="G6" s="28" t="s">
        <v>9</v>
      </c>
      <c r="H6" s="28" t="s">
        <v>49</v>
      </c>
      <c r="I6" s="28" t="s">
        <v>10</v>
      </c>
      <c r="J6" s="28" t="s">
        <v>56</v>
      </c>
      <c r="K6" s="28" t="s">
        <v>11</v>
      </c>
      <c r="L6" s="28" t="s">
        <v>12</v>
      </c>
      <c r="M6" s="28" t="s">
        <v>13</v>
      </c>
      <c r="N6" s="28" t="s">
        <v>14</v>
      </c>
      <c r="O6" s="93"/>
      <c r="P6" s="94"/>
      <c r="Q6" s="95"/>
      <c r="R6" s="95"/>
      <c r="S6" s="95"/>
      <c r="T6" s="96"/>
      <c r="U6" s="96">
        <f>N7+L14</f>
        <v>4585.211265285001</v>
      </c>
      <c r="V6" s="96">
        <f>N7+K14</f>
        <v>11508.478620660002</v>
      </c>
      <c r="W6" s="96"/>
      <c r="X6" s="95"/>
      <c r="Y6" s="95"/>
      <c r="Z6" s="95"/>
      <c r="AA6" s="95"/>
      <c r="AB6" s="95"/>
    </row>
    <row r="7" spans="1:28" ht="25.2" thickBot="1" x14ac:dyDescent="0.45">
      <c r="A7" s="6">
        <f>B8</f>
        <v>118900</v>
      </c>
      <c r="B7" s="29">
        <f>IF(L20="YES",C8*1,IF(L20="NO",B8*1))</f>
        <v>118900</v>
      </c>
      <c r="C7" s="29">
        <f>B7*5/100</f>
        <v>5945</v>
      </c>
      <c r="D7" s="29">
        <f>B7+C7</f>
        <v>124845</v>
      </c>
      <c r="E7" s="29">
        <f>D17</f>
        <v>15751.651000000002</v>
      </c>
      <c r="F7" s="29">
        <f>(C7)+(D10+D11+D12+D13+D16)*5/100</f>
        <v>6280</v>
      </c>
      <c r="G7" s="30">
        <f>B7+E7+F7</f>
        <v>140931.65100000001</v>
      </c>
      <c r="H7" s="29">
        <f>G7*D20</f>
        <v>28186.330200000004</v>
      </c>
      <c r="I7" s="29">
        <f>(G7-H7)</f>
        <v>112745.32080000002</v>
      </c>
      <c r="J7" s="30">
        <f>(((I7*D19)*1)+I7)/12</f>
        <v>9629.3899406600012</v>
      </c>
      <c r="K7" s="30">
        <f>(((I7*D19)*2)+I7)/24</f>
        <v>4931.6682406600003</v>
      </c>
      <c r="L7" s="30">
        <f>(((I7*D19)*3)+I7)/36</f>
        <v>3365.7610073266674</v>
      </c>
      <c r="M7" s="30">
        <f>(((I7*D19)*4)+I7)/48</f>
        <v>2582.8073906600002</v>
      </c>
      <c r="N7" s="30">
        <f>((((I7*D19)*5)+I7)/60)</f>
        <v>2113.0352206600005</v>
      </c>
      <c r="O7" s="92"/>
      <c r="P7" s="83">
        <f>H7+H16</f>
        <v>29370.156068400003</v>
      </c>
      <c r="T7" s="87">
        <f>25973/2</f>
        <v>12986.5</v>
      </c>
    </row>
    <row r="8" spans="1:28" ht="24.6" x14ac:dyDescent="0.4">
      <c r="A8" s="7">
        <v>0.2</v>
      </c>
      <c r="B8" s="31">
        <f>IF(D5="MIG09",39900,IF(D5="MIG10",40400,IF(D5="ATG16",40400,IF(D5="ATP16",49900,IF(D5="ATG17",41900,IF(D5="ASG48",63900,IF(D5="ASG43",62900,IF(D5="ASG40",63900,IF(D5="ASG42",68900,IF(D5="ASG44",89900,IF(D5="ASG45",95900,IF(D5="ECG38",73900,IF(D5="ECG37",70900,IF(D5="ECG40",86900,IF(D5="ECG43",91900,IF(D5="XPML",62900,IF(D5="XPHL",62900,IF(D5="XPMLP",69900,IF(D5="XPMLP-01",77800,IF(D5="XC",77900,IF(D5="OTF03",96900,IF(D5="OTP03",79900,IF(D5="OTF06",92900,IF(D5="OTP06",111900,IF(D5="OTP06-01",118900,IF(D5="OTF08",122900,IF(D5="OTP08",109900,IF(D5="MOP57",99900,IF(D5="MOG64",108900,IF(D5="MOG59",116900,IF(D5="MOG59P",110900,IF(D5="MOG61",127900,IF(D5="MOP61",125900)))))))))))))))))))))))))))))))))</f>
        <v>118900</v>
      </c>
      <c r="C8" s="32">
        <f>IF(L20="YES",N20,IF(L20="NO",N20))</f>
        <v>118900</v>
      </c>
      <c r="D8" s="29">
        <v>0</v>
      </c>
      <c r="E8" s="33"/>
      <c r="F8" s="139"/>
      <c r="G8" s="140"/>
      <c r="H8" s="110">
        <f>G7*20/100</f>
        <v>28186.330200000004</v>
      </c>
      <c r="I8" s="21"/>
      <c r="J8" s="34" t="s">
        <v>15</v>
      </c>
      <c r="K8" s="23">
        <f>(J7*K5+J7)/24</f>
        <v>401.22458086083338</v>
      </c>
      <c r="L8" s="23">
        <f>(J7*L5+J7)/36</f>
        <v>276.55072943467707</v>
      </c>
      <c r="M8" s="23">
        <f>(J7*M5+J7)/48</f>
        <v>214.21380372159896</v>
      </c>
      <c r="N8" s="23">
        <f>(J7*N5+J7)/60</f>
        <v>176.81164829375206</v>
      </c>
      <c r="O8" s="92"/>
      <c r="P8" s="83">
        <f>P7/12</f>
        <v>2447.5130057000001</v>
      </c>
      <c r="T8" s="86">
        <f>25973-12973</f>
        <v>13000</v>
      </c>
    </row>
    <row r="9" spans="1:28" ht="24.6" x14ac:dyDescent="0.4">
      <c r="A9" s="8">
        <f>B8/(100%-A8)</f>
        <v>148625</v>
      </c>
      <c r="B9" s="109">
        <f>B7-B8</f>
        <v>0</v>
      </c>
      <c r="C9" s="35"/>
      <c r="D9" s="36"/>
      <c r="E9" s="33"/>
      <c r="F9" s="139"/>
      <c r="G9" s="140"/>
      <c r="H9" s="33"/>
      <c r="I9" s="37" t="s">
        <v>16</v>
      </c>
      <c r="J9" s="38">
        <f>(J7*12)-(I7)</f>
        <v>2807.3584879199916</v>
      </c>
      <c r="K9" s="38">
        <f>(K7*24)-I7</f>
        <v>5614.7169758399832</v>
      </c>
      <c r="L9" s="38">
        <f>(L7*36)-I7</f>
        <v>8422.0754637600039</v>
      </c>
      <c r="M9" s="38">
        <f>(M7*48)-I7</f>
        <v>11229.433951679996</v>
      </c>
      <c r="N9" s="38">
        <f>(N7*60)-I7</f>
        <v>14036.792439600016</v>
      </c>
      <c r="O9" s="92"/>
      <c r="T9" s="86">
        <f>T8/12</f>
        <v>1083.3333333333333</v>
      </c>
      <c r="Z9" s="86" t="s">
        <v>86</v>
      </c>
    </row>
    <row r="10" spans="1:28" ht="24.6" x14ac:dyDescent="0.4">
      <c r="A10" s="8"/>
      <c r="B10" s="37" t="s">
        <v>50</v>
      </c>
      <c r="C10" s="20" t="s">
        <v>17</v>
      </c>
      <c r="D10" s="36">
        <f>IF(C10="YES",800,IF(C10="NO",0))</f>
        <v>0</v>
      </c>
      <c r="E10" s="39"/>
      <c r="F10" s="40"/>
      <c r="G10" s="40"/>
      <c r="H10" s="33"/>
      <c r="I10" s="44" t="s">
        <v>85</v>
      </c>
      <c r="J10" s="117" t="s">
        <v>19</v>
      </c>
      <c r="K10" s="117">
        <f>IF(J10="YES",Z10,IF(J10="NO",0))</f>
        <v>1000</v>
      </c>
      <c r="L10" s="117"/>
      <c r="M10" s="117"/>
      <c r="N10" s="41">
        <f>(N8*60)-J7</f>
        <v>979.30895696512198</v>
      </c>
      <c r="O10" s="92">
        <f>IF(D5="XC",3690,IF(D5="XPML",3690,IF(D5="XPHL",3690,IF(D5="XPMLP",3690,IF(D5="XPMLP-01",3690,IF(D5="Xpander P",3690,IF(D5="MOP57",(U19*2.75/100+510)*1.05,IF(D5="MOG64",(U19*2.75/100+510)*1.05,IF(D5="MOG59",(U19*2.75/100+510)*1.05,IF(D5="MOG59P",(U19*2.75/100+510)*1.05,IF(D5="MOG61",(U19*2.75/100+510)*1.05,IF(D5="MOP61",(U19*2.75/100+510)*1.05,IF(D5="OTF03",(D7*3/100+510)*1.05,IF(D5="OTP03",(U19*3/100+510)*1.05,IF(D5="OTF06",(U19*3/100+510)*1.05,IF(D5="OTP06",(U19*3/100+510)*1.05,IF(D5="OTP06-01",(U19*3/100+510)*1.05,IF(D5="OTF08",(U19*3/100+510)*1.05,IF(D5="OTP08",(U19*3/100+510)*1.05,IF(D5="ECG38",3625,IF(D5="ECG37",3625,IF(D5="ECG40",(D7*3/100+510)*1.05,IF(D5="ECG43",(D7*3/100+510)*1.05,IF(D5="ASG48",3625,IF(D5="ASG43",3625,IF(D5="ASG40",3625,IF(D5="ASG42",3625,IF(D5="ASG44",3625,IF(D5="ASG45",3625,IF(D5="ASX HL 4WD",3625,IF(D5="ATG16",3625,IF(D5="ATG17",3625,IF(D5="ATP16",3625,IF(D5="Attrage S",3625,IF(D5="MIG09",3625,IF(D5="MIG10",3625,IF(D5="Xpander HL",3690)))))))))))))))))))))))))))))))))))))</f>
        <v>4689.72</v>
      </c>
      <c r="P10" s="97"/>
      <c r="Q10" s="97">
        <f>5.25*3</f>
        <v>15.75</v>
      </c>
      <c r="Z10" s="86">
        <f>IF(D5="MIG09",500,IF(D5="MIG10",500,IF(D5="ATG16",500,IF(D5="ATP16",500,IF(D5="ATG17",500,IF(D5="ASG48",1000,IF(D5="ASG43",1000,IF(D5="ASG40",1000,IF(D5="ASG42",1000,IF(D5="ASG44",1000,IF(D5="ASG45",1000,IF(D5="ECG38",1000,IF(D5="ECG37",1000,IF(D5="ECG40",1000,IF(D5="ECG43",1000,IF(D5="XPML",1000,IF(D5="XPHL",1000,IF(D5="XPMLP",1000,IF(D5="XPMLP-01",1000,IF(D5="XC",1000,IF(D5="OTF03",1000,IF(D5="OTP03",1000,IF(D5="OTF06",1000,IF(D5="OTP06",1000,IF(D5="OTP06-01",1000,IF(D5="OTF08",1000,IF(D5="OTP08",1000,IF(D5="MOP57",1000,IF(D5="MOG64",1000,IF(D5="MOG59",1000,IF(D5="MOG59P",1000,IF(D5="MOG61",1000,IF(D5="MOP61",1000)))))))))))))))))))))))))))))))))</f>
        <v>1000</v>
      </c>
    </row>
    <row r="11" spans="1:28" ht="24.6" x14ac:dyDescent="0.4">
      <c r="A11" s="8"/>
      <c r="B11" s="37" t="s">
        <v>18</v>
      </c>
      <c r="C11" s="20" t="s">
        <v>17</v>
      </c>
      <c r="D11" s="36">
        <f>IF(C11="YES",O17,IF(C11="NO",0))</f>
        <v>0</v>
      </c>
      <c r="E11" s="33"/>
      <c r="F11" s="40"/>
      <c r="G11" s="40"/>
      <c r="H11" s="33"/>
      <c r="I11" s="21"/>
      <c r="J11" s="44" t="s">
        <v>76</v>
      </c>
      <c r="K11" s="44">
        <f>H8-K10</f>
        <v>27186.330200000004</v>
      </c>
      <c r="L11" s="37"/>
      <c r="M11" s="37"/>
      <c r="N11" s="42"/>
      <c r="O11" s="92">
        <f>IF(D5="XC",6100,IF(D5="XPML",6100,IF(D5="XPHL",6100,IF(D5="XPMLP",6100,IF(D5="XPMLP-01",6100,IF(D5="Xpander P",6100,IF(D5="MOP57",5900,IF(D5="MOG64",5900,IF(D5="MOG59",5900,IF(D5="MOG59P",5900,IF(D5="MOG61",5900,IF(D5="MOP61",5900,IF(D5="OTF03",6700,IF(D5="OTP03",6700,IF(D5="OTF06",6700,IF(D5="OTP06",6700,IF(D5="OTP06-01",6700,IF(D5="OTF08",6700,IF(D5="OTP08",6700,IF(D5="ECG37",6400,IF(D5="ECG38",6400,IF(D5="ECG40",6400,IF(D5="ECG43",6400,IF(D5="ASG48",6600,IF(D5="ASG43",6600,IF(D5="ASG40",6600,IF(D5="ASG42",6600,IF(D5="ASG44",6600,IF(D5="ASG45",6600,IF(D5="ASX HL 4WD",6600,IF(D5="ATG16",5400,IF(D5="ATG17",5400,IF(D5="ATP16",5400,IF(D5="Attrage S",5400,IF(D5="MIG09",5400,IF(D5="MIG10",5400,IF(D5="Xpander HL",6000)))))))))))))))))))))))))))))))))))))</f>
        <v>6700</v>
      </c>
      <c r="P11" s="92"/>
      <c r="Q11" s="92"/>
      <c r="R11" s="92"/>
      <c r="S11" s="92"/>
      <c r="T11" s="92"/>
      <c r="U11" s="92">
        <f>IF(D5="XC",4900,IF(D5="XPML",4900,IF(D5="XPHL",4900,IF(D5="XPMLP",4900,IF(D5="XPMLP-01",4900,IF(D5="Xpander P",4900,IF(D5="MOP57",4600,IF(D5="MOG64",4600,IF(D5="MOG59",4600,IF(D5="MOG59P",4600,IF(D5="MOG61",4600,IF(D5="MOP61",4600,IF(D5="OTF03",5500,IF(D5="OTP03",5500,IF(D5="OTF06",5500,IF(D5="OTP06",5500,IF(D5="OTP06-01",5500,IF(D5="OTF08",5500,IF(D5="OTP08",5500,IF(D5="ECG38",5200,IF(D5="ECG37",5200,IF(D5="ECG40",5200,IF(D5="ECG43",5200,IF(D5="ASG48",5300,IF(D5="ASG43",5300,IF(D5="ASG40",5300,IF(D5="ASG42",5300,IF(D5="ASG44",5300,IF(D5="ASG45",5300,IF(D5="ASX HL",5300,IF(D5="ASX P",5300,IF(D5="ASX HL 4WD",5300,IF(D5="ATG16",4200,IF(D5="ATG17",4200,IF(D5="ATP16",4200,IF(D5="Attrage S",4200,IF(D5="MIG09",4200,IF(D5="MIG10",4200,IF(D5="Xpander HL",4900)))))))))))))))))))))))))))))))))))))))</f>
        <v>5500</v>
      </c>
      <c r="V11" s="92">
        <f>IF(D5="XC",9700,IF(D5="XPML",9700,IF(D5="XPHL",9700,IF(D5="XPMLP",9700,IF(D5="XPMLP-01",9700,IF(D5="XPMLP-01",9700,IF(D5="Xpander P",9700,IF(D5="MOP57",9300,IF(D5="MG64",9300,IF(D5="MOG59",9300,IF(D5="MOG59P",9300,IF(D5="MOG61",9300,IF(D5="MOP61",9300,IF(D5="OTF03",11000,IF(D5="OTP03",11000,IF(D5="OTF06",11000,IF(D5="OTP06",11000,IF(D5="OTP06-01",11000,IF(D5="OTF08",11000,IF(D5="OTP08",11000,IF(D5="ECG38",10400,IF(D5="ECG37",10400,IF(D5="ECG40",10400,IF(D5="ECG43",10400,IF(D5="ASG48",10700,IF(D5="ASG43",10700,IF(D5="ASG40",10700,IF(D5="ASG42",10700,IF(D5="ASG44",10800,IF(D5="ASG45",10800,IF(D5="ASX HL",12200,IF(D5="ASX P",12200,IF(D5="ASX HL 4WD",12200,IF(D5="ATG16",8500,IF(D5="ATG17",8500,IF(D5="ATP16",8500,IF(D5="Attrage S",9600,IF(D5="MIG09",8500,IF(D5="MIG10",8500,IF(D5="Xpander HL",11300))))))))))))))))))))))))))))))))))))))))</f>
        <v>11000</v>
      </c>
      <c r="W11" s="92">
        <f>IF(D5="XC",9200,IF(D5="XPML",9200,IF(D5="XPHL",9200,IF(D5="XPMLP",9200,IF(D5="XPMLP-01",9200,IF(D5="Xpander P",9200,IF(D5="MOP57",8700,IF(D5="MOG64",8700,IF(D5="MOG59",8700,IF(D5="MOG59P",8700,IF(D5="MOG61",8700,IF(D5="MOP61",8700,IF(D5="OTF03",10400,IF(D5="OTP03",10400,IF(D5="OTF06",10400,IF(D5="OTP06",10400,IF(D5="OTP06-01",10400,IF(D5="OTF08",10400,IF(D5="OTP08",10400,IF(D5="ECG38",9800,IF(D5="ECG37",9800,IF(D5="ECG40",9800,IF(D5="ECG43",9800,IF(D5="ASG48",10100,IF(D5="ASG43",10100,IF(D5="ASG40",10100,IF(D5="ASG42",10100,IF(D5="ASG44",10100,IF(D5="ASG45",10100,IF(D5="ASX HL",10100,IF(D5="ASX P",10100,IF(D5="ASX HL 4WD",10100,IF(D5="ATG16",7900,IF(D5="ATG17",7900,IF(D5="ATP16",7900,IF(D5="Attrage S",7900,IF(D5="MIG09",7900,IF(D5="MIG10",7900,IF(D5="Xpander HL",9200)))))))))))))))))))))))))))))))))))))))</f>
        <v>10400</v>
      </c>
      <c r="X11" s="92">
        <f>IF(D5="XC",4500,IF(D5="XPML",4500,IF(D5="XPHL",4500,IF(D5="XPMLP",4500,IF(D5="XPMLP-01",4500,IF(D5="Xpander P",4500,IF(D5="MOP57",4300,IF(D5="MOG64",4300,IF(D5="MOG59",4300,IF(D5="MOG59P",4300,IF(D5="MOG61",4300,IF(D5="MOP61",4300,IF(D5="OTF03",5000,IF(D5="OTP03",5000,IF(D5="OTF06",5000,IF(D5="OTP06",5000,IF(D5="OTP06-01",5000,IF(D5="OTF08",5000,IF(D5="OTP08",5000,IF(D5="ECG38",4900,IF(D5="ECG37",4900,IF(D5="ECG40",4900,IF(D5="ECG43",4900,IF(D5="ASG48",4900,IF(D5="ASG43",4900,IF(D5="ASG40",4900,IF(D5="ASG42",4900,IF(D5="ASG44",4900,IF(D5="ASG45",4900,IF(D5="ASX HL",4900,IF(D5="ASX P",4900,IF(D5="ASX HL 4WD",4900,IF(D5="ATG16",3700,IF(D5="ATG17",3700,IF(D5="ATP16",3700,IF(D5="Attrage S",3700,IF(D5="MIG09",3700,IF(D5="MIG10",3700,IF(D5="Xpander HL",4500)))))))))))))))))))))))))))))))))))))))</f>
        <v>5000</v>
      </c>
      <c r="Y11" s="92">
        <f>IF(D5="XC",5400,IF(D5="XPML ",5400,IF(D5="XPHL",5400,IF(D5="XPMLP",5400,IF(D5="XPMLP-01",5400,IF(D5="Xpander P",5400,IF(D5="MOP57",5200,IF(D5="MOG64",5200,IF(D5="MOG59",5200,IF(D5="MOG59P",5200,IF(D5="MOG61",5200,IF(D5="MOP61",5200,IF(D5="OTF03",6000,IF(D5="OTP03",6000,IF(D5="OTF06",6000,IF(D5="OTP06",6000,IF(D5="OTP06-01",6000,IF(D5="OTF08",6000,IF(D5="OTP08",6000,IF(D5="ECG38",5700,IF(D5="ECG37",5700,IF(D5="ECG40",5700,IF(D5="ECG43",5700,IF(D5="ASG48",5900,IF(D5="ASG43",5900,IF(D5="ASG40",5900,IF(D5="ASG42",5900,IF(D5="ASG44",5900,IF(D5="ASG45",5900,IF(D5="ASX HL",5900,IF(D5="ASX P",5900,IF(D5="ASX HL 4WD",5900,IF(D5="ATG16",4500,IF(D5="ATG17",4500,IF(D5="ATP16",4500,IF(D5="Attrage S",4500,IF(D5="MIG09",4500,IF(D5="MIG10",4500,IF(D5="Xpander HL",5400)))))))))))))))))))))))))))))))))))))))</f>
        <v>6000</v>
      </c>
    </row>
    <row r="12" spans="1:28" ht="24.75" customHeight="1" x14ac:dyDescent="0.4">
      <c r="A12" s="8"/>
      <c r="B12" s="37" t="s">
        <v>20</v>
      </c>
      <c r="C12" s="20" t="s">
        <v>17</v>
      </c>
      <c r="D12" s="36">
        <f>IF(C12="YES",2000,IF(C12="NO",0))</f>
        <v>0</v>
      </c>
      <c r="E12" s="43"/>
      <c r="F12" s="43" t="s">
        <v>21</v>
      </c>
      <c r="G12" s="40"/>
      <c r="H12" s="33">
        <v>600</v>
      </c>
      <c r="I12" s="21"/>
      <c r="J12" s="44" t="s">
        <v>22</v>
      </c>
      <c r="K12" s="45">
        <v>0</v>
      </c>
      <c r="L12" s="45">
        <v>5.2499999999999998E-2</v>
      </c>
      <c r="M12" s="45">
        <v>0.126</v>
      </c>
      <c r="N12" s="46">
        <v>0.26250000000000001</v>
      </c>
      <c r="O12" s="92">
        <f>IF(K20="Esaad",B8*3/100,IF(K20="Emirates Platinum",B8*3/100,IF(K20="Fazaa",B8*3/100,IF(K20="Humat Alwatan",B8*3/100,IF(K20="Permissible",2000,IF(K20="ASX",8400,IF(K20="XPMLP",4000,IF(K20="XP",14100,IF(K20="G43",11000,IF(K20="EC",7000,IF(K20="G37",14000,IF(K20="G38",15000,IF(K20="G40",11000,IF(K20="OUT",9600,IF(K20="F08",15400,IF(K20="P08",11100,IF(K20="F06",14100,IF(K20="P06",17100,IF(K20="F03",17000,IF(K20="P03",19100,IF(K20="MON",10000,IF(K20="MON G57",10000,0))))))))))))))))))))))</f>
        <v>2000</v>
      </c>
      <c r="P12" s="92"/>
      <c r="Q12" s="92"/>
      <c r="R12" s="92"/>
      <c r="S12" s="92"/>
      <c r="T12" s="92"/>
      <c r="U12" s="92"/>
      <c r="V12" s="92"/>
      <c r="W12" s="92"/>
      <c r="X12" s="92"/>
      <c r="Y12" s="92"/>
      <c r="Z12" s="86" t="s">
        <v>83</v>
      </c>
      <c r="AA12" s="86" t="s">
        <v>84</v>
      </c>
    </row>
    <row r="13" spans="1:28" ht="24.6" x14ac:dyDescent="0.4">
      <c r="A13" s="8">
        <f>B8*1.26582</f>
        <v>150505.99799999999</v>
      </c>
      <c r="B13" s="37" t="s">
        <v>23</v>
      </c>
      <c r="C13" s="20" t="s">
        <v>17</v>
      </c>
      <c r="D13" s="36">
        <f>IF(C13="YES",2000,IF(C13="NO",0))</f>
        <v>0</v>
      </c>
      <c r="E13" s="47"/>
      <c r="F13" s="47" t="s">
        <v>75</v>
      </c>
      <c r="G13" s="40"/>
      <c r="H13" s="33">
        <v>315</v>
      </c>
      <c r="I13" s="21"/>
      <c r="J13" s="44" t="s">
        <v>54</v>
      </c>
      <c r="K13" s="29" t="s">
        <v>79</v>
      </c>
      <c r="L13" s="29" t="s">
        <v>25</v>
      </c>
      <c r="M13" s="29" t="s">
        <v>0</v>
      </c>
      <c r="N13" s="49" t="s">
        <v>26</v>
      </c>
      <c r="O13" s="98">
        <f>IF(M21="3000-4999",6%,IF(M21="5000-9999",4.75%,IF(M21="10000-14999",3.15%,IF(M21="15000-24999",2.5%,IF(M21="25000-34999",2.25%,IF(M21="35000-99999",2.25%))))))</f>
        <v>4.7500000000000001E-2</v>
      </c>
      <c r="Q13" s="83">
        <f>H7/12</f>
        <v>2348.8608500000005</v>
      </c>
      <c r="U13" s="9">
        <f>IF(M21="3000-4999",6%,IF(M21="5000-9999",3.25%,IF(M21="10000-14999",3%,IF(M21="15000-24999",2.25%,IF(M21="25000-34999",2.15%,IF(M21="35000-99999",1.99%))))))</f>
        <v>3.2500000000000001E-2</v>
      </c>
      <c r="Z13" s="99">
        <f>IF(M21="5000-9999",2.49%,IF(M21="10000-19999",2.19%,IF(M21="20000-34999",2.09%,IF(M21="35000-49999",1.89%,IF(M21="50000-99999",1.79%)))))</f>
        <v>2.4900000000000002E-2</v>
      </c>
      <c r="AA13" s="99">
        <f>IF(M21="5000-9999",2.59%,IF(M21="10000-19999",2.29%,IF(M21="20000-34999",2.19%,IF(M21="35000-49999",1.99%,IF(M21="50000-99999",1.89%)))))</f>
        <v>2.5899999999999999E-2</v>
      </c>
    </row>
    <row r="14" spans="1:28" ht="24.6" x14ac:dyDescent="0.4">
      <c r="A14" s="10" t="s">
        <v>27</v>
      </c>
      <c r="B14" s="37" t="s">
        <v>24</v>
      </c>
      <c r="C14" s="20" t="s">
        <v>19</v>
      </c>
      <c r="D14" s="50">
        <f>IF(C14="YES",U19*3.15*1.05/100,IF(C14="NO",U19*0/100))</f>
        <v>4361.9310000000005</v>
      </c>
      <c r="E14" s="48"/>
      <c r="F14" s="48" t="s">
        <v>24</v>
      </c>
      <c r="G14" s="51" t="s">
        <v>17</v>
      </c>
      <c r="H14" s="39">
        <f>IF(G14="YES",U19*3.15*1.05/100,IF(G14="NO",U19*0/100))</f>
        <v>0</v>
      </c>
      <c r="I14" s="21"/>
      <c r="J14" s="44" t="s">
        <v>55</v>
      </c>
      <c r="K14" s="44">
        <f>(H8*K12+H8)/3</f>
        <v>9395.4434000000019</v>
      </c>
      <c r="L14" s="44">
        <f>(H8*L12+H8)/12</f>
        <v>2472.1760446250005</v>
      </c>
      <c r="M14" s="44">
        <f>(H8*M12+H8)/24</f>
        <v>1322.4086585500002</v>
      </c>
      <c r="N14" s="52">
        <f>(H7*N12+H7)/60</f>
        <v>593.08736462500008</v>
      </c>
      <c r="O14" s="98">
        <f>IF(M21="3000-4999",3.89%,IF(M21="5000-9999",3.89%,IF(M21="10000-14999",3.89%,IF(M21="15000-24999",2.69%,IF(M21="25000-34999",2.69%,IF(M21="35000-99999",2.39%,IF(M21="76000-99999",2.19%)))))))</f>
        <v>3.8900000000000004E-2</v>
      </c>
    </row>
    <row r="15" spans="1:28" ht="24.6" x14ac:dyDescent="0.4">
      <c r="A15" s="11">
        <f>(B7*3%)+10+120</f>
        <v>3697</v>
      </c>
      <c r="B15" s="37" t="s">
        <v>28</v>
      </c>
      <c r="C15" s="20" t="s">
        <v>19</v>
      </c>
      <c r="D15" s="29">
        <f>IF(C15="YES",O10,IF(C15="NO",0))</f>
        <v>4689.72</v>
      </c>
      <c r="E15" s="48"/>
      <c r="F15" s="48" t="s">
        <v>53</v>
      </c>
      <c r="G15" s="51" t="s">
        <v>17</v>
      </c>
      <c r="H15" s="39">
        <f>IF(G15="YES",O10,IF(G15="NO",0))</f>
        <v>0</v>
      </c>
      <c r="I15" s="21"/>
      <c r="J15" s="44"/>
      <c r="K15" s="44"/>
      <c r="L15" s="44"/>
      <c r="M15" s="44"/>
      <c r="N15" s="53"/>
      <c r="O15" s="98" t="b">
        <f>IF(M21="3000-4999",4.99%, IF(M21="5000-11999",2.75%,IF(M21="12000-19999",2.75%,IF(M21="20000-39999",2.25%,IF(M21="40000-69999",2.39%,IF(M21="70000-99999",2.25%))))))</f>
        <v>0</v>
      </c>
      <c r="P15" s="99"/>
    </row>
    <row r="16" spans="1:28" ht="24.6" x14ac:dyDescent="0.4">
      <c r="A16" s="11">
        <f>((B7-B8)*3%+10+120)</f>
        <v>130</v>
      </c>
      <c r="B16" s="37" t="s">
        <v>78</v>
      </c>
      <c r="C16" s="20" t="s">
        <v>19</v>
      </c>
      <c r="D16" s="29">
        <f>IF(C16="YES",O16,IF(C16="NO",0))</f>
        <v>6700</v>
      </c>
      <c r="E16" s="47"/>
      <c r="F16" s="47" t="s">
        <v>74</v>
      </c>
      <c r="G16" s="54"/>
      <c r="H16" s="33">
        <f>I7*1.05%</f>
        <v>1183.8258684000002</v>
      </c>
      <c r="I16" s="21"/>
      <c r="J16" s="44" t="s">
        <v>16</v>
      </c>
      <c r="K16" s="44">
        <f>(K14*3)-H8</f>
        <v>0</v>
      </c>
      <c r="L16" s="44">
        <f>(L14*12)-H8</f>
        <v>1479.7823355</v>
      </c>
      <c r="M16" s="44">
        <f>(M14*24)-H8</f>
        <v>3551.4776052000016</v>
      </c>
      <c r="N16" s="53"/>
      <c r="O16" s="92">
        <f>IF(B16="RMC-10-70KMS",O11,IF(B16="RMC-10-100000KMS",V11,IF(B16="RMC-40-70KMS",U11, IF(B16="RMC-10-40KMS",X11, IF(B16="RMC-10-60KMS",Y11, IF(B16="RMC-40-100000KMS",W11,0))))))</f>
        <v>6700</v>
      </c>
    </row>
    <row r="17" spans="1:28" ht="24.6" x14ac:dyDescent="0.4">
      <c r="A17" s="11">
        <f>A15+A16</f>
        <v>3827</v>
      </c>
      <c r="B17" s="37"/>
      <c r="C17" s="20"/>
      <c r="D17" s="29">
        <f>SUM(D10:D16)</f>
        <v>15751.651000000002</v>
      </c>
      <c r="E17" s="33"/>
      <c r="F17" s="33"/>
      <c r="G17" s="33"/>
      <c r="H17" s="33">
        <f>H7+H12+H15+H16</f>
        <v>29970.156068400003</v>
      </c>
      <c r="I17" s="33"/>
      <c r="J17" s="22"/>
      <c r="K17" s="53"/>
      <c r="L17" s="53"/>
      <c r="M17" s="53"/>
      <c r="N17" s="53"/>
      <c r="O17" s="92">
        <f>IF(B11="FO Ceramic+ Intr&amp;Extr CeramicGold WdwTnt",2700,IF(B11="FO Mirror Camera Sensor",2000))</f>
        <v>2700</v>
      </c>
      <c r="T17" s="86">
        <f>19615-791</f>
        <v>18824</v>
      </c>
    </row>
    <row r="18" spans="1:28" ht="24.6" x14ac:dyDescent="0.4">
      <c r="A18" s="12" t="s">
        <v>29</v>
      </c>
      <c r="B18" s="55" t="s">
        <v>30</v>
      </c>
      <c r="C18" s="56"/>
      <c r="D18" s="57">
        <v>0</v>
      </c>
      <c r="E18" s="38"/>
      <c r="F18" s="22"/>
      <c r="G18" s="22"/>
      <c r="H18" s="21"/>
      <c r="I18" s="21"/>
      <c r="J18" s="21"/>
      <c r="K18" s="21"/>
      <c r="L18" s="21"/>
      <c r="M18" s="21"/>
      <c r="N18" s="21"/>
      <c r="O18" s="92"/>
      <c r="U18" s="100" t="s">
        <v>52</v>
      </c>
      <c r="V18" s="100" t="s">
        <v>52</v>
      </c>
    </row>
    <row r="19" spans="1:28" ht="24.6" x14ac:dyDescent="0.4">
      <c r="A19" s="11">
        <f>B8*3.15%</f>
        <v>3745.35</v>
      </c>
      <c r="B19" s="58" t="s">
        <v>31</v>
      </c>
      <c r="C19" s="59"/>
      <c r="D19" s="60">
        <f>IF(K21="DIB EXPAT",O13,IF(K21="DIB LOCAL GVH",U13,IF(K21="Emirates NBD",O14,IF(K21="ADCB",O15,IF(K21="ADCB PAY IN 2027",O19,IF(K21="Ajman Bank",O18,IF(K21="SIB STL",Z13,IF(K21="SIB NON STL",AA13,))))))))</f>
        <v>2.4900000000000002E-2</v>
      </c>
      <c r="E19" s="22"/>
      <c r="F19" s="61"/>
      <c r="G19" s="141" t="s">
        <v>73</v>
      </c>
      <c r="H19" s="142"/>
      <c r="I19" s="143"/>
      <c r="J19" s="109">
        <f>H7/365</f>
        <v>77.222822465753438</v>
      </c>
      <c r="K19" s="21"/>
      <c r="L19" s="21"/>
      <c r="M19" s="21"/>
      <c r="N19" s="23">
        <f>D7</f>
        <v>124845</v>
      </c>
      <c r="O19" s="98" t="b">
        <f>IF(M21="5000-11999",3.35%,IF(M21="12000-19999",3.35%,IF(M21="20000-39999",2.85%,IF(M21="40000-69999",2.85%,IF(M21="70000-99999",2.85%)))))</f>
        <v>0</v>
      </c>
      <c r="P19" s="83">
        <f>81400-2500</f>
        <v>78900</v>
      </c>
      <c r="U19" s="101">
        <f>V19</f>
        <v>131880</v>
      </c>
      <c r="V19" s="102">
        <f>(B7+D10+D11+D12+D13+D16)*1.05</f>
        <v>131880</v>
      </c>
      <c r="X19" s="87">
        <f>G7*3.15*1.05/100</f>
        <v>4661.3143568249998</v>
      </c>
      <c r="Y19" s="87">
        <f>G7*3/100+510*1.05</f>
        <v>4763.4495300000008</v>
      </c>
      <c r="Z19" s="87">
        <f>Y19+X19</f>
        <v>9424.7638868249996</v>
      </c>
      <c r="AA19" s="87">
        <f>(Z19)-(D14+D15)</f>
        <v>373.11288682499799</v>
      </c>
      <c r="AB19" s="87">
        <f>AA19*1.25</f>
        <v>466.39110853124748</v>
      </c>
    </row>
    <row r="20" spans="1:28" ht="24.6" x14ac:dyDescent="0.4">
      <c r="A20" s="11"/>
      <c r="B20" s="58" t="s">
        <v>32</v>
      </c>
      <c r="C20" s="62"/>
      <c r="D20" s="63">
        <v>0.2</v>
      </c>
      <c r="E20" s="21"/>
      <c r="F20" s="21"/>
      <c r="G20" s="42"/>
      <c r="H20" s="42"/>
      <c r="I20" s="42"/>
      <c r="J20" s="103"/>
      <c r="K20" s="104" t="s">
        <v>33</v>
      </c>
      <c r="L20" s="104" t="s">
        <v>17</v>
      </c>
      <c r="M20" s="104">
        <f>IF(L20="YES",O12,IF(L20="NO",0))</f>
        <v>0</v>
      </c>
      <c r="N20" s="23">
        <f>B8-M20</f>
        <v>118900</v>
      </c>
      <c r="O20" s="92"/>
      <c r="P20" s="99"/>
      <c r="T20" s="86">
        <f>1992+1084</f>
        <v>3076</v>
      </c>
      <c r="V20" s="83"/>
      <c r="X20" s="87">
        <f>X19-D14</f>
        <v>299.38335682499928</v>
      </c>
      <c r="Y20" s="87">
        <f>Y19-D15</f>
        <v>73.729530000000523</v>
      </c>
      <c r="AA20" s="87">
        <f>X20+Y20</f>
        <v>373.1128868249998</v>
      </c>
    </row>
    <row r="21" spans="1:28" ht="24.6" x14ac:dyDescent="0.4">
      <c r="A21" s="13">
        <f>A19+A20</f>
        <v>3745.35</v>
      </c>
      <c r="B21" s="21"/>
      <c r="C21" s="22"/>
      <c r="D21" s="21"/>
      <c r="E21" s="21"/>
      <c r="F21" s="21"/>
      <c r="G21" s="21"/>
      <c r="H21" s="21"/>
      <c r="I21" s="21"/>
      <c r="J21" s="37" t="s">
        <v>34</v>
      </c>
      <c r="K21" s="16" t="s">
        <v>83</v>
      </c>
      <c r="L21" s="105" t="s">
        <v>35</v>
      </c>
      <c r="M21" s="106" t="s">
        <v>80</v>
      </c>
      <c r="N21" s="111"/>
      <c r="O21" s="92"/>
      <c r="T21" s="86">
        <f>25973-12973</f>
        <v>13000</v>
      </c>
    </row>
    <row r="22" spans="1:28" ht="24.6" x14ac:dyDescent="0.4">
      <c r="A22" s="13"/>
      <c r="B22" s="130" t="s">
        <v>51</v>
      </c>
      <c r="C22" s="131"/>
      <c r="D22" s="131"/>
      <c r="E22" s="131"/>
      <c r="F22" s="131"/>
      <c r="G22" s="131"/>
      <c r="H22" s="131"/>
      <c r="I22" s="131"/>
      <c r="J22" s="131"/>
      <c r="K22" s="131"/>
      <c r="L22" s="131"/>
      <c r="M22" s="131"/>
      <c r="N22" s="132"/>
      <c r="O22" s="92"/>
    </row>
    <row r="23" spans="1:28" ht="25.2" x14ac:dyDescent="0.45">
      <c r="A23" s="14" t="s">
        <v>36</v>
      </c>
      <c r="B23" s="64" t="s">
        <v>57</v>
      </c>
      <c r="C23" s="65"/>
      <c r="D23" s="65"/>
      <c r="E23" s="65"/>
      <c r="F23" s="65"/>
      <c r="G23" s="65"/>
      <c r="H23" s="66"/>
      <c r="I23" s="66"/>
      <c r="J23" s="65"/>
      <c r="K23" s="65"/>
      <c r="L23" s="65"/>
      <c r="M23" s="65"/>
      <c r="N23" s="67"/>
      <c r="O23" s="92">
        <f>N7+K14</f>
        <v>11508.478620660002</v>
      </c>
    </row>
    <row r="24" spans="1:28" ht="25.2" x14ac:dyDescent="0.45">
      <c r="A24" s="14" t="s">
        <v>36</v>
      </c>
      <c r="B24" s="64" t="s">
        <v>58</v>
      </c>
      <c r="C24" s="65"/>
      <c r="D24" s="65"/>
      <c r="E24" s="65"/>
      <c r="F24" s="65"/>
      <c r="G24" s="65"/>
      <c r="H24" s="85">
        <f>H7/365</f>
        <v>77.222822465753438</v>
      </c>
      <c r="I24" s="85">
        <f>H7/365</f>
        <v>77.222822465753438</v>
      </c>
      <c r="J24" s="65"/>
      <c r="K24" s="65"/>
      <c r="L24" s="65"/>
      <c r="M24" s="65"/>
      <c r="N24" s="68"/>
      <c r="O24" s="92"/>
      <c r="P24" s="83">
        <f>1232+480</f>
        <v>1712</v>
      </c>
      <c r="T24" s="86">
        <f>88704/1.05</f>
        <v>84480</v>
      </c>
    </row>
    <row r="25" spans="1:28" ht="25.2" x14ac:dyDescent="0.45">
      <c r="A25" s="14" t="s">
        <v>36</v>
      </c>
      <c r="B25" s="64" t="s">
        <v>59</v>
      </c>
      <c r="C25" s="65"/>
      <c r="D25" s="65"/>
      <c r="E25" s="65"/>
      <c r="F25" s="65"/>
      <c r="G25" s="65"/>
      <c r="H25" s="66"/>
      <c r="I25" s="85">
        <f>I24*365*3</f>
        <v>84558.990600000019</v>
      </c>
      <c r="J25" s="65"/>
      <c r="K25" s="65"/>
      <c r="L25" s="65"/>
      <c r="M25" s="65"/>
      <c r="N25" s="68"/>
      <c r="O25" s="92"/>
      <c r="Q25" s="86">
        <f>79400-5233.33</f>
        <v>74166.67</v>
      </c>
      <c r="R25" s="86">
        <f>Q25*1.05</f>
        <v>77875.003500000006</v>
      </c>
    </row>
    <row r="26" spans="1:28" ht="25.2" x14ac:dyDescent="0.45">
      <c r="A26" s="14" t="s">
        <v>36</v>
      </c>
      <c r="B26" s="64" t="s">
        <v>60</v>
      </c>
      <c r="C26" s="65"/>
      <c r="D26" s="65"/>
      <c r="E26" s="65"/>
      <c r="F26" s="65"/>
      <c r="G26" s="65"/>
      <c r="H26" s="65"/>
      <c r="I26" s="65"/>
      <c r="J26" s="65"/>
      <c r="K26" s="65"/>
      <c r="L26" s="65"/>
      <c r="M26" s="65"/>
      <c r="N26" s="68"/>
      <c r="O26" s="92" t="s">
        <v>37</v>
      </c>
      <c r="R26" s="86">
        <f>R25+2469</f>
        <v>80344.003500000006</v>
      </c>
    </row>
    <row r="27" spans="1:28" ht="25.2" x14ac:dyDescent="0.45">
      <c r="A27" s="14" t="s">
        <v>36</v>
      </c>
      <c r="B27" s="64" t="s">
        <v>61</v>
      </c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8"/>
      <c r="O27" s="92">
        <f>129500-110900</f>
        <v>18600</v>
      </c>
    </row>
    <row r="28" spans="1:28" ht="25.2" x14ac:dyDescent="0.45">
      <c r="B28" s="64" t="s">
        <v>62</v>
      </c>
      <c r="C28" s="65"/>
      <c r="D28" s="65"/>
      <c r="E28" s="65"/>
      <c r="F28" s="65"/>
      <c r="G28" s="65"/>
      <c r="H28" s="65"/>
      <c r="I28" s="65"/>
      <c r="J28" s="65"/>
      <c r="K28" s="65"/>
      <c r="L28" s="65"/>
      <c r="M28" s="65"/>
      <c r="N28" s="68"/>
      <c r="O28" s="92"/>
    </row>
    <row r="29" spans="1:28" ht="25.2" x14ac:dyDescent="0.45">
      <c r="B29" s="64" t="s">
        <v>63</v>
      </c>
      <c r="C29" s="65"/>
      <c r="D29" s="65"/>
      <c r="E29" s="65"/>
      <c r="F29" s="65"/>
      <c r="G29" s="65"/>
      <c r="H29" s="65"/>
      <c r="I29" s="65"/>
      <c r="J29" s="65"/>
      <c r="K29" s="65"/>
      <c r="L29" s="65"/>
      <c r="M29" s="65"/>
      <c r="N29" s="69"/>
      <c r="O29" s="92"/>
    </row>
    <row r="30" spans="1:28" ht="24.6" x14ac:dyDescent="0.4">
      <c r="B30" s="133" t="s">
        <v>38</v>
      </c>
      <c r="C30" s="134"/>
      <c r="D30" s="134"/>
      <c r="E30" s="134"/>
      <c r="F30" s="134"/>
      <c r="G30" s="134"/>
      <c r="H30" s="134"/>
      <c r="I30" s="134"/>
      <c r="J30" s="134"/>
      <c r="K30" s="134"/>
      <c r="L30" s="134"/>
      <c r="M30" s="134"/>
      <c r="N30" s="135"/>
      <c r="O30" s="92"/>
    </row>
    <row r="31" spans="1:28" ht="24.6" x14ac:dyDescent="0.4">
      <c r="B31" s="136"/>
      <c r="C31" s="137"/>
      <c r="D31" s="137"/>
      <c r="E31" s="137"/>
      <c r="F31" s="137"/>
      <c r="G31" s="137"/>
      <c r="H31" s="137"/>
      <c r="I31" s="137"/>
      <c r="J31" s="137"/>
      <c r="K31" s="137"/>
      <c r="L31" s="137"/>
      <c r="M31" s="137"/>
      <c r="N31" s="138"/>
      <c r="O31" s="92"/>
    </row>
    <row r="32" spans="1:28" ht="24.6" x14ac:dyDescent="0.4">
      <c r="B32" s="136" t="s">
        <v>39</v>
      </c>
      <c r="C32" s="137"/>
      <c r="D32" s="137"/>
      <c r="E32" s="137"/>
      <c r="F32" s="137"/>
      <c r="G32" s="137"/>
      <c r="H32" s="137"/>
      <c r="I32" s="137"/>
      <c r="J32" s="137"/>
      <c r="K32" s="137"/>
      <c r="L32" s="137"/>
      <c r="M32" s="137"/>
      <c r="N32" s="138"/>
      <c r="O32" s="92"/>
    </row>
    <row r="33" spans="2:16" ht="24.6" x14ac:dyDescent="0.4">
      <c r="B33" s="136" t="s">
        <v>40</v>
      </c>
      <c r="C33" s="137"/>
      <c r="D33" s="137"/>
      <c r="E33" s="137"/>
      <c r="F33" s="137"/>
      <c r="G33" s="137"/>
      <c r="H33" s="137"/>
      <c r="I33" s="137"/>
      <c r="J33" s="137"/>
      <c r="K33" s="137"/>
      <c r="L33" s="137"/>
      <c r="M33" s="137"/>
      <c r="N33" s="138"/>
      <c r="O33" s="92"/>
    </row>
    <row r="34" spans="2:16" s="112" customFormat="1" ht="24.6" x14ac:dyDescent="0.4">
      <c r="B34" s="107" t="s">
        <v>81</v>
      </c>
      <c r="C34" s="108"/>
      <c r="D34" s="108"/>
      <c r="E34" s="108"/>
      <c r="F34" s="108"/>
      <c r="G34" s="113"/>
      <c r="H34" s="113"/>
      <c r="I34" s="108"/>
      <c r="J34" s="108"/>
      <c r="K34" s="108"/>
      <c r="L34" s="108"/>
      <c r="M34" s="114" t="s">
        <v>82</v>
      </c>
      <c r="N34" s="116" t="b">
        <f>IF(M34="ALAA",507963328, IF(M34="BACHIR",525246969,IF(M34="JIHAN",566201266, IF(M34="RAMY",505277871, IF(M34="SIMON",505140337,IF(M34="SUJITH",551079817, IF(M34="PRAVEEN",506367792,IF(M34="MHAREN",529224059, IF(M34="MOSSALLEM",505185577,IF(M34="RANJITH",554989288, IF(M34="KHALED",552319494)))))))))))</f>
        <v>0</v>
      </c>
      <c r="O34" s="115"/>
      <c r="P34" s="115"/>
    </row>
    <row r="35" spans="2:16" x14ac:dyDescent="0.35">
      <c r="B35" s="70"/>
      <c r="C35" s="71"/>
      <c r="D35" s="71"/>
      <c r="E35" s="71"/>
      <c r="F35" s="71"/>
      <c r="G35" s="71"/>
      <c r="H35" s="71"/>
      <c r="I35" s="71"/>
      <c r="J35" s="71"/>
      <c r="K35" s="71"/>
      <c r="L35" s="71"/>
      <c r="M35" s="71"/>
      <c r="N35" s="72"/>
    </row>
    <row r="36" spans="2:16" x14ac:dyDescent="0.35">
      <c r="B36" s="70"/>
      <c r="C36" s="71"/>
      <c r="D36" s="71"/>
      <c r="E36" s="71"/>
      <c r="F36" s="71"/>
      <c r="G36" s="71"/>
      <c r="H36" s="71"/>
      <c r="I36" s="71"/>
      <c r="J36" s="71"/>
      <c r="K36" s="71"/>
      <c r="L36" s="71"/>
      <c r="M36" s="71"/>
      <c r="N36" s="72"/>
    </row>
    <row r="37" spans="2:16" x14ac:dyDescent="0.35">
      <c r="B37" s="70"/>
      <c r="C37" s="71"/>
      <c r="D37" s="71"/>
      <c r="E37" s="71"/>
      <c r="F37" s="71"/>
      <c r="G37" s="71"/>
      <c r="H37" s="71"/>
      <c r="I37" s="71"/>
      <c r="J37" s="71"/>
      <c r="K37" s="71"/>
      <c r="L37" s="71"/>
      <c r="M37" s="71"/>
      <c r="N37" s="72"/>
    </row>
    <row r="38" spans="2:16" ht="21" x14ac:dyDescent="0.4">
      <c r="B38" s="73" t="s">
        <v>64</v>
      </c>
      <c r="C38" s="74"/>
      <c r="D38" s="75"/>
      <c r="E38" s="76"/>
      <c r="F38" s="76"/>
      <c r="G38" s="76"/>
      <c r="H38" s="76"/>
      <c r="I38" s="76"/>
      <c r="J38" s="77"/>
      <c r="K38" s="76"/>
      <c r="L38" s="76"/>
      <c r="M38" s="76"/>
      <c r="N38" s="78"/>
    </row>
    <row r="39" spans="2:16" ht="21" x14ac:dyDescent="0.4">
      <c r="B39" s="73" t="s">
        <v>65</v>
      </c>
      <c r="C39" s="79"/>
      <c r="D39" s="75"/>
      <c r="E39" s="76"/>
      <c r="F39" s="76"/>
      <c r="G39" s="76"/>
      <c r="H39" s="76"/>
      <c r="I39" s="76"/>
      <c r="J39" s="77"/>
      <c r="K39" s="76"/>
      <c r="L39" s="76"/>
      <c r="M39" s="76"/>
      <c r="N39" s="80"/>
    </row>
    <row r="40" spans="2:16" ht="21" x14ac:dyDescent="0.35">
      <c r="B40" s="73" t="s">
        <v>66</v>
      </c>
      <c r="C40" s="81"/>
      <c r="D40" s="76"/>
      <c r="E40" s="76"/>
      <c r="F40" s="76"/>
      <c r="G40" s="76"/>
      <c r="H40" s="76"/>
      <c r="I40" s="76"/>
      <c r="J40" s="77"/>
      <c r="K40" s="76"/>
      <c r="L40" s="76"/>
      <c r="M40" s="76"/>
      <c r="N40" s="80"/>
    </row>
    <row r="41" spans="2:16" ht="21" x14ac:dyDescent="0.35">
      <c r="B41" s="73" t="s">
        <v>67</v>
      </c>
      <c r="C41" s="82"/>
      <c r="D41" s="83"/>
      <c r="E41" s="83"/>
      <c r="F41" s="83"/>
      <c r="G41" s="83"/>
      <c r="H41" s="83"/>
      <c r="I41" s="83"/>
      <c r="J41" s="83"/>
      <c r="K41" s="83"/>
      <c r="L41" s="83"/>
      <c r="M41" s="83"/>
      <c r="N41" s="84"/>
    </row>
    <row r="42" spans="2:16" ht="21" x14ac:dyDescent="0.35">
      <c r="B42" s="73" t="s">
        <v>77</v>
      </c>
      <c r="C42" s="82"/>
      <c r="D42" s="83"/>
      <c r="E42" s="83"/>
      <c r="F42" s="83"/>
      <c r="G42" s="83"/>
      <c r="H42" s="83"/>
      <c r="I42" s="83"/>
      <c r="J42" s="83"/>
      <c r="K42" s="83"/>
      <c r="L42" s="83"/>
      <c r="M42" s="83"/>
      <c r="N42" s="84"/>
    </row>
    <row r="43" spans="2:16" ht="21" x14ac:dyDescent="0.35">
      <c r="B43" s="73" t="s">
        <v>68</v>
      </c>
      <c r="C43" s="82"/>
      <c r="D43" s="83"/>
      <c r="E43" s="83"/>
      <c r="F43" s="83"/>
      <c r="G43" s="83"/>
      <c r="H43" s="83"/>
      <c r="I43" s="83"/>
      <c r="J43" s="83"/>
      <c r="K43" s="83"/>
      <c r="L43" s="83"/>
      <c r="M43" s="83"/>
      <c r="N43" s="84"/>
    </row>
    <row r="44" spans="2:16" ht="21" x14ac:dyDescent="0.35">
      <c r="B44" s="73" t="s">
        <v>69</v>
      </c>
      <c r="C44" s="82"/>
      <c r="D44" s="83"/>
      <c r="E44" s="83"/>
      <c r="F44" s="83"/>
      <c r="G44" s="83"/>
      <c r="H44" s="83"/>
      <c r="I44" s="83"/>
      <c r="J44" s="83"/>
      <c r="K44" s="83"/>
      <c r="L44" s="83"/>
      <c r="M44" s="83"/>
      <c r="N44" s="84"/>
    </row>
    <row r="45" spans="2:16" ht="21" x14ac:dyDescent="0.35">
      <c r="B45" s="73" t="s">
        <v>70</v>
      </c>
      <c r="C45" s="82"/>
      <c r="D45" s="83"/>
      <c r="E45" s="83"/>
      <c r="F45" s="83"/>
      <c r="G45" s="83"/>
      <c r="H45" s="83"/>
      <c r="I45" s="83"/>
      <c r="J45" s="83"/>
      <c r="K45" s="83"/>
      <c r="L45" s="83"/>
      <c r="M45" s="83"/>
      <c r="N45" s="84"/>
    </row>
    <row r="46" spans="2:16" ht="21" x14ac:dyDescent="0.35">
      <c r="B46" s="73" t="s">
        <v>71</v>
      </c>
      <c r="C46" s="82"/>
      <c r="D46" s="83"/>
      <c r="E46" s="83"/>
      <c r="F46" s="83"/>
      <c r="G46" s="83"/>
      <c r="H46" s="83"/>
      <c r="I46" s="83"/>
      <c r="J46" s="83"/>
      <c r="K46" s="83"/>
      <c r="L46" s="83"/>
      <c r="M46" s="83"/>
      <c r="N46" s="84"/>
    </row>
    <row r="47" spans="2:16" x14ac:dyDescent="0.35">
      <c r="B47" s="118" t="s">
        <v>39</v>
      </c>
      <c r="C47" s="119"/>
      <c r="D47" s="119"/>
      <c r="E47" s="119"/>
      <c r="F47" s="119"/>
      <c r="G47" s="119"/>
      <c r="H47" s="119"/>
      <c r="I47" s="119"/>
      <c r="J47" s="119"/>
      <c r="K47" s="119"/>
      <c r="L47" s="119"/>
      <c r="M47" s="119"/>
      <c r="N47" s="120"/>
      <c r="O47" s="92"/>
    </row>
    <row r="48" spans="2:16" x14ac:dyDescent="0.35">
      <c r="B48" s="118" t="s">
        <v>40</v>
      </c>
      <c r="C48" s="119"/>
      <c r="D48" s="119"/>
      <c r="E48" s="119"/>
      <c r="F48" s="119"/>
      <c r="G48" s="119"/>
      <c r="H48" s="119"/>
      <c r="I48" s="119"/>
      <c r="J48" s="119"/>
      <c r="K48" s="119"/>
      <c r="L48" s="119"/>
      <c r="M48" s="119"/>
      <c r="N48" s="120"/>
      <c r="O48" s="92"/>
    </row>
    <row r="49" spans="2:14" x14ac:dyDescent="0.35">
      <c r="B49" s="118" t="s">
        <v>72</v>
      </c>
      <c r="C49" s="119"/>
      <c r="D49" s="119"/>
      <c r="E49" s="119"/>
      <c r="F49" s="119"/>
      <c r="G49" s="119"/>
      <c r="H49" s="119"/>
      <c r="I49" s="119"/>
      <c r="J49" s="119"/>
      <c r="K49" s="119"/>
      <c r="L49" s="119"/>
      <c r="M49" s="119"/>
      <c r="N49" s="120"/>
    </row>
    <row r="50" spans="2:14" ht="25.8" x14ac:dyDescent="0.35">
      <c r="C50" s="15" t="s">
        <v>41</v>
      </c>
    </row>
    <row r="51" spans="2:14" ht="25.8" x14ac:dyDescent="0.35">
      <c r="C51" s="15" t="s">
        <v>42</v>
      </c>
    </row>
    <row r="52" spans="2:14" ht="25.8" x14ac:dyDescent="0.35">
      <c r="C52" s="15" t="s">
        <v>43</v>
      </c>
    </row>
    <row r="53" spans="2:14" ht="25.8" x14ac:dyDescent="0.35">
      <c r="C53" s="15" t="s">
        <v>44</v>
      </c>
    </row>
    <row r="54" spans="2:14" ht="25.8" x14ac:dyDescent="0.35">
      <c r="C54" s="15" t="s">
        <v>45</v>
      </c>
    </row>
  </sheetData>
  <mergeCells count="12">
    <mergeCell ref="B49:N49"/>
    <mergeCell ref="B1:N4"/>
    <mergeCell ref="F8:G8"/>
    <mergeCell ref="F9:G9"/>
    <mergeCell ref="G19:I19"/>
    <mergeCell ref="B22:N22"/>
    <mergeCell ref="B30:N30"/>
    <mergeCell ref="B31:N31"/>
    <mergeCell ref="B32:N32"/>
    <mergeCell ref="B33:N33"/>
    <mergeCell ref="B47:N47"/>
    <mergeCell ref="B48:N48"/>
  </mergeCells>
  <dataValidations count="11">
    <dataValidation type="list" allowBlank="1" showInputMessage="1" showErrorMessage="1" sqref="K21" xr:uid="{21C354CB-468A-4A56-B9D7-07072573CCFC}">
      <formula1>"ADCB,ADCB PAY IN 2027,Ajman Bank,ADIB,DIB EXPAT,DIB LOCAL GVH,Emirates NBD,EIB,FAB,RAK,SIB STL,SIB NON STL"</formula1>
    </dataValidation>
    <dataValidation type="list" allowBlank="1" showInputMessage="1" showErrorMessage="1" sqref="D5" xr:uid="{FA8733F0-0C43-4331-9C50-B8BFC2FF85DC}">
      <formula1>"MIG09,MIG10,ATG16,ATP16,ATG17,ASG48,ASG43,ASG40,ASG42,ASG44,ASG45,ECG38,ECG37,ECG40,ECG43,XPML,XPHL,XPMLP, XPMLP-01, XC,OTF03,OTP03,OTF06,OTP06, OTP06-01,OTF08, OTP08,MOP57,MOG64,MOG59,MOG59P,MOG61,MOP61"</formula1>
    </dataValidation>
    <dataValidation type="list" allowBlank="1" showInputMessage="1" showErrorMessage="1" sqref="M21" xr:uid="{CC769B92-CC75-4BAE-ACF6-C30DC4A37FBC}">
      <formula1>"3000-4999,5000-9999,10000-14999,15000-24999,25000-34999,35000-99999,5000-11999,12000-19999,20000-39999,40000-69999,70000-99999"</formula1>
    </dataValidation>
    <dataValidation type="list" allowBlank="1" showInputMessage="1" showErrorMessage="1" sqref="K20" xr:uid="{74AD7A1F-722C-419A-B082-FEECC8EF140D}">
      <formula1>"Esaad,Emirates Platinum,Fazaa,Humat Alwatan,Permissible,ASX,XPMLP,XP,MON,MON G57,OUT,F08,P08,F06,P06,F03,P03,EC,G37,G38,G40,G43"</formula1>
    </dataValidation>
    <dataValidation type="list" allowBlank="1" showInputMessage="1" showErrorMessage="1" sqref="L19:L20 L24:L25 G14:G15 C10:C16 L10 J10" xr:uid="{2134A3AF-672A-4186-B1B1-FC3B931AD8F6}">
      <formula1>"YES,NO"</formula1>
    </dataValidation>
    <dataValidation type="list" allowBlank="1" showInputMessage="1" showErrorMessage="1" sqref="K24" xr:uid="{0A4C6297-7219-46E0-AD41-83CF05390EAD}">
      <formula1>"RMC-10-70K,RMC-10-100000K,RMC-40-70K"</formula1>
    </dataValidation>
    <dataValidation type="list" allowBlank="1" showInputMessage="1" showErrorMessage="1" sqref="B16" xr:uid="{1682E4FA-8470-43FA-AAC0-0F2E6BCE68B7}">
      <formula1>"RMC-10-40KMS,RMC-10-60KMS,RMC-10-70KMS,RMC-10-100000KMS,RMC-40-70KMS,RMC-40-100000KMS"</formula1>
    </dataValidation>
    <dataValidation type="list" allowBlank="1" showInputMessage="1" showErrorMessage="1" sqref="B12" xr:uid="{49811E65-5BF0-45A1-8422-3A0E34BDB6E4}">
      <formula1>"FO Exterior ceramic All Cars SCOTCHGUARD,FO Mirror Camera Sensor,FO PPF Gold Package "</formula1>
    </dataValidation>
    <dataValidation type="list" allowBlank="1" showInputMessage="1" showErrorMessage="1" sqref="B11" xr:uid="{28FA5DB8-2479-41E4-A161-F13759D71301}">
      <formula1>"FO Ceramic+ Intr&amp;Extr CeramicGold WdwTnt,FO Mirror Camera Sensor"</formula1>
    </dataValidation>
    <dataValidation type="list" allowBlank="1" showInputMessage="1" showErrorMessage="1" sqref="M34" xr:uid="{5D66927D-9703-4A78-8768-2A26081980CC}">
      <formula1>"Alaa,Bachir ,Khaled,Ramy,Simon,Mharen,Ranjith,Jihan,Praveen,Sujith,Mossallem"</formula1>
    </dataValidation>
    <dataValidation type="list" allowBlank="1" showInputMessage="1" showErrorMessage="1" sqref="H34" xr:uid="{4A72A223-3395-4A30-8D3E-5F601D2D9484}">
      <formula1>"ALAA HAMMAD,KHALED QASSEM,RAMY RAOUF,SIMON LOBO,MHAREN CLEMENTE GARADO"</formula1>
    </dataValidation>
  </dataValidations>
  <pageMargins left="0.23622047244094491" right="0.23622047244094491" top="0.74803149606299213" bottom="0.74803149606299213" header="0.31496062992125984" footer="0.31496062992125984"/>
  <pageSetup paperSize="9" scale="37" orientation="landscape" horizontalDpi="4294967295" verticalDpi="4294967295"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BF8BBE-B8DB-4CA0-9AED-30EABA226B71}">
  <sheetPr>
    <pageSetUpPr fitToPage="1"/>
  </sheetPr>
  <dimension ref="A1:AB54"/>
  <sheetViews>
    <sheetView topLeftCell="B1" zoomScaleNormal="100" workbookViewId="0">
      <selection activeCell="D5" sqref="D5"/>
    </sheetView>
  </sheetViews>
  <sheetFormatPr defaultColWidth="9.109375" defaultRowHeight="20.399999999999999" x14ac:dyDescent="0.35"/>
  <cols>
    <col min="1" max="1" width="16" style="1" hidden="1" customWidth="1"/>
    <col min="2" max="2" width="75.5546875" style="2" customWidth="1"/>
    <col min="3" max="3" width="25.5546875" style="3" customWidth="1"/>
    <col min="4" max="4" width="25.33203125" style="2" customWidth="1"/>
    <col min="5" max="5" width="22.6640625" style="2" customWidth="1"/>
    <col min="6" max="6" width="21" style="2" customWidth="1"/>
    <col min="7" max="7" width="25" style="2" customWidth="1"/>
    <col min="8" max="8" width="29.44140625" style="2" bestFit="1" customWidth="1"/>
    <col min="9" max="9" width="32.109375" style="2" bestFit="1" customWidth="1"/>
    <col min="10" max="10" width="22" style="2" customWidth="1"/>
    <col min="11" max="11" width="23.33203125" style="2" customWidth="1"/>
    <col min="12" max="12" width="31" style="2" customWidth="1"/>
    <col min="13" max="13" width="23.5546875" style="2" customWidth="1"/>
    <col min="14" max="14" width="21.109375" style="2" customWidth="1"/>
    <col min="15" max="15" width="14.44140625" style="83" bestFit="1" customWidth="1"/>
    <col min="16" max="16" width="21.6640625" style="83" hidden="1" customWidth="1"/>
    <col min="17" max="17" width="14.33203125" style="86" hidden="1" customWidth="1"/>
    <col min="18" max="18" width="12.88671875" style="86" hidden="1" customWidth="1"/>
    <col min="19" max="19" width="13" style="86" hidden="1" customWidth="1"/>
    <col min="20" max="20" width="17.109375" style="86" hidden="1" customWidth="1"/>
    <col min="21" max="21" width="21.5546875" style="86" customWidth="1"/>
    <col min="22" max="22" width="22.88671875" style="86" customWidth="1"/>
    <col min="23" max="26" width="17.109375" style="86" bestFit="1" customWidth="1"/>
    <col min="27" max="27" width="15" style="86" customWidth="1"/>
    <col min="28" max="28" width="14.33203125" style="86" bestFit="1" customWidth="1"/>
    <col min="29" max="16384" width="9.109375" style="1"/>
  </cols>
  <sheetData>
    <row r="1" spans="1:28" ht="15.75" customHeight="1" x14ac:dyDescent="0.35">
      <c r="B1" s="121" t="s">
        <v>46</v>
      </c>
      <c r="C1" s="122"/>
      <c r="D1" s="122"/>
      <c r="E1" s="122"/>
      <c r="F1" s="122"/>
      <c r="G1" s="122"/>
      <c r="H1" s="122"/>
      <c r="I1" s="122"/>
      <c r="J1" s="122"/>
      <c r="K1" s="122"/>
      <c r="L1" s="122"/>
      <c r="M1" s="122"/>
      <c r="N1" s="123"/>
    </row>
    <row r="2" spans="1:28" ht="15.75" customHeight="1" x14ac:dyDescent="0.35">
      <c r="B2" s="124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6"/>
      <c r="Q2" s="83"/>
      <c r="S2" s="87"/>
    </row>
    <row r="3" spans="1:28" ht="15.75" customHeight="1" x14ac:dyDescent="0.35">
      <c r="B3" s="124"/>
      <c r="C3" s="125"/>
      <c r="D3" s="125"/>
      <c r="E3" s="125"/>
      <c r="F3" s="125"/>
      <c r="G3" s="125"/>
      <c r="H3" s="125"/>
      <c r="I3" s="125"/>
      <c r="J3" s="125"/>
      <c r="K3" s="125"/>
      <c r="L3" s="125"/>
      <c r="M3" s="125"/>
      <c r="N3" s="126"/>
      <c r="O3" s="82"/>
      <c r="P3" s="82"/>
      <c r="Q3" s="81"/>
      <c r="R3" s="81"/>
      <c r="S3" s="88" t="e">
        <f>N7+J14</f>
        <v>#VALUE!</v>
      </c>
      <c r="T3" s="88"/>
      <c r="U3" s="81"/>
      <c r="V3" s="81"/>
      <c r="W3" s="81"/>
      <c r="AA3" s="86">
        <f>273000/5</f>
        <v>54600</v>
      </c>
    </row>
    <row r="4" spans="1:28" ht="15.75" customHeight="1" x14ac:dyDescent="0.4">
      <c r="B4" s="127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9"/>
      <c r="O4" s="89" t="s">
        <v>0</v>
      </c>
      <c r="P4" s="89"/>
      <c r="Q4" s="90"/>
      <c r="R4" s="90"/>
      <c r="S4" s="91"/>
      <c r="T4" s="91"/>
      <c r="U4" s="90" t="s">
        <v>1</v>
      </c>
      <c r="V4" s="90" t="s">
        <v>2</v>
      </c>
      <c r="W4" s="90" t="s">
        <v>3</v>
      </c>
    </row>
    <row r="5" spans="1:28" ht="25.2" thickBot="1" x14ac:dyDescent="0.45">
      <c r="B5" s="17">
        <f ca="1">TODAY()</f>
        <v>46215</v>
      </c>
      <c r="C5" s="18" t="str">
        <f>IF(D5="MIG09","Mirage G09",IF(D5="MIG10","MirageG10",IF(D5="ATG16","Attrage G16",IF(D5="ATP16","Attrage P16",IF(D5="ATG17","Attrage G17",IF(D5="ASG48","ASX G48",IF(D5="ASG43","ASX G43", IF(D5="ASG40","ASXG40",IF(D5="ASG42","ASX G42",IF(D5="ASG44","ASX G44",IF(D5="ASG45","ASX G45",IF(D5="ECG38","Eclipse G38",IF(D5="ECG37","Eclipse G37",IF(D5="ECG40","Eclipse G40",IF(D5="ECG43","Eclipse G43",IF(D5="XPML","Xpander ML",IF(D5="XPHL","Xpander HL",IF(D5="XPMLP","Xpander ML P",IF(D5="XPMLP-01","Xpander ML P-01",IF(D5="XC","Xpander Cross", IF(D5="OTF03","Outlander F03",IF(D5="OTP03","Outlander P03",IF(D5="OTF06","Outlander F06",IF(D5="OTP06","Outlander P06",IF(D5="OTP06-01","Outlander P06-01",IF(D5="OTF08","Outlander F08",IF(D5="OTP08","Outlander P08P", IF(D5="MOP57","Montero P57",IF(D5="MOG64","Montero G64",IF(D5="MOG59","Montero G59",IF(D5="MOG59P","Montero G59 P",IF(D5="MOG61","Montero G61",IF(D5="MOP61","Montero P61")))))))))))))))))))))))))))))))))</f>
        <v>Outlander P06</v>
      </c>
      <c r="D5" s="19" t="s">
        <v>109</v>
      </c>
      <c r="E5" s="20" t="s">
        <v>47</v>
      </c>
      <c r="F5" s="21"/>
      <c r="G5" s="21"/>
      <c r="H5" s="21"/>
      <c r="I5" s="22"/>
      <c r="J5" s="23"/>
      <c r="K5" s="24">
        <v>0</v>
      </c>
      <c r="L5" s="25">
        <v>3.39E-2</v>
      </c>
      <c r="M5" s="25">
        <v>6.7799999999999999E-2</v>
      </c>
      <c r="N5" s="25">
        <v>0.1017</v>
      </c>
      <c r="O5" s="92">
        <f>K7+K14</f>
        <v>13531.660136085</v>
      </c>
      <c r="S5" s="87"/>
      <c r="U5" s="87">
        <f>L7+L14</f>
        <v>5513.8106035745823</v>
      </c>
      <c r="V5" s="87">
        <f>M7+M14</f>
        <v>3688.3956558225</v>
      </c>
      <c r="W5" s="87">
        <f>N7+N14</f>
        <v>2555.8767202412496</v>
      </c>
    </row>
    <row r="6" spans="1:28" s="5" customFormat="1" ht="128.25" customHeight="1" thickBot="1" x14ac:dyDescent="0.35">
      <c r="A6" s="4" t="s">
        <v>4</v>
      </c>
      <c r="B6" s="26" t="s">
        <v>5</v>
      </c>
      <c r="C6" s="27" t="s">
        <v>6</v>
      </c>
      <c r="D6" s="27" t="s">
        <v>48</v>
      </c>
      <c r="E6" s="27" t="s">
        <v>7</v>
      </c>
      <c r="F6" s="27" t="s">
        <v>8</v>
      </c>
      <c r="G6" s="28" t="s">
        <v>9</v>
      </c>
      <c r="H6" s="28" t="s">
        <v>49</v>
      </c>
      <c r="I6" s="28" t="s">
        <v>10</v>
      </c>
      <c r="J6" s="28" t="s">
        <v>56</v>
      </c>
      <c r="K6" s="28" t="s">
        <v>11</v>
      </c>
      <c r="L6" s="28" t="s">
        <v>12</v>
      </c>
      <c r="M6" s="28" t="s">
        <v>13</v>
      </c>
      <c r="N6" s="28" t="s">
        <v>14</v>
      </c>
      <c r="O6" s="93"/>
      <c r="P6" s="94"/>
      <c r="Q6" s="95"/>
      <c r="R6" s="95"/>
      <c r="S6" s="95"/>
      <c r="T6" s="96"/>
      <c r="U6" s="96">
        <f>N7+L14</f>
        <v>4330.6370502412492</v>
      </c>
      <c r="V6" s="96">
        <f>N7+K14</f>
        <v>10869.519641084999</v>
      </c>
      <c r="W6" s="96"/>
      <c r="X6" s="95"/>
      <c r="Y6" s="95"/>
      <c r="Z6" s="95"/>
      <c r="AA6" s="95"/>
      <c r="AB6" s="95"/>
    </row>
    <row r="7" spans="1:28" ht="25.2" thickBot="1" x14ac:dyDescent="0.45">
      <c r="A7" s="6">
        <f>B8</f>
        <v>111900</v>
      </c>
      <c r="B7" s="29">
        <f>IF(L20="YES",C8*1,IF(L20="NO",B8*1))</f>
        <v>111900</v>
      </c>
      <c r="C7" s="29">
        <f>B7*5/100</f>
        <v>5595</v>
      </c>
      <c r="D7" s="29">
        <f>B7+C7</f>
        <v>117495</v>
      </c>
      <c r="E7" s="29">
        <f>D17</f>
        <v>15277.02475</v>
      </c>
      <c r="F7" s="29">
        <f>(C7)+(D10+D11+D12+D13+D16)*5/100</f>
        <v>5930</v>
      </c>
      <c r="G7" s="30">
        <f>B7+E7+F7</f>
        <v>133107.02474999998</v>
      </c>
      <c r="H7" s="29">
        <f>G7*D20</f>
        <v>26621.404949999996</v>
      </c>
      <c r="I7" s="29">
        <f>(G7-H7)</f>
        <v>106485.61979999999</v>
      </c>
      <c r="J7" s="30">
        <f>(((I7*D19)*1)+I7)/12</f>
        <v>9094.7593110849994</v>
      </c>
      <c r="K7" s="30">
        <f>(((I7*D19)*2)+I7)/24</f>
        <v>4657.8584860849996</v>
      </c>
      <c r="L7" s="30">
        <f>(((I7*D19)*3)+I7)/36</f>
        <v>3178.8915444183331</v>
      </c>
      <c r="M7" s="30">
        <f>(((I7*D19)*4)+I7)/48</f>
        <v>2439.4080735849998</v>
      </c>
      <c r="N7" s="30">
        <f>((((I7*D19)*5)+I7)/60)</f>
        <v>1995.7179910849998</v>
      </c>
      <c r="O7" s="92"/>
      <c r="P7" s="83">
        <f>H7+H16</f>
        <v>27739.503957899997</v>
      </c>
      <c r="T7" s="87">
        <f>25973/2</f>
        <v>12986.5</v>
      </c>
    </row>
    <row r="8" spans="1:28" ht="24.6" x14ac:dyDescent="0.4">
      <c r="A8" s="7">
        <v>0.2</v>
      </c>
      <c r="B8" s="31">
        <f>IF(D5="MIG09",39900,IF(D5="MIG10",40400,IF(D5="ATG16",40400,IF(D5="ATP16",49900,IF(D5="ATG17",41900,IF(D5="ASG48",63900,IF(D5="ASG43",62900,IF(D5="ASG40",63900,IF(D5="ASG42",68900,IF(D5="ASG44",89900,IF(D5="ASG45",95900,IF(D5="ECG38",73900,IF(D5="ECG37",70900,IF(D5="ECG40",86900,IF(D5="ECG43",91900,IF(D5="XPML",62900,IF(D5="XPHL",62900,IF(D5="XPMLP",69900,IF(D5="XPMLP-01",77800,IF(D5="XC",77900,IF(D5="OTF03",96900,IF(D5="OTP03",79900,IF(D5="OTF06",92900,IF(D5="OTP06",111900,IF(D5="OTP06-01",118900,IF(D5="OTF08",122900,IF(D5="OTP08",109900,IF(D5="MOP57",99900,IF(D5="MOG64",108900,IF(D5="MOG59",116900,IF(D5="MOG59P",110900,IF(D5="MOG61",127900,IF(D5="MOP61",125900)))))))))))))))))))))))))))))))))</f>
        <v>111900</v>
      </c>
      <c r="C8" s="32">
        <f>IF(L20="YES",N20,IF(L20="NO",N20))</f>
        <v>111900</v>
      </c>
      <c r="D8" s="29">
        <v>0</v>
      </c>
      <c r="E8" s="33"/>
      <c r="F8" s="139"/>
      <c r="G8" s="140"/>
      <c r="H8" s="110">
        <f>G7*20/100</f>
        <v>26621.404949999996</v>
      </c>
      <c r="I8" s="21"/>
      <c r="J8" s="34" t="s">
        <v>15</v>
      </c>
      <c r="K8" s="23">
        <f>(J7*K5+J7)/24</f>
        <v>378.94830462854162</v>
      </c>
      <c r="L8" s="23">
        <f>(J7*L5+J7)/36</f>
        <v>261.19643477029945</v>
      </c>
      <c r="M8" s="23">
        <f>(J7*M5+J7)/48</f>
        <v>202.32049984117839</v>
      </c>
      <c r="N8" s="23">
        <f>(J7*N5+J7)/60</f>
        <v>166.99493888370574</v>
      </c>
      <c r="O8" s="92"/>
      <c r="P8" s="83">
        <f>P7/12</f>
        <v>2311.6253298249999</v>
      </c>
      <c r="T8" s="86">
        <f>25973-12973</f>
        <v>13000</v>
      </c>
    </row>
    <row r="9" spans="1:28" ht="24.6" x14ac:dyDescent="0.4">
      <c r="A9" s="8">
        <f>B8/(100%-A8)</f>
        <v>139875</v>
      </c>
      <c r="B9" s="109">
        <f>B7-B8</f>
        <v>0</v>
      </c>
      <c r="C9" s="35"/>
      <c r="D9" s="36"/>
      <c r="E9" s="33"/>
      <c r="F9" s="139"/>
      <c r="G9" s="140"/>
      <c r="H9" s="33"/>
      <c r="I9" s="37" t="s">
        <v>16</v>
      </c>
      <c r="J9" s="38">
        <f>(J7*12)-(I7)</f>
        <v>2651.4919330200064</v>
      </c>
      <c r="K9" s="38">
        <f>(K7*24)-I7</f>
        <v>5302.9838660400128</v>
      </c>
      <c r="L9" s="38">
        <f>(L7*36)-I7</f>
        <v>7954.4757990600046</v>
      </c>
      <c r="M9" s="38">
        <f>(M7*48)-I7</f>
        <v>10605.967732079996</v>
      </c>
      <c r="N9" s="38">
        <f>(N7*60)-I7</f>
        <v>13257.459665100003</v>
      </c>
      <c r="O9" s="92"/>
      <c r="T9" s="86">
        <f>T8/12</f>
        <v>1083.3333333333333</v>
      </c>
      <c r="Z9" s="86" t="s">
        <v>86</v>
      </c>
    </row>
    <row r="10" spans="1:28" ht="24.6" x14ac:dyDescent="0.4">
      <c r="A10" s="8"/>
      <c r="B10" s="37" t="s">
        <v>50</v>
      </c>
      <c r="C10" s="20" t="s">
        <v>17</v>
      </c>
      <c r="D10" s="36">
        <f>IF(C10="YES",800,IF(C10="NO",0))</f>
        <v>0</v>
      </c>
      <c r="E10" s="39"/>
      <c r="F10" s="40"/>
      <c r="G10" s="40"/>
      <c r="H10" s="33"/>
      <c r="I10" s="44" t="s">
        <v>85</v>
      </c>
      <c r="J10" s="117" t="s">
        <v>19</v>
      </c>
      <c r="K10" s="117">
        <f>IF(J10="YES",Z10,IF(J10="NO",0))</f>
        <v>1000</v>
      </c>
      <c r="L10" s="117"/>
      <c r="M10" s="117"/>
      <c r="N10" s="41">
        <f>(N8*60)-J7</f>
        <v>924.93702193734498</v>
      </c>
      <c r="O10" s="92">
        <f>IF(D5="XC",3690,IF(D5="XPML",3690,IF(D5="XPHL",3690,IF(D5="XPMLP",3690,IF(D5="XPMLP-01",3690,IF(D5="Xpander P",3690,IF(D5="MOP57",(U19*2.75/100+510)*1.05,IF(D5="MOG64",(U19*2.75/100+510)*1.05,IF(D5="MOG59",(U19*2.75/100+510)*1.05,IF(D5="MOG59P",(U19*2.75/100+510)*1.05,IF(D5="MOG61",(U19*2.75/100+510)*1.05,IF(D5="MOP61",(U19*2.75/100+510)*1.05,IF(D5="OTF03",(D7*3/100+510)*1.05,IF(D5="OTP03",(U19*3/100+510)*1.05,IF(D5="OTF06",(U19*3/100+510)*1.05,IF(D5="OTP06",(U19*3/100+510)*1.05,IF(D5="OTP06-01",(U19*3/100+510)*1.05,IF(D5="OTF08",(U19*3/100+510)*1.05,IF(D5="OTP08",(U19*3/100+510)*1.05,IF(D5="ECG38",3625,IF(D5="ECG37",3625,IF(D5="ECG40",(D7*3/100+510)*1.05,IF(D5="ECG43",(D7*3/100+510)*1.05,IF(D5="ASG48",3625,IF(D5="ASG43",3625,IF(D5="ASG40",3625,IF(D5="ASG42",3625,IF(D5="ASG44",3625,IF(D5="ASG45",3625,IF(D5="ASX HL 4WD",3625,IF(D5="ATG16",3625,IF(D5="ATG17",3625,IF(D5="ATP16",3625,IF(D5="Attrage S",3625,IF(D5="MIG09",3625,IF(D5="MIG10",3625,IF(D5="Xpander HL",3690)))))))))))))))))))))))))))))))))))))</f>
        <v>4458.1949999999997</v>
      </c>
      <c r="P10" s="97"/>
      <c r="Q10" s="97">
        <f>5.25*3</f>
        <v>15.75</v>
      </c>
      <c r="Z10" s="86">
        <f>IF(D5="MIG09",500,IF(D5="MIG10",500,IF(D5="ATG16",500,IF(D5="ATP16",500,IF(D5="ATG17",500,IF(D5="ASG48",1000,IF(D5="ASG43",1000,IF(D5="ASG40",1000,IF(D5="ASG42",1000,IF(D5="ASG44",1000,IF(D5="ASG45",1000,IF(D5="ECG38",1000,IF(D5="ECG37",1000,IF(D5="ECG40",1000,IF(D5="ECG43",1000,IF(D5="XPML",1000,IF(D5="XPHL",1000,IF(D5="XPMLP",1000,IF(D5="XPMLP-01",1000,IF(D5="XC",1000,IF(D5="OTF03",1000,IF(D5="OTP03",1000,IF(D5="OTF06",1000,IF(D5="OTP06",1000,IF(D5="OTP06-01",1000,IF(D5="OTF08",1000,IF(D5="OTP08",1000,IF(D5="MOP57",1000,IF(D5="MOG64",1000,IF(D5="MOG59",1000,IF(D5="MOG59P",1000,IF(D5="MOG61",1000,IF(D5="MOP61",1000)))))))))))))))))))))))))))))))))</f>
        <v>1000</v>
      </c>
    </row>
    <row r="11" spans="1:28" ht="24.6" x14ac:dyDescent="0.4">
      <c r="A11" s="8"/>
      <c r="B11" s="37" t="s">
        <v>18</v>
      </c>
      <c r="C11" s="20" t="s">
        <v>17</v>
      </c>
      <c r="D11" s="36">
        <f>IF(C11="YES",O17,IF(C11="NO",0))</f>
        <v>0</v>
      </c>
      <c r="E11" s="33"/>
      <c r="F11" s="40"/>
      <c r="G11" s="40"/>
      <c r="H11" s="33"/>
      <c r="I11" s="21"/>
      <c r="J11" s="44" t="s">
        <v>76</v>
      </c>
      <c r="K11" s="44">
        <f>H8-K10</f>
        <v>25621.404949999996</v>
      </c>
      <c r="L11" s="37"/>
      <c r="M11" s="37"/>
      <c r="N11" s="42"/>
      <c r="O11" s="92">
        <f>IF(D5="XC",6100,IF(D5="XPML",6100,IF(D5="XPHL",6100,IF(D5="XPMLP",6100,IF(D5="XPMLP-01",6100,IF(D5="Xpander P",6100,IF(D5="MOP57",5900,IF(D5="MOG64",5900,IF(D5="MOG59",5900,IF(D5="MOG59P",5900,IF(D5="MOG61",5900,IF(D5="MOP61",5900,IF(D5="OTF03",6700,IF(D5="OTP03",6700,IF(D5="OTF06",6700,IF(D5="OTP06",6700,IF(D5="OTP06-01",6700,IF(D5="OTF08",6700,IF(D5="OTP08",6700,IF(D5="ECG37",6400,IF(D5="ECG38",6400,IF(D5="ECG40",6400,IF(D5="ECG43",6400,IF(D5="ASG48",6600,IF(D5="ASG43",6600,IF(D5="ASG40",6600,IF(D5="ASG42",6600,IF(D5="ASG44",6600,IF(D5="ASG45",6600,IF(D5="ASX HL 4WD",6600,IF(D5="ATG16",5400,IF(D5="ATG17",5400,IF(D5="ATP16",5400,IF(D5="Attrage S",5400,IF(D5="MIG09",5400,IF(D5="MIG10",5400,IF(D5="Xpander HL",6000)))))))))))))))))))))))))))))))))))))</f>
        <v>6700</v>
      </c>
      <c r="P11" s="92"/>
      <c r="Q11" s="92"/>
      <c r="R11" s="92"/>
      <c r="S11" s="92"/>
      <c r="T11" s="92"/>
      <c r="U11" s="92">
        <f>IF(D5="XC",4900,IF(D5="XPML",4900,IF(D5="XPHL",4900,IF(D5="XPMLP",4900,IF(D5="XPMLP-01",4900,IF(D5="Xpander P",4900,IF(D5="MOP57",4600,IF(D5="MOG64",4600,IF(D5="MOG59",4600,IF(D5="MOG59P",4600,IF(D5="MOG61",4600,IF(D5="MOP61",4600,IF(D5="OTF03",5500,IF(D5="OTP03",5500,IF(D5="OTF06",5500,IF(D5="OTP06",5500,IF(D5="OTP06-01",5500,IF(D5="OTF08",5500,IF(D5="OTP08",5500,IF(D5="ECG38",5200,IF(D5="ECG37",5200,IF(D5="ECG40",5200,IF(D5="ECG43",5200,IF(D5="ASG48",5300,IF(D5="ASG43",5300,IF(D5="ASG40",5300,IF(D5="ASG42",5300,IF(D5="ASG44",5300,IF(D5="ASG45",5300,IF(D5="ASX HL",5300,IF(D5="ASX P",5300,IF(D5="ASX HL 4WD",5300,IF(D5="ATG16",4200,IF(D5="ATG17",4200,IF(D5="ATP16",4200,IF(D5="Attrage S",4200,IF(D5="MIG09",4200,IF(D5="MIG10",4200,IF(D5="Xpander HL",4900)))))))))))))))))))))))))))))))))))))))</f>
        <v>5500</v>
      </c>
      <c r="V11" s="92">
        <f>IF(D5="XC",9700,IF(D5="XPML",9700,IF(D5="XPHL",9700,IF(D5="XPMLP",9700,IF(D5="XPMLP-01",9700,IF(D5="XPMLP-01",9700,IF(D5="Xpander P",9700,IF(D5="MOP57",9300,IF(D5="MG64",9300,IF(D5="MOG59",9300,IF(D5="MOG59P",9300,IF(D5="MOG61",9300,IF(D5="MOP61",9300,IF(D5="OTF03",11000,IF(D5="OTP03",11000,IF(D5="OTF06",11000,IF(D5="OTP06",11000,IF(D5="OTP06-01",11000,IF(D5="OTF08",11000,IF(D5="OTP08",11000,IF(D5="ECG38",10400,IF(D5="ECG37",10400,IF(D5="ECG40",10400,IF(D5="ECG43",10400,IF(D5="ASG48",10700,IF(D5="ASG43",10700,IF(D5="ASG40",10700,IF(D5="ASG42",10700,IF(D5="ASG44",10800,IF(D5="ASG45",10800,IF(D5="ASX HL",12200,IF(D5="ASX P",12200,IF(D5="ASX HL 4WD",12200,IF(D5="ATG16",8500,IF(D5="ATG17",8500,IF(D5="ATP16",8500,IF(D5="Attrage S",9600,IF(D5="MIG09",8500,IF(D5="MIG10",8500,IF(D5="Xpander HL",11300))))))))))))))))))))))))))))))))))))))))</f>
        <v>11000</v>
      </c>
      <c r="W11" s="92">
        <f>IF(D5="XC",9200,IF(D5="XPML",9200,IF(D5="XPHL",9200,IF(D5="XPMLP",9200,IF(D5="XPMLP-01",9200,IF(D5="Xpander P",9200,IF(D5="MOP57",8700,IF(D5="MOG64",8700,IF(D5="MOG59",8700,IF(D5="MOG59P",8700,IF(D5="MOG61",8700,IF(D5="MOP61",8700,IF(D5="OTF03",10400,IF(D5="OTP03",10400,IF(D5="OTF06",10400,IF(D5="OTP06",10400,IF(D5="OTP06-01",10400,IF(D5="OTF08",10400,IF(D5="OTP08",10400,IF(D5="ECG38",9800,IF(D5="ECG37",9800,IF(D5="ECG40",9800,IF(D5="ECG43",9800,IF(D5="ASG48",10100,IF(D5="ASG43",10100,IF(D5="ASG40",10100,IF(D5="ASG42",10100,IF(D5="ASG44",10100,IF(D5="ASG45",10100,IF(D5="ASX HL",10100,IF(D5="ASX P",10100,IF(D5="ASX HL 4WD",10100,IF(D5="ATG16",7900,IF(D5="ATG17",7900,IF(D5="ATP16",7900,IF(D5="Attrage S",7900,IF(D5="MIG09",7900,IF(D5="MIG10",7900,IF(D5="Xpander HL",9200)))))))))))))))))))))))))))))))))))))))</f>
        <v>10400</v>
      </c>
      <c r="X11" s="92">
        <f>IF(D5="XC",4500,IF(D5="XPML",4500,IF(D5="XPHL",4500,IF(D5="XPMLP",4500,IF(D5="XPMLP-01",4500,IF(D5="Xpander P",4500,IF(D5="MOP57",4300,IF(D5="MOG64",4300,IF(D5="MOG59",4300,IF(D5="MOG59P",4300,IF(D5="MOG61",4300,IF(D5="MOP61",4300,IF(D5="OTF03",5000,IF(D5="OTP03",5000,IF(D5="OTF06",5000,IF(D5="OTP06",5000,IF(D5="OTP06-01",5000,IF(D5="OTF08",5000,IF(D5="OTP08",5000,IF(D5="ECG38",4900,IF(D5="ECG37",4900,IF(D5="ECG40",4900,IF(D5="ECG43",4900,IF(D5="ASG48",4900,IF(D5="ASG43",4900,IF(D5="ASG40",4900,IF(D5="ASG42",4900,IF(D5="ASG44",4900,IF(D5="ASG45",4900,IF(D5="ASX HL",4900,IF(D5="ASX P",4900,IF(D5="ASX HL 4WD",4900,IF(D5="ATG16",3700,IF(D5="ATG17",3700,IF(D5="ATP16",3700,IF(D5="Attrage S",3700,IF(D5="MIG09",3700,IF(D5="MIG10",3700,IF(D5="Xpander HL",4500)))))))))))))))))))))))))))))))))))))))</f>
        <v>5000</v>
      </c>
      <c r="Y11" s="92">
        <f>IF(D5="XC",5400,IF(D5="XPML ",5400,IF(D5="XPHL",5400,IF(D5="XPMLP",5400,IF(D5="XPMLP-01",5400,IF(D5="Xpander P",5400,IF(D5="MOP57",5200,IF(D5="MOG64",5200,IF(D5="MOG59",5200,IF(D5="MOG59P",5200,IF(D5="MOG61",5200,IF(D5="MOP61",5200,IF(D5="OTF03",6000,IF(D5="OTP03",6000,IF(D5="OTF06",6000,IF(D5="OTP06",6000,IF(D5="OTP06-01",6000,IF(D5="OTF08",6000,IF(D5="OTP08",6000,IF(D5="ECG38",5700,IF(D5="ECG37",5700,IF(D5="ECG40",5700,IF(D5="ECG43",5700,IF(D5="ASG48",5900,IF(D5="ASG43",5900,IF(D5="ASG40",5900,IF(D5="ASG42",5900,IF(D5="ASG44",5900,IF(D5="ASG45",5900,IF(D5="ASX HL",5900,IF(D5="ASX P",5900,IF(D5="ASX HL 4WD",5900,IF(D5="ATG16",4500,IF(D5="ATG17",4500,IF(D5="ATP16",4500,IF(D5="Attrage S",4500,IF(D5="MIG09",4500,IF(D5="MIG10",4500,IF(D5="Xpander HL",5400)))))))))))))))))))))))))))))))))))))))</f>
        <v>6000</v>
      </c>
    </row>
    <row r="12" spans="1:28" ht="24.75" customHeight="1" x14ac:dyDescent="0.4">
      <c r="A12" s="8"/>
      <c r="B12" s="37" t="s">
        <v>20</v>
      </c>
      <c r="C12" s="20" t="s">
        <v>17</v>
      </c>
      <c r="D12" s="36">
        <f>IF(C12="YES",2000,IF(C12="NO",0))</f>
        <v>0</v>
      </c>
      <c r="E12" s="43"/>
      <c r="F12" s="43" t="s">
        <v>21</v>
      </c>
      <c r="G12" s="40"/>
      <c r="H12" s="33">
        <v>600</v>
      </c>
      <c r="I12" s="21"/>
      <c r="J12" s="44" t="s">
        <v>22</v>
      </c>
      <c r="K12" s="45">
        <v>0</v>
      </c>
      <c r="L12" s="45">
        <v>5.2499999999999998E-2</v>
      </c>
      <c r="M12" s="45">
        <v>0.126</v>
      </c>
      <c r="N12" s="46">
        <v>0.26250000000000001</v>
      </c>
      <c r="O12" s="92">
        <f>IF(K20="Esaad",B8*3/100,IF(K20="Emirates Platinum",B8*3/100,IF(K20="Fazaa",B8*3/100,IF(K20="Humat Alwatan",B8*3/100,IF(K20="Permissible",2000,IF(K20="ASX",8400,IF(K20="XPMLP",4000,IF(K20="XP",14100,IF(K20="G43",11000,IF(K20="EC",7000,IF(K20="G37",14000,IF(K20="G38",15000,IF(K20="G40",11000,IF(K20="OUT",9600,IF(K20="F08",15400,IF(K20="P08",11100,IF(K20="F06",14100,IF(K20="P06",17100,IF(K20="F03",17000,IF(K20="P03",19100,IF(K20="MON",10000,IF(K20="MON G57",10000,0))))))))))))))))))))))</f>
        <v>2000</v>
      </c>
      <c r="P12" s="92"/>
      <c r="Q12" s="92"/>
      <c r="R12" s="92"/>
      <c r="S12" s="92"/>
      <c r="T12" s="92"/>
      <c r="U12" s="92"/>
      <c r="V12" s="92"/>
      <c r="W12" s="92"/>
      <c r="X12" s="92"/>
      <c r="Y12" s="92"/>
      <c r="Z12" s="86" t="s">
        <v>83</v>
      </c>
      <c r="AA12" s="86" t="s">
        <v>84</v>
      </c>
    </row>
    <row r="13" spans="1:28" ht="24.6" x14ac:dyDescent="0.4">
      <c r="A13" s="8">
        <f>B8*1.26582</f>
        <v>141645.258</v>
      </c>
      <c r="B13" s="37" t="s">
        <v>23</v>
      </c>
      <c r="C13" s="20" t="s">
        <v>17</v>
      </c>
      <c r="D13" s="36">
        <f>IF(C13="YES",2000,IF(C13="NO",0))</f>
        <v>0</v>
      </c>
      <c r="E13" s="47"/>
      <c r="F13" s="47" t="s">
        <v>75</v>
      </c>
      <c r="G13" s="40"/>
      <c r="H13" s="33">
        <v>315</v>
      </c>
      <c r="I13" s="21"/>
      <c r="J13" s="44" t="s">
        <v>54</v>
      </c>
      <c r="K13" s="29" t="s">
        <v>79</v>
      </c>
      <c r="L13" s="29" t="s">
        <v>25</v>
      </c>
      <c r="M13" s="29" t="s">
        <v>0</v>
      </c>
      <c r="N13" s="49" t="s">
        <v>26</v>
      </c>
      <c r="O13" s="98">
        <f>IF(M21="3000-4999",6%,IF(M21="5000-9999",4.75%,IF(M21="10000-14999",3.15%,IF(M21="15000-24999",2.5%,IF(M21="25000-34999",2.25%,IF(M21="35000-99999",2.25%))))))</f>
        <v>4.7500000000000001E-2</v>
      </c>
      <c r="Q13" s="83">
        <f>H7/12</f>
        <v>2218.4504124999999</v>
      </c>
      <c r="U13" s="9">
        <f>IF(M21="3000-4999",6%,IF(M21="5000-9999",3.25%,IF(M21="10000-14999",3%,IF(M21="15000-24999",2.25%,IF(M21="25000-34999",2.15%,IF(M21="35000-99999",1.99%))))))</f>
        <v>3.2500000000000001E-2</v>
      </c>
      <c r="Z13" s="99">
        <f>IF(M21="5000-9999",2.49%,IF(M21="10000-19999",2.19%,IF(M21="20000-34999",2.09%,IF(M21="35000-49999",1.89%,IF(M21="50000-99999",1.79%)))))</f>
        <v>2.4900000000000002E-2</v>
      </c>
      <c r="AA13" s="99">
        <f>IF(M21="5000-9999",2.59%,IF(M21="10000-19999",2.29%,IF(M21="20000-34999",2.19%,IF(M21="35000-49999",1.99%,IF(M21="50000-99999",1.89%)))))</f>
        <v>2.5899999999999999E-2</v>
      </c>
    </row>
    <row r="14" spans="1:28" ht="24.6" x14ac:dyDescent="0.4">
      <c r="A14" s="10" t="s">
        <v>27</v>
      </c>
      <c r="B14" s="37" t="s">
        <v>24</v>
      </c>
      <c r="C14" s="20" t="s">
        <v>19</v>
      </c>
      <c r="D14" s="50">
        <f>IF(C14="YES",U19*3.15*1.05/100,IF(C14="NO",U19*0/100))</f>
        <v>4118.8297500000008</v>
      </c>
      <c r="E14" s="48"/>
      <c r="F14" s="48" t="s">
        <v>24</v>
      </c>
      <c r="G14" s="51" t="s">
        <v>17</v>
      </c>
      <c r="H14" s="39">
        <f>IF(G14="YES",U19*3.15*1.05/100,IF(G14="NO",U19*0/100))</f>
        <v>0</v>
      </c>
      <c r="I14" s="21"/>
      <c r="J14" s="44" t="s">
        <v>55</v>
      </c>
      <c r="K14" s="44">
        <f>(H8*K12+H8)/3</f>
        <v>8873.8016499999994</v>
      </c>
      <c r="L14" s="44">
        <f>(H8*L12+H8)/12</f>
        <v>2334.9190591562497</v>
      </c>
      <c r="M14" s="44">
        <f>(H8*M12+H8)/24</f>
        <v>1248.9875822375</v>
      </c>
      <c r="N14" s="52">
        <f>(H7*N12+H7)/60</f>
        <v>560.15872915624993</v>
      </c>
      <c r="O14" s="98">
        <f>IF(M21="3000-4999",3.89%,IF(M21="5000-9999",3.89%,IF(M21="10000-14999",3.89%,IF(M21="15000-24999",2.69%,IF(M21="25000-34999",2.69%,IF(M21="35000-99999",2.39%,IF(M21="76000-99999",2.19%)))))))</f>
        <v>3.8900000000000004E-2</v>
      </c>
    </row>
    <row r="15" spans="1:28" ht="24.6" x14ac:dyDescent="0.4">
      <c r="A15" s="11">
        <f>(B7*3%)+10+120</f>
        <v>3487</v>
      </c>
      <c r="B15" s="37" t="s">
        <v>28</v>
      </c>
      <c r="C15" s="20" t="s">
        <v>19</v>
      </c>
      <c r="D15" s="29">
        <f>IF(C15="YES",O10,IF(C15="NO",0))</f>
        <v>4458.1949999999997</v>
      </c>
      <c r="E15" s="48"/>
      <c r="F15" s="48" t="s">
        <v>53</v>
      </c>
      <c r="G15" s="51" t="s">
        <v>17</v>
      </c>
      <c r="H15" s="39">
        <f>IF(G15="YES",O10,IF(G15="NO",0))</f>
        <v>0</v>
      </c>
      <c r="I15" s="21"/>
      <c r="J15" s="44"/>
      <c r="K15" s="44"/>
      <c r="L15" s="44"/>
      <c r="M15" s="44"/>
      <c r="N15" s="53"/>
      <c r="O15" s="98" t="b">
        <f>IF(M21="3000-4999",4.99%, IF(M21="5000-11999",2.75%,IF(M21="12000-19999",2.75%,IF(M21="20000-39999",2.25%,IF(M21="40000-69999",2.39%,IF(M21="70000-99999",2.25%))))))</f>
        <v>0</v>
      </c>
      <c r="P15" s="99"/>
    </row>
    <row r="16" spans="1:28" ht="24.6" x14ac:dyDescent="0.4">
      <c r="A16" s="11">
        <f>((B7-B8)*3%+10+120)</f>
        <v>130</v>
      </c>
      <c r="B16" s="37" t="s">
        <v>78</v>
      </c>
      <c r="C16" s="20" t="s">
        <v>19</v>
      </c>
      <c r="D16" s="29">
        <f>IF(C16="YES",O16,IF(C16="NO",0))</f>
        <v>6700</v>
      </c>
      <c r="E16" s="47"/>
      <c r="F16" s="47" t="s">
        <v>74</v>
      </c>
      <c r="G16" s="54"/>
      <c r="H16" s="33">
        <f>I7*1.05%</f>
        <v>1118.0990078999998</v>
      </c>
      <c r="I16" s="21"/>
      <c r="J16" s="44" t="s">
        <v>16</v>
      </c>
      <c r="K16" s="44">
        <f>(K14*3)-H8</f>
        <v>0</v>
      </c>
      <c r="L16" s="44">
        <f>(L14*12)-H8</f>
        <v>1397.6237598750013</v>
      </c>
      <c r="M16" s="44">
        <f>(M14*24)-H8</f>
        <v>3354.2970237000045</v>
      </c>
      <c r="N16" s="53"/>
      <c r="O16" s="92">
        <f>IF(B16="RMC-10-70KMS",O11,IF(B16="RMC-10-100000KMS",V11,IF(B16="RMC-40-70KMS",U11, IF(B16="RMC-10-40KMS",X11, IF(B16="RMC-10-60KMS",Y11, IF(B16="RMC-40-100000KMS",W11,0))))))</f>
        <v>6700</v>
      </c>
    </row>
    <row r="17" spans="1:28" ht="24.6" x14ac:dyDescent="0.4">
      <c r="A17" s="11">
        <f>A15+A16</f>
        <v>3617</v>
      </c>
      <c r="B17" s="37"/>
      <c r="C17" s="20"/>
      <c r="D17" s="29">
        <f>SUM(D10:D16)</f>
        <v>15277.02475</v>
      </c>
      <c r="E17" s="33"/>
      <c r="F17" s="33"/>
      <c r="G17" s="33"/>
      <c r="H17" s="33">
        <f>H7+H12+H15+H16</f>
        <v>28339.503957899997</v>
      </c>
      <c r="I17" s="33"/>
      <c r="J17" s="22"/>
      <c r="K17" s="53"/>
      <c r="L17" s="53"/>
      <c r="M17" s="53"/>
      <c r="N17" s="53"/>
      <c r="O17" s="92">
        <f>IF(B11="FO Ceramic+ Intr&amp;Extr CeramicGold WdwTnt",2700,IF(B11="FO Mirror Camera Sensor",2000))</f>
        <v>2700</v>
      </c>
      <c r="T17" s="86">
        <f>19615-791</f>
        <v>18824</v>
      </c>
    </row>
    <row r="18" spans="1:28" ht="24.6" x14ac:dyDescent="0.4">
      <c r="A18" s="12" t="s">
        <v>29</v>
      </c>
      <c r="B18" s="55" t="s">
        <v>30</v>
      </c>
      <c r="C18" s="56"/>
      <c r="D18" s="57">
        <v>0</v>
      </c>
      <c r="E18" s="38"/>
      <c r="F18" s="22"/>
      <c r="G18" s="22"/>
      <c r="H18" s="21"/>
      <c r="I18" s="21"/>
      <c r="J18" s="21"/>
      <c r="K18" s="21"/>
      <c r="L18" s="21"/>
      <c r="M18" s="21"/>
      <c r="N18" s="21"/>
      <c r="O18" s="92"/>
      <c r="U18" s="100" t="s">
        <v>52</v>
      </c>
      <c r="V18" s="100" t="s">
        <v>52</v>
      </c>
    </row>
    <row r="19" spans="1:28" ht="24.6" x14ac:dyDescent="0.4">
      <c r="A19" s="11">
        <f>B8*3.15%</f>
        <v>3524.85</v>
      </c>
      <c r="B19" s="58" t="s">
        <v>31</v>
      </c>
      <c r="C19" s="59"/>
      <c r="D19" s="60">
        <f>IF(K21="DIB EXPAT",O13,IF(K21="DIB LOCAL GVH",U13,IF(K21="Emirates NBD",O14,IF(K21="ADCB",O15,IF(K21="ADCB PAY IN 2027",O19,IF(K21="Ajman Bank",O18,IF(K21="SIB STL",Z13,IF(K21="SIB NON STL",AA13,))))))))</f>
        <v>2.4900000000000002E-2</v>
      </c>
      <c r="E19" s="22"/>
      <c r="F19" s="61"/>
      <c r="G19" s="141" t="s">
        <v>73</v>
      </c>
      <c r="H19" s="142"/>
      <c r="I19" s="143"/>
      <c r="J19" s="109">
        <f>H7/365</f>
        <v>72.935356027397248</v>
      </c>
      <c r="K19" s="21"/>
      <c r="L19" s="21"/>
      <c r="M19" s="21"/>
      <c r="N19" s="23">
        <f>D7</f>
        <v>117495</v>
      </c>
      <c r="O19" s="98" t="b">
        <f>IF(M21="5000-11999",3.35%,IF(M21="12000-19999",3.35%,IF(M21="20000-39999",2.85%,IF(M21="40000-69999",2.85%,IF(M21="70000-99999",2.85%)))))</f>
        <v>0</v>
      </c>
      <c r="P19" s="83">
        <f>81400-2500</f>
        <v>78900</v>
      </c>
      <c r="U19" s="101">
        <f>V19</f>
        <v>124530</v>
      </c>
      <c r="V19" s="102">
        <f>(B7+D10+D11+D12+D13+D16)*1.05</f>
        <v>124530</v>
      </c>
      <c r="X19" s="87">
        <f>G7*3.15*1.05/100</f>
        <v>4402.5148436062491</v>
      </c>
      <c r="Y19" s="87">
        <f>G7*3/100+510*1.05</f>
        <v>4528.7107424999995</v>
      </c>
      <c r="Z19" s="87">
        <f>Y19+X19</f>
        <v>8931.2255861062476</v>
      </c>
      <c r="AA19" s="87">
        <f>(Z19)-(D14+D15)</f>
        <v>354.20083610624715</v>
      </c>
      <c r="AB19" s="87">
        <f>AA19*1.25</f>
        <v>442.75104513280894</v>
      </c>
    </row>
    <row r="20" spans="1:28" ht="24.6" x14ac:dyDescent="0.4">
      <c r="A20" s="11"/>
      <c r="B20" s="58" t="s">
        <v>32</v>
      </c>
      <c r="C20" s="62"/>
      <c r="D20" s="63">
        <v>0.2</v>
      </c>
      <c r="E20" s="21"/>
      <c r="F20" s="21"/>
      <c r="G20" s="42"/>
      <c r="H20" s="42"/>
      <c r="I20" s="42"/>
      <c r="J20" s="103"/>
      <c r="K20" s="104" t="s">
        <v>33</v>
      </c>
      <c r="L20" s="104" t="s">
        <v>17</v>
      </c>
      <c r="M20" s="104">
        <f>IF(L20="YES",O12,IF(L20="NO",0))</f>
        <v>0</v>
      </c>
      <c r="N20" s="23">
        <f>B8-M20</f>
        <v>111900</v>
      </c>
      <c r="O20" s="92"/>
      <c r="P20" s="99"/>
      <c r="T20" s="86">
        <f>1992+1084</f>
        <v>3076</v>
      </c>
      <c r="V20" s="83"/>
      <c r="X20" s="87">
        <f>X19-D14</f>
        <v>283.6850936062483</v>
      </c>
      <c r="Y20" s="87">
        <f>Y19-D15</f>
        <v>70.51574249999976</v>
      </c>
      <c r="AA20" s="87">
        <f>X20+Y20</f>
        <v>354.20083610624806</v>
      </c>
    </row>
    <row r="21" spans="1:28" ht="24.6" x14ac:dyDescent="0.4">
      <c r="A21" s="13">
        <f>A19+A20</f>
        <v>3524.85</v>
      </c>
      <c r="B21" s="21"/>
      <c r="C21" s="22"/>
      <c r="D21" s="21"/>
      <c r="E21" s="21"/>
      <c r="F21" s="21"/>
      <c r="G21" s="21"/>
      <c r="H21" s="21"/>
      <c r="I21" s="21"/>
      <c r="J21" s="37" t="s">
        <v>34</v>
      </c>
      <c r="K21" s="16" t="s">
        <v>83</v>
      </c>
      <c r="L21" s="105" t="s">
        <v>35</v>
      </c>
      <c r="M21" s="106" t="s">
        <v>80</v>
      </c>
      <c r="N21" s="111"/>
      <c r="O21" s="92"/>
      <c r="T21" s="86">
        <f>25973-12973</f>
        <v>13000</v>
      </c>
    </row>
    <row r="22" spans="1:28" ht="24.6" x14ac:dyDescent="0.4">
      <c r="A22" s="13"/>
      <c r="B22" s="130" t="s">
        <v>51</v>
      </c>
      <c r="C22" s="131"/>
      <c r="D22" s="131"/>
      <c r="E22" s="131"/>
      <c r="F22" s="131"/>
      <c r="G22" s="131"/>
      <c r="H22" s="131"/>
      <c r="I22" s="131"/>
      <c r="J22" s="131"/>
      <c r="K22" s="131"/>
      <c r="L22" s="131"/>
      <c r="M22" s="131"/>
      <c r="N22" s="132"/>
      <c r="O22" s="92"/>
    </row>
    <row r="23" spans="1:28" ht="25.2" x14ac:dyDescent="0.45">
      <c r="A23" s="14" t="s">
        <v>36</v>
      </c>
      <c r="B23" s="64" t="s">
        <v>57</v>
      </c>
      <c r="C23" s="65"/>
      <c r="D23" s="65"/>
      <c r="E23" s="65"/>
      <c r="F23" s="65"/>
      <c r="G23" s="65"/>
      <c r="H23" s="66"/>
      <c r="I23" s="66"/>
      <c r="J23" s="65"/>
      <c r="K23" s="65"/>
      <c r="L23" s="65"/>
      <c r="M23" s="65"/>
      <c r="N23" s="67"/>
      <c r="O23" s="92">
        <f>N7+K14</f>
        <v>10869.519641084999</v>
      </c>
    </row>
    <row r="24" spans="1:28" ht="25.2" x14ac:dyDescent="0.45">
      <c r="A24" s="14" t="s">
        <v>36</v>
      </c>
      <c r="B24" s="64" t="s">
        <v>58</v>
      </c>
      <c r="C24" s="65"/>
      <c r="D24" s="65"/>
      <c r="E24" s="65"/>
      <c r="F24" s="65"/>
      <c r="G24" s="65"/>
      <c r="H24" s="85">
        <f>H7/365</f>
        <v>72.935356027397248</v>
      </c>
      <c r="I24" s="85">
        <f>H7/365</f>
        <v>72.935356027397248</v>
      </c>
      <c r="J24" s="65"/>
      <c r="K24" s="65"/>
      <c r="L24" s="65"/>
      <c r="M24" s="65"/>
      <c r="N24" s="68"/>
      <c r="O24" s="92"/>
      <c r="P24" s="83">
        <f>1232+480</f>
        <v>1712</v>
      </c>
      <c r="T24" s="86">
        <f>88704/1.05</f>
        <v>84480</v>
      </c>
    </row>
    <row r="25" spans="1:28" ht="25.2" x14ac:dyDescent="0.45">
      <c r="A25" s="14" t="s">
        <v>36</v>
      </c>
      <c r="B25" s="64" t="s">
        <v>59</v>
      </c>
      <c r="C25" s="65"/>
      <c r="D25" s="65"/>
      <c r="E25" s="65"/>
      <c r="F25" s="65"/>
      <c r="G25" s="65"/>
      <c r="H25" s="66"/>
      <c r="I25" s="85">
        <f>I24*365*3</f>
        <v>79864.214849999989</v>
      </c>
      <c r="J25" s="65"/>
      <c r="K25" s="65"/>
      <c r="L25" s="65"/>
      <c r="M25" s="65"/>
      <c r="N25" s="68"/>
      <c r="O25" s="92"/>
      <c r="Q25" s="86">
        <f>79400-5233.33</f>
        <v>74166.67</v>
      </c>
      <c r="R25" s="86">
        <f>Q25*1.05</f>
        <v>77875.003500000006</v>
      </c>
    </row>
    <row r="26" spans="1:28" ht="25.2" x14ac:dyDescent="0.45">
      <c r="A26" s="14" t="s">
        <v>36</v>
      </c>
      <c r="B26" s="64" t="s">
        <v>60</v>
      </c>
      <c r="C26" s="65"/>
      <c r="D26" s="65"/>
      <c r="E26" s="65"/>
      <c r="F26" s="65"/>
      <c r="G26" s="65"/>
      <c r="H26" s="65"/>
      <c r="I26" s="65"/>
      <c r="J26" s="65"/>
      <c r="K26" s="65"/>
      <c r="L26" s="65"/>
      <c r="M26" s="65"/>
      <c r="N26" s="68"/>
      <c r="O26" s="92" t="s">
        <v>37</v>
      </c>
      <c r="R26" s="86">
        <f>R25+2469</f>
        <v>80344.003500000006</v>
      </c>
    </row>
    <row r="27" spans="1:28" ht="25.2" x14ac:dyDescent="0.45">
      <c r="A27" s="14" t="s">
        <v>36</v>
      </c>
      <c r="B27" s="64" t="s">
        <v>61</v>
      </c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8"/>
      <c r="O27" s="92">
        <f>129500-110900</f>
        <v>18600</v>
      </c>
    </row>
    <row r="28" spans="1:28" ht="25.2" x14ac:dyDescent="0.45">
      <c r="B28" s="64" t="s">
        <v>62</v>
      </c>
      <c r="C28" s="65"/>
      <c r="D28" s="65"/>
      <c r="E28" s="65"/>
      <c r="F28" s="65"/>
      <c r="G28" s="65"/>
      <c r="H28" s="65"/>
      <c r="I28" s="65"/>
      <c r="J28" s="65"/>
      <c r="K28" s="65"/>
      <c r="L28" s="65"/>
      <c r="M28" s="65"/>
      <c r="N28" s="68"/>
      <c r="O28" s="92"/>
    </row>
    <row r="29" spans="1:28" ht="25.2" x14ac:dyDescent="0.45">
      <c r="B29" s="64" t="s">
        <v>63</v>
      </c>
      <c r="C29" s="65"/>
      <c r="D29" s="65"/>
      <c r="E29" s="65"/>
      <c r="F29" s="65"/>
      <c r="G29" s="65"/>
      <c r="H29" s="65"/>
      <c r="I29" s="65"/>
      <c r="J29" s="65"/>
      <c r="K29" s="65"/>
      <c r="L29" s="65"/>
      <c r="M29" s="65"/>
      <c r="N29" s="69"/>
      <c r="O29" s="92"/>
    </row>
    <row r="30" spans="1:28" ht="24.6" x14ac:dyDescent="0.4">
      <c r="B30" s="133" t="s">
        <v>38</v>
      </c>
      <c r="C30" s="134"/>
      <c r="D30" s="134"/>
      <c r="E30" s="134"/>
      <c r="F30" s="134"/>
      <c r="G30" s="134"/>
      <c r="H30" s="134"/>
      <c r="I30" s="134"/>
      <c r="J30" s="134"/>
      <c r="K30" s="134"/>
      <c r="L30" s="134"/>
      <c r="M30" s="134"/>
      <c r="N30" s="135"/>
      <c r="O30" s="92"/>
    </row>
    <row r="31" spans="1:28" ht="24.6" x14ac:dyDescent="0.4">
      <c r="B31" s="136"/>
      <c r="C31" s="137"/>
      <c r="D31" s="137"/>
      <c r="E31" s="137"/>
      <c r="F31" s="137"/>
      <c r="G31" s="137"/>
      <c r="H31" s="137"/>
      <c r="I31" s="137"/>
      <c r="J31" s="137"/>
      <c r="K31" s="137"/>
      <c r="L31" s="137"/>
      <c r="M31" s="137"/>
      <c r="N31" s="138"/>
      <c r="O31" s="92"/>
    </row>
    <row r="32" spans="1:28" ht="24.6" x14ac:dyDescent="0.4">
      <c r="B32" s="136" t="s">
        <v>39</v>
      </c>
      <c r="C32" s="137"/>
      <c r="D32" s="137"/>
      <c r="E32" s="137"/>
      <c r="F32" s="137"/>
      <c r="G32" s="137"/>
      <c r="H32" s="137"/>
      <c r="I32" s="137"/>
      <c r="J32" s="137"/>
      <c r="K32" s="137"/>
      <c r="L32" s="137"/>
      <c r="M32" s="137"/>
      <c r="N32" s="138"/>
      <c r="O32" s="92"/>
    </row>
    <row r="33" spans="2:16" ht="24.6" x14ac:dyDescent="0.4">
      <c r="B33" s="136" t="s">
        <v>40</v>
      </c>
      <c r="C33" s="137"/>
      <c r="D33" s="137"/>
      <c r="E33" s="137"/>
      <c r="F33" s="137"/>
      <c r="G33" s="137"/>
      <c r="H33" s="137"/>
      <c r="I33" s="137"/>
      <c r="J33" s="137"/>
      <c r="K33" s="137"/>
      <c r="L33" s="137"/>
      <c r="M33" s="137"/>
      <c r="N33" s="138"/>
      <c r="O33" s="92"/>
    </row>
    <row r="34" spans="2:16" s="112" customFormat="1" ht="24.6" x14ac:dyDescent="0.4">
      <c r="B34" s="107" t="s">
        <v>81</v>
      </c>
      <c r="C34" s="108"/>
      <c r="D34" s="108"/>
      <c r="E34" s="108"/>
      <c r="F34" s="108"/>
      <c r="G34" s="113"/>
      <c r="H34" s="113"/>
      <c r="I34" s="108"/>
      <c r="J34" s="108"/>
      <c r="K34" s="108"/>
      <c r="L34" s="108"/>
      <c r="M34" s="114" t="s">
        <v>82</v>
      </c>
      <c r="N34" s="116" t="b">
        <f>IF(M34="ALAA",507963328, IF(M34="BACHIR",525246969,IF(M34="JIHAN",566201266, IF(M34="RAMY",505277871, IF(M34="SIMON",505140337,IF(M34="SUJITH",551079817, IF(M34="PRAVEEN",506367792,IF(M34="MHAREN",529224059, IF(M34="MOSSALLEM",505185577,IF(M34="RANJITH",554989288, IF(M34="KHALED",552319494)))))))))))</f>
        <v>0</v>
      </c>
      <c r="O34" s="115"/>
      <c r="P34" s="115"/>
    </row>
    <row r="35" spans="2:16" x14ac:dyDescent="0.35">
      <c r="B35" s="70"/>
      <c r="C35" s="71"/>
      <c r="D35" s="71"/>
      <c r="E35" s="71"/>
      <c r="F35" s="71"/>
      <c r="G35" s="71"/>
      <c r="H35" s="71"/>
      <c r="I35" s="71"/>
      <c r="J35" s="71"/>
      <c r="K35" s="71"/>
      <c r="L35" s="71"/>
      <c r="M35" s="71"/>
      <c r="N35" s="72"/>
    </row>
    <row r="36" spans="2:16" x14ac:dyDescent="0.35">
      <c r="B36" s="70"/>
      <c r="C36" s="71"/>
      <c r="D36" s="71"/>
      <c r="E36" s="71"/>
      <c r="F36" s="71"/>
      <c r="G36" s="71"/>
      <c r="H36" s="71"/>
      <c r="I36" s="71"/>
      <c r="J36" s="71"/>
      <c r="K36" s="71"/>
      <c r="L36" s="71"/>
      <c r="M36" s="71"/>
      <c r="N36" s="72"/>
    </row>
    <row r="37" spans="2:16" x14ac:dyDescent="0.35">
      <c r="B37" s="70"/>
      <c r="C37" s="71"/>
      <c r="D37" s="71"/>
      <c r="E37" s="71"/>
      <c r="F37" s="71"/>
      <c r="G37" s="71"/>
      <c r="H37" s="71"/>
      <c r="I37" s="71"/>
      <c r="J37" s="71"/>
      <c r="K37" s="71"/>
      <c r="L37" s="71"/>
      <c r="M37" s="71"/>
      <c r="N37" s="72"/>
    </row>
    <row r="38" spans="2:16" ht="21" x14ac:dyDescent="0.4">
      <c r="B38" s="73" t="s">
        <v>64</v>
      </c>
      <c r="C38" s="74"/>
      <c r="D38" s="75"/>
      <c r="E38" s="76"/>
      <c r="F38" s="76"/>
      <c r="G38" s="76"/>
      <c r="H38" s="76"/>
      <c r="I38" s="76"/>
      <c r="J38" s="77"/>
      <c r="K38" s="76"/>
      <c r="L38" s="76"/>
      <c r="M38" s="76"/>
      <c r="N38" s="78"/>
    </row>
    <row r="39" spans="2:16" ht="21" x14ac:dyDescent="0.4">
      <c r="B39" s="73" t="s">
        <v>65</v>
      </c>
      <c r="C39" s="79"/>
      <c r="D39" s="75"/>
      <c r="E39" s="76"/>
      <c r="F39" s="76"/>
      <c r="G39" s="76"/>
      <c r="H39" s="76"/>
      <c r="I39" s="76"/>
      <c r="J39" s="77"/>
      <c r="K39" s="76"/>
      <c r="L39" s="76"/>
      <c r="M39" s="76"/>
      <c r="N39" s="80"/>
    </row>
    <row r="40" spans="2:16" ht="21" x14ac:dyDescent="0.35">
      <c r="B40" s="73" t="s">
        <v>66</v>
      </c>
      <c r="C40" s="81"/>
      <c r="D40" s="76"/>
      <c r="E40" s="76"/>
      <c r="F40" s="76"/>
      <c r="G40" s="76"/>
      <c r="H40" s="76"/>
      <c r="I40" s="76"/>
      <c r="J40" s="77"/>
      <c r="K40" s="76"/>
      <c r="L40" s="76"/>
      <c r="M40" s="76"/>
      <c r="N40" s="80"/>
    </row>
    <row r="41" spans="2:16" ht="21" x14ac:dyDescent="0.35">
      <c r="B41" s="73" t="s">
        <v>67</v>
      </c>
      <c r="C41" s="82"/>
      <c r="D41" s="83"/>
      <c r="E41" s="83"/>
      <c r="F41" s="83"/>
      <c r="G41" s="83"/>
      <c r="H41" s="83"/>
      <c r="I41" s="83"/>
      <c r="J41" s="83"/>
      <c r="K41" s="83"/>
      <c r="L41" s="83"/>
      <c r="M41" s="83"/>
      <c r="N41" s="84"/>
    </row>
    <row r="42" spans="2:16" ht="21" x14ac:dyDescent="0.35">
      <c r="B42" s="73" t="s">
        <v>77</v>
      </c>
      <c r="C42" s="82"/>
      <c r="D42" s="83"/>
      <c r="E42" s="83"/>
      <c r="F42" s="83"/>
      <c r="G42" s="83"/>
      <c r="H42" s="83"/>
      <c r="I42" s="83"/>
      <c r="J42" s="83"/>
      <c r="K42" s="83"/>
      <c r="L42" s="83"/>
      <c r="M42" s="83"/>
      <c r="N42" s="84"/>
    </row>
    <row r="43" spans="2:16" ht="21" x14ac:dyDescent="0.35">
      <c r="B43" s="73" t="s">
        <v>68</v>
      </c>
      <c r="C43" s="82"/>
      <c r="D43" s="83"/>
      <c r="E43" s="83"/>
      <c r="F43" s="83"/>
      <c r="G43" s="83"/>
      <c r="H43" s="83"/>
      <c r="I43" s="83"/>
      <c r="J43" s="83"/>
      <c r="K43" s="83"/>
      <c r="L43" s="83"/>
      <c r="M43" s="83"/>
      <c r="N43" s="84"/>
    </row>
    <row r="44" spans="2:16" ht="21" x14ac:dyDescent="0.35">
      <c r="B44" s="73" t="s">
        <v>69</v>
      </c>
      <c r="C44" s="82"/>
      <c r="D44" s="83"/>
      <c r="E44" s="83"/>
      <c r="F44" s="83"/>
      <c r="G44" s="83"/>
      <c r="H44" s="83"/>
      <c r="I44" s="83"/>
      <c r="J44" s="83"/>
      <c r="K44" s="83"/>
      <c r="L44" s="83"/>
      <c r="M44" s="83"/>
      <c r="N44" s="84"/>
    </row>
    <row r="45" spans="2:16" ht="21" x14ac:dyDescent="0.35">
      <c r="B45" s="73" t="s">
        <v>70</v>
      </c>
      <c r="C45" s="82"/>
      <c r="D45" s="83"/>
      <c r="E45" s="83"/>
      <c r="F45" s="83"/>
      <c r="G45" s="83"/>
      <c r="H45" s="83"/>
      <c r="I45" s="83"/>
      <c r="J45" s="83"/>
      <c r="K45" s="83"/>
      <c r="L45" s="83"/>
      <c r="M45" s="83"/>
      <c r="N45" s="84"/>
    </row>
    <row r="46" spans="2:16" ht="21" x14ac:dyDescent="0.35">
      <c r="B46" s="73" t="s">
        <v>71</v>
      </c>
      <c r="C46" s="82"/>
      <c r="D46" s="83"/>
      <c r="E46" s="83"/>
      <c r="F46" s="83"/>
      <c r="G46" s="83"/>
      <c r="H46" s="83"/>
      <c r="I46" s="83"/>
      <c r="J46" s="83"/>
      <c r="K46" s="83"/>
      <c r="L46" s="83"/>
      <c r="M46" s="83"/>
      <c r="N46" s="84"/>
    </row>
    <row r="47" spans="2:16" x14ac:dyDescent="0.35">
      <c r="B47" s="118" t="s">
        <v>39</v>
      </c>
      <c r="C47" s="119"/>
      <c r="D47" s="119"/>
      <c r="E47" s="119"/>
      <c r="F47" s="119"/>
      <c r="G47" s="119"/>
      <c r="H47" s="119"/>
      <c r="I47" s="119"/>
      <c r="J47" s="119"/>
      <c r="K47" s="119"/>
      <c r="L47" s="119"/>
      <c r="M47" s="119"/>
      <c r="N47" s="120"/>
      <c r="O47" s="92"/>
    </row>
    <row r="48" spans="2:16" x14ac:dyDescent="0.35">
      <c r="B48" s="118" t="s">
        <v>40</v>
      </c>
      <c r="C48" s="119"/>
      <c r="D48" s="119"/>
      <c r="E48" s="119"/>
      <c r="F48" s="119"/>
      <c r="G48" s="119"/>
      <c r="H48" s="119"/>
      <c r="I48" s="119"/>
      <c r="J48" s="119"/>
      <c r="K48" s="119"/>
      <c r="L48" s="119"/>
      <c r="M48" s="119"/>
      <c r="N48" s="120"/>
      <c r="O48" s="92"/>
    </row>
    <row r="49" spans="2:14" x14ac:dyDescent="0.35">
      <c r="B49" s="118" t="s">
        <v>72</v>
      </c>
      <c r="C49" s="119"/>
      <c r="D49" s="119"/>
      <c r="E49" s="119"/>
      <c r="F49" s="119"/>
      <c r="G49" s="119"/>
      <c r="H49" s="119"/>
      <c r="I49" s="119"/>
      <c r="J49" s="119"/>
      <c r="K49" s="119"/>
      <c r="L49" s="119"/>
      <c r="M49" s="119"/>
      <c r="N49" s="120"/>
    </row>
    <row r="50" spans="2:14" ht="25.8" x14ac:dyDescent="0.35">
      <c r="C50" s="15" t="s">
        <v>41</v>
      </c>
    </row>
    <row r="51" spans="2:14" ht="25.8" x14ac:dyDescent="0.35">
      <c r="C51" s="15" t="s">
        <v>42</v>
      </c>
    </row>
    <row r="52" spans="2:14" ht="25.8" x14ac:dyDescent="0.35">
      <c r="C52" s="15" t="s">
        <v>43</v>
      </c>
    </row>
    <row r="53" spans="2:14" ht="25.8" x14ac:dyDescent="0.35">
      <c r="C53" s="15" t="s">
        <v>44</v>
      </c>
    </row>
    <row r="54" spans="2:14" ht="25.8" x14ac:dyDescent="0.35">
      <c r="C54" s="15" t="s">
        <v>45</v>
      </c>
    </row>
  </sheetData>
  <mergeCells count="12">
    <mergeCell ref="B49:N49"/>
    <mergeCell ref="B1:N4"/>
    <mergeCell ref="F8:G8"/>
    <mergeCell ref="F9:G9"/>
    <mergeCell ref="G19:I19"/>
    <mergeCell ref="B22:N22"/>
    <mergeCell ref="B30:N30"/>
    <mergeCell ref="B31:N31"/>
    <mergeCell ref="B32:N32"/>
    <mergeCell ref="B33:N33"/>
    <mergeCell ref="B47:N47"/>
    <mergeCell ref="B48:N48"/>
  </mergeCells>
  <dataValidations count="11">
    <dataValidation type="list" allowBlank="1" showInputMessage="1" showErrorMessage="1" sqref="K21" xr:uid="{EA53051D-2165-489E-A014-EAF24093ECF5}">
      <formula1>"ADCB,ADCB PAY IN 2027,Ajman Bank,ADIB,DIB EXPAT,DIB LOCAL GVH,Emirates NBD,EIB,FAB,RAK,SIB STL,SIB NON STL"</formula1>
    </dataValidation>
    <dataValidation type="list" allowBlank="1" showInputMessage="1" showErrorMessage="1" sqref="D5" xr:uid="{EF3B436F-BFAD-47F1-8B1A-5505A88B0870}">
      <formula1>"MIG09,MIG10,ATG16,ATP16,ATG17,ASG48,ASG43,ASG40,ASG42,ASG44,ASG45,ECG38,ECG37,ECG40,ECG43,XPML,XPHL,XPMLP, XPMLP-01, XC,OTF03,OTP03,OTF06,OTP06, OTP06-01,OTF08, OTP08,MOP57,MOG64,MOG59,MOG59P,MOG61,MOP61"</formula1>
    </dataValidation>
    <dataValidation type="list" allowBlank="1" showInputMessage="1" showErrorMessage="1" sqref="M21" xr:uid="{B6B8EB00-EA44-43A9-B195-878F3294D927}">
      <formula1>"3000-4999,5000-9999,10000-14999,15000-24999,25000-34999,35000-99999,5000-11999,12000-19999,20000-39999,40000-69999,70000-99999"</formula1>
    </dataValidation>
    <dataValidation type="list" allowBlank="1" showInputMessage="1" showErrorMessage="1" sqref="K20" xr:uid="{A1171461-D305-49BA-9CD3-6D1980C43C46}">
      <formula1>"Esaad,Emirates Platinum,Fazaa,Humat Alwatan,Permissible,ASX,XPMLP,XP,MON,MON G57,OUT,F08,P08,F06,P06,F03,P03,EC,G37,G38,G40,G43"</formula1>
    </dataValidation>
    <dataValidation type="list" allowBlank="1" showInputMessage="1" showErrorMessage="1" sqref="L19:L20 L24:L25 G14:G15 C10:C16 L10 J10" xr:uid="{49A3CAE2-489C-4490-9DA2-F45D45478300}">
      <formula1>"YES,NO"</formula1>
    </dataValidation>
    <dataValidation type="list" allowBlank="1" showInputMessage="1" showErrorMessage="1" sqref="K24" xr:uid="{1C2F6256-D3FE-43E6-86A3-D982585C4DDE}">
      <formula1>"RMC-10-70K,RMC-10-100000K,RMC-40-70K"</formula1>
    </dataValidation>
    <dataValidation type="list" allowBlank="1" showInputMessage="1" showErrorMessage="1" sqref="B16" xr:uid="{24DB37ED-265C-4D89-947A-AFD2F05B1971}">
      <formula1>"RMC-10-40KMS,RMC-10-60KMS,RMC-10-70KMS,RMC-10-100000KMS,RMC-40-70KMS,RMC-40-100000KMS"</formula1>
    </dataValidation>
    <dataValidation type="list" allowBlank="1" showInputMessage="1" showErrorMessage="1" sqref="B12" xr:uid="{D9D3AB9F-3E7D-4995-953E-31BD53CF572F}">
      <formula1>"FO Exterior ceramic All Cars SCOTCHGUARD,FO Mirror Camera Sensor,FO PPF Gold Package "</formula1>
    </dataValidation>
    <dataValidation type="list" allowBlank="1" showInputMessage="1" showErrorMessage="1" sqref="B11" xr:uid="{CF8B0CE6-BE18-447F-A277-DD540AE78936}">
      <formula1>"FO Ceramic+ Intr&amp;Extr CeramicGold WdwTnt,FO Mirror Camera Sensor"</formula1>
    </dataValidation>
    <dataValidation type="list" allowBlank="1" showInputMessage="1" showErrorMessage="1" sqref="M34" xr:uid="{B6FE2F9B-46A1-42A7-BB5C-894A08D299AB}">
      <formula1>"Alaa,Bachir ,Khaled,Ramy,Simon,Mharen,Ranjith,Jihan,Praveen,Sujith,Mossallem"</formula1>
    </dataValidation>
    <dataValidation type="list" allowBlank="1" showInputMessage="1" showErrorMessage="1" sqref="H34" xr:uid="{50E41F0D-53EA-4C38-9774-3029A8239AB9}">
      <formula1>"ALAA HAMMAD,KHALED QASSEM,RAMY RAOUF,SIMON LOBO,MHAREN CLEMENTE GARADO"</formula1>
    </dataValidation>
  </dataValidations>
  <pageMargins left="0.23622047244094491" right="0.23622047244094491" top="0.74803149606299213" bottom="0.74803149606299213" header="0.31496062992125984" footer="0.31496062992125984"/>
  <pageSetup paperSize="9" scale="37" orientation="landscape" horizontalDpi="4294967295" verticalDpi="4294967295"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4D6EA3-13B0-487E-A810-F34FD8CCF21C}">
  <sheetPr>
    <pageSetUpPr fitToPage="1"/>
  </sheetPr>
  <dimension ref="A1:AB54"/>
  <sheetViews>
    <sheetView topLeftCell="B1" zoomScaleNormal="100" workbookViewId="0">
      <selection activeCell="D5" sqref="D5"/>
    </sheetView>
  </sheetViews>
  <sheetFormatPr defaultColWidth="9.109375" defaultRowHeight="20.399999999999999" x14ac:dyDescent="0.35"/>
  <cols>
    <col min="1" max="1" width="16" style="1" hidden="1" customWidth="1"/>
    <col min="2" max="2" width="75.5546875" style="2" customWidth="1"/>
    <col min="3" max="3" width="25.5546875" style="3" customWidth="1"/>
    <col min="4" max="4" width="25.33203125" style="2" customWidth="1"/>
    <col min="5" max="5" width="22.6640625" style="2" customWidth="1"/>
    <col min="6" max="6" width="21" style="2" customWidth="1"/>
    <col min="7" max="7" width="25" style="2" customWidth="1"/>
    <col min="8" max="8" width="29.44140625" style="2" bestFit="1" customWidth="1"/>
    <col min="9" max="9" width="32.109375" style="2" bestFit="1" customWidth="1"/>
    <col min="10" max="10" width="22" style="2" customWidth="1"/>
    <col min="11" max="11" width="23.33203125" style="2" customWidth="1"/>
    <col min="12" max="12" width="31" style="2" customWidth="1"/>
    <col min="13" max="13" width="23.5546875" style="2" customWidth="1"/>
    <col min="14" max="14" width="21.109375" style="2" customWidth="1"/>
    <col min="15" max="15" width="14.44140625" style="83" bestFit="1" customWidth="1"/>
    <col min="16" max="16" width="21.6640625" style="83" hidden="1" customWidth="1"/>
    <col min="17" max="17" width="14.33203125" style="86" hidden="1" customWidth="1"/>
    <col min="18" max="18" width="12.88671875" style="86" hidden="1" customWidth="1"/>
    <col min="19" max="19" width="13" style="86" hidden="1" customWidth="1"/>
    <col min="20" max="20" width="17.109375" style="86" hidden="1" customWidth="1"/>
    <col min="21" max="21" width="21.5546875" style="86" customWidth="1"/>
    <col min="22" max="22" width="22.88671875" style="86" customWidth="1"/>
    <col min="23" max="26" width="17.109375" style="86" bestFit="1" customWidth="1"/>
    <col min="27" max="27" width="15" style="86" customWidth="1"/>
    <col min="28" max="28" width="14.33203125" style="86" bestFit="1" customWidth="1"/>
    <col min="29" max="16384" width="9.109375" style="1"/>
  </cols>
  <sheetData>
    <row r="1" spans="1:28" ht="15.75" customHeight="1" x14ac:dyDescent="0.35">
      <c r="B1" s="121" t="s">
        <v>46</v>
      </c>
      <c r="C1" s="122"/>
      <c r="D1" s="122"/>
      <c r="E1" s="122"/>
      <c r="F1" s="122"/>
      <c r="G1" s="122"/>
      <c r="H1" s="122"/>
      <c r="I1" s="122"/>
      <c r="J1" s="122"/>
      <c r="K1" s="122"/>
      <c r="L1" s="122"/>
      <c r="M1" s="122"/>
      <c r="N1" s="123"/>
    </row>
    <row r="2" spans="1:28" ht="15.75" customHeight="1" x14ac:dyDescent="0.35">
      <c r="B2" s="124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6"/>
      <c r="Q2" s="83"/>
      <c r="S2" s="87"/>
    </row>
    <row r="3" spans="1:28" ht="15.75" customHeight="1" x14ac:dyDescent="0.35">
      <c r="B3" s="124"/>
      <c r="C3" s="125"/>
      <c r="D3" s="125"/>
      <c r="E3" s="125"/>
      <c r="F3" s="125"/>
      <c r="G3" s="125"/>
      <c r="H3" s="125"/>
      <c r="I3" s="125"/>
      <c r="J3" s="125"/>
      <c r="K3" s="125"/>
      <c r="L3" s="125"/>
      <c r="M3" s="125"/>
      <c r="N3" s="126"/>
      <c r="O3" s="82"/>
      <c r="P3" s="82"/>
      <c r="Q3" s="81"/>
      <c r="R3" s="81"/>
      <c r="S3" s="88" t="e">
        <f>N7+J14</f>
        <v>#VALUE!</v>
      </c>
      <c r="T3" s="88"/>
      <c r="U3" s="81"/>
      <c r="V3" s="81"/>
      <c r="W3" s="81"/>
      <c r="AA3" s="86">
        <f>273000/5</f>
        <v>54600</v>
      </c>
    </row>
    <row r="4" spans="1:28" ht="15.75" customHeight="1" x14ac:dyDescent="0.4">
      <c r="B4" s="127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9"/>
      <c r="O4" s="89" t="s">
        <v>0</v>
      </c>
      <c r="P4" s="89"/>
      <c r="Q4" s="90"/>
      <c r="R4" s="90"/>
      <c r="S4" s="91"/>
      <c r="T4" s="91"/>
      <c r="U4" s="90" t="s">
        <v>1</v>
      </c>
      <c r="V4" s="90" t="s">
        <v>2</v>
      </c>
      <c r="W4" s="90" t="s">
        <v>3</v>
      </c>
    </row>
    <row r="5" spans="1:28" ht="25.2" thickBot="1" x14ac:dyDescent="0.45">
      <c r="B5" s="17">
        <f ca="1">TODAY()</f>
        <v>46215</v>
      </c>
      <c r="C5" s="18" t="str">
        <f>IF(D5="MIG09","Mirage G09",IF(D5="MIG10","MirageG10",IF(D5="ATG16","Attrage G16",IF(D5="ATP16","Attrage P16",IF(D5="ATG17","Attrage G17",IF(D5="ASG48","ASX G48",IF(D5="ASG43","ASX G43", IF(D5="ASG40","ASXG40",IF(D5="ASG42","ASX G42",IF(D5="ASG44","ASX G44",IF(D5="ASG45","ASX G45",IF(D5="ECG38","Eclipse G38",IF(D5="ECG37","Eclipse G37",IF(D5="ECG40","Eclipse G40",IF(D5="ECG43","Eclipse G43",IF(D5="XPML","Xpander ML",IF(D5="XPHL","Xpander HL",IF(D5="XPMLP","Xpander ML P",IF(D5="XPMLP-01","Xpander ML P-01",IF(D5="XC","Xpander Cross", IF(D5="OTF03","Outlander F03",IF(D5="OTP03","Outlander P03",IF(D5="OTF06","Outlander F06",IF(D5="OTP06","Outlander P06",IF(D5="OTP06-01","Outlander P06-01",IF(D5="OTF08","Outlander F08",IF(D5="OTP08","Outlander P08P", IF(D5="MOP57","Montero P57",IF(D5="MOG64","Montero G64",IF(D5="MOG59","Montero G59",IF(D5="MOG59P","Montero G59 P",IF(D5="MOG61","Montero G61",IF(D5="MOP61","Montero P61")))))))))))))))))))))))))))))))))</f>
        <v>Outlander F06</v>
      </c>
      <c r="D5" s="19" t="s">
        <v>108</v>
      </c>
      <c r="E5" s="20" t="s">
        <v>47</v>
      </c>
      <c r="F5" s="21"/>
      <c r="G5" s="21"/>
      <c r="H5" s="21"/>
      <c r="I5" s="22"/>
      <c r="J5" s="23"/>
      <c r="K5" s="24">
        <v>0</v>
      </c>
      <c r="L5" s="25">
        <v>3.39E-2</v>
      </c>
      <c r="M5" s="25">
        <v>6.7799999999999999E-2</v>
      </c>
      <c r="N5" s="25">
        <v>0.1017</v>
      </c>
      <c r="O5" s="92">
        <f>K7+K14</f>
        <v>11372.577480810001</v>
      </c>
      <c r="S5" s="87"/>
      <c r="U5" s="87">
        <f>L7+L14</f>
        <v>4634.0388151225006</v>
      </c>
      <c r="V5" s="87">
        <f>M7+M14</f>
        <v>3099.8831594849999</v>
      </c>
      <c r="W5" s="87">
        <f>N7+N14</f>
        <v>2148.0665151225003</v>
      </c>
    </row>
    <row r="6" spans="1:28" s="5" customFormat="1" ht="128.25" customHeight="1" thickBot="1" x14ac:dyDescent="0.35">
      <c r="A6" s="4" t="s">
        <v>4</v>
      </c>
      <c r="B6" s="26" t="s">
        <v>5</v>
      </c>
      <c r="C6" s="27" t="s">
        <v>6</v>
      </c>
      <c r="D6" s="27" t="s">
        <v>48</v>
      </c>
      <c r="E6" s="27" t="s">
        <v>7</v>
      </c>
      <c r="F6" s="27" t="s">
        <v>8</v>
      </c>
      <c r="G6" s="28" t="s">
        <v>9</v>
      </c>
      <c r="H6" s="28" t="s">
        <v>49</v>
      </c>
      <c r="I6" s="28" t="s">
        <v>10</v>
      </c>
      <c r="J6" s="28" t="s">
        <v>56</v>
      </c>
      <c r="K6" s="28" t="s">
        <v>11</v>
      </c>
      <c r="L6" s="28" t="s">
        <v>12</v>
      </c>
      <c r="M6" s="28" t="s">
        <v>13</v>
      </c>
      <c r="N6" s="28" t="s">
        <v>14</v>
      </c>
      <c r="O6" s="93"/>
      <c r="P6" s="94"/>
      <c r="Q6" s="95"/>
      <c r="R6" s="95"/>
      <c r="S6" s="95"/>
      <c r="T6" s="96"/>
      <c r="U6" s="96">
        <f>N7+L14</f>
        <v>3639.6498951225003</v>
      </c>
      <c r="V6" s="96">
        <f>N7+K14</f>
        <v>9135.2024108100013</v>
      </c>
      <c r="W6" s="96"/>
      <c r="X6" s="95"/>
      <c r="Y6" s="95"/>
      <c r="Z6" s="95"/>
      <c r="AA6" s="95"/>
      <c r="AB6" s="95"/>
    </row>
    <row r="7" spans="1:28" ht="25.2" thickBot="1" x14ac:dyDescent="0.45">
      <c r="A7" s="6">
        <f>B8</f>
        <v>92900</v>
      </c>
      <c r="B7" s="29">
        <f>IF(L20="YES",C8*1,IF(L20="NO",B8*1))</f>
        <v>92900</v>
      </c>
      <c r="C7" s="29">
        <f>B7*5/100</f>
        <v>4645</v>
      </c>
      <c r="D7" s="29">
        <f>B7+C7</f>
        <v>97545</v>
      </c>
      <c r="E7" s="29">
        <f>D17</f>
        <v>13988.753500000001</v>
      </c>
      <c r="F7" s="29">
        <f>(C7)+(D10+D11+D12+D13+D16)*5/100</f>
        <v>4980</v>
      </c>
      <c r="G7" s="30">
        <f>B7+E7+F7</f>
        <v>111868.75350000001</v>
      </c>
      <c r="H7" s="29">
        <f>G7*D20</f>
        <v>22373.750700000004</v>
      </c>
      <c r="I7" s="29">
        <f>(G7-H7)</f>
        <v>89495.002800000002</v>
      </c>
      <c r="J7" s="30">
        <f>(((I7*D19)*1)+I7)/12</f>
        <v>7643.6190308100004</v>
      </c>
      <c r="K7" s="30">
        <f>(((I7*D19)*2)+I7)/24</f>
        <v>3914.6605808099998</v>
      </c>
      <c r="L7" s="30">
        <f>(((I7*D19)*3)+I7)/36</f>
        <v>2671.6744308100001</v>
      </c>
      <c r="M7" s="30">
        <f>(((I7*D19)*4)+I7)/48</f>
        <v>2050.1813558099998</v>
      </c>
      <c r="N7" s="30">
        <f>((((I7*D19)*5)+I7)/60)</f>
        <v>1677.28551081</v>
      </c>
      <c r="O7" s="92"/>
      <c r="P7" s="83">
        <f>H7+H16</f>
        <v>23313.448229400004</v>
      </c>
      <c r="T7" s="87">
        <f>25973/2</f>
        <v>12986.5</v>
      </c>
    </row>
    <row r="8" spans="1:28" ht="24.6" x14ac:dyDescent="0.4">
      <c r="A8" s="7">
        <v>0.2</v>
      </c>
      <c r="B8" s="31">
        <f>IF(D5="MIG09",39900,IF(D5="MIG10",40400,IF(D5="ATG16",40400,IF(D5="ATP16",49900,IF(D5="ATG17",41900,IF(D5="ASG48",63900,IF(D5="ASG43",62900,IF(D5="ASG40",63900,IF(D5="ASG42",68900,IF(D5="ASG44",89900,IF(D5="ASG45",95900,IF(D5="ECG38",73900,IF(D5="ECG37",70900,IF(D5="ECG40",86900,IF(D5="ECG43",91900,IF(D5="XPML",62900,IF(D5="XPHL",62900,IF(D5="XPMLP",69900,IF(D5="XPMLP-01",77800,IF(D5="XC",77900,IF(D5="OTF03",96900,IF(D5="OTP03",79900,IF(D5="OTF06",92900,IF(D5="OTP06",111900,IF(D5="OTP06-01",118900,IF(D5="OTF08",122900,IF(D5="OTP08",109900,IF(D5="MOP57",99900,IF(D5="MOG64",108900,IF(D5="MOG59",116900,IF(D5="MOG59P",110900,IF(D5="MOG61",127900,IF(D5="MOP61",125900)))))))))))))))))))))))))))))))))</f>
        <v>92900</v>
      </c>
      <c r="C8" s="32">
        <f>IF(L20="YES",N20,IF(L20="NO",N20))</f>
        <v>92900</v>
      </c>
      <c r="D8" s="29">
        <v>0</v>
      </c>
      <c r="E8" s="33"/>
      <c r="F8" s="139"/>
      <c r="G8" s="140"/>
      <c r="H8" s="110">
        <f>G7*20/100</f>
        <v>22373.750700000004</v>
      </c>
      <c r="I8" s="21"/>
      <c r="J8" s="34" t="s">
        <v>15</v>
      </c>
      <c r="K8" s="23">
        <f>(J7*K5+J7)/24</f>
        <v>318.48412628375002</v>
      </c>
      <c r="L8" s="23">
        <f>(J7*L5+J7)/36</f>
        <v>219.52049210984609</v>
      </c>
      <c r="M8" s="23">
        <f>(J7*M5+J7)/48</f>
        <v>170.03867502289413</v>
      </c>
      <c r="N8" s="23">
        <f>(J7*N5+J7)/60</f>
        <v>140.34958477072297</v>
      </c>
      <c r="O8" s="92"/>
      <c r="P8" s="83">
        <f>P7/12</f>
        <v>1942.7873524500003</v>
      </c>
      <c r="T8" s="86">
        <f>25973-12973</f>
        <v>13000</v>
      </c>
    </row>
    <row r="9" spans="1:28" ht="24.6" x14ac:dyDescent="0.4">
      <c r="A9" s="8">
        <f>B8/(100%-A8)</f>
        <v>116125</v>
      </c>
      <c r="B9" s="109">
        <f>B7-B8</f>
        <v>0</v>
      </c>
      <c r="C9" s="35"/>
      <c r="D9" s="36"/>
      <c r="E9" s="33"/>
      <c r="F9" s="139"/>
      <c r="G9" s="140"/>
      <c r="H9" s="33"/>
      <c r="I9" s="37" t="s">
        <v>16</v>
      </c>
      <c r="J9" s="38">
        <f>(J7*12)-(I7)</f>
        <v>2228.4255697199987</v>
      </c>
      <c r="K9" s="38">
        <f>(K7*24)-I7</f>
        <v>4456.8511394399975</v>
      </c>
      <c r="L9" s="38">
        <f>(L7*36)-I7</f>
        <v>6685.2767091599962</v>
      </c>
      <c r="M9" s="38">
        <f>(M7*48)-I7</f>
        <v>8913.7022788799804</v>
      </c>
      <c r="N9" s="38">
        <f>(N7*60)-I7</f>
        <v>11142.127848599994</v>
      </c>
      <c r="O9" s="92"/>
      <c r="T9" s="86">
        <f>T8/12</f>
        <v>1083.3333333333333</v>
      </c>
      <c r="Z9" s="86" t="s">
        <v>86</v>
      </c>
    </row>
    <row r="10" spans="1:28" ht="24.6" x14ac:dyDescent="0.4">
      <c r="A10" s="8"/>
      <c r="B10" s="37" t="s">
        <v>50</v>
      </c>
      <c r="C10" s="20" t="s">
        <v>17</v>
      </c>
      <c r="D10" s="36">
        <f>IF(C10="YES",800,IF(C10="NO",0))</f>
        <v>0</v>
      </c>
      <c r="E10" s="39"/>
      <c r="F10" s="40"/>
      <c r="G10" s="40"/>
      <c r="H10" s="33"/>
      <c r="I10" s="44" t="s">
        <v>85</v>
      </c>
      <c r="J10" s="117" t="s">
        <v>19</v>
      </c>
      <c r="K10" s="117">
        <f>IF(J10="YES",Z10,IF(J10="NO",0))</f>
        <v>1000</v>
      </c>
      <c r="L10" s="117"/>
      <c r="M10" s="117"/>
      <c r="N10" s="41">
        <f>(N8*60)-J7</f>
        <v>777.35605543337715</v>
      </c>
      <c r="O10" s="92">
        <f>IF(D5="XC",3690,IF(D5="XPML",3690,IF(D5="XPHL",3690,IF(D5="XPMLP",3690,IF(D5="XPMLP-01",3690,IF(D5="Xpander P",3690,IF(D5="MOP57",(U19*2.75/100+510)*1.05,IF(D5="MOG64",(U19*2.75/100+510)*1.05,IF(D5="MOG59",(U19*2.75/100+510)*1.05,IF(D5="MOG59P",(U19*2.75/100+510)*1.05,IF(D5="MOG61",(U19*2.75/100+510)*1.05,IF(D5="MOP61",(U19*2.75/100+510)*1.05,IF(D5="OTF03",(D7*3/100+510)*1.05,IF(D5="OTP03",(U19*3/100+510)*1.05,IF(D5="OTF06",(U19*3/100+510)*1.05,IF(D5="OTP06",(U19*3/100+510)*1.05,IF(D5="OTP06-01",(U19*3/100+510)*1.05,IF(D5="OTF08",(U19*3/100+510)*1.05,IF(D5="OTP08",(U19*3/100+510)*1.05,IF(D5="ECG38",3625,IF(D5="ECG37",3625,IF(D5="ECG40",(D7*3/100+510)*1.05,IF(D5="ECG43",(D7*3/100+510)*1.05,IF(D5="ASG48",3625,IF(D5="ASG43",3625,IF(D5="ASG40",3625,IF(D5="ASG42",3625,IF(D5="ASG44",3625,IF(D5="ASG45",3625,IF(D5="ASX HL 4WD",3625,IF(D5="ATG16",3625,IF(D5="ATG17",3625,IF(D5="ATP16",3625,IF(D5="Attrage S",3625,IF(D5="MIG09",3625,IF(D5="MIG10",3625,IF(D5="Xpander HL",3690)))))))))))))))))))))))))))))))))))))</f>
        <v>3829.7700000000004</v>
      </c>
      <c r="P10" s="97"/>
      <c r="Q10" s="97">
        <f>5.25*3</f>
        <v>15.75</v>
      </c>
      <c r="Z10" s="86">
        <f>IF(D5="MIG09",500,IF(D5="MIG10",500,IF(D5="ATG16",500,IF(D5="ATP16",500,IF(D5="ATG17",500,IF(D5="ASG48",1000,IF(D5="ASG43",1000,IF(D5="ASG40",1000,IF(D5="ASG42",1000,IF(D5="ASG44",1000,IF(D5="ASG45",1000,IF(D5="ECG38",1000,IF(D5="ECG37",1000,IF(D5="ECG40",1000,IF(D5="ECG43",1000,IF(D5="XPML",1000,IF(D5="XPHL",1000,IF(D5="XPMLP",1000,IF(D5="XPMLP-01",1000,IF(D5="XC",1000,IF(D5="OTF03",1000,IF(D5="OTP03",1000,IF(D5="OTF06",1000,IF(D5="OTP06",1000,IF(D5="OTP06-01",1000,IF(D5="OTF08",1000,IF(D5="OTP08",1000,IF(D5="MOP57",1000,IF(D5="MOG64",1000,IF(D5="MOG59",1000,IF(D5="MOG59P",1000,IF(D5="MOG61",1000,IF(D5="MOP61",1000)))))))))))))))))))))))))))))))))</f>
        <v>1000</v>
      </c>
    </row>
    <row r="11" spans="1:28" ht="24.6" x14ac:dyDescent="0.4">
      <c r="A11" s="8"/>
      <c r="B11" s="37" t="s">
        <v>18</v>
      </c>
      <c r="C11" s="20" t="s">
        <v>17</v>
      </c>
      <c r="D11" s="36">
        <f>IF(C11="YES",O17,IF(C11="NO",0))</f>
        <v>0</v>
      </c>
      <c r="E11" s="33"/>
      <c r="F11" s="40"/>
      <c r="G11" s="40"/>
      <c r="H11" s="33"/>
      <c r="I11" s="21"/>
      <c r="J11" s="44" t="s">
        <v>76</v>
      </c>
      <c r="K11" s="44">
        <f>H8-K10</f>
        <v>21373.750700000004</v>
      </c>
      <c r="L11" s="37"/>
      <c r="M11" s="37"/>
      <c r="N11" s="42"/>
      <c r="O11" s="92">
        <f>IF(D5="XC",6100,IF(D5="XPML",6100,IF(D5="XPHL",6100,IF(D5="XPMLP",6100,IF(D5="XPMLP-01",6100,IF(D5="Xpander P",6100,IF(D5="MOP57",5900,IF(D5="MOG64",5900,IF(D5="MOG59",5900,IF(D5="MOG59P",5900,IF(D5="MOG61",5900,IF(D5="MOP61",5900,IF(D5="OTF03",6700,IF(D5="OTP03",6700,IF(D5="OTF06",6700,IF(D5="OTP06",6700,IF(D5="OTP06-01",6700,IF(D5="OTF08",6700,IF(D5="OTP08",6700,IF(D5="ECG37",6400,IF(D5="ECG38",6400,IF(D5="ECG40",6400,IF(D5="ECG43",6400,IF(D5="ASG48",6600,IF(D5="ASG43",6600,IF(D5="ASG40",6600,IF(D5="ASG42",6600,IF(D5="ASG44",6600,IF(D5="ASG45",6600,IF(D5="ASX HL 4WD",6600,IF(D5="ATG16",5400,IF(D5="ATG17",5400,IF(D5="ATP16",5400,IF(D5="Attrage S",5400,IF(D5="MIG09",5400,IF(D5="MIG10",5400,IF(D5="Xpander HL",6000)))))))))))))))))))))))))))))))))))))</f>
        <v>6700</v>
      </c>
      <c r="P11" s="92"/>
      <c r="Q11" s="92"/>
      <c r="R11" s="92"/>
      <c r="S11" s="92"/>
      <c r="T11" s="92"/>
      <c r="U11" s="92">
        <f>IF(D5="XC",4900,IF(D5="XPML",4900,IF(D5="XPHL",4900,IF(D5="XPMLP",4900,IF(D5="XPMLP-01",4900,IF(D5="Xpander P",4900,IF(D5="MOP57",4600,IF(D5="MOG64",4600,IF(D5="MOG59",4600,IF(D5="MOG59P",4600,IF(D5="MOG61",4600,IF(D5="MOP61",4600,IF(D5="OTF03",5500,IF(D5="OTP03",5500,IF(D5="OTF06",5500,IF(D5="OTP06",5500,IF(D5="OTP06-01",5500,IF(D5="OTF08",5500,IF(D5="OTP08",5500,IF(D5="ECG38",5200,IF(D5="ECG37",5200,IF(D5="ECG40",5200,IF(D5="ECG43",5200,IF(D5="ASG48",5300,IF(D5="ASG43",5300,IF(D5="ASG40",5300,IF(D5="ASG42",5300,IF(D5="ASG44",5300,IF(D5="ASG45",5300,IF(D5="ASX HL",5300,IF(D5="ASX P",5300,IF(D5="ASX HL 4WD",5300,IF(D5="ATG16",4200,IF(D5="ATG17",4200,IF(D5="ATP16",4200,IF(D5="Attrage S",4200,IF(D5="MIG09",4200,IF(D5="MIG10",4200,IF(D5="Xpander HL",4900)))))))))))))))))))))))))))))))))))))))</f>
        <v>5500</v>
      </c>
      <c r="V11" s="92">
        <f>IF(D5="XC",9700,IF(D5="XPML",9700,IF(D5="XPHL",9700,IF(D5="XPMLP",9700,IF(D5="XPMLP-01",9700,IF(D5="XPMLP-01",9700,IF(D5="Xpander P",9700,IF(D5="MOP57",9300,IF(D5="MG64",9300,IF(D5="MOG59",9300,IF(D5="MOG59P",9300,IF(D5="MOG61",9300,IF(D5="MOP61",9300,IF(D5="OTF03",11000,IF(D5="OTP03",11000,IF(D5="OTF06",11000,IF(D5="OTP06",11000,IF(D5="OTP06-01",11000,IF(D5="OTF08",11000,IF(D5="OTP08",11000,IF(D5="ECG38",10400,IF(D5="ECG37",10400,IF(D5="ECG40",10400,IF(D5="ECG43",10400,IF(D5="ASG48",10700,IF(D5="ASG43",10700,IF(D5="ASG40",10700,IF(D5="ASG42",10700,IF(D5="ASG44",10800,IF(D5="ASG45",10800,IF(D5="ASX HL",12200,IF(D5="ASX P",12200,IF(D5="ASX HL 4WD",12200,IF(D5="ATG16",8500,IF(D5="ATG17",8500,IF(D5="ATP16",8500,IF(D5="Attrage S",9600,IF(D5="MIG09",8500,IF(D5="MIG10",8500,IF(D5="Xpander HL",11300))))))))))))))))))))))))))))))))))))))))</f>
        <v>11000</v>
      </c>
      <c r="W11" s="92">
        <f>IF(D5="XC",9200,IF(D5="XPML",9200,IF(D5="XPHL",9200,IF(D5="XPMLP",9200,IF(D5="XPMLP-01",9200,IF(D5="Xpander P",9200,IF(D5="MOP57",8700,IF(D5="MOG64",8700,IF(D5="MOG59",8700,IF(D5="MOG59P",8700,IF(D5="MOG61",8700,IF(D5="MOP61",8700,IF(D5="OTF03",10400,IF(D5="OTP03",10400,IF(D5="OTF06",10400,IF(D5="OTP06",10400,IF(D5="OTP06-01",10400,IF(D5="OTF08",10400,IF(D5="OTP08",10400,IF(D5="ECG38",9800,IF(D5="ECG37",9800,IF(D5="ECG40",9800,IF(D5="ECG43",9800,IF(D5="ASG48",10100,IF(D5="ASG43",10100,IF(D5="ASG40",10100,IF(D5="ASG42",10100,IF(D5="ASG44",10100,IF(D5="ASG45",10100,IF(D5="ASX HL",10100,IF(D5="ASX P",10100,IF(D5="ASX HL 4WD",10100,IF(D5="ATG16",7900,IF(D5="ATG17",7900,IF(D5="ATP16",7900,IF(D5="Attrage S",7900,IF(D5="MIG09",7900,IF(D5="MIG10",7900,IF(D5="Xpander HL",9200)))))))))))))))))))))))))))))))))))))))</f>
        <v>10400</v>
      </c>
      <c r="X11" s="92">
        <f>IF(D5="XC",4500,IF(D5="XPML",4500,IF(D5="XPHL",4500,IF(D5="XPMLP",4500,IF(D5="XPMLP-01",4500,IF(D5="Xpander P",4500,IF(D5="MOP57",4300,IF(D5="MOG64",4300,IF(D5="MOG59",4300,IF(D5="MOG59P",4300,IF(D5="MOG61",4300,IF(D5="MOP61",4300,IF(D5="OTF03",5000,IF(D5="OTP03",5000,IF(D5="OTF06",5000,IF(D5="OTP06",5000,IF(D5="OTP06-01",5000,IF(D5="OTF08",5000,IF(D5="OTP08",5000,IF(D5="ECG38",4900,IF(D5="ECG37",4900,IF(D5="ECG40",4900,IF(D5="ECG43",4900,IF(D5="ASG48",4900,IF(D5="ASG43",4900,IF(D5="ASG40",4900,IF(D5="ASG42",4900,IF(D5="ASG44",4900,IF(D5="ASG45",4900,IF(D5="ASX HL",4900,IF(D5="ASX P",4900,IF(D5="ASX HL 4WD",4900,IF(D5="ATG16",3700,IF(D5="ATG17",3700,IF(D5="ATP16",3700,IF(D5="Attrage S",3700,IF(D5="MIG09",3700,IF(D5="MIG10",3700,IF(D5="Xpander HL",4500)))))))))))))))))))))))))))))))))))))))</f>
        <v>5000</v>
      </c>
      <c r="Y11" s="92">
        <f>IF(D5="XC",5400,IF(D5="XPML ",5400,IF(D5="XPHL",5400,IF(D5="XPMLP",5400,IF(D5="XPMLP-01",5400,IF(D5="Xpander P",5400,IF(D5="MOP57",5200,IF(D5="MOG64",5200,IF(D5="MOG59",5200,IF(D5="MOG59P",5200,IF(D5="MOG61",5200,IF(D5="MOP61",5200,IF(D5="OTF03",6000,IF(D5="OTP03",6000,IF(D5="OTF06",6000,IF(D5="OTP06",6000,IF(D5="OTP06-01",6000,IF(D5="OTF08",6000,IF(D5="OTP08",6000,IF(D5="ECG38",5700,IF(D5="ECG37",5700,IF(D5="ECG40",5700,IF(D5="ECG43",5700,IF(D5="ASG48",5900,IF(D5="ASG43",5900,IF(D5="ASG40",5900,IF(D5="ASG42",5900,IF(D5="ASG44",5900,IF(D5="ASG45",5900,IF(D5="ASX HL",5900,IF(D5="ASX P",5900,IF(D5="ASX HL 4WD",5900,IF(D5="ATG16",4500,IF(D5="ATG17",4500,IF(D5="ATP16",4500,IF(D5="Attrage S",4500,IF(D5="MIG09",4500,IF(D5="MIG10",4500,IF(D5="Xpander HL",5400)))))))))))))))))))))))))))))))))))))))</f>
        <v>6000</v>
      </c>
    </row>
    <row r="12" spans="1:28" ht="24.75" customHeight="1" x14ac:dyDescent="0.4">
      <c r="A12" s="8"/>
      <c r="B12" s="37" t="s">
        <v>20</v>
      </c>
      <c r="C12" s="20" t="s">
        <v>17</v>
      </c>
      <c r="D12" s="36">
        <f>IF(C12="YES",2000,IF(C12="NO",0))</f>
        <v>0</v>
      </c>
      <c r="E12" s="43"/>
      <c r="F12" s="43" t="s">
        <v>21</v>
      </c>
      <c r="G12" s="40"/>
      <c r="H12" s="33">
        <v>600</v>
      </c>
      <c r="I12" s="21"/>
      <c r="J12" s="44" t="s">
        <v>22</v>
      </c>
      <c r="K12" s="45">
        <v>0</v>
      </c>
      <c r="L12" s="45">
        <v>5.2499999999999998E-2</v>
      </c>
      <c r="M12" s="45">
        <v>0.126</v>
      </c>
      <c r="N12" s="46">
        <v>0.26250000000000001</v>
      </c>
      <c r="O12" s="92">
        <f>IF(K20="Esaad",B8*3/100,IF(K20="Emirates Platinum",B8*3/100,IF(K20="Fazaa",B8*3/100,IF(K20="Humat Alwatan",B8*3/100,IF(K20="Permissible",2000,IF(K20="ASX",8400,IF(K20="XPMLP",4000,IF(K20="XP",14100,IF(K20="G43",11000,IF(K20="EC",7000,IF(K20="G37",14000,IF(K20="G38",15000,IF(K20="G40",11000,IF(K20="OUT",9600,IF(K20="F08",15400,IF(K20="P08",11100,IF(K20="F06",14100,IF(K20="P06",17100,IF(K20="F03",17000,IF(K20="P03",19100,IF(K20="MON",10000,IF(K20="MON G57",10000,0))))))))))))))))))))))</f>
        <v>2000</v>
      </c>
      <c r="P12" s="92"/>
      <c r="Q12" s="92"/>
      <c r="R12" s="92"/>
      <c r="S12" s="92"/>
      <c r="T12" s="92"/>
      <c r="U12" s="92"/>
      <c r="V12" s="92"/>
      <c r="W12" s="92"/>
      <c r="X12" s="92"/>
      <c r="Y12" s="92"/>
      <c r="Z12" s="86" t="s">
        <v>83</v>
      </c>
      <c r="AA12" s="86" t="s">
        <v>84</v>
      </c>
    </row>
    <row r="13" spans="1:28" ht="24.6" x14ac:dyDescent="0.4">
      <c r="A13" s="8">
        <f>B8*1.26582</f>
        <v>117594.678</v>
      </c>
      <c r="B13" s="37" t="s">
        <v>23</v>
      </c>
      <c r="C13" s="20" t="s">
        <v>17</v>
      </c>
      <c r="D13" s="36">
        <f>IF(C13="YES",2000,IF(C13="NO",0))</f>
        <v>0</v>
      </c>
      <c r="E13" s="47"/>
      <c r="F13" s="47" t="s">
        <v>75</v>
      </c>
      <c r="G13" s="40"/>
      <c r="H13" s="33">
        <v>315</v>
      </c>
      <c r="I13" s="21"/>
      <c r="J13" s="44" t="s">
        <v>54</v>
      </c>
      <c r="K13" s="29" t="s">
        <v>79</v>
      </c>
      <c r="L13" s="29" t="s">
        <v>25</v>
      </c>
      <c r="M13" s="29" t="s">
        <v>0</v>
      </c>
      <c r="N13" s="49" t="s">
        <v>26</v>
      </c>
      <c r="O13" s="98">
        <f>IF(M21="3000-4999",6%,IF(M21="5000-9999",4.75%,IF(M21="10000-14999",3.15%,IF(M21="15000-24999",2.5%,IF(M21="25000-34999",2.25%,IF(M21="35000-99999",2.25%))))))</f>
        <v>4.7500000000000001E-2</v>
      </c>
      <c r="Q13" s="83">
        <f>H7/12</f>
        <v>1864.4792250000003</v>
      </c>
      <c r="U13" s="9">
        <f>IF(M21="3000-4999",6%,IF(M21="5000-9999",3.25%,IF(M21="10000-14999",3%,IF(M21="15000-24999",2.25%,IF(M21="25000-34999",2.15%,IF(M21="35000-99999",1.99%))))))</f>
        <v>3.2500000000000001E-2</v>
      </c>
      <c r="Z13" s="99">
        <f>IF(M21="5000-9999",2.49%,IF(M21="10000-19999",2.19%,IF(M21="20000-34999",2.09%,IF(M21="35000-49999",1.89%,IF(M21="50000-99999",1.79%)))))</f>
        <v>2.4900000000000002E-2</v>
      </c>
      <c r="AA13" s="99">
        <f>IF(M21="5000-9999",2.59%,IF(M21="10000-19999",2.29%,IF(M21="20000-34999",2.19%,IF(M21="35000-49999",1.99%,IF(M21="50000-99999",1.89%)))))</f>
        <v>2.5899999999999999E-2</v>
      </c>
    </row>
    <row r="14" spans="1:28" ht="24.6" x14ac:dyDescent="0.4">
      <c r="A14" s="10" t="s">
        <v>27</v>
      </c>
      <c r="B14" s="37" t="s">
        <v>24</v>
      </c>
      <c r="C14" s="20" t="s">
        <v>19</v>
      </c>
      <c r="D14" s="50">
        <f>IF(C14="YES",U19*3.15*1.05/100,IF(C14="NO",U19*0/100))</f>
        <v>3458.9835000000003</v>
      </c>
      <c r="E14" s="48"/>
      <c r="F14" s="48" t="s">
        <v>24</v>
      </c>
      <c r="G14" s="51" t="s">
        <v>17</v>
      </c>
      <c r="H14" s="39">
        <f>IF(G14="YES",U19*3.15*1.05/100,IF(G14="NO",U19*0/100))</f>
        <v>0</v>
      </c>
      <c r="I14" s="21"/>
      <c r="J14" s="44" t="s">
        <v>55</v>
      </c>
      <c r="K14" s="44">
        <f>(H8*K12+H8)/3</f>
        <v>7457.9169000000011</v>
      </c>
      <c r="L14" s="44">
        <f>(H8*L12+H8)/12</f>
        <v>1962.3643843125003</v>
      </c>
      <c r="M14" s="44">
        <f>(H8*M12+H8)/24</f>
        <v>1049.7018036750003</v>
      </c>
      <c r="N14" s="52">
        <f>(H7*N12+H7)/60</f>
        <v>470.7810043125001</v>
      </c>
      <c r="O14" s="98">
        <f>IF(M21="3000-4999",3.89%,IF(M21="5000-9999",3.89%,IF(M21="10000-14999",3.89%,IF(M21="15000-24999",2.69%,IF(M21="25000-34999",2.69%,IF(M21="35000-99999",2.39%,IF(M21="76000-99999",2.19%)))))))</f>
        <v>3.8900000000000004E-2</v>
      </c>
    </row>
    <row r="15" spans="1:28" ht="24.6" x14ac:dyDescent="0.4">
      <c r="A15" s="11">
        <f>(B7*3%)+10+120</f>
        <v>2917</v>
      </c>
      <c r="B15" s="37" t="s">
        <v>28</v>
      </c>
      <c r="C15" s="20" t="s">
        <v>19</v>
      </c>
      <c r="D15" s="29">
        <f>IF(C15="YES",O10,IF(C15="NO",0))</f>
        <v>3829.7700000000004</v>
      </c>
      <c r="E15" s="48"/>
      <c r="F15" s="48" t="s">
        <v>53</v>
      </c>
      <c r="G15" s="51" t="s">
        <v>17</v>
      </c>
      <c r="H15" s="39">
        <f>IF(G15="YES",O10,IF(G15="NO",0))</f>
        <v>0</v>
      </c>
      <c r="I15" s="21"/>
      <c r="J15" s="44"/>
      <c r="K15" s="44"/>
      <c r="L15" s="44"/>
      <c r="M15" s="44"/>
      <c r="N15" s="53"/>
      <c r="O15" s="98" t="b">
        <f>IF(M21="3000-4999",4.99%, IF(M21="5000-11999",2.75%,IF(M21="12000-19999",2.75%,IF(M21="20000-39999",2.25%,IF(M21="40000-69999",2.39%,IF(M21="70000-99999",2.25%))))))</f>
        <v>0</v>
      </c>
      <c r="P15" s="99"/>
    </row>
    <row r="16" spans="1:28" ht="24.6" x14ac:dyDescent="0.4">
      <c r="A16" s="11">
        <f>((B7-B8)*3%+10+120)</f>
        <v>130</v>
      </c>
      <c r="B16" s="37" t="s">
        <v>78</v>
      </c>
      <c r="C16" s="20" t="s">
        <v>19</v>
      </c>
      <c r="D16" s="29">
        <f>IF(C16="YES",O16,IF(C16="NO",0))</f>
        <v>6700</v>
      </c>
      <c r="E16" s="47"/>
      <c r="F16" s="47" t="s">
        <v>74</v>
      </c>
      <c r="G16" s="54"/>
      <c r="H16" s="33">
        <f>I7*1.05%</f>
        <v>939.69752940000012</v>
      </c>
      <c r="I16" s="21"/>
      <c r="J16" s="44" t="s">
        <v>16</v>
      </c>
      <c r="K16" s="44">
        <f>(K14*3)-H8</f>
        <v>0</v>
      </c>
      <c r="L16" s="44">
        <f>(L14*12)-H8</f>
        <v>1174.6219117500004</v>
      </c>
      <c r="M16" s="44">
        <f>(M14*24)-H8</f>
        <v>2819.092588200001</v>
      </c>
      <c r="N16" s="53"/>
      <c r="O16" s="92">
        <f>IF(B16="RMC-10-70KMS",O11,IF(B16="RMC-10-100000KMS",V11,IF(B16="RMC-40-70KMS",U11, IF(B16="RMC-10-40KMS",X11, IF(B16="RMC-10-60KMS",Y11, IF(B16="RMC-40-100000KMS",W11,0))))))</f>
        <v>6700</v>
      </c>
    </row>
    <row r="17" spans="1:28" ht="24.6" x14ac:dyDescent="0.4">
      <c r="A17" s="11">
        <f>A15+A16</f>
        <v>3047</v>
      </c>
      <c r="B17" s="37"/>
      <c r="C17" s="20"/>
      <c r="D17" s="29">
        <f>SUM(D10:D16)</f>
        <v>13988.753500000001</v>
      </c>
      <c r="E17" s="33"/>
      <c r="F17" s="33"/>
      <c r="G17" s="33"/>
      <c r="H17" s="33">
        <f>H7+H12+H15+H16</f>
        <v>23913.448229400004</v>
      </c>
      <c r="I17" s="33"/>
      <c r="J17" s="22"/>
      <c r="K17" s="53"/>
      <c r="L17" s="53"/>
      <c r="M17" s="53"/>
      <c r="N17" s="53"/>
      <c r="O17" s="92">
        <f>IF(B11="FO Ceramic+ Intr&amp;Extr CeramicGold WdwTnt",2700,IF(B11="FO Mirror Camera Sensor",2000))</f>
        <v>2700</v>
      </c>
      <c r="T17" s="86">
        <f>19615-791</f>
        <v>18824</v>
      </c>
    </row>
    <row r="18" spans="1:28" ht="24.6" x14ac:dyDescent="0.4">
      <c r="A18" s="12" t="s">
        <v>29</v>
      </c>
      <c r="B18" s="55" t="s">
        <v>30</v>
      </c>
      <c r="C18" s="56"/>
      <c r="D18" s="57">
        <v>0</v>
      </c>
      <c r="E18" s="38"/>
      <c r="F18" s="22"/>
      <c r="G18" s="22"/>
      <c r="H18" s="21"/>
      <c r="I18" s="21"/>
      <c r="J18" s="21"/>
      <c r="K18" s="21"/>
      <c r="L18" s="21"/>
      <c r="M18" s="21"/>
      <c r="N18" s="21"/>
      <c r="O18" s="92"/>
      <c r="U18" s="100" t="s">
        <v>52</v>
      </c>
      <c r="V18" s="100" t="s">
        <v>52</v>
      </c>
    </row>
    <row r="19" spans="1:28" ht="24.6" x14ac:dyDescent="0.4">
      <c r="A19" s="11">
        <f>B8*3.15%</f>
        <v>2926.35</v>
      </c>
      <c r="B19" s="58" t="s">
        <v>31</v>
      </c>
      <c r="C19" s="59"/>
      <c r="D19" s="60">
        <f>IF(K21="DIB EXPAT",O13,IF(K21="DIB LOCAL GVH",U13,IF(K21="Emirates NBD",O14,IF(K21="ADCB",O15,IF(K21="ADCB PAY IN 2027",O19,IF(K21="Ajman Bank",O18,IF(K21="SIB STL",Z13,IF(K21="SIB NON STL",AA13,))))))))</f>
        <v>2.4900000000000002E-2</v>
      </c>
      <c r="E19" s="22"/>
      <c r="F19" s="61"/>
      <c r="G19" s="141" t="s">
        <v>73</v>
      </c>
      <c r="H19" s="142"/>
      <c r="I19" s="143"/>
      <c r="J19" s="109">
        <f>H7/365</f>
        <v>61.297947123287685</v>
      </c>
      <c r="K19" s="21"/>
      <c r="L19" s="21"/>
      <c r="M19" s="21"/>
      <c r="N19" s="23">
        <f>D7</f>
        <v>97545</v>
      </c>
      <c r="O19" s="98" t="b">
        <f>IF(M21="5000-11999",3.35%,IF(M21="12000-19999",3.35%,IF(M21="20000-39999",2.85%,IF(M21="40000-69999",2.85%,IF(M21="70000-99999",2.85%)))))</f>
        <v>0</v>
      </c>
      <c r="P19" s="83">
        <f>81400-2500</f>
        <v>78900</v>
      </c>
      <c r="U19" s="101">
        <f>V19</f>
        <v>104580</v>
      </c>
      <c r="V19" s="102">
        <f>(B7+D10+D11+D12+D13+D16)*1.05</f>
        <v>104580</v>
      </c>
      <c r="X19" s="87">
        <f>G7*3.15*1.05/100</f>
        <v>3700.0590220125</v>
      </c>
      <c r="Y19" s="87">
        <f>G7*3/100+510*1.05</f>
        <v>3891.5626050000005</v>
      </c>
      <c r="Z19" s="87">
        <f>Y19+X19</f>
        <v>7591.6216270125005</v>
      </c>
      <c r="AA19" s="87">
        <f>(Z19)-(D14+D15)</f>
        <v>302.86812701249983</v>
      </c>
      <c r="AB19" s="87">
        <f>AA19*1.25</f>
        <v>378.58515876562478</v>
      </c>
    </row>
    <row r="20" spans="1:28" ht="24.6" x14ac:dyDescent="0.4">
      <c r="A20" s="11"/>
      <c r="B20" s="58" t="s">
        <v>32</v>
      </c>
      <c r="C20" s="62"/>
      <c r="D20" s="63">
        <v>0.2</v>
      </c>
      <c r="E20" s="21"/>
      <c r="F20" s="21"/>
      <c r="G20" s="42"/>
      <c r="H20" s="42"/>
      <c r="I20" s="42"/>
      <c r="J20" s="103"/>
      <c r="K20" s="104" t="s">
        <v>33</v>
      </c>
      <c r="L20" s="104" t="s">
        <v>17</v>
      </c>
      <c r="M20" s="104">
        <f>IF(L20="YES",O12,IF(L20="NO",0))</f>
        <v>0</v>
      </c>
      <c r="N20" s="23">
        <f>B8-M20</f>
        <v>92900</v>
      </c>
      <c r="O20" s="92"/>
      <c r="P20" s="99"/>
      <c r="T20" s="86">
        <f>1992+1084</f>
        <v>3076</v>
      </c>
      <c r="V20" s="83"/>
      <c r="X20" s="87">
        <f>X19-D14</f>
        <v>241.07552201249973</v>
      </c>
      <c r="Y20" s="87">
        <f>Y19-D15</f>
        <v>61.792605000000094</v>
      </c>
      <c r="AA20" s="87">
        <f>X20+Y20</f>
        <v>302.86812701249983</v>
      </c>
    </row>
    <row r="21" spans="1:28" ht="24.6" x14ac:dyDescent="0.4">
      <c r="A21" s="13">
        <f>A19+A20</f>
        <v>2926.35</v>
      </c>
      <c r="B21" s="21"/>
      <c r="C21" s="22"/>
      <c r="D21" s="21"/>
      <c r="E21" s="21"/>
      <c r="F21" s="21"/>
      <c r="G21" s="21"/>
      <c r="H21" s="21"/>
      <c r="I21" s="21"/>
      <c r="J21" s="37" t="s">
        <v>34</v>
      </c>
      <c r="K21" s="16" t="s">
        <v>83</v>
      </c>
      <c r="L21" s="105" t="s">
        <v>35</v>
      </c>
      <c r="M21" s="106" t="s">
        <v>80</v>
      </c>
      <c r="N21" s="111"/>
      <c r="O21" s="92"/>
      <c r="T21" s="86">
        <f>25973-12973</f>
        <v>13000</v>
      </c>
    </row>
    <row r="22" spans="1:28" ht="24.6" x14ac:dyDescent="0.4">
      <c r="A22" s="13"/>
      <c r="B22" s="130" t="s">
        <v>51</v>
      </c>
      <c r="C22" s="131"/>
      <c r="D22" s="131"/>
      <c r="E22" s="131"/>
      <c r="F22" s="131"/>
      <c r="G22" s="131"/>
      <c r="H22" s="131"/>
      <c r="I22" s="131"/>
      <c r="J22" s="131"/>
      <c r="K22" s="131"/>
      <c r="L22" s="131"/>
      <c r="M22" s="131"/>
      <c r="N22" s="132"/>
      <c r="O22" s="92"/>
    </row>
    <row r="23" spans="1:28" ht="25.2" x14ac:dyDescent="0.45">
      <c r="A23" s="14" t="s">
        <v>36</v>
      </c>
      <c r="B23" s="64" t="s">
        <v>57</v>
      </c>
      <c r="C23" s="65"/>
      <c r="D23" s="65"/>
      <c r="E23" s="65"/>
      <c r="F23" s="65"/>
      <c r="G23" s="65"/>
      <c r="H23" s="66"/>
      <c r="I23" s="66"/>
      <c r="J23" s="65"/>
      <c r="K23" s="65"/>
      <c r="L23" s="65"/>
      <c r="M23" s="65"/>
      <c r="N23" s="67"/>
      <c r="O23" s="92">
        <f>N7+K14</f>
        <v>9135.2024108100013</v>
      </c>
    </row>
    <row r="24" spans="1:28" ht="25.2" x14ac:dyDescent="0.45">
      <c r="A24" s="14" t="s">
        <v>36</v>
      </c>
      <c r="B24" s="64" t="s">
        <v>58</v>
      </c>
      <c r="C24" s="65"/>
      <c r="D24" s="65"/>
      <c r="E24" s="65"/>
      <c r="F24" s="65"/>
      <c r="G24" s="65"/>
      <c r="H24" s="85">
        <f>H7/365</f>
        <v>61.297947123287685</v>
      </c>
      <c r="I24" s="85">
        <f>H7/365</f>
        <v>61.297947123287685</v>
      </c>
      <c r="J24" s="65"/>
      <c r="K24" s="65"/>
      <c r="L24" s="65"/>
      <c r="M24" s="65"/>
      <c r="N24" s="68"/>
      <c r="O24" s="92"/>
      <c r="P24" s="83">
        <f>1232+480</f>
        <v>1712</v>
      </c>
      <c r="T24" s="86">
        <f>88704/1.05</f>
        <v>84480</v>
      </c>
    </row>
    <row r="25" spans="1:28" ht="25.2" x14ac:dyDescent="0.45">
      <c r="A25" s="14" t="s">
        <v>36</v>
      </c>
      <c r="B25" s="64" t="s">
        <v>59</v>
      </c>
      <c r="C25" s="65"/>
      <c r="D25" s="65"/>
      <c r="E25" s="65"/>
      <c r="F25" s="65"/>
      <c r="G25" s="65"/>
      <c r="H25" s="66"/>
      <c r="I25" s="85">
        <f>I24*365*3</f>
        <v>67121.252100000012</v>
      </c>
      <c r="J25" s="65"/>
      <c r="K25" s="65"/>
      <c r="L25" s="65"/>
      <c r="M25" s="65"/>
      <c r="N25" s="68"/>
      <c r="O25" s="92"/>
      <c r="Q25" s="86">
        <f>79400-5233.33</f>
        <v>74166.67</v>
      </c>
      <c r="R25" s="86">
        <f>Q25*1.05</f>
        <v>77875.003500000006</v>
      </c>
    </row>
    <row r="26" spans="1:28" ht="25.2" x14ac:dyDescent="0.45">
      <c r="A26" s="14" t="s">
        <v>36</v>
      </c>
      <c r="B26" s="64" t="s">
        <v>60</v>
      </c>
      <c r="C26" s="65"/>
      <c r="D26" s="65"/>
      <c r="E26" s="65"/>
      <c r="F26" s="65"/>
      <c r="G26" s="65"/>
      <c r="H26" s="65"/>
      <c r="I26" s="65"/>
      <c r="J26" s="65"/>
      <c r="K26" s="65"/>
      <c r="L26" s="65"/>
      <c r="M26" s="65"/>
      <c r="N26" s="68"/>
      <c r="O26" s="92" t="s">
        <v>37</v>
      </c>
      <c r="R26" s="86">
        <f>R25+2469</f>
        <v>80344.003500000006</v>
      </c>
    </row>
    <row r="27" spans="1:28" ht="25.2" x14ac:dyDescent="0.45">
      <c r="A27" s="14" t="s">
        <v>36</v>
      </c>
      <c r="B27" s="64" t="s">
        <v>61</v>
      </c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8"/>
      <c r="O27" s="92">
        <f>129500-110900</f>
        <v>18600</v>
      </c>
    </row>
    <row r="28" spans="1:28" ht="25.2" x14ac:dyDescent="0.45">
      <c r="B28" s="64" t="s">
        <v>62</v>
      </c>
      <c r="C28" s="65"/>
      <c r="D28" s="65"/>
      <c r="E28" s="65"/>
      <c r="F28" s="65"/>
      <c r="G28" s="65"/>
      <c r="H28" s="65"/>
      <c r="I28" s="65"/>
      <c r="J28" s="65"/>
      <c r="K28" s="65"/>
      <c r="L28" s="65"/>
      <c r="M28" s="65"/>
      <c r="N28" s="68"/>
      <c r="O28" s="92"/>
    </row>
    <row r="29" spans="1:28" ht="25.2" x14ac:dyDescent="0.45">
      <c r="B29" s="64" t="s">
        <v>63</v>
      </c>
      <c r="C29" s="65"/>
      <c r="D29" s="65"/>
      <c r="E29" s="65"/>
      <c r="F29" s="65"/>
      <c r="G29" s="65"/>
      <c r="H29" s="65"/>
      <c r="I29" s="65"/>
      <c r="J29" s="65"/>
      <c r="K29" s="65"/>
      <c r="L29" s="65"/>
      <c r="M29" s="65"/>
      <c r="N29" s="69"/>
      <c r="O29" s="92"/>
    </row>
    <row r="30" spans="1:28" ht="24.6" x14ac:dyDescent="0.4">
      <c r="B30" s="133" t="s">
        <v>38</v>
      </c>
      <c r="C30" s="134"/>
      <c r="D30" s="134"/>
      <c r="E30" s="134"/>
      <c r="F30" s="134"/>
      <c r="G30" s="134"/>
      <c r="H30" s="134"/>
      <c r="I30" s="134"/>
      <c r="J30" s="134"/>
      <c r="K30" s="134"/>
      <c r="L30" s="134"/>
      <c r="M30" s="134"/>
      <c r="N30" s="135"/>
      <c r="O30" s="92"/>
    </row>
    <row r="31" spans="1:28" ht="24.6" x14ac:dyDescent="0.4">
      <c r="B31" s="136"/>
      <c r="C31" s="137"/>
      <c r="D31" s="137"/>
      <c r="E31" s="137"/>
      <c r="F31" s="137"/>
      <c r="G31" s="137"/>
      <c r="H31" s="137"/>
      <c r="I31" s="137"/>
      <c r="J31" s="137"/>
      <c r="K31" s="137"/>
      <c r="L31" s="137"/>
      <c r="M31" s="137"/>
      <c r="N31" s="138"/>
      <c r="O31" s="92"/>
    </row>
    <row r="32" spans="1:28" ht="24.6" x14ac:dyDescent="0.4">
      <c r="B32" s="136" t="s">
        <v>39</v>
      </c>
      <c r="C32" s="137"/>
      <c r="D32" s="137"/>
      <c r="E32" s="137"/>
      <c r="F32" s="137"/>
      <c r="G32" s="137"/>
      <c r="H32" s="137"/>
      <c r="I32" s="137"/>
      <c r="J32" s="137"/>
      <c r="K32" s="137"/>
      <c r="L32" s="137"/>
      <c r="M32" s="137"/>
      <c r="N32" s="138"/>
      <c r="O32" s="92"/>
    </row>
    <row r="33" spans="2:16" ht="24.6" x14ac:dyDescent="0.4">
      <c r="B33" s="136" t="s">
        <v>40</v>
      </c>
      <c r="C33" s="137"/>
      <c r="D33" s="137"/>
      <c r="E33" s="137"/>
      <c r="F33" s="137"/>
      <c r="G33" s="137"/>
      <c r="H33" s="137"/>
      <c r="I33" s="137"/>
      <c r="J33" s="137"/>
      <c r="K33" s="137"/>
      <c r="L33" s="137"/>
      <c r="M33" s="137"/>
      <c r="N33" s="138"/>
      <c r="O33" s="92"/>
    </row>
    <row r="34" spans="2:16" s="112" customFormat="1" ht="24.6" x14ac:dyDescent="0.4">
      <c r="B34" s="107" t="s">
        <v>81</v>
      </c>
      <c r="C34" s="108"/>
      <c r="D34" s="108"/>
      <c r="E34" s="108"/>
      <c r="F34" s="108"/>
      <c r="G34" s="113"/>
      <c r="H34" s="113"/>
      <c r="I34" s="108"/>
      <c r="J34" s="108"/>
      <c r="K34" s="108"/>
      <c r="L34" s="108"/>
      <c r="M34" s="114" t="s">
        <v>82</v>
      </c>
      <c r="N34" s="116" t="b">
        <f>IF(M34="ALAA",507963328, IF(M34="BACHIR",525246969,IF(M34="JIHAN",566201266, IF(M34="RAMY",505277871, IF(M34="SIMON",505140337,IF(M34="SUJITH",551079817, IF(M34="PRAVEEN",506367792,IF(M34="MHAREN",529224059, IF(M34="MOSSALLEM",505185577,IF(M34="RANJITH",554989288, IF(M34="KHALED",552319494)))))))))))</f>
        <v>0</v>
      </c>
      <c r="O34" s="115"/>
      <c r="P34" s="115"/>
    </row>
    <row r="35" spans="2:16" x14ac:dyDescent="0.35">
      <c r="B35" s="70"/>
      <c r="C35" s="71"/>
      <c r="D35" s="71"/>
      <c r="E35" s="71"/>
      <c r="F35" s="71"/>
      <c r="G35" s="71"/>
      <c r="H35" s="71"/>
      <c r="I35" s="71"/>
      <c r="J35" s="71"/>
      <c r="K35" s="71"/>
      <c r="L35" s="71"/>
      <c r="M35" s="71"/>
      <c r="N35" s="72"/>
    </row>
    <row r="36" spans="2:16" x14ac:dyDescent="0.35">
      <c r="B36" s="70"/>
      <c r="C36" s="71"/>
      <c r="D36" s="71"/>
      <c r="E36" s="71"/>
      <c r="F36" s="71"/>
      <c r="G36" s="71"/>
      <c r="H36" s="71"/>
      <c r="I36" s="71"/>
      <c r="J36" s="71"/>
      <c r="K36" s="71"/>
      <c r="L36" s="71"/>
      <c r="M36" s="71"/>
      <c r="N36" s="72"/>
    </row>
    <row r="37" spans="2:16" x14ac:dyDescent="0.35">
      <c r="B37" s="70"/>
      <c r="C37" s="71"/>
      <c r="D37" s="71"/>
      <c r="E37" s="71"/>
      <c r="F37" s="71"/>
      <c r="G37" s="71"/>
      <c r="H37" s="71"/>
      <c r="I37" s="71"/>
      <c r="J37" s="71"/>
      <c r="K37" s="71"/>
      <c r="L37" s="71"/>
      <c r="M37" s="71"/>
      <c r="N37" s="72"/>
    </row>
    <row r="38" spans="2:16" ht="21" x14ac:dyDescent="0.4">
      <c r="B38" s="73" t="s">
        <v>64</v>
      </c>
      <c r="C38" s="74"/>
      <c r="D38" s="75"/>
      <c r="E38" s="76"/>
      <c r="F38" s="76"/>
      <c r="G38" s="76"/>
      <c r="H38" s="76"/>
      <c r="I38" s="76"/>
      <c r="J38" s="77"/>
      <c r="K38" s="76"/>
      <c r="L38" s="76"/>
      <c r="M38" s="76"/>
      <c r="N38" s="78"/>
    </row>
    <row r="39" spans="2:16" ht="21" x14ac:dyDescent="0.4">
      <c r="B39" s="73" t="s">
        <v>65</v>
      </c>
      <c r="C39" s="79"/>
      <c r="D39" s="75"/>
      <c r="E39" s="76"/>
      <c r="F39" s="76"/>
      <c r="G39" s="76"/>
      <c r="H39" s="76"/>
      <c r="I39" s="76"/>
      <c r="J39" s="77"/>
      <c r="K39" s="76"/>
      <c r="L39" s="76"/>
      <c r="M39" s="76"/>
      <c r="N39" s="80"/>
    </row>
    <row r="40" spans="2:16" ht="21" x14ac:dyDescent="0.35">
      <c r="B40" s="73" t="s">
        <v>66</v>
      </c>
      <c r="C40" s="81"/>
      <c r="D40" s="76"/>
      <c r="E40" s="76"/>
      <c r="F40" s="76"/>
      <c r="G40" s="76"/>
      <c r="H40" s="76"/>
      <c r="I40" s="76"/>
      <c r="J40" s="77"/>
      <c r="K40" s="76"/>
      <c r="L40" s="76"/>
      <c r="M40" s="76"/>
      <c r="N40" s="80"/>
    </row>
    <row r="41" spans="2:16" ht="21" x14ac:dyDescent="0.35">
      <c r="B41" s="73" t="s">
        <v>67</v>
      </c>
      <c r="C41" s="82"/>
      <c r="D41" s="83"/>
      <c r="E41" s="83"/>
      <c r="F41" s="83"/>
      <c r="G41" s="83"/>
      <c r="H41" s="83"/>
      <c r="I41" s="83"/>
      <c r="J41" s="83"/>
      <c r="K41" s="83"/>
      <c r="L41" s="83"/>
      <c r="M41" s="83"/>
      <c r="N41" s="84"/>
    </row>
    <row r="42" spans="2:16" ht="21" x14ac:dyDescent="0.35">
      <c r="B42" s="73" t="s">
        <v>77</v>
      </c>
      <c r="C42" s="82"/>
      <c r="D42" s="83"/>
      <c r="E42" s="83"/>
      <c r="F42" s="83"/>
      <c r="G42" s="83"/>
      <c r="H42" s="83"/>
      <c r="I42" s="83"/>
      <c r="J42" s="83"/>
      <c r="K42" s="83"/>
      <c r="L42" s="83"/>
      <c r="M42" s="83"/>
      <c r="N42" s="84"/>
    </row>
    <row r="43" spans="2:16" ht="21" x14ac:dyDescent="0.35">
      <c r="B43" s="73" t="s">
        <v>68</v>
      </c>
      <c r="C43" s="82"/>
      <c r="D43" s="83"/>
      <c r="E43" s="83"/>
      <c r="F43" s="83"/>
      <c r="G43" s="83"/>
      <c r="H43" s="83"/>
      <c r="I43" s="83"/>
      <c r="J43" s="83"/>
      <c r="K43" s="83"/>
      <c r="L43" s="83"/>
      <c r="M43" s="83"/>
      <c r="N43" s="84"/>
    </row>
    <row r="44" spans="2:16" ht="21" x14ac:dyDescent="0.35">
      <c r="B44" s="73" t="s">
        <v>69</v>
      </c>
      <c r="C44" s="82"/>
      <c r="D44" s="83"/>
      <c r="E44" s="83"/>
      <c r="F44" s="83"/>
      <c r="G44" s="83"/>
      <c r="H44" s="83"/>
      <c r="I44" s="83"/>
      <c r="J44" s="83"/>
      <c r="K44" s="83"/>
      <c r="L44" s="83"/>
      <c r="M44" s="83"/>
      <c r="N44" s="84"/>
    </row>
    <row r="45" spans="2:16" ht="21" x14ac:dyDescent="0.35">
      <c r="B45" s="73" t="s">
        <v>70</v>
      </c>
      <c r="C45" s="82"/>
      <c r="D45" s="83"/>
      <c r="E45" s="83"/>
      <c r="F45" s="83"/>
      <c r="G45" s="83"/>
      <c r="H45" s="83"/>
      <c r="I45" s="83"/>
      <c r="J45" s="83"/>
      <c r="K45" s="83"/>
      <c r="L45" s="83"/>
      <c r="M45" s="83"/>
      <c r="N45" s="84"/>
    </row>
    <row r="46" spans="2:16" ht="21" x14ac:dyDescent="0.35">
      <c r="B46" s="73" t="s">
        <v>71</v>
      </c>
      <c r="C46" s="82"/>
      <c r="D46" s="83"/>
      <c r="E46" s="83"/>
      <c r="F46" s="83"/>
      <c r="G46" s="83"/>
      <c r="H46" s="83"/>
      <c r="I46" s="83"/>
      <c r="J46" s="83"/>
      <c r="K46" s="83"/>
      <c r="L46" s="83"/>
      <c r="M46" s="83"/>
      <c r="N46" s="84"/>
    </row>
    <row r="47" spans="2:16" x14ac:dyDescent="0.35">
      <c r="B47" s="118" t="s">
        <v>39</v>
      </c>
      <c r="C47" s="119"/>
      <c r="D47" s="119"/>
      <c r="E47" s="119"/>
      <c r="F47" s="119"/>
      <c r="G47" s="119"/>
      <c r="H47" s="119"/>
      <c r="I47" s="119"/>
      <c r="J47" s="119"/>
      <c r="K47" s="119"/>
      <c r="L47" s="119"/>
      <c r="M47" s="119"/>
      <c r="N47" s="120"/>
      <c r="O47" s="92"/>
    </row>
    <row r="48" spans="2:16" x14ac:dyDescent="0.35">
      <c r="B48" s="118" t="s">
        <v>40</v>
      </c>
      <c r="C48" s="119"/>
      <c r="D48" s="119"/>
      <c r="E48" s="119"/>
      <c r="F48" s="119"/>
      <c r="G48" s="119"/>
      <c r="H48" s="119"/>
      <c r="I48" s="119"/>
      <c r="J48" s="119"/>
      <c r="K48" s="119"/>
      <c r="L48" s="119"/>
      <c r="M48" s="119"/>
      <c r="N48" s="120"/>
      <c r="O48" s="92"/>
    </row>
    <row r="49" spans="2:14" x14ac:dyDescent="0.35">
      <c r="B49" s="118" t="s">
        <v>72</v>
      </c>
      <c r="C49" s="119"/>
      <c r="D49" s="119"/>
      <c r="E49" s="119"/>
      <c r="F49" s="119"/>
      <c r="G49" s="119"/>
      <c r="H49" s="119"/>
      <c r="I49" s="119"/>
      <c r="J49" s="119"/>
      <c r="K49" s="119"/>
      <c r="L49" s="119"/>
      <c r="M49" s="119"/>
      <c r="N49" s="120"/>
    </row>
    <row r="50" spans="2:14" ht="25.8" x14ac:dyDescent="0.35">
      <c r="C50" s="15" t="s">
        <v>41</v>
      </c>
    </row>
    <row r="51" spans="2:14" ht="25.8" x14ac:dyDescent="0.35">
      <c r="C51" s="15" t="s">
        <v>42</v>
      </c>
    </row>
    <row r="52" spans="2:14" ht="25.8" x14ac:dyDescent="0.35">
      <c r="C52" s="15" t="s">
        <v>43</v>
      </c>
    </row>
    <row r="53" spans="2:14" ht="25.8" x14ac:dyDescent="0.35">
      <c r="C53" s="15" t="s">
        <v>44</v>
      </c>
    </row>
    <row r="54" spans="2:14" ht="25.8" x14ac:dyDescent="0.35">
      <c r="C54" s="15" t="s">
        <v>45</v>
      </c>
    </row>
  </sheetData>
  <mergeCells count="12">
    <mergeCell ref="B49:N49"/>
    <mergeCell ref="B1:N4"/>
    <mergeCell ref="F8:G8"/>
    <mergeCell ref="F9:G9"/>
    <mergeCell ref="G19:I19"/>
    <mergeCell ref="B22:N22"/>
    <mergeCell ref="B30:N30"/>
    <mergeCell ref="B31:N31"/>
    <mergeCell ref="B32:N32"/>
    <mergeCell ref="B33:N33"/>
    <mergeCell ref="B47:N47"/>
    <mergeCell ref="B48:N48"/>
  </mergeCells>
  <dataValidations count="11">
    <dataValidation type="list" allowBlank="1" showInputMessage="1" showErrorMessage="1" sqref="K21" xr:uid="{C3AC7FD7-BEF0-4E47-B0B0-7D625877D3A4}">
      <formula1>"ADCB,ADCB PAY IN 2027,Ajman Bank,ADIB,DIB EXPAT,DIB LOCAL GVH,Emirates NBD,EIB,FAB,RAK,SIB STL,SIB NON STL"</formula1>
    </dataValidation>
    <dataValidation type="list" allowBlank="1" showInputMessage="1" showErrorMessage="1" sqref="D5" xr:uid="{BE028CD5-F717-4C38-B6BB-4D00DF322E90}">
      <formula1>"MIG09,MIG10,ATG16,ATP16,ATG17,ASG48,ASG43,ASG40,ASG42,ASG44,ASG45,ECG38,ECG37,ECG40,ECG43,XPML,XPHL,XPMLP, XPMLP-01, XC,OTF03,OTP03,OTF06,OTP06, OTP06-01,OTF08, OTP08,MOP57,MOG64,MOG59,MOG59P,MOG61,MOP61"</formula1>
    </dataValidation>
    <dataValidation type="list" allowBlank="1" showInputMessage="1" showErrorMessage="1" sqref="M21" xr:uid="{6AE6A4BC-487D-4705-B5FE-85D4E0EF6C8F}">
      <formula1>"3000-4999,5000-9999,10000-14999,15000-24999,25000-34999,35000-99999,5000-11999,12000-19999,20000-39999,40000-69999,70000-99999"</formula1>
    </dataValidation>
    <dataValidation type="list" allowBlank="1" showInputMessage="1" showErrorMessage="1" sqref="K20" xr:uid="{0B6A78CB-18B2-4963-BEAD-B4FC2DD3DD6E}">
      <formula1>"Esaad,Emirates Platinum,Fazaa,Humat Alwatan,Permissible,ASX,XPMLP,XP,MON,MON G57,OUT,F08,P08,F06,P06,F03,P03,EC,G37,G38,G40,G43"</formula1>
    </dataValidation>
    <dataValidation type="list" allowBlank="1" showInputMessage="1" showErrorMessage="1" sqref="L19:L20 L24:L25 G14:G15 C10:C16 L10 J10" xr:uid="{49915ACC-5B1E-4C39-8784-5855EC0AD063}">
      <formula1>"YES,NO"</formula1>
    </dataValidation>
    <dataValidation type="list" allowBlank="1" showInputMessage="1" showErrorMessage="1" sqref="K24" xr:uid="{FC0BCDDB-9A60-403E-943C-B59FCE77E680}">
      <formula1>"RMC-10-70K,RMC-10-100000K,RMC-40-70K"</formula1>
    </dataValidation>
    <dataValidation type="list" allowBlank="1" showInputMessage="1" showErrorMessage="1" sqref="B16" xr:uid="{5209D941-F211-4629-B37C-9CF9C58A7482}">
      <formula1>"RMC-10-40KMS,RMC-10-60KMS,RMC-10-70KMS,RMC-10-100000KMS,RMC-40-70KMS,RMC-40-100000KMS"</formula1>
    </dataValidation>
    <dataValidation type="list" allowBlank="1" showInputMessage="1" showErrorMessage="1" sqref="B12" xr:uid="{E6648B08-FC4F-46FB-947F-804DDD00ED50}">
      <formula1>"FO Exterior ceramic All Cars SCOTCHGUARD,FO Mirror Camera Sensor,FO PPF Gold Package "</formula1>
    </dataValidation>
    <dataValidation type="list" allowBlank="1" showInputMessage="1" showErrorMessage="1" sqref="B11" xr:uid="{BF321D46-34FE-4EB1-AFFB-FF1FCA6643B1}">
      <formula1>"FO Ceramic+ Intr&amp;Extr CeramicGold WdwTnt,FO Mirror Camera Sensor"</formula1>
    </dataValidation>
    <dataValidation type="list" allowBlank="1" showInputMessage="1" showErrorMessage="1" sqref="M34" xr:uid="{2C8511D3-B7D0-4813-B49E-AED0D9E6331C}">
      <formula1>"Alaa,Bachir ,Khaled,Ramy,Simon,Mharen,Ranjith,Jihan,Praveen,Sujith,Mossallem"</formula1>
    </dataValidation>
    <dataValidation type="list" allowBlank="1" showInputMessage="1" showErrorMessage="1" sqref="H34" xr:uid="{095E2E30-BEFA-4967-872C-9A0959D55341}">
      <formula1>"ALAA HAMMAD,KHALED QASSEM,RAMY RAOUF,SIMON LOBO,MHAREN CLEMENTE GARADO"</formula1>
    </dataValidation>
  </dataValidations>
  <pageMargins left="0.23622047244094491" right="0.23622047244094491" top="0.74803149606299213" bottom="0.74803149606299213" header="0.31496062992125984" footer="0.31496062992125984"/>
  <pageSetup paperSize="9" scale="37" orientation="landscape" horizontalDpi="4294967295" verticalDpi="4294967295"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8DB7D6-CF3F-4450-A554-3CA330C53473}">
  <sheetPr>
    <pageSetUpPr fitToPage="1"/>
  </sheetPr>
  <dimension ref="A1:AB54"/>
  <sheetViews>
    <sheetView topLeftCell="B1" zoomScaleNormal="100" workbookViewId="0">
      <selection activeCell="D5" sqref="D5"/>
    </sheetView>
  </sheetViews>
  <sheetFormatPr defaultColWidth="9.109375" defaultRowHeight="20.399999999999999" x14ac:dyDescent="0.35"/>
  <cols>
    <col min="1" max="1" width="16" style="1" hidden="1" customWidth="1"/>
    <col min="2" max="2" width="75.5546875" style="2" customWidth="1"/>
    <col min="3" max="3" width="25.5546875" style="3" customWidth="1"/>
    <col min="4" max="4" width="25.33203125" style="2" customWidth="1"/>
    <col min="5" max="5" width="22.6640625" style="2" customWidth="1"/>
    <col min="6" max="6" width="21" style="2" customWidth="1"/>
    <col min="7" max="7" width="25" style="2" customWidth="1"/>
    <col min="8" max="8" width="29.44140625" style="2" bestFit="1" customWidth="1"/>
    <col min="9" max="9" width="32.109375" style="2" bestFit="1" customWidth="1"/>
    <col min="10" max="10" width="22" style="2" customWidth="1"/>
    <col min="11" max="11" width="23.33203125" style="2" customWidth="1"/>
    <col min="12" max="12" width="31" style="2" customWidth="1"/>
    <col min="13" max="13" width="23.5546875" style="2" customWidth="1"/>
    <col min="14" max="14" width="21.109375" style="2" customWidth="1"/>
    <col min="15" max="15" width="14.44140625" style="83" bestFit="1" customWidth="1"/>
    <col min="16" max="16" width="21.6640625" style="83" hidden="1" customWidth="1"/>
    <col min="17" max="17" width="14.33203125" style="86" hidden="1" customWidth="1"/>
    <col min="18" max="18" width="12.88671875" style="86" hidden="1" customWidth="1"/>
    <col min="19" max="19" width="13" style="86" hidden="1" customWidth="1"/>
    <col min="20" max="20" width="17.109375" style="86" hidden="1" customWidth="1"/>
    <col min="21" max="21" width="21.5546875" style="86" customWidth="1"/>
    <col min="22" max="22" width="22.88671875" style="86" customWidth="1"/>
    <col min="23" max="26" width="17.109375" style="86" bestFit="1" customWidth="1"/>
    <col min="27" max="27" width="15" style="86" customWidth="1"/>
    <col min="28" max="28" width="14.33203125" style="86" bestFit="1" customWidth="1"/>
    <col min="29" max="16384" width="9.109375" style="1"/>
  </cols>
  <sheetData>
    <row r="1" spans="1:28" ht="15.75" customHeight="1" x14ac:dyDescent="0.35">
      <c r="B1" s="121" t="s">
        <v>46</v>
      </c>
      <c r="C1" s="122"/>
      <c r="D1" s="122"/>
      <c r="E1" s="122"/>
      <c r="F1" s="122"/>
      <c r="G1" s="122"/>
      <c r="H1" s="122"/>
      <c r="I1" s="122"/>
      <c r="J1" s="122"/>
      <c r="K1" s="122"/>
      <c r="L1" s="122"/>
      <c r="M1" s="122"/>
      <c r="N1" s="123"/>
    </row>
    <row r="2" spans="1:28" ht="15.75" customHeight="1" x14ac:dyDescent="0.35">
      <c r="B2" s="124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6"/>
      <c r="Q2" s="83"/>
      <c r="S2" s="87"/>
    </row>
    <row r="3" spans="1:28" ht="15.75" customHeight="1" x14ac:dyDescent="0.35">
      <c r="B3" s="124"/>
      <c r="C3" s="125"/>
      <c r="D3" s="125"/>
      <c r="E3" s="125"/>
      <c r="F3" s="125"/>
      <c r="G3" s="125"/>
      <c r="H3" s="125"/>
      <c r="I3" s="125"/>
      <c r="J3" s="125"/>
      <c r="K3" s="125"/>
      <c r="L3" s="125"/>
      <c r="M3" s="125"/>
      <c r="N3" s="126"/>
      <c r="O3" s="82"/>
      <c r="P3" s="82"/>
      <c r="Q3" s="81"/>
      <c r="R3" s="81"/>
      <c r="S3" s="88" t="e">
        <f>N7+J14</f>
        <v>#VALUE!</v>
      </c>
      <c r="T3" s="88"/>
      <c r="U3" s="81"/>
      <c r="V3" s="81"/>
      <c r="W3" s="81"/>
      <c r="AA3" s="86">
        <f>273000/5</f>
        <v>54600</v>
      </c>
    </row>
    <row r="4" spans="1:28" ht="15.75" customHeight="1" x14ac:dyDescent="0.4">
      <c r="B4" s="127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9"/>
      <c r="O4" s="89" t="s">
        <v>0</v>
      </c>
      <c r="P4" s="89"/>
      <c r="Q4" s="90"/>
      <c r="R4" s="90"/>
      <c r="S4" s="91"/>
      <c r="T4" s="91"/>
      <c r="U4" s="90" t="s">
        <v>1</v>
      </c>
      <c r="V4" s="90" t="s">
        <v>2</v>
      </c>
      <c r="W4" s="90" t="s">
        <v>3</v>
      </c>
    </row>
    <row r="5" spans="1:28" ht="25.2" thickBot="1" x14ac:dyDescent="0.45">
      <c r="B5" s="17">
        <f ca="1">TODAY()</f>
        <v>46215</v>
      </c>
      <c r="C5" s="18" t="str">
        <f>IF(D5="MIG09","Mirage G09",IF(D5="MIG10","MirageG10",IF(D5="ATG16","Attrage G16",IF(D5="ATP16","Attrage P16",IF(D5="ATG17","Attrage G17",IF(D5="ASG48","ASX G48",IF(D5="ASG43","ASX G43", IF(D5="ASG40","ASXG40",IF(D5="ASG42","ASX G42",IF(D5="ASG44","ASX G44",IF(D5="ASG45","ASX G45",IF(D5="ECG38","Eclipse G38",IF(D5="ECG37","Eclipse G37",IF(D5="ECG40","Eclipse G40",IF(D5="ECG43","Eclipse G43",IF(D5="XPML","Xpander ML",IF(D5="XPHL","Xpander HL",IF(D5="XPMLP","Xpander ML P",IF(D5="XPMLP-01","Xpander ML P-01",IF(D5="XC","Xpander Cross", IF(D5="OTF03","Outlander F03",IF(D5="OTP03","Outlander P03",IF(D5="OTF06","Outlander F06",IF(D5="OTP06","Outlander P06",IF(D5="OTP06-01","Outlander P06-01",IF(D5="OTF08","Outlander F08",IF(D5="OTP08","Outlander P08P", IF(D5="MOP57","Montero P57",IF(D5="MOG64","Montero G64",IF(D5="MOG59","Montero G59",IF(D5="MOG59P","Montero G59 P",IF(D5="MOG61","Montero G61",IF(D5="MOP61","Montero P61")))))))))))))))))))))))))))))))))</f>
        <v>Outlander P03</v>
      </c>
      <c r="D5" s="19" t="s">
        <v>107</v>
      </c>
      <c r="E5" s="20" t="s">
        <v>47</v>
      </c>
      <c r="F5" s="21"/>
      <c r="G5" s="21"/>
      <c r="H5" s="21"/>
      <c r="I5" s="22"/>
      <c r="J5" s="23"/>
      <c r="K5" s="24">
        <v>0</v>
      </c>
      <c r="L5" s="25">
        <v>3.39E-2</v>
      </c>
      <c r="M5" s="25">
        <v>6.7799999999999999E-2</v>
      </c>
      <c r="N5" s="25">
        <v>0.1017</v>
      </c>
      <c r="O5" s="92">
        <f>K7+K14</f>
        <v>9895.3104008850005</v>
      </c>
      <c r="S5" s="87"/>
      <c r="U5" s="87">
        <f>L7+L14</f>
        <v>4032.089696707917</v>
      </c>
      <c r="V5" s="87">
        <f>M7+M14</f>
        <v>2697.2167146225001</v>
      </c>
      <c r="W5" s="87">
        <f>N7+N14</f>
        <v>1869.0384800412501</v>
      </c>
    </row>
    <row r="6" spans="1:28" s="5" customFormat="1" ht="128.25" customHeight="1" thickBot="1" x14ac:dyDescent="0.35">
      <c r="A6" s="4" t="s">
        <v>4</v>
      </c>
      <c r="B6" s="26" t="s">
        <v>5</v>
      </c>
      <c r="C6" s="27" t="s">
        <v>6</v>
      </c>
      <c r="D6" s="27" t="s">
        <v>48</v>
      </c>
      <c r="E6" s="27" t="s">
        <v>7</v>
      </c>
      <c r="F6" s="27" t="s">
        <v>8</v>
      </c>
      <c r="G6" s="28" t="s">
        <v>9</v>
      </c>
      <c r="H6" s="28" t="s">
        <v>49</v>
      </c>
      <c r="I6" s="28" t="s">
        <v>10</v>
      </c>
      <c r="J6" s="28" t="s">
        <v>56</v>
      </c>
      <c r="K6" s="28" t="s">
        <v>11</v>
      </c>
      <c r="L6" s="28" t="s">
        <v>12</v>
      </c>
      <c r="M6" s="28" t="s">
        <v>13</v>
      </c>
      <c r="N6" s="28" t="s">
        <v>14</v>
      </c>
      <c r="O6" s="93"/>
      <c r="P6" s="94"/>
      <c r="Q6" s="95"/>
      <c r="R6" s="95"/>
      <c r="S6" s="95"/>
      <c r="T6" s="96"/>
      <c r="U6" s="96">
        <f>N7+L14</f>
        <v>3166.86921004125</v>
      </c>
      <c r="V6" s="96">
        <f>N7+K14</f>
        <v>7948.5643058850001</v>
      </c>
      <c r="W6" s="96"/>
      <c r="X6" s="95"/>
      <c r="Y6" s="95"/>
      <c r="Z6" s="95"/>
      <c r="AA6" s="95"/>
      <c r="AB6" s="95"/>
    </row>
    <row r="7" spans="1:28" ht="25.2" thickBot="1" x14ac:dyDescent="0.45">
      <c r="A7" s="6">
        <f>B8</f>
        <v>79900</v>
      </c>
      <c r="B7" s="29">
        <f>IF(L20="YES",C8*1,IF(L20="NO",B8*1))</f>
        <v>79900</v>
      </c>
      <c r="C7" s="29">
        <f>B7*5/100</f>
        <v>3995</v>
      </c>
      <c r="D7" s="29">
        <f>B7+C7</f>
        <v>83895</v>
      </c>
      <c r="E7" s="29">
        <f>D17</f>
        <v>13107.304749999999</v>
      </c>
      <c r="F7" s="29">
        <f>(C7)+(D10+D11+D12+D13+D16)*5/100</f>
        <v>4330</v>
      </c>
      <c r="G7" s="30">
        <f>B7+E7+F7</f>
        <v>97337.304749999996</v>
      </c>
      <c r="H7" s="29">
        <f>G7*D20</f>
        <v>19467.460950000001</v>
      </c>
      <c r="I7" s="29">
        <f>(G7-H7)</f>
        <v>77869.843800000002</v>
      </c>
      <c r="J7" s="30">
        <f>(((I7*D19)*1)+I7)/12</f>
        <v>6650.7335758849995</v>
      </c>
      <c r="K7" s="30">
        <f>(((I7*D19)*2)+I7)/24</f>
        <v>3406.1567508850003</v>
      </c>
      <c r="L7" s="30">
        <f>(((I7*D19)*3)+I7)/36</f>
        <v>2324.6311425516669</v>
      </c>
      <c r="M7" s="30">
        <f>(((I7*D19)*4)+I7)/48</f>
        <v>1783.868338385</v>
      </c>
      <c r="N7" s="30">
        <f>((((I7*D19)*5)+I7)/60)</f>
        <v>1459.4106558850001</v>
      </c>
      <c r="O7" s="92"/>
      <c r="P7" s="83">
        <f>H7+H16</f>
        <v>20285.0943099</v>
      </c>
      <c r="T7" s="87">
        <f>25973/2</f>
        <v>12986.5</v>
      </c>
    </row>
    <row r="8" spans="1:28" ht="24.6" x14ac:dyDescent="0.4">
      <c r="A8" s="7">
        <v>0.2</v>
      </c>
      <c r="B8" s="31">
        <f>IF(D5="MIG09",39900,IF(D5="MIG10",40400,IF(D5="ATG16",40400,IF(D5="ATP16",49900,IF(D5="ATG17",41900,IF(D5="ASG48",63900,IF(D5="ASG43",62900,IF(D5="ASG40",63900,IF(D5="ASG42",68900,IF(D5="ASG44",89900,IF(D5="ASG45",95900,IF(D5="ECG38",73900,IF(D5="ECG37",70900,IF(D5="ECG40",86900,IF(D5="ECG43",91900,IF(D5="XPML",62900,IF(D5="XPHL",62900,IF(D5="XPMLP",69900,IF(D5="XPMLP-01",77800,IF(D5="XC",77900,IF(D5="OTF03",96900,IF(D5="OTP03",79900,IF(D5="OTF06",92900,IF(D5="OTP06",111900,IF(D5="OTP06-01",118900,IF(D5="OTF08",122900,IF(D5="OTP08",109900,IF(D5="MOP57",99900,IF(D5="MOG64",108900,IF(D5="MOG59",116900,IF(D5="MOG59P",110900,IF(D5="MOG61",127900,IF(D5="MOP61",125900)))))))))))))))))))))))))))))))))</f>
        <v>79900</v>
      </c>
      <c r="C8" s="32">
        <f>IF(L20="YES",N20,IF(L20="NO",N20))</f>
        <v>79900</v>
      </c>
      <c r="D8" s="29">
        <v>0</v>
      </c>
      <c r="E8" s="33"/>
      <c r="F8" s="139"/>
      <c r="G8" s="140"/>
      <c r="H8" s="110">
        <f>G7*20/100</f>
        <v>19467.460950000001</v>
      </c>
      <c r="I8" s="21"/>
      <c r="J8" s="34" t="s">
        <v>15</v>
      </c>
      <c r="K8" s="23">
        <f>(J7*K5+J7)/24</f>
        <v>277.11389899520833</v>
      </c>
      <c r="L8" s="23">
        <f>(J7*L5+J7)/36</f>
        <v>191.00537344743057</v>
      </c>
      <c r="M8" s="23">
        <f>(J7*M5+J7)/48</f>
        <v>147.95111067354171</v>
      </c>
      <c r="N8" s="23">
        <f>(J7*N5+J7)/60</f>
        <v>122.1185530092084</v>
      </c>
      <c r="O8" s="92"/>
      <c r="P8" s="83">
        <f>P7/12</f>
        <v>1690.424525825</v>
      </c>
      <c r="T8" s="86">
        <f>25973-12973</f>
        <v>13000</v>
      </c>
    </row>
    <row r="9" spans="1:28" ht="24.6" x14ac:dyDescent="0.4">
      <c r="A9" s="8">
        <f>B8/(100%-A8)</f>
        <v>99875</v>
      </c>
      <c r="B9" s="109">
        <f>B7-B8</f>
        <v>0</v>
      </c>
      <c r="C9" s="35"/>
      <c r="D9" s="36"/>
      <c r="E9" s="33"/>
      <c r="F9" s="139"/>
      <c r="G9" s="140"/>
      <c r="H9" s="33"/>
      <c r="I9" s="37" t="s">
        <v>16</v>
      </c>
      <c r="J9" s="38">
        <f>(J7*12)-(I7)</f>
        <v>1938.959110619995</v>
      </c>
      <c r="K9" s="38">
        <f>(K7*24)-I7</f>
        <v>3877.9182212400046</v>
      </c>
      <c r="L9" s="38">
        <f>(L7*36)-I7</f>
        <v>5816.8773318600142</v>
      </c>
      <c r="M9" s="38">
        <f>(M7*48)-I7</f>
        <v>7755.8364424799947</v>
      </c>
      <c r="N9" s="38">
        <f>(N7*60)-I7</f>
        <v>9694.7955531000043</v>
      </c>
      <c r="O9" s="92"/>
      <c r="T9" s="86">
        <f>T8/12</f>
        <v>1083.3333333333333</v>
      </c>
      <c r="Z9" s="86" t="s">
        <v>86</v>
      </c>
    </row>
    <row r="10" spans="1:28" ht="24.6" x14ac:dyDescent="0.4">
      <c r="A10" s="8"/>
      <c r="B10" s="37" t="s">
        <v>50</v>
      </c>
      <c r="C10" s="20" t="s">
        <v>17</v>
      </c>
      <c r="D10" s="36">
        <f>IF(C10="YES",800,IF(C10="NO",0))</f>
        <v>0</v>
      </c>
      <c r="E10" s="39"/>
      <c r="F10" s="40"/>
      <c r="G10" s="40"/>
      <c r="H10" s="33"/>
      <c r="I10" s="44" t="s">
        <v>85</v>
      </c>
      <c r="J10" s="117" t="s">
        <v>19</v>
      </c>
      <c r="K10" s="117">
        <f>IF(J10="YES",Z10,IF(J10="NO",0))</f>
        <v>1000</v>
      </c>
      <c r="L10" s="117"/>
      <c r="M10" s="117"/>
      <c r="N10" s="41">
        <f>(N8*60)-J7</f>
        <v>676.37960466750428</v>
      </c>
      <c r="O10" s="92">
        <f>IF(D5="XC",3690,IF(D5="XPML",3690,IF(D5="XPHL",3690,IF(D5="XPMLP",3690,IF(D5="XPMLP-01",3690,IF(D5="Xpander P",3690,IF(D5="MOP57",(U19*2.75/100+510)*1.05,IF(D5="MOG64",(U19*2.75/100+510)*1.05,IF(D5="MOG59",(U19*2.75/100+510)*1.05,IF(D5="MOG59P",(U19*2.75/100+510)*1.05,IF(D5="MOG61",(U19*2.75/100+510)*1.05,IF(D5="MOP61",(U19*2.75/100+510)*1.05,IF(D5="OTF03",(D7*3/100+510)*1.05,IF(D5="OTP03",(U19*3/100+510)*1.05,IF(D5="OTF06",(U19*3/100+510)*1.05,IF(D5="OTP06",(U19*3/100+510)*1.05,IF(D5="OTP06-01",(U19*3/100+510)*1.05,IF(D5="OTF08",(U19*3/100+510)*1.05,IF(D5="OTP08",(U19*3/100+510)*1.05,IF(D5="ECG38",3625,IF(D5="ECG37",3625,IF(D5="ECG40",(D7*3/100+510)*1.05,IF(D5="ECG43",(D7*3/100+510)*1.05,IF(D5="ASG48",3625,IF(D5="ASG43",3625,IF(D5="ASG40",3625,IF(D5="ASG42",3625,IF(D5="ASG44",3625,IF(D5="ASG45",3625,IF(D5="ASX HL 4WD",3625,IF(D5="ATG16",3625,IF(D5="ATG17",3625,IF(D5="ATP16",3625,IF(D5="Attrage S",3625,IF(D5="MIG09",3625,IF(D5="MIG10",3625,IF(D5="Xpander HL",3690)))))))))))))))))))))))))))))))))))))</f>
        <v>3399.7950000000001</v>
      </c>
      <c r="P10" s="97"/>
      <c r="Q10" s="97">
        <f>5.25*3</f>
        <v>15.75</v>
      </c>
      <c r="Z10" s="86">
        <f>IF(D5="MIG09",500,IF(D5="MIG10",500,IF(D5="ATG16",500,IF(D5="ATP16",500,IF(D5="ATG17",500,IF(D5="ASG48",1000,IF(D5="ASG43",1000,IF(D5="ASG40",1000,IF(D5="ASG42",1000,IF(D5="ASG44",1000,IF(D5="ASG45",1000,IF(D5="ECG38",1000,IF(D5="ECG37",1000,IF(D5="ECG40",1000,IF(D5="ECG43",1000,IF(D5="XPML",1000,IF(D5="XPHL",1000,IF(D5="XPMLP",1000,IF(D5="XPMLP-01",1000,IF(D5="XC",1000,IF(D5="OTF03",1000,IF(D5="OTP03",1000,IF(D5="OTF06",1000,IF(D5="OTP06",1000,IF(D5="OTP06-01",1000,IF(D5="OTF08",1000,IF(D5="OTP08",1000,IF(D5="MOP57",1000,IF(D5="MOG64",1000,IF(D5="MOG59",1000,IF(D5="MOG59P",1000,IF(D5="MOG61",1000,IF(D5="MOP61",1000)))))))))))))))))))))))))))))))))</f>
        <v>1000</v>
      </c>
    </row>
    <row r="11" spans="1:28" ht="24.6" x14ac:dyDescent="0.4">
      <c r="A11" s="8"/>
      <c r="B11" s="37" t="s">
        <v>18</v>
      </c>
      <c r="C11" s="20" t="s">
        <v>17</v>
      </c>
      <c r="D11" s="36">
        <f>IF(C11="YES",O17,IF(C11="NO",0))</f>
        <v>0</v>
      </c>
      <c r="E11" s="33"/>
      <c r="F11" s="40"/>
      <c r="G11" s="40"/>
      <c r="H11" s="33"/>
      <c r="I11" s="21"/>
      <c r="J11" s="44" t="s">
        <v>76</v>
      </c>
      <c r="K11" s="44">
        <f>H8-K10</f>
        <v>18467.460950000001</v>
      </c>
      <c r="L11" s="37"/>
      <c r="M11" s="37"/>
      <c r="N11" s="42"/>
      <c r="O11" s="92">
        <f>IF(D5="XC",6100,IF(D5="XPML",6100,IF(D5="XPHL",6100,IF(D5="XPMLP",6100,IF(D5="XPMLP-01",6100,IF(D5="Xpander P",6100,IF(D5="MOP57",5900,IF(D5="MOG64",5900,IF(D5="MOG59",5900,IF(D5="MOG59P",5900,IF(D5="MOG61",5900,IF(D5="MOP61",5900,IF(D5="OTF03",6700,IF(D5="OTP03",6700,IF(D5="OTF06",6700,IF(D5="OTP06",6700,IF(D5="OTP06-01",6700,IF(D5="OTF08",6700,IF(D5="OTP08",6700,IF(D5="ECG37",6400,IF(D5="ECG38",6400,IF(D5="ECG40",6400,IF(D5="ECG43",6400,IF(D5="ASG48",6600,IF(D5="ASG43",6600,IF(D5="ASG40",6600,IF(D5="ASG42",6600,IF(D5="ASG44",6600,IF(D5="ASG45",6600,IF(D5="ASX HL 4WD",6600,IF(D5="ATG16",5400,IF(D5="ATG17",5400,IF(D5="ATP16",5400,IF(D5="Attrage S",5400,IF(D5="MIG09",5400,IF(D5="MIG10",5400,IF(D5="Xpander HL",6000)))))))))))))))))))))))))))))))))))))</f>
        <v>6700</v>
      </c>
      <c r="P11" s="92"/>
      <c r="Q11" s="92"/>
      <c r="R11" s="92"/>
      <c r="S11" s="92"/>
      <c r="T11" s="92"/>
      <c r="U11" s="92">
        <f>IF(D5="XC",4900,IF(D5="XPML",4900,IF(D5="XPHL",4900,IF(D5="XPMLP",4900,IF(D5="XPMLP-01",4900,IF(D5="Xpander P",4900,IF(D5="MOP57",4600,IF(D5="MOG64",4600,IF(D5="MOG59",4600,IF(D5="MOG59P",4600,IF(D5="MOG61",4600,IF(D5="MOP61",4600,IF(D5="OTF03",5500,IF(D5="OTP03",5500,IF(D5="OTF06",5500,IF(D5="OTP06",5500,IF(D5="OTP06-01",5500,IF(D5="OTF08",5500,IF(D5="OTP08",5500,IF(D5="ECG38",5200,IF(D5="ECG37",5200,IF(D5="ECG40",5200,IF(D5="ECG43",5200,IF(D5="ASG48",5300,IF(D5="ASG43",5300,IF(D5="ASG40",5300,IF(D5="ASG42",5300,IF(D5="ASG44",5300,IF(D5="ASG45",5300,IF(D5="ASX HL",5300,IF(D5="ASX P",5300,IF(D5="ASX HL 4WD",5300,IF(D5="ATG16",4200,IF(D5="ATG17",4200,IF(D5="ATP16",4200,IF(D5="Attrage S",4200,IF(D5="MIG09",4200,IF(D5="MIG10",4200,IF(D5="Xpander HL",4900)))))))))))))))))))))))))))))))))))))))</f>
        <v>5500</v>
      </c>
      <c r="V11" s="92">
        <f>IF(D5="XC",9700,IF(D5="XPML",9700,IF(D5="XPHL",9700,IF(D5="XPMLP",9700,IF(D5="XPMLP-01",9700,IF(D5="XPMLP-01",9700,IF(D5="Xpander P",9700,IF(D5="MOP57",9300,IF(D5="MG64",9300,IF(D5="MOG59",9300,IF(D5="MOG59P",9300,IF(D5="MOG61",9300,IF(D5="MOP61",9300,IF(D5="OTF03",11000,IF(D5="OTP03",11000,IF(D5="OTF06",11000,IF(D5="OTP06",11000,IF(D5="OTP06-01",11000,IF(D5="OTF08",11000,IF(D5="OTP08",11000,IF(D5="ECG38",10400,IF(D5="ECG37",10400,IF(D5="ECG40",10400,IF(D5="ECG43",10400,IF(D5="ASG48",10700,IF(D5="ASG43",10700,IF(D5="ASG40",10700,IF(D5="ASG42",10700,IF(D5="ASG44",10800,IF(D5="ASG45",10800,IF(D5="ASX HL",12200,IF(D5="ASX P",12200,IF(D5="ASX HL 4WD",12200,IF(D5="ATG16",8500,IF(D5="ATG17",8500,IF(D5="ATP16",8500,IF(D5="Attrage S",9600,IF(D5="MIG09",8500,IF(D5="MIG10",8500,IF(D5="Xpander HL",11300))))))))))))))))))))))))))))))))))))))))</f>
        <v>11000</v>
      </c>
      <c r="W11" s="92">
        <f>IF(D5="XC",9200,IF(D5="XPML",9200,IF(D5="XPHL",9200,IF(D5="XPMLP",9200,IF(D5="XPMLP-01",9200,IF(D5="Xpander P",9200,IF(D5="MOP57",8700,IF(D5="MOG64",8700,IF(D5="MOG59",8700,IF(D5="MOG59P",8700,IF(D5="MOG61",8700,IF(D5="MOP61",8700,IF(D5="OTF03",10400,IF(D5="OTP03",10400,IF(D5="OTF06",10400,IF(D5="OTP06",10400,IF(D5="OTP06-01",10400,IF(D5="OTF08",10400,IF(D5="OTP08",10400,IF(D5="ECG38",9800,IF(D5="ECG37",9800,IF(D5="ECG40",9800,IF(D5="ECG43",9800,IF(D5="ASG48",10100,IF(D5="ASG43",10100,IF(D5="ASG40",10100,IF(D5="ASG42",10100,IF(D5="ASG44",10100,IF(D5="ASG45",10100,IF(D5="ASX HL",10100,IF(D5="ASX P",10100,IF(D5="ASX HL 4WD",10100,IF(D5="ATG16",7900,IF(D5="ATG17",7900,IF(D5="ATP16",7900,IF(D5="Attrage S",7900,IF(D5="MIG09",7900,IF(D5="MIG10",7900,IF(D5="Xpander HL",9200)))))))))))))))))))))))))))))))))))))))</f>
        <v>10400</v>
      </c>
      <c r="X11" s="92">
        <f>IF(D5="XC",4500,IF(D5="XPML",4500,IF(D5="XPHL",4500,IF(D5="XPMLP",4500,IF(D5="XPMLP-01",4500,IF(D5="Xpander P",4500,IF(D5="MOP57",4300,IF(D5="MOG64",4300,IF(D5="MOG59",4300,IF(D5="MOG59P",4300,IF(D5="MOG61",4300,IF(D5="MOP61",4300,IF(D5="OTF03",5000,IF(D5="OTP03",5000,IF(D5="OTF06",5000,IF(D5="OTP06",5000,IF(D5="OTP06-01",5000,IF(D5="OTF08",5000,IF(D5="OTP08",5000,IF(D5="ECG38",4900,IF(D5="ECG37",4900,IF(D5="ECG40",4900,IF(D5="ECG43",4900,IF(D5="ASG48",4900,IF(D5="ASG43",4900,IF(D5="ASG40",4900,IF(D5="ASG42",4900,IF(D5="ASG44",4900,IF(D5="ASG45",4900,IF(D5="ASX HL",4900,IF(D5="ASX P",4900,IF(D5="ASX HL 4WD",4900,IF(D5="ATG16",3700,IF(D5="ATG17",3700,IF(D5="ATP16",3700,IF(D5="Attrage S",3700,IF(D5="MIG09",3700,IF(D5="MIG10",3700,IF(D5="Xpander HL",4500)))))))))))))))))))))))))))))))))))))))</f>
        <v>5000</v>
      </c>
      <c r="Y11" s="92">
        <f>IF(D5="XC",5400,IF(D5="XPML ",5400,IF(D5="XPHL",5400,IF(D5="XPMLP",5400,IF(D5="XPMLP-01",5400,IF(D5="Xpander P",5400,IF(D5="MOP57",5200,IF(D5="MOG64",5200,IF(D5="MOG59",5200,IF(D5="MOG59P",5200,IF(D5="MOG61",5200,IF(D5="MOP61",5200,IF(D5="OTF03",6000,IF(D5="OTP03",6000,IF(D5="OTF06",6000,IF(D5="OTP06",6000,IF(D5="OTP06-01",6000,IF(D5="OTF08",6000,IF(D5="OTP08",6000,IF(D5="ECG38",5700,IF(D5="ECG37",5700,IF(D5="ECG40",5700,IF(D5="ECG43",5700,IF(D5="ASG48",5900,IF(D5="ASG43",5900,IF(D5="ASG40",5900,IF(D5="ASG42",5900,IF(D5="ASG44",5900,IF(D5="ASG45",5900,IF(D5="ASX HL",5900,IF(D5="ASX P",5900,IF(D5="ASX HL 4WD",5900,IF(D5="ATG16",4500,IF(D5="ATG17",4500,IF(D5="ATP16",4500,IF(D5="Attrage S",4500,IF(D5="MIG09",4500,IF(D5="MIG10",4500,IF(D5="Xpander HL",5400)))))))))))))))))))))))))))))))))))))))</f>
        <v>6000</v>
      </c>
    </row>
    <row r="12" spans="1:28" ht="24.75" customHeight="1" x14ac:dyDescent="0.4">
      <c r="A12" s="8"/>
      <c r="B12" s="37" t="s">
        <v>20</v>
      </c>
      <c r="C12" s="20" t="s">
        <v>17</v>
      </c>
      <c r="D12" s="36">
        <f>IF(C12="YES",2000,IF(C12="NO",0))</f>
        <v>0</v>
      </c>
      <c r="E12" s="43"/>
      <c r="F12" s="43" t="s">
        <v>21</v>
      </c>
      <c r="G12" s="40"/>
      <c r="H12" s="33">
        <v>600</v>
      </c>
      <c r="I12" s="21"/>
      <c r="J12" s="44" t="s">
        <v>22</v>
      </c>
      <c r="K12" s="45">
        <v>0</v>
      </c>
      <c r="L12" s="45">
        <v>5.2499999999999998E-2</v>
      </c>
      <c r="M12" s="45">
        <v>0.126</v>
      </c>
      <c r="N12" s="46">
        <v>0.26250000000000001</v>
      </c>
      <c r="O12" s="92">
        <f>IF(K20="Esaad",B8*3/100,IF(K20="Emirates Platinum",B8*3/100,IF(K20="Fazaa",B8*3/100,IF(K20="Humat Alwatan",B8*3/100,IF(K20="Permissible",2000,IF(K20="ASX",8400,IF(K20="XPMLP",4000,IF(K20="XP",14100,IF(K20="G43",11000,IF(K20="EC",7000,IF(K20="G37",14000,IF(K20="G38",15000,IF(K20="G40",11000,IF(K20="OUT",9600,IF(K20="F08",15400,IF(K20="P08",11100,IF(K20="F06",14100,IF(K20="P06",17100,IF(K20="F03",17000,IF(K20="P03",19100,IF(K20="MON",10000,IF(K20="MON G57",10000,0))))))))))))))))))))))</f>
        <v>2000</v>
      </c>
      <c r="P12" s="92"/>
      <c r="Q12" s="92"/>
      <c r="R12" s="92"/>
      <c r="S12" s="92"/>
      <c r="T12" s="92"/>
      <c r="U12" s="92"/>
      <c r="V12" s="92"/>
      <c r="W12" s="92"/>
      <c r="X12" s="92"/>
      <c r="Y12" s="92"/>
      <c r="Z12" s="86" t="s">
        <v>83</v>
      </c>
      <c r="AA12" s="86" t="s">
        <v>84</v>
      </c>
    </row>
    <row r="13" spans="1:28" ht="24.6" x14ac:dyDescent="0.4">
      <c r="A13" s="8">
        <f>B8*1.26582</f>
        <v>101139.018</v>
      </c>
      <c r="B13" s="37" t="s">
        <v>23</v>
      </c>
      <c r="C13" s="20" t="s">
        <v>17</v>
      </c>
      <c r="D13" s="36">
        <f>IF(C13="YES",2000,IF(C13="NO",0))</f>
        <v>0</v>
      </c>
      <c r="E13" s="47"/>
      <c r="F13" s="47" t="s">
        <v>75</v>
      </c>
      <c r="G13" s="40"/>
      <c r="H13" s="33">
        <v>315</v>
      </c>
      <c r="I13" s="21"/>
      <c r="J13" s="44" t="s">
        <v>54</v>
      </c>
      <c r="K13" s="29" t="s">
        <v>79</v>
      </c>
      <c r="L13" s="29" t="s">
        <v>25</v>
      </c>
      <c r="M13" s="29" t="s">
        <v>0</v>
      </c>
      <c r="N13" s="49" t="s">
        <v>26</v>
      </c>
      <c r="O13" s="98">
        <f>IF(M21="3000-4999",6%,IF(M21="5000-9999",4.75%,IF(M21="10000-14999",3.15%,IF(M21="15000-24999",2.5%,IF(M21="25000-34999",2.25%,IF(M21="35000-99999",2.25%))))))</f>
        <v>4.7500000000000001E-2</v>
      </c>
      <c r="Q13" s="83">
        <f>H7/12</f>
        <v>1622.2884125</v>
      </c>
      <c r="U13" s="9">
        <f>IF(M21="3000-4999",6%,IF(M21="5000-9999",3.25%,IF(M21="10000-14999",3%,IF(M21="15000-24999",2.25%,IF(M21="25000-34999",2.15%,IF(M21="35000-99999",1.99%))))))</f>
        <v>3.2500000000000001E-2</v>
      </c>
      <c r="Z13" s="99">
        <f>IF(M21="5000-9999",2.49%,IF(M21="10000-19999",2.19%,IF(M21="20000-34999",2.09%,IF(M21="35000-49999",1.89%,IF(M21="50000-99999",1.79%)))))</f>
        <v>2.4900000000000002E-2</v>
      </c>
      <c r="AA13" s="99">
        <f>IF(M21="5000-9999",2.59%,IF(M21="10000-19999",2.29%,IF(M21="20000-34999",2.19%,IF(M21="35000-49999",1.99%,IF(M21="50000-99999",1.89%)))))</f>
        <v>2.5899999999999999E-2</v>
      </c>
    </row>
    <row r="14" spans="1:28" ht="24.6" x14ac:dyDescent="0.4">
      <c r="A14" s="10" t="s">
        <v>27</v>
      </c>
      <c r="B14" s="37" t="s">
        <v>24</v>
      </c>
      <c r="C14" s="20" t="s">
        <v>19</v>
      </c>
      <c r="D14" s="50">
        <f>IF(C14="YES",U19*3.15*1.05/100,IF(C14="NO",U19*0/100))</f>
        <v>3007.5097500000002</v>
      </c>
      <c r="E14" s="48"/>
      <c r="F14" s="48" t="s">
        <v>24</v>
      </c>
      <c r="G14" s="51" t="s">
        <v>17</v>
      </c>
      <c r="H14" s="39">
        <f>IF(G14="YES",U19*3.15*1.05/100,IF(G14="NO",U19*0/100))</f>
        <v>0</v>
      </c>
      <c r="I14" s="21"/>
      <c r="J14" s="44" t="s">
        <v>55</v>
      </c>
      <c r="K14" s="44">
        <f>(H8*K12+H8)/3</f>
        <v>6489.1536500000002</v>
      </c>
      <c r="L14" s="44">
        <f>(H8*L12+H8)/12</f>
        <v>1707.4585541562501</v>
      </c>
      <c r="M14" s="44">
        <f>(H8*M12+H8)/24</f>
        <v>913.34837623750002</v>
      </c>
      <c r="N14" s="52">
        <f>(H7*N12+H7)/60</f>
        <v>409.62782415625003</v>
      </c>
      <c r="O14" s="98">
        <f>IF(M21="3000-4999",3.89%,IF(M21="5000-9999",3.89%,IF(M21="10000-14999",3.89%,IF(M21="15000-24999",2.69%,IF(M21="25000-34999",2.69%,IF(M21="35000-99999",2.39%,IF(M21="76000-99999",2.19%)))))))</f>
        <v>3.8900000000000004E-2</v>
      </c>
    </row>
    <row r="15" spans="1:28" ht="24.6" x14ac:dyDescent="0.4">
      <c r="A15" s="11">
        <f>(B7*3%)+10+120</f>
        <v>2527</v>
      </c>
      <c r="B15" s="37" t="s">
        <v>28</v>
      </c>
      <c r="C15" s="20" t="s">
        <v>19</v>
      </c>
      <c r="D15" s="29">
        <f>IF(C15="YES",O10,IF(C15="NO",0))</f>
        <v>3399.7950000000001</v>
      </c>
      <c r="E15" s="48"/>
      <c r="F15" s="48" t="s">
        <v>53</v>
      </c>
      <c r="G15" s="51" t="s">
        <v>17</v>
      </c>
      <c r="H15" s="39">
        <f>IF(G15="YES",O10,IF(G15="NO",0))</f>
        <v>0</v>
      </c>
      <c r="I15" s="21"/>
      <c r="J15" s="44"/>
      <c r="K15" s="44"/>
      <c r="L15" s="44"/>
      <c r="M15" s="44"/>
      <c r="N15" s="53"/>
      <c r="O15" s="98" t="b">
        <f>IF(M21="3000-4999",4.99%, IF(M21="5000-11999",2.75%,IF(M21="12000-19999",2.75%,IF(M21="20000-39999",2.25%,IF(M21="40000-69999",2.39%,IF(M21="70000-99999",2.25%))))))</f>
        <v>0</v>
      </c>
      <c r="P15" s="99"/>
    </row>
    <row r="16" spans="1:28" ht="24.6" x14ac:dyDescent="0.4">
      <c r="A16" s="11">
        <f>((B7-B8)*3%+10+120)</f>
        <v>130</v>
      </c>
      <c r="B16" s="37" t="s">
        <v>78</v>
      </c>
      <c r="C16" s="20" t="s">
        <v>19</v>
      </c>
      <c r="D16" s="29">
        <f>IF(C16="YES",O16,IF(C16="NO",0))</f>
        <v>6700</v>
      </c>
      <c r="E16" s="47"/>
      <c r="F16" s="47" t="s">
        <v>74</v>
      </c>
      <c r="G16" s="54"/>
      <c r="H16" s="33">
        <f>I7*1.05%</f>
        <v>817.63335990000007</v>
      </c>
      <c r="I16" s="21"/>
      <c r="J16" s="44" t="s">
        <v>16</v>
      </c>
      <c r="K16" s="44">
        <f>(K14*3)-H8</f>
        <v>0</v>
      </c>
      <c r="L16" s="44">
        <f>(L14*12)-H8</f>
        <v>1022.0416998750006</v>
      </c>
      <c r="M16" s="44">
        <f>(M14*24)-H8</f>
        <v>2452.9000797000008</v>
      </c>
      <c r="N16" s="53"/>
      <c r="O16" s="92">
        <f>IF(B16="RMC-10-70KMS",O11,IF(B16="RMC-10-100000KMS",V11,IF(B16="RMC-40-70KMS",U11, IF(B16="RMC-10-40KMS",X11, IF(B16="RMC-10-60KMS",Y11, IF(B16="RMC-40-100000KMS",W11,0))))))</f>
        <v>6700</v>
      </c>
    </row>
    <row r="17" spans="1:28" ht="24.6" x14ac:dyDescent="0.4">
      <c r="A17" s="11">
        <f>A15+A16</f>
        <v>2657</v>
      </c>
      <c r="B17" s="37"/>
      <c r="C17" s="20"/>
      <c r="D17" s="29">
        <f>SUM(D10:D16)</f>
        <v>13107.304749999999</v>
      </c>
      <c r="E17" s="33"/>
      <c r="F17" s="33"/>
      <c r="G17" s="33"/>
      <c r="H17" s="33">
        <f>H7+H12+H15+H16</f>
        <v>20885.0943099</v>
      </c>
      <c r="I17" s="33"/>
      <c r="J17" s="22"/>
      <c r="K17" s="53"/>
      <c r="L17" s="53"/>
      <c r="M17" s="53"/>
      <c r="N17" s="53"/>
      <c r="O17" s="92">
        <f>IF(B11="FO Ceramic+ Intr&amp;Extr CeramicGold WdwTnt",2700,IF(B11="FO Mirror Camera Sensor",2000))</f>
        <v>2700</v>
      </c>
      <c r="T17" s="86">
        <f>19615-791</f>
        <v>18824</v>
      </c>
    </row>
    <row r="18" spans="1:28" ht="24.6" x14ac:dyDescent="0.4">
      <c r="A18" s="12" t="s">
        <v>29</v>
      </c>
      <c r="B18" s="55" t="s">
        <v>30</v>
      </c>
      <c r="C18" s="56"/>
      <c r="D18" s="57">
        <v>0</v>
      </c>
      <c r="E18" s="38"/>
      <c r="F18" s="22"/>
      <c r="G18" s="22"/>
      <c r="H18" s="21"/>
      <c r="I18" s="21"/>
      <c r="J18" s="21"/>
      <c r="K18" s="21"/>
      <c r="L18" s="21"/>
      <c r="M18" s="21"/>
      <c r="N18" s="21"/>
      <c r="O18" s="92"/>
      <c r="U18" s="100" t="s">
        <v>52</v>
      </c>
      <c r="V18" s="100" t="s">
        <v>52</v>
      </c>
    </row>
    <row r="19" spans="1:28" ht="24.6" x14ac:dyDescent="0.4">
      <c r="A19" s="11">
        <f>B8*3.15%</f>
        <v>2516.85</v>
      </c>
      <c r="B19" s="58" t="s">
        <v>31</v>
      </c>
      <c r="C19" s="59"/>
      <c r="D19" s="60">
        <f>IF(K21="DIB EXPAT",O13,IF(K21="DIB LOCAL GVH",U13,IF(K21="Emirates NBD",O14,IF(K21="ADCB",O15,IF(K21="ADCB PAY IN 2027",O19,IF(K21="Ajman Bank",O18,IF(K21="SIB STL",Z13,IF(K21="SIB NON STL",AA13,))))))))</f>
        <v>2.4900000000000002E-2</v>
      </c>
      <c r="E19" s="22"/>
      <c r="F19" s="61"/>
      <c r="G19" s="141" t="s">
        <v>73</v>
      </c>
      <c r="H19" s="142"/>
      <c r="I19" s="143"/>
      <c r="J19" s="109">
        <f>H7/365</f>
        <v>53.335509452054794</v>
      </c>
      <c r="K19" s="21"/>
      <c r="L19" s="21"/>
      <c r="M19" s="21"/>
      <c r="N19" s="23">
        <f>D7</f>
        <v>83895</v>
      </c>
      <c r="O19" s="98" t="b">
        <f>IF(M21="5000-11999",3.35%,IF(M21="12000-19999",3.35%,IF(M21="20000-39999",2.85%,IF(M21="40000-69999",2.85%,IF(M21="70000-99999",2.85%)))))</f>
        <v>0</v>
      </c>
      <c r="P19" s="83">
        <f>81400-2500</f>
        <v>78900</v>
      </c>
      <c r="U19" s="101">
        <f>V19</f>
        <v>90930</v>
      </c>
      <c r="V19" s="102">
        <f>(B7+D10+D11+D12+D13+D16)*1.05</f>
        <v>90930</v>
      </c>
      <c r="X19" s="87">
        <f>G7*3.15*1.05/100</f>
        <v>3219.4313546062499</v>
      </c>
      <c r="Y19" s="87">
        <f>G7*3/100+510*1.05</f>
        <v>3455.6191424999997</v>
      </c>
      <c r="Z19" s="87">
        <f>Y19+X19</f>
        <v>6675.0504971062492</v>
      </c>
      <c r="AA19" s="87">
        <f>(Z19)-(D14+D15)</f>
        <v>267.74574710624893</v>
      </c>
      <c r="AB19" s="87">
        <f>AA19*1.25</f>
        <v>334.68218388281116</v>
      </c>
    </row>
    <row r="20" spans="1:28" ht="24.6" x14ac:dyDescent="0.4">
      <c r="A20" s="11"/>
      <c r="B20" s="58" t="s">
        <v>32</v>
      </c>
      <c r="C20" s="62"/>
      <c r="D20" s="63">
        <v>0.2</v>
      </c>
      <c r="E20" s="21"/>
      <c r="F20" s="21"/>
      <c r="G20" s="42"/>
      <c r="H20" s="42"/>
      <c r="I20" s="42"/>
      <c r="J20" s="103"/>
      <c r="K20" s="104" t="s">
        <v>33</v>
      </c>
      <c r="L20" s="104" t="s">
        <v>17</v>
      </c>
      <c r="M20" s="104">
        <f>IF(L20="YES",O12,IF(L20="NO",0))</f>
        <v>0</v>
      </c>
      <c r="N20" s="23">
        <f>B8-M20</f>
        <v>79900</v>
      </c>
      <c r="O20" s="92"/>
      <c r="P20" s="99"/>
      <c r="T20" s="86">
        <f>1992+1084</f>
        <v>3076</v>
      </c>
      <c r="V20" s="83"/>
      <c r="X20" s="87">
        <f>X19-D14</f>
        <v>211.92160460624973</v>
      </c>
      <c r="Y20" s="87">
        <f>Y19-D15</f>
        <v>55.824142499999653</v>
      </c>
      <c r="AA20" s="87">
        <f>X20+Y20</f>
        <v>267.74574710624938</v>
      </c>
    </row>
    <row r="21" spans="1:28" ht="24.6" x14ac:dyDescent="0.4">
      <c r="A21" s="13">
        <f>A19+A20</f>
        <v>2516.85</v>
      </c>
      <c r="B21" s="21"/>
      <c r="C21" s="22"/>
      <c r="D21" s="21"/>
      <c r="E21" s="21"/>
      <c r="F21" s="21"/>
      <c r="G21" s="21"/>
      <c r="H21" s="21"/>
      <c r="I21" s="21"/>
      <c r="J21" s="37" t="s">
        <v>34</v>
      </c>
      <c r="K21" s="16" t="s">
        <v>83</v>
      </c>
      <c r="L21" s="105" t="s">
        <v>35</v>
      </c>
      <c r="M21" s="106" t="s">
        <v>80</v>
      </c>
      <c r="N21" s="111"/>
      <c r="O21" s="92"/>
      <c r="T21" s="86">
        <f>25973-12973</f>
        <v>13000</v>
      </c>
    </row>
    <row r="22" spans="1:28" ht="24.6" x14ac:dyDescent="0.4">
      <c r="A22" s="13"/>
      <c r="B22" s="130" t="s">
        <v>51</v>
      </c>
      <c r="C22" s="131"/>
      <c r="D22" s="131"/>
      <c r="E22" s="131"/>
      <c r="F22" s="131"/>
      <c r="G22" s="131"/>
      <c r="H22" s="131"/>
      <c r="I22" s="131"/>
      <c r="J22" s="131"/>
      <c r="K22" s="131"/>
      <c r="L22" s="131"/>
      <c r="M22" s="131"/>
      <c r="N22" s="132"/>
      <c r="O22" s="92"/>
    </row>
    <row r="23" spans="1:28" ht="25.2" x14ac:dyDescent="0.45">
      <c r="A23" s="14" t="s">
        <v>36</v>
      </c>
      <c r="B23" s="64" t="s">
        <v>57</v>
      </c>
      <c r="C23" s="65"/>
      <c r="D23" s="65"/>
      <c r="E23" s="65"/>
      <c r="F23" s="65"/>
      <c r="G23" s="65"/>
      <c r="H23" s="66"/>
      <c r="I23" s="66"/>
      <c r="J23" s="65"/>
      <c r="K23" s="65"/>
      <c r="L23" s="65"/>
      <c r="M23" s="65"/>
      <c r="N23" s="67"/>
      <c r="O23" s="92">
        <f>N7+K14</f>
        <v>7948.5643058850001</v>
      </c>
    </row>
    <row r="24" spans="1:28" ht="25.2" x14ac:dyDescent="0.45">
      <c r="A24" s="14" t="s">
        <v>36</v>
      </c>
      <c r="B24" s="64" t="s">
        <v>58</v>
      </c>
      <c r="C24" s="65"/>
      <c r="D24" s="65"/>
      <c r="E24" s="65"/>
      <c r="F24" s="65"/>
      <c r="G24" s="65"/>
      <c r="H24" s="85">
        <f>H7/365</f>
        <v>53.335509452054794</v>
      </c>
      <c r="I24" s="85">
        <f>H7/365</f>
        <v>53.335509452054794</v>
      </c>
      <c r="J24" s="65"/>
      <c r="K24" s="65"/>
      <c r="L24" s="65"/>
      <c r="M24" s="65"/>
      <c r="N24" s="68"/>
      <c r="O24" s="92"/>
      <c r="P24" s="83">
        <f>1232+480</f>
        <v>1712</v>
      </c>
      <c r="T24" s="86">
        <f>88704/1.05</f>
        <v>84480</v>
      </c>
    </row>
    <row r="25" spans="1:28" ht="25.2" x14ac:dyDescent="0.45">
      <c r="A25" s="14" t="s">
        <v>36</v>
      </c>
      <c r="B25" s="64" t="s">
        <v>59</v>
      </c>
      <c r="C25" s="65"/>
      <c r="D25" s="65"/>
      <c r="E25" s="65"/>
      <c r="F25" s="65"/>
      <c r="G25" s="65"/>
      <c r="H25" s="66"/>
      <c r="I25" s="85">
        <f>I24*365*3</f>
        <v>58402.382850000002</v>
      </c>
      <c r="J25" s="65"/>
      <c r="K25" s="65"/>
      <c r="L25" s="65"/>
      <c r="M25" s="65"/>
      <c r="N25" s="68"/>
      <c r="O25" s="92"/>
      <c r="Q25" s="86">
        <f>79400-5233.33</f>
        <v>74166.67</v>
      </c>
      <c r="R25" s="86">
        <f>Q25*1.05</f>
        <v>77875.003500000006</v>
      </c>
    </row>
    <row r="26" spans="1:28" ht="25.2" x14ac:dyDescent="0.45">
      <c r="A26" s="14" t="s">
        <v>36</v>
      </c>
      <c r="B26" s="64" t="s">
        <v>60</v>
      </c>
      <c r="C26" s="65"/>
      <c r="D26" s="65"/>
      <c r="E26" s="65"/>
      <c r="F26" s="65"/>
      <c r="G26" s="65"/>
      <c r="H26" s="65"/>
      <c r="I26" s="65"/>
      <c r="J26" s="65"/>
      <c r="K26" s="65"/>
      <c r="L26" s="65"/>
      <c r="M26" s="65"/>
      <c r="N26" s="68"/>
      <c r="O26" s="92" t="s">
        <v>37</v>
      </c>
      <c r="R26" s="86">
        <f>R25+2469</f>
        <v>80344.003500000006</v>
      </c>
    </row>
    <row r="27" spans="1:28" ht="25.2" x14ac:dyDescent="0.45">
      <c r="A27" s="14" t="s">
        <v>36</v>
      </c>
      <c r="B27" s="64" t="s">
        <v>61</v>
      </c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8"/>
      <c r="O27" s="92">
        <f>129500-110900</f>
        <v>18600</v>
      </c>
    </row>
    <row r="28" spans="1:28" ht="25.2" x14ac:dyDescent="0.45">
      <c r="B28" s="64" t="s">
        <v>62</v>
      </c>
      <c r="C28" s="65"/>
      <c r="D28" s="65"/>
      <c r="E28" s="65"/>
      <c r="F28" s="65"/>
      <c r="G28" s="65"/>
      <c r="H28" s="65"/>
      <c r="I28" s="65"/>
      <c r="J28" s="65"/>
      <c r="K28" s="65"/>
      <c r="L28" s="65"/>
      <c r="M28" s="65"/>
      <c r="N28" s="68"/>
      <c r="O28" s="92"/>
    </row>
    <row r="29" spans="1:28" ht="25.2" x14ac:dyDescent="0.45">
      <c r="B29" s="64" t="s">
        <v>63</v>
      </c>
      <c r="C29" s="65"/>
      <c r="D29" s="65"/>
      <c r="E29" s="65"/>
      <c r="F29" s="65"/>
      <c r="G29" s="65"/>
      <c r="H29" s="65"/>
      <c r="I29" s="65"/>
      <c r="J29" s="65"/>
      <c r="K29" s="65"/>
      <c r="L29" s="65"/>
      <c r="M29" s="65"/>
      <c r="N29" s="69"/>
      <c r="O29" s="92"/>
    </row>
    <row r="30" spans="1:28" ht="24.6" x14ac:dyDescent="0.4">
      <c r="B30" s="133" t="s">
        <v>38</v>
      </c>
      <c r="C30" s="134"/>
      <c r="D30" s="134"/>
      <c r="E30" s="134"/>
      <c r="F30" s="134"/>
      <c r="G30" s="134"/>
      <c r="H30" s="134"/>
      <c r="I30" s="134"/>
      <c r="J30" s="134"/>
      <c r="K30" s="134"/>
      <c r="L30" s="134"/>
      <c r="M30" s="134"/>
      <c r="N30" s="135"/>
      <c r="O30" s="92"/>
    </row>
    <row r="31" spans="1:28" ht="24.6" x14ac:dyDescent="0.4">
      <c r="B31" s="136"/>
      <c r="C31" s="137"/>
      <c r="D31" s="137"/>
      <c r="E31" s="137"/>
      <c r="F31" s="137"/>
      <c r="G31" s="137"/>
      <c r="H31" s="137"/>
      <c r="I31" s="137"/>
      <c r="J31" s="137"/>
      <c r="K31" s="137"/>
      <c r="L31" s="137"/>
      <c r="M31" s="137"/>
      <c r="N31" s="138"/>
      <c r="O31" s="92"/>
    </row>
    <row r="32" spans="1:28" ht="24.6" x14ac:dyDescent="0.4">
      <c r="B32" s="136" t="s">
        <v>39</v>
      </c>
      <c r="C32" s="137"/>
      <c r="D32" s="137"/>
      <c r="E32" s="137"/>
      <c r="F32" s="137"/>
      <c r="G32" s="137"/>
      <c r="H32" s="137"/>
      <c r="I32" s="137"/>
      <c r="J32" s="137"/>
      <c r="K32" s="137"/>
      <c r="L32" s="137"/>
      <c r="M32" s="137"/>
      <c r="N32" s="138"/>
      <c r="O32" s="92"/>
    </row>
    <row r="33" spans="2:16" ht="24.6" x14ac:dyDescent="0.4">
      <c r="B33" s="136" t="s">
        <v>40</v>
      </c>
      <c r="C33" s="137"/>
      <c r="D33" s="137"/>
      <c r="E33" s="137"/>
      <c r="F33" s="137"/>
      <c r="G33" s="137"/>
      <c r="H33" s="137"/>
      <c r="I33" s="137"/>
      <c r="J33" s="137"/>
      <c r="K33" s="137"/>
      <c r="L33" s="137"/>
      <c r="M33" s="137"/>
      <c r="N33" s="138"/>
      <c r="O33" s="92"/>
    </row>
    <row r="34" spans="2:16" s="112" customFormat="1" ht="24.6" x14ac:dyDescent="0.4">
      <c r="B34" s="107" t="s">
        <v>81</v>
      </c>
      <c r="C34" s="108"/>
      <c r="D34" s="108"/>
      <c r="E34" s="108"/>
      <c r="F34" s="108"/>
      <c r="G34" s="113"/>
      <c r="H34" s="113"/>
      <c r="I34" s="108"/>
      <c r="J34" s="108"/>
      <c r="K34" s="108"/>
      <c r="L34" s="108"/>
      <c r="M34" s="114" t="s">
        <v>82</v>
      </c>
      <c r="N34" s="116" t="b">
        <f>IF(M34="ALAA",507963328, IF(M34="BACHIR",525246969,IF(M34="JIHAN",566201266, IF(M34="RAMY",505277871, IF(M34="SIMON",505140337,IF(M34="SUJITH",551079817, IF(M34="PRAVEEN",506367792,IF(M34="MHAREN",529224059, IF(M34="MOSSALLEM",505185577,IF(M34="RANJITH",554989288, IF(M34="KHALED",552319494)))))))))))</f>
        <v>0</v>
      </c>
      <c r="O34" s="115"/>
      <c r="P34" s="115"/>
    </row>
    <row r="35" spans="2:16" x14ac:dyDescent="0.35">
      <c r="B35" s="70"/>
      <c r="C35" s="71"/>
      <c r="D35" s="71"/>
      <c r="E35" s="71"/>
      <c r="F35" s="71"/>
      <c r="G35" s="71"/>
      <c r="H35" s="71"/>
      <c r="I35" s="71"/>
      <c r="J35" s="71"/>
      <c r="K35" s="71"/>
      <c r="L35" s="71"/>
      <c r="M35" s="71"/>
      <c r="N35" s="72"/>
    </row>
    <row r="36" spans="2:16" x14ac:dyDescent="0.35">
      <c r="B36" s="70"/>
      <c r="C36" s="71"/>
      <c r="D36" s="71"/>
      <c r="E36" s="71"/>
      <c r="F36" s="71"/>
      <c r="G36" s="71"/>
      <c r="H36" s="71"/>
      <c r="I36" s="71"/>
      <c r="J36" s="71"/>
      <c r="K36" s="71"/>
      <c r="L36" s="71"/>
      <c r="M36" s="71"/>
      <c r="N36" s="72"/>
    </row>
    <row r="37" spans="2:16" x14ac:dyDescent="0.35">
      <c r="B37" s="70"/>
      <c r="C37" s="71"/>
      <c r="D37" s="71"/>
      <c r="E37" s="71"/>
      <c r="F37" s="71"/>
      <c r="G37" s="71"/>
      <c r="H37" s="71"/>
      <c r="I37" s="71"/>
      <c r="J37" s="71"/>
      <c r="K37" s="71"/>
      <c r="L37" s="71"/>
      <c r="M37" s="71"/>
      <c r="N37" s="72"/>
    </row>
    <row r="38" spans="2:16" ht="21" x14ac:dyDescent="0.4">
      <c r="B38" s="73" t="s">
        <v>64</v>
      </c>
      <c r="C38" s="74"/>
      <c r="D38" s="75"/>
      <c r="E38" s="76"/>
      <c r="F38" s="76"/>
      <c r="G38" s="76"/>
      <c r="H38" s="76"/>
      <c r="I38" s="76"/>
      <c r="J38" s="77"/>
      <c r="K38" s="76"/>
      <c r="L38" s="76"/>
      <c r="M38" s="76"/>
      <c r="N38" s="78"/>
    </row>
    <row r="39" spans="2:16" ht="21" x14ac:dyDescent="0.4">
      <c r="B39" s="73" t="s">
        <v>65</v>
      </c>
      <c r="C39" s="79"/>
      <c r="D39" s="75"/>
      <c r="E39" s="76"/>
      <c r="F39" s="76"/>
      <c r="G39" s="76"/>
      <c r="H39" s="76"/>
      <c r="I39" s="76"/>
      <c r="J39" s="77"/>
      <c r="K39" s="76"/>
      <c r="L39" s="76"/>
      <c r="M39" s="76"/>
      <c r="N39" s="80"/>
    </row>
    <row r="40" spans="2:16" ht="21" x14ac:dyDescent="0.35">
      <c r="B40" s="73" t="s">
        <v>66</v>
      </c>
      <c r="C40" s="81"/>
      <c r="D40" s="76"/>
      <c r="E40" s="76"/>
      <c r="F40" s="76"/>
      <c r="G40" s="76"/>
      <c r="H40" s="76"/>
      <c r="I40" s="76"/>
      <c r="J40" s="77"/>
      <c r="K40" s="76"/>
      <c r="L40" s="76"/>
      <c r="M40" s="76"/>
      <c r="N40" s="80"/>
    </row>
    <row r="41" spans="2:16" ht="21" x14ac:dyDescent="0.35">
      <c r="B41" s="73" t="s">
        <v>67</v>
      </c>
      <c r="C41" s="82"/>
      <c r="D41" s="83"/>
      <c r="E41" s="83"/>
      <c r="F41" s="83"/>
      <c r="G41" s="83"/>
      <c r="H41" s="83"/>
      <c r="I41" s="83"/>
      <c r="J41" s="83"/>
      <c r="K41" s="83"/>
      <c r="L41" s="83"/>
      <c r="M41" s="83"/>
      <c r="N41" s="84"/>
    </row>
    <row r="42" spans="2:16" ht="21" x14ac:dyDescent="0.35">
      <c r="B42" s="73" t="s">
        <v>77</v>
      </c>
      <c r="C42" s="82"/>
      <c r="D42" s="83"/>
      <c r="E42" s="83"/>
      <c r="F42" s="83"/>
      <c r="G42" s="83"/>
      <c r="H42" s="83"/>
      <c r="I42" s="83"/>
      <c r="J42" s="83"/>
      <c r="K42" s="83"/>
      <c r="L42" s="83"/>
      <c r="M42" s="83"/>
      <c r="N42" s="84"/>
    </row>
    <row r="43" spans="2:16" ht="21" x14ac:dyDescent="0.35">
      <c r="B43" s="73" t="s">
        <v>68</v>
      </c>
      <c r="C43" s="82"/>
      <c r="D43" s="83"/>
      <c r="E43" s="83"/>
      <c r="F43" s="83"/>
      <c r="G43" s="83"/>
      <c r="H43" s="83"/>
      <c r="I43" s="83"/>
      <c r="J43" s="83"/>
      <c r="K43" s="83"/>
      <c r="L43" s="83"/>
      <c r="M43" s="83"/>
      <c r="N43" s="84"/>
    </row>
    <row r="44" spans="2:16" ht="21" x14ac:dyDescent="0.35">
      <c r="B44" s="73" t="s">
        <v>69</v>
      </c>
      <c r="C44" s="82"/>
      <c r="D44" s="83"/>
      <c r="E44" s="83"/>
      <c r="F44" s="83"/>
      <c r="G44" s="83"/>
      <c r="H44" s="83"/>
      <c r="I44" s="83"/>
      <c r="J44" s="83"/>
      <c r="K44" s="83"/>
      <c r="L44" s="83"/>
      <c r="M44" s="83"/>
      <c r="N44" s="84"/>
    </row>
    <row r="45" spans="2:16" ht="21" x14ac:dyDescent="0.35">
      <c r="B45" s="73" t="s">
        <v>70</v>
      </c>
      <c r="C45" s="82"/>
      <c r="D45" s="83"/>
      <c r="E45" s="83"/>
      <c r="F45" s="83"/>
      <c r="G45" s="83"/>
      <c r="H45" s="83"/>
      <c r="I45" s="83"/>
      <c r="J45" s="83"/>
      <c r="K45" s="83"/>
      <c r="L45" s="83"/>
      <c r="M45" s="83"/>
      <c r="N45" s="84"/>
    </row>
    <row r="46" spans="2:16" ht="21" x14ac:dyDescent="0.35">
      <c r="B46" s="73" t="s">
        <v>71</v>
      </c>
      <c r="C46" s="82"/>
      <c r="D46" s="83"/>
      <c r="E46" s="83"/>
      <c r="F46" s="83"/>
      <c r="G46" s="83"/>
      <c r="H46" s="83"/>
      <c r="I46" s="83"/>
      <c r="J46" s="83"/>
      <c r="K46" s="83"/>
      <c r="L46" s="83"/>
      <c r="M46" s="83"/>
      <c r="N46" s="84"/>
    </row>
    <row r="47" spans="2:16" x14ac:dyDescent="0.35">
      <c r="B47" s="118" t="s">
        <v>39</v>
      </c>
      <c r="C47" s="119"/>
      <c r="D47" s="119"/>
      <c r="E47" s="119"/>
      <c r="F47" s="119"/>
      <c r="G47" s="119"/>
      <c r="H47" s="119"/>
      <c r="I47" s="119"/>
      <c r="J47" s="119"/>
      <c r="K47" s="119"/>
      <c r="L47" s="119"/>
      <c r="M47" s="119"/>
      <c r="N47" s="120"/>
      <c r="O47" s="92"/>
    </row>
    <row r="48" spans="2:16" x14ac:dyDescent="0.35">
      <c r="B48" s="118" t="s">
        <v>40</v>
      </c>
      <c r="C48" s="119"/>
      <c r="D48" s="119"/>
      <c r="E48" s="119"/>
      <c r="F48" s="119"/>
      <c r="G48" s="119"/>
      <c r="H48" s="119"/>
      <c r="I48" s="119"/>
      <c r="J48" s="119"/>
      <c r="K48" s="119"/>
      <c r="L48" s="119"/>
      <c r="M48" s="119"/>
      <c r="N48" s="120"/>
      <c r="O48" s="92"/>
    </row>
    <row r="49" spans="2:14" x14ac:dyDescent="0.35">
      <c r="B49" s="118" t="s">
        <v>72</v>
      </c>
      <c r="C49" s="119"/>
      <c r="D49" s="119"/>
      <c r="E49" s="119"/>
      <c r="F49" s="119"/>
      <c r="G49" s="119"/>
      <c r="H49" s="119"/>
      <c r="I49" s="119"/>
      <c r="J49" s="119"/>
      <c r="K49" s="119"/>
      <c r="L49" s="119"/>
      <c r="M49" s="119"/>
      <c r="N49" s="120"/>
    </row>
    <row r="50" spans="2:14" ht="25.8" x14ac:dyDescent="0.35">
      <c r="C50" s="15" t="s">
        <v>41</v>
      </c>
    </row>
    <row r="51" spans="2:14" ht="25.8" x14ac:dyDescent="0.35">
      <c r="C51" s="15" t="s">
        <v>42</v>
      </c>
    </row>
    <row r="52" spans="2:14" ht="25.8" x14ac:dyDescent="0.35">
      <c r="C52" s="15" t="s">
        <v>43</v>
      </c>
    </row>
    <row r="53" spans="2:14" ht="25.8" x14ac:dyDescent="0.35">
      <c r="C53" s="15" t="s">
        <v>44</v>
      </c>
    </row>
    <row r="54" spans="2:14" ht="25.8" x14ac:dyDescent="0.35">
      <c r="C54" s="15" t="s">
        <v>45</v>
      </c>
    </row>
  </sheetData>
  <mergeCells count="12">
    <mergeCell ref="B49:N49"/>
    <mergeCell ref="B1:N4"/>
    <mergeCell ref="F8:G8"/>
    <mergeCell ref="F9:G9"/>
    <mergeCell ref="G19:I19"/>
    <mergeCell ref="B22:N22"/>
    <mergeCell ref="B30:N30"/>
    <mergeCell ref="B31:N31"/>
    <mergeCell ref="B32:N32"/>
    <mergeCell ref="B33:N33"/>
    <mergeCell ref="B47:N47"/>
    <mergeCell ref="B48:N48"/>
  </mergeCells>
  <dataValidations count="11">
    <dataValidation type="list" allowBlank="1" showInputMessage="1" showErrorMessage="1" sqref="K21" xr:uid="{516BE17E-91F8-4BAB-86B1-B2D48119ADB1}">
      <formula1>"ADCB,ADCB PAY IN 2027,Ajman Bank,ADIB,DIB EXPAT,DIB LOCAL GVH,Emirates NBD,EIB,FAB,RAK,SIB STL,SIB NON STL"</formula1>
    </dataValidation>
    <dataValidation type="list" allowBlank="1" showInputMessage="1" showErrorMessage="1" sqref="D5" xr:uid="{AB2B1BD9-D831-46F6-B0B4-707F1B01B4DA}">
      <formula1>"MIG09,MIG10,ATG16,ATP16,ATG17,ASG48,ASG43,ASG40,ASG42,ASG44,ASG45,ECG38,ECG37,ECG40,ECG43,XPML,XPHL,XPMLP, XPMLP-01, XC,OTF03,OTP03,OTF06,OTP06, OTP06-01,OTF08, OTP08,MOP57,MOG64,MOG59,MOG59P,MOG61,MOP61"</formula1>
    </dataValidation>
    <dataValidation type="list" allowBlank="1" showInputMessage="1" showErrorMessage="1" sqref="M21" xr:uid="{51EA28B8-A568-4552-BFA7-F33BFA43888B}">
      <formula1>"3000-4999,5000-9999,10000-14999,15000-24999,25000-34999,35000-99999,5000-11999,12000-19999,20000-39999,40000-69999,70000-99999"</formula1>
    </dataValidation>
    <dataValidation type="list" allowBlank="1" showInputMessage="1" showErrorMessage="1" sqref="K20" xr:uid="{C9647386-B169-437F-A290-75E516CDCEE1}">
      <formula1>"Esaad,Emirates Platinum,Fazaa,Humat Alwatan,Permissible,ASX,XPMLP,XP,MON,MON G57,OUT,F08,P08,F06,P06,F03,P03,EC,G37,G38,G40,G43"</formula1>
    </dataValidation>
    <dataValidation type="list" allowBlank="1" showInputMessage="1" showErrorMessage="1" sqref="L19:L20 L24:L25 G14:G15 C10:C16 L10 J10" xr:uid="{E7A629EB-CCE5-4FC7-900B-8F4EE5BC66E2}">
      <formula1>"YES,NO"</formula1>
    </dataValidation>
    <dataValidation type="list" allowBlank="1" showInputMessage="1" showErrorMessage="1" sqref="K24" xr:uid="{5A988A3C-895B-44C6-B249-7FC6F86B17F1}">
      <formula1>"RMC-10-70K,RMC-10-100000K,RMC-40-70K"</formula1>
    </dataValidation>
    <dataValidation type="list" allowBlank="1" showInputMessage="1" showErrorMessage="1" sqref="B16" xr:uid="{9074AC8B-E834-4543-B08F-6B67DEDF673C}">
      <formula1>"RMC-10-40KMS,RMC-10-60KMS,RMC-10-70KMS,RMC-10-100000KMS,RMC-40-70KMS,RMC-40-100000KMS"</formula1>
    </dataValidation>
    <dataValidation type="list" allowBlank="1" showInputMessage="1" showErrorMessage="1" sqref="B12" xr:uid="{328C4EF4-4F38-4FAD-8D8B-786C72EB9A8F}">
      <formula1>"FO Exterior ceramic All Cars SCOTCHGUARD,FO Mirror Camera Sensor,FO PPF Gold Package "</formula1>
    </dataValidation>
    <dataValidation type="list" allowBlank="1" showInputMessage="1" showErrorMessage="1" sqref="B11" xr:uid="{21532792-47E6-4127-9FBD-80292BA7DBB0}">
      <formula1>"FO Ceramic+ Intr&amp;Extr CeramicGold WdwTnt,FO Mirror Camera Sensor"</formula1>
    </dataValidation>
    <dataValidation type="list" allowBlank="1" showInputMessage="1" showErrorMessage="1" sqref="M34" xr:uid="{DD32FF03-4791-4B2C-8DD9-F6709357BC89}">
      <formula1>"Alaa,Bachir ,Khaled,Ramy,Simon,Mharen,Ranjith,Jihan,Praveen,Sujith,Mossallem"</formula1>
    </dataValidation>
    <dataValidation type="list" allowBlank="1" showInputMessage="1" showErrorMessage="1" sqref="H34" xr:uid="{AAE381A8-EC36-4DA0-A07E-C5C2629C346E}">
      <formula1>"ALAA HAMMAD,KHALED QASSEM,RAMY RAOUF,SIMON LOBO,MHAREN CLEMENTE GARADO"</formula1>
    </dataValidation>
  </dataValidations>
  <pageMargins left="0.23622047244094491" right="0.23622047244094491" top="0.74803149606299213" bottom="0.74803149606299213" header="0.31496062992125984" footer="0.31496062992125984"/>
  <pageSetup paperSize="9" scale="37" orientation="landscape" horizontalDpi="4294967295" verticalDpi="4294967295"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A7DB8-BECD-47FA-BBCB-2971C7023498}">
  <sheetPr>
    <pageSetUpPr fitToPage="1"/>
  </sheetPr>
  <dimension ref="A1:AB54"/>
  <sheetViews>
    <sheetView topLeftCell="B1" zoomScaleNormal="100" workbookViewId="0">
      <selection activeCell="D5" sqref="D5"/>
    </sheetView>
  </sheetViews>
  <sheetFormatPr defaultColWidth="9.109375" defaultRowHeight="20.399999999999999" x14ac:dyDescent="0.35"/>
  <cols>
    <col min="1" max="1" width="16" style="1" hidden="1" customWidth="1"/>
    <col min="2" max="2" width="75.5546875" style="2" customWidth="1"/>
    <col min="3" max="3" width="25.5546875" style="3" customWidth="1"/>
    <col min="4" max="4" width="25.33203125" style="2" customWidth="1"/>
    <col min="5" max="5" width="22.6640625" style="2" customWidth="1"/>
    <col min="6" max="6" width="21" style="2" customWidth="1"/>
    <col min="7" max="7" width="25" style="2" customWidth="1"/>
    <col min="8" max="8" width="29.44140625" style="2" bestFit="1" customWidth="1"/>
    <col min="9" max="9" width="32.109375" style="2" bestFit="1" customWidth="1"/>
    <col min="10" max="10" width="22" style="2" customWidth="1"/>
    <col min="11" max="11" width="23.33203125" style="2" customWidth="1"/>
    <col min="12" max="12" width="31" style="2" customWidth="1"/>
    <col min="13" max="13" width="23.5546875" style="2" customWidth="1"/>
    <col min="14" max="14" width="21.109375" style="2" customWidth="1"/>
    <col min="15" max="15" width="14.44140625" style="83" bestFit="1" customWidth="1"/>
    <col min="16" max="16" width="21.6640625" style="83" hidden="1" customWidth="1"/>
    <col min="17" max="17" width="14.33203125" style="86" hidden="1" customWidth="1"/>
    <col min="18" max="18" width="12.88671875" style="86" hidden="1" customWidth="1"/>
    <col min="19" max="19" width="13" style="86" hidden="1" customWidth="1"/>
    <col min="20" max="20" width="17.109375" style="86" hidden="1" customWidth="1"/>
    <col min="21" max="21" width="21.5546875" style="86" customWidth="1"/>
    <col min="22" max="22" width="22.88671875" style="86" customWidth="1"/>
    <col min="23" max="26" width="17.109375" style="86" bestFit="1" customWidth="1"/>
    <col min="27" max="27" width="15" style="86" customWidth="1"/>
    <col min="28" max="28" width="14.33203125" style="86" bestFit="1" customWidth="1"/>
    <col min="29" max="16384" width="9.109375" style="1"/>
  </cols>
  <sheetData>
    <row r="1" spans="1:28" ht="15.75" customHeight="1" x14ac:dyDescent="0.35">
      <c r="B1" s="121" t="s">
        <v>46</v>
      </c>
      <c r="C1" s="122"/>
      <c r="D1" s="122"/>
      <c r="E1" s="122"/>
      <c r="F1" s="122"/>
      <c r="G1" s="122"/>
      <c r="H1" s="122"/>
      <c r="I1" s="122"/>
      <c r="J1" s="122"/>
      <c r="K1" s="122"/>
      <c r="L1" s="122"/>
      <c r="M1" s="122"/>
      <c r="N1" s="123"/>
    </row>
    <row r="2" spans="1:28" ht="15.75" customHeight="1" x14ac:dyDescent="0.35">
      <c r="B2" s="124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6"/>
      <c r="Q2" s="83"/>
      <c r="S2" s="87"/>
    </row>
    <row r="3" spans="1:28" ht="15.75" customHeight="1" x14ac:dyDescent="0.35">
      <c r="B3" s="124"/>
      <c r="C3" s="125"/>
      <c r="D3" s="125"/>
      <c r="E3" s="125"/>
      <c r="F3" s="125"/>
      <c r="G3" s="125"/>
      <c r="H3" s="125"/>
      <c r="I3" s="125"/>
      <c r="J3" s="125"/>
      <c r="K3" s="125"/>
      <c r="L3" s="125"/>
      <c r="M3" s="125"/>
      <c r="N3" s="126"/>
      <c r="O3" s="82"/>
      <c r="P3" s="82"/>
      <c r="Q3" s="81"/>
      <c r="R3" s="81"/>
      <c r="S3" s="88" t="e">
        <f>N7+J14</f>
        <v>#VALUE!</v>
      </c>
      <c r="T3" s="88"/>
      <c r="U3" s="81"/>
      <c r="V3" s="81"/>
      <c r="W3" s="81"/>
      <c r="AA3" s="86">
        <f>273000/5</f>
        <v>54600</v>
      </c>
    </row>
    <row r="4" spans="1:28" ht="15.75" customHeight="1" x14ac:dyDescent="0.4">
      <c r="B4" s="127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9"/>
      <c r="O4" s="89" t="s">
        <v>0</v>
      </c>
      <c r="P4" s="89"/>
      <c r="Q4" s="90"/>
      <c r="R4" s="90"/>
      <c r="S4" s="91"/>
      <c r="T4" s="91"/>
      <c r="U4" s="90" t="s">
        <v>1</v>
      </c>
      <c r="V4" s="90" t="s">
        <v>2</v>
      </c>
      <c r="W4" s="90" t="s">
        <v>3</v>
      </c>
    </row>
    <row r="5" spans="1:28" ht="25.2" thickBot="1" x14ac:dyDescent="0.45">
      <c r="B5" s="17">
        <f ca="1">TODAY()</f>
        <v>46215</v>
      </c>
      <c r="C5" s="18" t="str">
        <f>IF(D5="MIG09","Mirage G09",IF(D5="MIG10","MirageG10",IF(D5="ATG16","Attrage G16",IF(D5="ATP16","Attrage P16",IF(D5="ATG17","Attrage G17",IF(D5="ASG48","ASX G48",IF(D5="ASG43","ASX G43", IF(D5="ASG40","ASXG40",IF(D5="ASG42","ASX G42",IF(D5="ASG44","ASX G44",IF(D5="ASG45","ASX G45",IF(D5="ECG38","Eclipse G38",IF(D5="ECG37","Eclipse G37",IF(D5="ECG40","Eclipse G40",IF(D5="ECG43","Eclipse G43",IF(D5="XPML","Xpander ML",IF(D5="XPHL","Xpander HL",IF(D5="XPMLP","Xpander ML P",IF(D5="XPMLP-01","Xpander ML P-01",IF(D5="XC","Xpander Cross", IF(D5="OTF03","Outlander F03",IF(D5="OTP03","Outlander P03",IF(D5="OTF06","Outlander F06",IF(D5="OTP06","Outlander P06",IF(D5="OTP06-01","Outlander P06-01",IF(D5="OTF08","Outlander F08",IF(D5="OTP08","Outlander P08P", IF(D5="MOP57","Montero P57",IF(D5="MOG64","Montero G64",IF(D5="MOG59","Montero G59",IF(D5="MOG59P","Montero G59 P",IF(D5="MOG61","Montero G61",IF(D5="MOP61","Montero P61")))))))))))))))))))))))))))))))))</f>
        <v>Outlander F03</v>
      </c>
      <c r="D5" s="19" t="s">
        <v>106</v>
      </c>
      <c r="E5" s="20" t="s">
        <v>47</v>
      </c>
      <c r="F5" s="21"/>
      <c r="G5" s="21"/>
      <c r="H5" s="21"/>
      <c r="I5" s="22"/>
      <c r="J5" s="23"/>
      <c r="K5" s="24">
        <v>0</v>
      </c>
      <c r="L5" s="25">
        <v>3.39E-2</v>
      </c>
      <c r="M5" s="25">
        <v>6.7799999999999999E-2</v>
      </c>
      <c r="N5" s="25">
        <v>0.1017</v>
      </c>
      <c r="O5" s="92">
        <f>K7+K14</f>
        <v>11804.593087559999</v>
      </c>
      <c r="S5" s="87"/>
      <c r="U5" s="87">
        <f>L7+L14</f>
        <v>4810.0742911433326</v>
      </c>
      <c r="V5" s="87">
        <f>M7+M14</f>
        <v>3217.63992186</v>
      </c>
      <c r="W5" s="87">
        <f>N7+N14</f>
        <v>2229.6661578099997</v>
      </c>
    </row>
    <row r="6" spans="1:28" s="5" customFormat="1" ht="128.25" customHeight="1" thickBot="1" x14ac:dyDescent="0.35">
      <c r="A6" s="4" t="s">
        <v>4</v>
      </c>
      <c r="B6" s="26" t="s">
        <v>5</v>
      </c>
      <c r="C6" s="27" t="s">
        <v>6</v>
      </c>
      <c r="D6" s="27" t="s">
        <v>48</v>
      </c>
      <c r="E6" s="27" t="s">
        <v>7</v>
      </c>
      <c r="F6" s="27" t="s">
        <v>8</v>
      </c>
      <c r="G6" s="28" t="s">
        <v>9</v>
      </c>
      <c r="H6" s="28" t="s">
        <v>49</v>
      </c>
      <c r="I6" s="28" t="s">
        <v>10</v>
      </c>
      <c r="J6" s="28" t="s">
        <v>56</v>
      </c>
      <c r="K6" s="28" t="s">
        <v>11</v>
      </c>
      <c r="L6" s="28" t="s">
        <v>12</v>
      </c>
      <c r="M6" s="28" t="s">
        <v>13</v>
      </c>
      <c r="N6" s="28" t="s">
        <v>14</v>
      </c>
      <c r="O6" s="93"/>
      <c r="P6" s="94"/>
      <c r="Q6" s="95"/>
      <c r="R6" s="95"/>
      <c r="S6" s="95"/>
      <c r="T6" s="96"/>
      <c r="U6" s="96">
        <f>N7+L14</f>
        <v>3777.9110378099995</v>
      </c>
      <c r="V6" s="96">
        <f>N7+K14</f>
        <v>9482.2257675599994</v>
      </c>
      <c r="W6" s="96"/>
      <c r="X6" s="95"/>
      <c r="Y6" s="95"/>
      <c r="Z6" s="95"/>
      <c r="AA6" s="95"/>
      <c r="AB6" s="95"/>
    </row>
    <row r="7" spans="1:28" ht="25.2" thickBot="1" x14ac:dyDescent="0.45">
      <c r="A7" s="6">
        <f>B8</f>
        <v>96900</v>
      </c>
      <c r="B7" s="29">
        <f>IF(L20="YES",C8*1,IF(L20="NO",B8*1))</f>
        <v>96900</v>
      </c>
      <c r="C7" s="29">
        <f>B7*5/100</f>
        <v>4845</v>
      </c>
      <c r="D7" s="29">
        <f>B7+C7</f>
        <v>101745</v>
      </c>
      <c r="E7" s="29">
        <f>D17</f>
        <v>14038.366</v>
      </c>
      <c r="F7" s="29">
        <f>(C7)+(D10+D11+D12+D13+D16)*5/100</f>
        <v>5180</v>
      </c>
      <c r="G7" s="30">
        <f>B7+E7+F7</f>
        <v>116118.36599999999</v>
      </c>
      <c r="H7" s="29">
        <f>G7*D20</f>
        <v>23223.673200000001</v>
      </c>
      <c r="I7" s="29">
        <f>(G7-H7)</f>
        <v>92894.69279999999</v>
      </c>
      <c r="J7" s="30">
        <f>(((I7*D19)*1)+I7)/12</f>
        <v>7933.9808875599992</v>
      </c>
      <c r="K7" s="30">
        <f>(((I7*D19)*2)+I7)/24</f>
        <v>4063.3686875599997</v>
      </c>
      <c r="L7" s="30">
        <f>(((I7*D19)*3)+I7)/36</f>
        <v>2773.164620893333</v>
      </c>
      <c r="M7" s="30">
        <f>(((I7*D19)*4)+I7)/48</f>
        <v>2128.0625875599999</v>
      </c>
      <c r="N7" s="30">
        <f>((((I7*D19)*5)+I7)/60)</f>
        <v>1741.0013675599998</v>
      </c>
      <c r="O7" s="92"/>
      <c r="P7" s="83">
        <f>H7+H16</f>
        <v>24199.067474400003</v>
      </c>
      <c r="T7" s="87">
        <f>25973/2</f>
        <v>12986.5</v>
      </c>
    </row>
    <row r="8" spans="1:28" ht="24.6" x14ac:dyDescent="0.4">
      <c r="A8" s="7">
        <v>0.2</v>
      </c>
      <c r="B8" s="31">
        <f>IF(D5="MIG09",39900,IF(D5="MIG10",40400,IF(D5="ATG16",40400,IF(D5="ATP16",49900,IF(D5="ATG17",41900,IF(D5="ASG48",63900,IF(D5="ASG43",62900,IF(D5="ASG40",63900,IF(D5="ASG42",68900,IF(D5="ASG44",89900,IF(D5="ASG45",95900,IF(D5="ECG38",73900,IF(D5="ECG37",70900,IF(D5="ECG40",86900,IF(D5="ECG43",91900,IF(D5="XPML",62900,IF(D5="XPHL",62900,IF(D5="XPMLP",69900,IF(D5="XPMLP-01",77800,IF(D5="XC",77900,IF(D5="OTF03",96900,IF(D5="OTP03",79900,IF(D5="OTF06",92900,IF(D5="OTP06",111900,IF(D5="OTP06-01",118900,IF(D5="OTF08",122900,IF(D5="OTP08",109900,IF(D5="MOP57",99900,IF(D5="MOG64",108900,IF(D5="MOG59",116900,IF(D5="MOG59P",110900,IF(D5="MOG61",127900,IF(D5="MOP61",125900)))))))))))))))))))))))))))))))))</f>
        <v>96900</v>
      </c>
      <c r="C8" s="32">
        <f>IF(L20="YES",N20,IF(L20="NO",N20))</f>
        <v>96900</v>
      </c>
      <c r="D8" s="29">
        <v>0</v>
      </c>
      <c r="E8" s="33"/>
      <c r="F8" s="139"/>
      <c r="G8" s="140"/>
      <c r="H8" s="110">
        <f>G7*20/100</f>
        <v>23223.673199999997</v>
      </c>
      <c r="I8" s="21"/>
      <c r="J8" s="34" t="s">
        <v>15</v>
      </c>
      <c r="K8" s="23">
        <f>(J7*K5+J7)/24</f>
        <v>330.58253698166664</v>
      </c>
      <c r="L8" s="23">
        <f>(J7*L5+J7)/36</f>
        <v>227.85952332356342</v>
      </c>
      <c r="M8" s="23">
        <f>(J7*M5+J7)/48</f>
        <v>176.49801649451183</v>
      </c>
      <c r="N8" s="23">
        <f>(J7*N5+J7)/60</f>
        <v>145.68111239708085</v>
      </c>
      <c r="O8" s="92"/>
      <c r="P8" s="83">
        <f>P7/12</f>
        <v>2016.5889562000002</v>
      </c>
      <c r="T8" s="86">
        <f>25973-12973</f>
        <v>13000</v>
      </c>
    </row>
    <row r="9" spans="1:28" ht="24.6" x14ac:dyDescent="0.4">
      <c r="A9" s="8">
        <f>B8/(100%-A8)</f>
        <v>121125</v>
      </c>
      <c r="B9" s="109">
        <f>B7-B8</f>
        <v>0</v>
      </c>
      <c r="C9" s="35"/>
      <c r="D9" s="36"/>
      <c r="E9" s="33"/>
      <c r="F9" s="139"/>
      <c r="G9" s="140"/>
      <c r="H9" s="33"/>
      <c r="I9" s="37" t="s">
        <v>16</v>
      </c>
      <c r="J9" s="38">
        <f>(J7*12)-(I7)</f>
        <v>2313.0778507200012</v>
      </c>
      <c r="K9" s="38">
        <f>(K7*24)-I7</f>
        <v>4626.1557014400023</v>
      </c>
      <c r="L9" s="38">
        <f>(L7*36)-I7</f>
        <v>6939.2335521600035</v>
      </c>
      <c r="M9" s="38">
        <f>(M7*48)-I7</f>
        <v>9252.3114028800046</v>
      </c>
      <c r="N9" s="38">
        <f>(N7*60)-I7</f>
        <v>11565.389253600006</v>
      </c>
      <c r="O9" s="92"/>
      <c r="T9" s="86">
        <f>T8/12</f>
        <v>1083.3333333333333</v>
      </c>
      <c r="Z9" s="86" t="s">
        <v>86</v>
      </c>
    </row>
    <row r="10" spans="1:28" ht="24.6" x14ac:dyDescent="0.4">
      <c r="A10" s="8"/>
      <c r="B10" s="37" t="s">
        <v>50</v>
      </c>
      <c r="C10" s="20" t="s">
        <v>17</v>
      </c>
      <c r="D10" s="36">
        <f>IF(C10="YES",800,IF(C10="NO",0))</f>
        <v>0</v>
      </c>
      <c r="E10" s="39"/>
      <c r="F10" s="40"/>
      <c r="G10" s="40"/>
      <c r="H10" s="33"/>
      <c r="I10" s="44" t="s">
        <v>85</v>
      </c>
      <c r="J10" s="117" t="s">
        <v>19</v>
      </c>
      <c r="K10" s="117">
        <f>IF(J10="YES",Z10,IF(J10="NO",0))</f>
        <v>1000</v>
      </c>
      <c r="L10" s="117"/>
      <c r="M10" s="117"/>
      <c r="N10" s="41">
        <f>(N8*60)-J7</f>
        <v>806.8858562648511</v>
      </c>
      <c r="O10" s="92">
        <f>IF(D5="XC",3690,IF(D5="XPML",3690,IF(D5="XPHL",3690,IF(D5="XPMLP",3690,IF(D5="XPMLP-01",3690,IF(D5="Xpander P",3690,IF(D5="MOP57",(U19*2.75/100+510)*1.05,IF(D5="MOG64",(U19*2.75/100+510)*1.05,IF(D5="MOG59",(U19*2.75/100+510)*1.05,IF(D5="MOG59P",(U19*2.75/100+510)*1.05,IF(D5="MOG61",(U19*2.75/100+510)*1.05,IF(D5="MOP61",(U19*2.75/100+510)*1.05,IF(D5="OTF03",(D7*3/100+510)*1.05,IF(D5="OTP03",(U19*3/100+510)*1.05,IF(D5="OTF06",(U19*3/100+510)*1.05,IF(D5="OTP06",(U19*3/100+510)*1.05,IF(D5="OTP06-01",(U19*3/100+510)*1.05,IF(D5="OTF08",(U19*3/100+510)*1.05,IF(D5="OTP08",(U19*3/100+510)*1.05,IF(D5="ECG38",3625,IF(D5="ECG37",3625,IF(D5="ECG40",(D7*3/100+510)*1.05,IF(D5="ECG43",(D7*3/100+510)*1.05,IF(D5="ASG48",3625,IF(D5="ASG43",3625,IF(D5="ASG40",3625,IF(D5="ASG42",3625,IF(D5="ASG44",3625,IF(D5="ASG45",3625,IF(D5="ASX HL 4WD",3625,IF(D5="ATG16",3625,IF(D5="ATG17",3625,IF(D5="ATP16",3625,IF(D5="Attrage S",3625,IF(D5="MIG09",3625,IF(D5="MIG10",3625,IF(D5="Xpander HL",3690)))))))))))))))))))))))))))))))))))))</f>
        <v>3740.4675000000002</v>
      </c>
      <c r="P10" s="97"/>
      <c r="Q10" s="97">
        <f>5.25*3</f>
        <v>15.75</v>
      </c>
      <c r="Z10" s="86">
        <f>IF(D5="MIG09",500,IF(D5="MIG10",500,IF(D5="ATG16",500,IF(D5="ATP16",500,IF(D5="ATG17",500,IF(D5="ASG48",1000,IF(D5="ASG43",1000,IF(D5="ASG40",1000,IF(D5="ASG42",1000,IF(D5="ASG44",1000,IF(D5="ASG45",1000,IF(D5="ECG38",1000,IF(D5="ECG37",1000,IF(D5="ECG40",1000,IF(D5="ECG43",1000,IF(D5="XPML",1000,IF(D5="XPHL",1000,IF(D5="XPMLP",1000,IF(D5="XPMLP-01",1000,IF(D5="XC",1000,IF(D5="OTF03",1000,IF(D5="OTP03",1000,IF(D5="OTF06",1000,IF(D5="OTP06",1000,IF(D5="OTP06-01",1000,IF(D5="OTF08",1000,IF(D5="OTP08",1000,IF(D5="MOP57",1000,IF(D5="MOG64",1000,IF(D5="MOG59",1000,IF(D5="MOG59P",1000,IF(D5="MOG61",1000,IF(D5="MOP61",1000)))))))))))))))))))))))))))))))))</f>
        <v>1000</v>
      </c>
    </row>
    <row r="11" spans="1:28" ht="24.6" x14ac:dyDescent="0.4">
      <c r="A11" s="8"/>
      <c r="B11" s="37" t="s">
        <v>18</v>
      </c>
      <c r="C11" s="20" t="s">
        <v>17</v>
      </c>
      <c r="D11" s="36">
        <f>IF(C11="YES",O17,IF(C11="NO",0))</f>
        <v>0</v>
      </c>
      <c r="E11" s="33"/>
      <c r="F11" s="40"/>
      <c r="G11" s="40"/>
      <c r="H11" s="33"/>
      <c r="I11" s="21"/>
      <c r="J11" s="44" t="s">
        <v>76</v>
      </c>
      <c r="K11" s="44">
        <f>H8-K10</f>
        <v>22223.673199999997</v>
      </c>
      <c r="L11" s="37"/>
      <c r="M11" s="37"/>
      <c r="N11" s="42"/>
      <c r="O11" s="92">
        <f>IF(D5="XC",6100,IF(D5="XPML",6100,IF(D5="XPHL",6100,IF(D5="XPMLP",6100,IF(D5="XPMLP-01",6100,IF(D5="Xpander P",6100,IF(D5="MOP57",5900,IF(D5="MOG64",5900,IF(D5="MOG59",5900,IF(D5="MOG59P",5900,IF(D5="MOG61",5900,IF(D5="MOP61",5900,IF(D5="OTF03",6700,IF(D5="OTP03",6700,IF(D5="OTF06",6700,IF(D5="OTP06",6700,IF(D5="OTP06-01",6700,IF(D5="OTF08",6700,IF(D5="OTP08",6700,IF(D5="ECG37",6400,IF(D5="ECG38",6400,IF(D5="ECG40",6400,IF(D5="ECG43",6400,IF(D5="ASG48",6600,IF(D5="ASG43",6600,IF(D5="ASG40",6600,IF(D5="ASG42",6600,IF(D5="ASG44",6600,IF(D5="ASG45",6600,IF(D5="ASX HL 4WD",6600,IF(D5="ATG16",5400,IF(D5="ATG17",5400,IF(D5="ATP16",5400,IF(D5="Attrage S",5400,IF(D5="MIG09",5400,IF(D5="MIG10",5400,IF(D5="Xpander HL",6000)))))))))))))))))))))))))))))))))))))</f>
        <v>6700</v>
      </c>
      <c r="P11" s="92"/>
      <c r="Q11" s="92"/>
      <c r="R11" s="92"/>
      <c r="S11" s="92"/>
      <c r="T11" s="92"/>
      <c r="U11" s="92">
        <f>IF(D5="XC",4900,IF(D5="XPML",4900,IF(D5="XPHL",4900,IF(D5="XPMLP",4900,IF(D5="XPMLP-01",4900,IF(D5="Xpander P",4900,IF(D5="MOP57",4600,IF(D5="MOG64",4600,IF(D5="MOG59",4600,IF(D5="MOG59P",4600,IF(D5="MOG61",4600,IF(D5="MOP61",4600,IF(D5="OTF03",5500,IF(D5="OTP03",5500,IF(D5="OTF06",5500,IF(D5="OTP06",5500,IF(D5="OTP06-01",5500,IF(D5="OTF08",5500,IF(D5="OTP08",5500,IF(D5="ECG38",5200,IF(D5="ECG37",5200,IF(D5="ECG40",5200,IF(D5="ECG43",5200,IF(D5="ASG48",5300,IF(D5="ASG43",5300,IF(D5="ASG40",5300,IF(D5="ASG42",5300,IF(D5="ASG44",5300,IF(D5="ASG45",5300,IF(D5="ASX HL",5300,IF(D5="ASX P",5300,IF(D5="ASX HL 4WD",5300,IF(D5="ATG16",4200,IF(D5="ATG17",4200,IF(D5="ATP16",4200,IF(D5="Attrage S",4200,IF(D5="MIG09",4200,IF(D5="MIG10",4200,IF(D5="Xpander HL",4900)))))))))))))))))))))))))))))))))))))))</f>
        <v>5500</v>
      </c>
      <c r="V11" s="92">
        <f>IF(D5="XC",9700,IF(D5="XPML",9700,IF(D5="XPHL",9700,IF(D5="XPMLP",9700,IF(D5="XPMLP-01",9700,IF(D5="XPMLP-01",9700,IF(D5="Xpander P",9700,IF(D5="MOP57",9300,IF(D5="MG64",9300,IF(D5="MOG59",9300,IF(D5="MOG59P",9300,IF(D5="MOG61",9300,IF(D5="MOP61",9300,IF(D5="OTF03",11000,IF(D5="OTP03",11000,IF(D5="OTF06",11000,IF(D5="OTP06",11000,IF(D5="OTP06-01",11000,IF(D5="OTF08",11000,IF(D5="OTP08",11000,IF(D5="ECG38",10400,IF(D5="ECG37",10400,IF(D5="ECG40",10400,IF(D5="ECG43",10400,IF(D5="ASG48",10700,IF(D5="ASG43",10700,IF(D5="ASG40",10700,IF(D5="ASG42",10700,IF(D5="ASG44",10800,IF(D5="ASG45",10800,IF(D5="ASX HL",12200,IF(D5="ASX P",12200,IF(D5="ASX HL 4WD",12200,IF(D5="ATG16",8500,IF(D5="ATG17",8500,IF(D5="ATP16",8500,IF(D5="Attrage S",9600,IF(D5="MIG09",8500,IF(D5="MIG10",8500,IF(D5="Xpander HL",11300))))))))))))))))))))))))))))))))))))))))</f>
        <v>11000</v>
      </c>
      <c r="W11" s="92">
        <f>IF(D5="XC",9200,IF(D5="XPML",9200,IF(D5="XPHL",9200,IF(D5="XPMLP",9200,IF(D5="XPMLP-01",9200,IF(D5="Xpander P",9200,IF(D5="MOP57",8700,IF(D5="MOG64",8700,IF(D5="MOG59",8700,IF(D5="MOG59P",8700,IF(D5="MOG61",8700,IF(D5="MOP61",8700,IF(D5="OTF03",10400,IF(D5="OTP03",10400,IF(D5="OTF06",10400,IF(D5="OTP06",10400,IF(D5="OTP06-01",10400,IF(D5="OTF08",10400,IF(D5="OTP08",10400,IF(D5="ECG38",9800,IF(D5="ECG37",9800,IF(D5="ECG40",9800,IF(D5="ECG43",9800,IF(D5="ASG48",10100,IF(D5="ASG43",10100,IF(D5="ASG40",10100,IF(D5="ASG42",10100,IF(D5="ASG44",10100,IF(D5="ASG45",10100,IF(D5="ASX HL",10100,IF(D5="ASX P",10100,IF(D5="ASX HL 4WD",10100,IF(D5="ATG16",7900,IF(D5="ATG17",7900,IF(D5="ATP16",7900,IF(D5="Attrage S",7900,IF(D5="MIG09",7900,IF(D5="MIG10",7900,IF(D5="Xpander HL",9200)))))))))))))))))))))))))))))))))))))))</f>
        <v>10400</v>
      </c>
      <c r="X11" s="92">
        <f>IF(D5="XC",4500,IF(D5="XPML",4500,IF(D5="XPHL",4500,IF(D5="XPMLP",4500,IF(D5="XPMLP-01",4500,IF(D5="Xpander P",4500,IF(D5="MOP57",4300,IF(D5="MOG64",4300,IF(D5="MOG59",4300,IF(D5="MOG59P",4300,IF(D5="MOG61",4300,IF(D5="MOP61",4300,IF(D5="OTF03",5000,IF(D5="OTP03",5000,IF(D5="OTF06",5000,IF(D5="OTP06",5000,IF(D5="OTP06-01",5000,IF(D5="OTF08",5000,IF(D5="OTP08",5000,IF(D5="ECG38",4900,IF(D5="ECG37",4900,IF(D5="ECG40",4900,IF(D5="ECG43",4900,IF(D5="ASG48",4900,IF(D5="ASG43",4900,IF(D5="ASG40",4900,IF(D5="ASG42",4900,IF(D5="ASG44",4900,IF(D5="ASG45",4900,IF(D5="ASX HL",4900,IF(D5="ASX P",4900,IF(D5="ASX HL 4WD",4900,IF(D5="ATG16",3700,IF(D5="ATG17",3700,IF(D5="ATP16",3700,IF(D5="Attrage S",3700,IF(D5="MIG09",3700,IF(D5="MIG10",3700,IF(D5="Xpander HL",4500)))))))))))))))))))))))))))))))))))))))</f>
        <v>5000</v>
      </c>
      <c r="Y11" s="92">
        <f>IF(D5="XC",5400,IF(D5="XPML ",5400,IF(D5="XPHL",5400,IF(D5="XPMLP",5400,IF(D5="XPMLP-01",5400,IF(D5="Xpander P",5400,IF(D5="MOP57",5200,IF(D5="MOG64",5200,IF(D5="MOG59",5200,IF(D5="MOG59P",5200,IF(D5="MOG61",5200,IF(D5="MOP61",5200,IF(D5="OTF03",6000,IF(D5="OTP03",6000,IF(D5="OTF06",6000,IF(D5="OTP06",6000,IF(D5="OTP06-01",6000,IF(D5="OTF08",6000,IF(D5="OTP08",6000,IF(D5="ECG38",5700,IF(D5="ECG37",5700,IF(D5="ECG40",5700,IF(D5="ECG43",5700,IF(D5="ASG48",5900,IF(D5="ASG43",5900,IF(D5="ASG40",5900,IF(D5="ASG42",5900,IF(D5="ASG44",5900,IF(D5="ASG45",5900,IF(D5="ASX HL",5900,IF(D5="ASX P",5900,IF(D5="ASX HL 4WD",5900,IF(D5="ATG16",4500,IF(D5="ATG17",4500,IF(D5="ATP16",4500,IF(D5="Attrage S",4500,IF(D5="MIG09",4500,IF(D5="MIG10",4500,IF(D5="Xpander HL",5400)))))))))))))))))))))))))))))))))))))))</f>
        <v>6000</v>
      </c>
    </row>
    <row r="12" spans="1:28" ht="24.75" customHeight="1" x14ac:dyDescent="0.4">
      <c r="A12" s="8"/>
      <c r="B12" s="37" t="s">
        <v>20</v>
      </c>
      <c r="C12" s="20" t="s">
        <v>17</v>
      </c>
      <c r="D12" s="36">
        <f>IF(C12="YES",2000,IF(C12="NO",0))</f>
        <v>0</v>
      </c>
      <c r="E12" s="43"/>
      <c r="F12" s="43" t="s">
        <v>21</v>
      </c>
      <c r="G12" s="40"/>
      <c r="H12" s="33">
        <v>600</v>
      </c>
      <c r="I12" s="21"/>
      <c r="J12" s="44" t="s">
        <v>22</v>
      </c>
      <c r="K12" s="45">
        <v>0</v>
      </c>
      <c r="L12" s="45">
        <v>5.2499999999999998E-2</v>
      </c>
      <c r="M12" s="45">
        <v>0.126</v>
      </c>
      <c r="N12" s="46">
        <v>0.26250000000000001</v>
      </c>
      <c r="O12" s="92">
        <f>IF(K20="Esaad",B8*3/100,IF(K20="Emirates Platinum",B8*3/100,IF(K20="Fazaa",B8*3/100,IF(K20="Humat Alwatan",B8*3/100,IF(K20="Permissible",2000,IF(K20="ASX",8400,IF(K20="XPMLP",4000,IF(K20="XP",14100,IF(K20="G43",11000,IF(K20="EC",7000,IF(K20="G37",14000,IF(K20="G38",15000,IF(K20="G40",11000,IF(K20="OUT",9600,IF(K20="F08",15400,IF(K20="P08",11100,IF(K20="F06",14100,IF(K20="P06",17100,IF(K20="F03",17000,IF(K20="P03",19100,IF(K20="MON",10000,IF(K20="MON G57",10000,0))))))))))))))))))))))</f>
        <v>2000</v>
      </c>
      <c r="P12" s="92"/>
      <c r="Q12" s="92"/>
      <c r="R12" s="92"/>
      <c r="S12" s="92"/>
      <c r="T12" s="92"/>
      <c r="U12" s="92"/>
      <c r="V12" s="92"/>
      <c r="W12" s="92"/>
      <c r="X12" s="92"/>
      <c r="Y12" s="92"/>
      <c r="Z12" s="86" t="s">
        <v>83</v>
      </c>
      <c r="AA12" s="86" t="s">
        <v>84</v>
      </c>
    </row>
    <row r="13" spans="1:28" ht="24.6" x14ac:dyDescent="0.4">
      <c r="A13" s="8">
        <f>B8*1.26582</f>
        <v>122657.958</v>
      </c>
      <c r="B13" s="37" t="s">
        <v>23</v>
      </c>
      <c r="C13" s="20" t="s">
        <v>17</v>
      </c>
      <c r="D13" s="36">
        <f>IF(C13="YES",2000,IF(C13="NO",0))</f>
        <v>0</v>
      </c>
      <c r="E13" s="47"/>
      <c r="F13" s="47" t="s">
        <v>75</v>
      </c>
      <c r="G13" s="40"/>
      <c r="H13" s="33">
        <v>315</v>
      </c>
      <c r="I13" s="21"/>
      <c r="J13" s="44" t="s">
        <v>54</v>
      </c>
      <c r="K13" s="29" t="s">
        <v>79</v>
      </c>
      <c r="L13" s="29" t="s">
        <v>25</v>
      </c>
      <c r="M13" s="29" t="s">
        <v>0</v>
      </c>
      <c r="N13" s="49" t="s">
        <v>26</v>
      </c>
      <c r="O13" s="98">
        <f>IF(M21="3000-4999",6%,IF(M21="5000-9999",4.75%,IF(M21="10000-14999",3.15%,IF(M21="15000-24999",2.5%,IF(M21="25000-34999",2.25%,IF(M21="35000-99999",2.25%))))))</f>
        <v>4.7500000000000001E-2</v>
      </c>
      <c r="Q13" s="83">
        <f>H7/12</f>
        <v>1935.3061</v>
      </c>
      <c r="U13" s="9">
        <f>IF(M21="3000-4999",6%,IF(M21="5000-9999",3.25%,IF(M21="10000-14999",3%,IF(M21="15000-24999",2.25%,IF(M21="25000-34999",2.15%,IF(M21="35000-99999",1.99%))))))</f>
        <v>3.2500000000000001E-2</v>
      </c>
      <c r="Z13" s="99">
        <f>IF(M21="5000-9999",2.49%,IF(M21="10000-19999",2.19%,IF(M21="20000-34999",2.09%,IF(M21="35000-49999",1.89%,IF(M21="50000-99999",1.79%)))))</f>
        <v>2.4900000000000002E-2</v>
      </c>
      <c r="AA13" s="99">
        <f>IF(M21="5000-9999",2.59%,IF(M21="10000-19999",2.29%,IF(M21="20000-34999",2.19%,IF(M21="35000-49999",1.99%,IF(M21="50000-99999",1.89%)))))</f>
        <v>2.5899999999999999E-2</v>
      </c>
    </row>
    <row r="14" spans="1:28" ht="24.6" x14ac:dyDescent="0.4">
      <c r="A14" s="10" t="s">
        <v>27</v>
      </c>
      <c r="B14" s="37" t="s">
        <v>24</v>
      </c>
      <c r="C14" s="20" t="s">
        <v>19</v>
      </c>
      <c r="D14" s="50">
        <f>IF(C14="YES",U19*3.15*1.05/100,IF(C14="NO",U19*0/100))</f>
        <v>3597.8985000000002</v>
      </c>
      <c r="E14" s="48"/>
      <c r="F14" s="48" t="s">
        <v>24</v>
      </c>
      <c r="G14" s="51" t="s">
        <v>17</v>
      </c>
      <c r="H14" s="39">
        <f>IF(G14="YES",U19*3.15*1.05/100,IF(G14="NO",U19*0/100))</f>
        <v>0</v>
      </c>
      <c r="I14" s="21"/>
      <c r="J14" s="44" t="s">
        <v>55</v>
      </c>
      <c r="K14" s="44">
        <f>(H8*K12+H8)/3</f>
        <v>7741.2243999999992</v>
      </c>
      <c r="L14" s="44">
        <f>(H8*L12+H8)/12</f>
        <v>2036.9096702499999</v>
      </c>
      <c r="M14" s="44">
        <f>(H8*M12+H8)/24</f>
        <v>1089.5773342999998</v>
      </c>
      <c r="N14" s="52">
        <f>(H7*N12+H7)/60</f>
        <v>488.66479025000001</v>
      </c>
      <c r="O14" s="98">
        <f>IF(M21="3000-4999",3.89%,IF(M21="5000-9999",3.89%,IF(M21="10000-14999",3.89%,IF(M21="15000-24999",2.69%,IF(M21="25000-34999",2.69%,IF(M21="35000-99999",2.39%,IF(M21="76000-99999",2.19%)))))))</f>
        <v>3.8900000000000004E-2</v>
      </c>
    </row>
    <row r="15" spans="1:28" ht="24.6" x14ac:dyDescent="0.4">
      <c r="A15" s="11">
        <f>(B7*3%)+10+120</f>
        <v>3037</v>
      </c>
      <c r="B15" s="37" t="s">
        <v>28</v>
      </c>
      <c r="C15" s="20" t="s">
        <v>19</v>
      </c>
      <c r="D15" s="29">
        <f>IF(C15="YES",O10,IF(C15="NO",0))</f>
        <v>3740.4675000000002</v>
      </c>
      <c r="E15" s="48"/>
      <c r="F15" s="48" t="s">
        <v>53</v>
      </c>
      <c r="G15" s="51" t="s">
        <v>17</v>
      </c>
      <c r="H15" s="39">
        <f>IF(G15="YES",O10,IF(G15="NO",0))</f>
        <v>0</v>
      </c>
      <c r="I15" s="21"/>
      <c r="J15" s="44"/>
      <c r="K15" s="44"/>
      <c r="L15" s="44"/>
      <c r="M15" s="44"/>
      <c r="N15" s="53"/>
      <c r="O15" s="98" t="b">
        <f>IF(M21="3000-4999",4.99%, IF(M21="5000-11999",2.75%,IF(M21="12000-19999",2.75%,IF(M21="20000-39999",2.25%,IF(M21="40000-69999",2.39%,IF(M21="70000-99999",2.25%))))))</f>
        <v>0</v>
      </c>
      <c r="P15" s="99"/>
    </row>
    <row r="16" spans="1:28" ht="24.6" x14ac:dyDescent="0.4">
      <c r="A16" s="11">
        <f>((B7-B8)*3%+10+120)</f>
        <v>130</v>
      </c>
      <c r="B16" s="37" t="s">
        <v>78</v>
      </c>
      <c r="C16" s="20" t="s">
        <v>19</v>
      </c>
      <c r="D16" s="29">
        <f>IF(C16="YES",O16,IF(C16="NO",0))</f>
        <v>6700</v>
      </c>
      <c r="E16" s="47"/>
      <c r="F16" s="47" t="s">
        <v>74</v>
      </c>
      <c r="G16" s="54"/>
      <c r="H16" s="33">
        <f>I7*1.05%</f>
        <v>975.39427439999997</v>
      </c>
      <c r="I16" s="21"/>
      <c r="J16" s="44" t="s">
        <v>16</v>
      </c>
      <c r="K16" s="44">
        <f>(K14*3)-H8</f>
        <v>0</v>
      </c>
      <c r="L16" s="44">
        <f>(L14*12)-H8</f>
        <v>1219.242843</v>
      </c>
      <c r="M16" s="44">
        <f>(M14*24)-H8</f>
        <v>2926.1828231999971</v>
      </c>
      <c r="N16" s="53"/>
      <c r="O16" s="92">
        <f>IF(B16="RMC-10-70KMS",O11,IF(B16="RMC-10-100000KMS",V11,IF(B16="RMC-40-70KMS",U11, IF(B16="RMC-10-40KMS",X11, IF(B16="RMC-10-60KMS",Y11, IF(B16="RMC-40-100000KMS",W11,0))))))</f>
        <v>6700</v>
      </c>
    </row>
    <row r="17" spans="1:28" ht="24.6" x14ac:dyDescent="0.4">
      <c r="A17" s="11">
        <f>A15+A16</f>
        <v>3167</v>
      </c>
      <c r="B17" s="37"/>
      <c r="C17" s="20"/>
      <c r="D17" s="29">
        <f>SUM(D10:D16)</f>
        <v>14038.366</v>
      </c>
      <c r="E17" s="33"/>
      <c r="F17" s="33"/>
      <c r="G17" s="33"/>
      <c r="H17" s="33">
        <f>H7+H12+H15+H16</f>
        <v>24799.067474400003</v>
      </c>
      <c r="I17" s="33"/>
      <c r="J17" s="22"/>
      <c r="K17" s="53"/>
      <c r="L17" s="53"/>
      <c r="M17" s="53"/>
      <c r="N17" s="53"/>
      <c r="O17" s="92">
        <f>IF(B11="FO Ceramic+ Intr&amp;Extr CeramicGold WdwTnt",2700,IF(B11="FO Mirror Camera Sensor",2000))</f>
        <v>2700</v>
      </c>
      <c r="T17" s="86">
        <f>19615-791</f>
        <v>18824</v>
      </c>
    </row>
    <row r="18" spans="1:28" ht="24.6" x14ac:dyDescent="0.4">
      <c r="A18" s="12" t="s">
        <v>29</v>
      </c>
      <c r="B18" s="55" t="s">
        <v>30</v>
      </c>
      <c r="C18" s="56"/>
      <c r="D18" s="57">
        <v>0</v>
      </c>
      <c r="E18" s="38"/>
      <c r="F18" s="22"/>
      <c r="G18" s="22"/>
      <c r="H18" s="21"/>
      <c r="I18" s="21"/>
      <c r="J18" s="21"/>
      <c r="K18" s="21"/>
      <c r="L18" s="21"/>
      <c r="M18" s="21"/>
      <c r="N18" s="21"/>
      <c r="O18" s="92"/>
      <c r="U18" s="100" t="s">
        <v>52</v>
      </c>
      <c r="V18" s="100" t="s">
        <v>52</v>
      </c>
    </row>
    <row r="19" spans="1:28" ht="24.6" x14ac:dyDescent="0.4">
      <c r="A19" s="11">
        <f>B8*3.15%</f>
        <v>3052.35</v>
      </c>
      <c r="B19" s="58" t="s">
        <v>31</v>
      </c>
      <c r="C19" s="59"/>
      <c r="D19" s="60">
        <f>IF(K21="DIB EXPAT",O13,IF(K21="DIB LOCAL GVH",U13,IF(K21="Emirates NBD",O14,IF(K21="ADCB",O15,IF(K21="ADCB PAY IN 2027",O19,IF(K21="Ajman Bank",O18,IF(K21="SIB STL",Z13,IF(K21="SIB NON STL",AA13,))))))))</f>
        <v>2.4900000000000002E-2</v>
      </c>
      <c r="E19" s="22"/>
      <c r="F19" s="61"/>
      <c r="G19" s="141" t="s">
        <v>73</v>
      </c>
      <c r="H19" s="142"/>
      <c r="I19" s="143"/>
      <c r="J19" s="109">
        <f>H7/365</f>
        <v>63.62650191780822</v>
      </c>
      <c r="K19" s="21"/>
      <c r="L19" s="21"/>
      <c r="M19" s="21"/>
      <c r="N19" s="23">
        <f>D7</f>
        <v>101745</v>
      </c>
      <c r="O19" s="98" t="b">
        <f>IF(M21="5000-11999",3.35%,IF(M21="12000-19999",3.35%,IF(M21="20000-39999",2.85%,IF(M21="40000-69999",2.85%,IF(M21="70000-99999",2.85%)))))</f>
        <v>0</v>
      </c>
      <c r="P19" s="83">
        <f>81400-2500</f>
        <v>78900</v>
      </c>
      <c r="U19" s="101">
        <f>V19</f>
        <v>108780</v>
      </c>
      <c r="V19" s="102">
        <f>(B7+D10+D11+D12+D13+D16)*1.05</f>
        <v>108780</v>
      </c>
      <c r="X19" s="87">
        <f>G7*3.15*1.05/100</f>
        <v>3840.6149554500003</v>
      </c>
      <c r="Y19" s="87">
        <f>G7*3/100+510*1.05</f>
        <v>4019.05098</v>
      </c>
      <c r="Z19" s="87">
        <f>Y19+X19</f>
        <v>7859.6659354500007</v>
      </c>
      <c r="AA19" s="87">
        <f>(Z19)-(D14+D15)</f>
        <v>521.2999354500007</v>
      </c>
      <c r="AB19" s="87">
        <f>AA19*1.25</f>
        <v>651.62491931250088</v>
      </c>
    </row>
    <row r="20" spans="1:28" ht="24.6" x14ac:dyDescent="0.4">
      <c r="A20" s="11"/>
      <c r="B20" s="58" t="s">
        <v>32</v>
      </c>
      <c r="C20" s="62"/>
      <c r="D20" s="63">
        <v>0.2</v>
      </c>
      <c r="E20" s="21"/>
      <c r="F20" s="21"/>
      <c r="G20" s="42"/>
      <c r="H20" s="42"/>
      <c r="I20" s="42"/>
      <c r="J20" s="103"/>
      <c r="K20" s="104" t="s">
        <v>33</v>
      </c>
      <c r="L20" s="104" t="s">
        <v>17</v>
      </c>
      <c r="M20" s="104">
        <f>IF(L20="YES",O12,IF(L20="NO",0))</f>
        <v>0</v>
      </c>
      <c r="N20" s="23">
        <f>B8-M20</f>
        <v>96900</v>
      </c>
      <c r="O20" s="92"/>
      <c r="P20" s="99"/>
      <c r="T20" s="86">
        <f>1992+1084</f>
        <v>3076</v>
      </c>
      <c r="V20" s="83"/>
      <c r="X20" s="87">
        <f>X19-D14</f>
        <v>242.71645545000001</v>
      </c>
      <c r="Y20" s="87">
        <f>Y19-D15</f>
        <v>278.58347999999978</v>
      </c>
      <c r="AA20" s="87">
        <f>X20+Y20</f>
        <v>521.29993544999979</v>
      </c>
    </row>
    <row r="21" spans="1:28" ht="24.6" x14ac:dyDescent="0.4">
      <c r="A21" s="13">
        <f>A19+A20</f>
        <v>3052.35</v>
      </c>
      <c r="B21" s="21"/>
      <c r="C21" s="22"/>
      <c r="D21" s="21"/>
      <c r="E21" s="21"/>
      <c r="F21" s="21"/>
      <c r="G21" s="21"/>
      <c r="H21" s="21"/>
      <c r="I21" s="21"/>
      <c r="J21" s="37" t="s">
        <v>34</v>
      </c>
      <c r="K21" s="16" t="s">
        <v>83</v>
      </c>
      <c r="L21" s="105" t="s">
        <v>35</v>
      </c>
      <c r="M21" s="106" t="s">
        <v>80</v>
      </c>
      <c r="N21" s="111"/>
      <c r="O21" s="92"/>
      <c r="T21" s="86">
        <f>25973-12973</f>
        <v>13000</v>
      </c>
    </row>
    <row r="22" spans="1:28" ht="24.6" x14ac:dyDescent="0.4">
      <c r="A22" s="13"/>
      <c r="B22" s="130" t="s">
        <v>51</v>
      </c>
      <c r="C22" s="131"/>
      <c r="D22" s="131"/>
      <c r="E22" s="131"/>
      <c r="F22" s="131"/>
      <c r="G22" s="131"/>
      <c r="H22" s="131"/>
      <c r="I22" s="131"/>
      <c r="J22" s="131"/>
      <c r="K22" s="131"/>
      <c r="L22" s="131"/>
      <c r="M22" s="131"/>
      <c r="N22" s="132"/>
      <c r="O22" s="92"/>
    </row>
    <row r="23" spans="1:28" ht="25.2" x14ac:dyDescent="0.45">
      <c r="A23" s="14" t="s">
        <v>36</v>
      </c>
      <c r="B23" s="64" t="s">
        <v>57</v>
      </c>
      <c r="C23" s="65"/>
      <c r="D23" s="65"/>
      <c r="E23" s="65"/>
      <c r="F23" s="65"/>
      <c r="G23" s="65"/>
      <c r="H23" s="66"/>
      <c r="I23" s="66"/>
      <c r="J23" s="65"/>
      <c r="K23" s="65"/>
      <c r="L23" s="65"/>
      <c r="M23" s="65"/>
      <c r="N23" s="67"/>
      <c r="O23" s="92">
        <f>N7+K14</f>
        <v>9482.2257675599994</v>
      </c>
    </row>
    <row r="24" spans="1:28" ht="25.2" x14ac:dyDescent="0.45">
      <c r="A24" s="14" t="s">
        <v>36</v>
      </c>
      <c r="B24" s="64" t="s">
        <v>58</v>
      </c>
      <c r="C24" s="65"/>
      <c r="D24" s="65"/>
      <c r="E24" s="65"/>
      <c r="F24" s="65"/>
      <c r="G24" s="65"/>
      <c r="H24" s="85">
        <f>H7/365</f>
        <v>63.62650191780822</v>
      </c>
      <c r="I24" s="85">
        <f>H7/365</f>
        <v>63.62650191780822</v>
      </c>
      <c r="J24" s="65"/>
      <c r="K24" s="65"/>
      <c r="L24" s="65"/>
      <c r="M24" s="65"/>
      <c r="N24" s="68"/>
      <c r="O24" s="92"/>
      <c r="P24" s="83">
        <f>1232+480</f>
        <v>1712</v>
      </c>
      <c r="T24" s="86">
        <f>88704/1.05</f>
        <v>84480</v>
      </c>
    </row>
    <row r="25" spans="1:28" ht="25.2" x14ac:dyDescent="0.45">
      <c r="A25" s="14" t="s">
        <v>36</v>
      </c>
      <c r="B25" s="64" t="s">
        <v>59</v>
      </c>
      <c r="C25" s="65"/>
      <c r="D25" s="65"/>
      <c r="E25" s="65"/>
      <c r="F25" s="65"/>
      <c r="G25" s="65"/>
      <c r="H25" s="66"/>
      <c r="I25" s="85">
        <f>I24*365*3</f>
        <v>69671.0196</v>
      </c>
      <c r="J25" s="65"/>
      <c r="K25" s="65"/>
      <c r="L25" s="65"/>
      <c r="M25" s="65"/>
      <c r="N25" s="68"/>
      <c r="O25" s="92"/>
      <c r="Q25" s="86">
        <f>79400-5233.33</f>
        <v>74166.67</v>
      </c>
      <c r="R25" s="86">
        <f>Q25*1.05</f>
        <v>77875.003500000006</v>
      </c>
    </row>
    <row r="26" spans="1:28" ht="25.2" x14ac:dyDescent="0.45">
      <c r="A26" s="14" t="s">
        <v>36</v>
      </c>
      <c r="B26" s="64" t="s">
        <v>60</v>
      </c>
      <c r="C26" s="65"/>
      <c r="D26" s="65"/>
      <c r="E26" s="65"/>
      <c r="F26" s="65"/>
      <c r="G26" s="65"/>
      <c r="H26" s="65"/>
      <c r="I26" s="65"/>
      <c r="J26" s="65"/>
      <c r="K26" s="65"/>
      <c r="L26" s="65"/>
      <c r="M26" s="65"/>
      <c r="N26" s="68"/>
      <c r="O26" s="92" t="s">
        <v>37</v>
      </c>
      <c r="R26" s="86">
        <f>R25+2469</f>
        <v>80344.003500000006</v>
      </c>
    </row>
    <row r="27" spans="1:28" ht="25.2" x14ac:dyDescent="0.45">
      <c r="A27" s="14" t="s">
        <v>36</v>
      </c>
      <c r="B27" s="64" t="s">
        <v>61</v>
      </c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8"/>
      <c r="O27" s="92">
        <f>129500-110900</f>
        <v>18600</v>
      </c>
    </row>
    <row r="28" spans="1:28" ht="25.2" x14ac:dyDescent="0.45">
      <c r="B28" s="64" t="s">
        <v>62</v>
      </c>
      <c r="C28" s="65"/>
      <c r="D28" s="65"/>
      <c r="E28" s="65"/>
      <c r="F28" s="65"/>
      <c r="G28" s="65"/>
      <c r="H28" s="65"/>
      <c r="I28" s="65"/>
      <c r="J28" s="65"/>
      <c r="K28" s="65"/>
      <c r="L28" s="65"/>
      <c r="M28" s="65"/>
      <c r="N28" s="68"/>
      <c r="O28" s="92"/>
    </row>
    <row r="29" spans="1:28" ht="25.2" x14ac:dyDescent="0.45">
      <c r="B29" s="64" t="s">
        <v>63</v>
      </c>
      <c r="C29" s="65"/>
      <c r="D29" s="65"/>
      <c r="E29" s="65"/>
      <c r="F29" s="65"/>
      <c r="G29" s="65"/>
      <c r="H29" s="65"/>
      <c r="I29" s="65"/>
      <c r="J29" s="65"/>
      <c r="K29" s="65"/>
      <c r="L29" s="65"/>
      <c r="M29" s="65"/>
      <c r="N29" s="69"/>
      <c r="O29" s="92"/>
    </row>
    <row r="30" spans="1:28" ht="24.6" x14ac:dyDescent="0.4">
      <c r="B30" s="133" t="s">
        <v>38</v>
      </c>
      <c r="C30" s="134"/>
      <c r="D30" s="134"/>
      <c r="E30" s="134"/>
      <c r="F30" s="134"/>
      <c r="G30" s="134"/>
      <c r="H30" s="134"/>
      <c r="I30" s="134"/>
      <c r="J30" s="134"/>
      <c r="K30" s="134"/>
      <c r="L30" s="134"/>
      <c r="M30" s="134"/>
      <c r="N30" s="135"/>
      <c r="O30" s="92"/>
    </row>
    <row r="31" spans="1:28" ht="24.6" x14ac:dyDescent="0.4">
      <c r="B31" s="136"/>
      <c r="C31" s="137"/>
      <c r="D31" s="137"/>
      <c r="E31" s="137"/>
      <c r="F31" s="137"/>
      <c r="G31" s="137"/>
      <c r="H31" s="137"/>
      <c r="I31" s="137"/>
      <c r="J31" s="137"/>
      <c r="K31" s="137"/>
      <c r="L31" s="137"/>
      <c r="M31" s="137"/>
      <c r="N31" s="138"/>
      <c r="O31" s="92"/>
    </row>
    <row r="32" spans="1:28" ht="24.6" x14ac:dyDescent="0.4">
      <c r="B32" s="136" t="s">
        <v>39</v>
      </c>
      <c r="C32" s="137"/>
      <c r="D32" s="137"/>
      <c r="E32" s="137"/>
      <c r="F32" s="137"/>
      <c r="G32" s="137"/>
      <c r="H32" s="137"/>
      <c r="I32" s="137"/>
      <c r="J32" s="137"/>
      <c r="K32" s="137"/>
      <c r="L32" s="137"/>
      <c r="M32" s="137"/>
      <c r="N32" s="138"/>
      <c r="O32" s="92"/>
    </row>
    <row r="33" spans="2:16" ht="24.6" x14ac:dyDescent="0.4">
      <c r="B33" s="136" t="s">
        <v>40</v>
      </c>
      <c r="C33" s="137"/>
      <c r="D33" s="137"/>
      <c r="E33" s="137"/>
      <c r="F33" s="137"/>
      <c r="G33" s="137"/>
      <c r="H33" s="137"/>
      <c r="I33" s="137"/>
      <c r="J33" s="137"/>
      <c r="K33" s="137"/>
      <c r="L33" s="137"/>
      <c r="M33" s="137"/>
      <c r="N33" s="138"/>
      <c r="O33" s="92"/>
    </row>
    <row r="34" spans="2:16" s="112" customFormat="1" ht="24.6" x14ac:dyDescent="0.4">
      <c r="B34" s="107" t="s">
        <v>81</v>
      </c>
      <c r="C34" s="108"/>
      <c r="D34" s="108"/>
      <c r="E34" s="108"/>
      <c r="F34" s="108"/>
      <c r="G34" s="113"/>
      <c r="H34" s="113"/>
      <c r="I34" s="108"/>
      <c r="J34" s="108"/>
      <c r="K34" s="108"/>
      <c r="L34" s="108"/>
      <c r="M34" s="114" t="s">
        <v>82</v>
      </c>
      <c r="N34" s="116" t="b">
        <f>IF(M34="ALAA",507963328, IF(M34="BACHIR",525246969,IF(M34="JIHAN",566201266, IF(M34="RAMY",505277871, IF(M34="SIMON",505140337,IF(M34="SUJITH",551079817, IF(M34="PRAVEEN",506367792,IF(M34="MHAREN",529224059, IF(M34="MOSSALLEM",505185577,IF(M34="RANJITH",554989288, IF(M34="KHALED",552319494)))))))))))</f>
        <v>0</v>
      </c>
      <c r="O34" s="115"/>
      <c r="P34" s="115"/>
    </row>
    <row r="35" spans="2:16" x14ac:dyDescent="0.35">
      <c r="B35" s="70"/>
      <c r="C35" s="71"/>
      <c r="D35" s="71"/>
      <c r="E35" s="71"/>
      <c r="F35" s="71"/>
      <c r="G35" s="71"/>
      <c r="H35" s="71"/>
      <c r="I35" s="71"/>
      <c r="J35" s="71"/>
      <c r="K35" s="71"/>
      <c r="L35" s="71"/>
      <c r="M35" s="71"/>
      <c r="N35" s="72"/>
    </row>
    <row r="36" spans="2:16" x14ac:dyDescent="0.35">
      <c r="B36" s="70"/>
      <c r="C36" s="71"/>
      <c r="D36" s="71"/>
      <c r="E36" s="71"/>
      <c r="F36" s="71"/>
      <c r="G36" s="71"/>
      <c r="H36" s="71"/>
      <c r="I36" s="71"/>
      <c r="J36" s="71"/>
      <c r="K36" s="71"/>
      <c r="L36" s="71"/>
      <c r="M36" s="71"/>
      <c r="N36" s="72"/>
    </row>
    <row r="37" spans="2:16" x14ac:dyDescent="0.35">
      <c r="B37" s="70"/>
      <c r="C37" s="71"/>
      <c r="D37" s="71"/>
      <c r="E37" s="71"/>
      <c r="F37" s="71"/>
      <c r="G37" s="71"/>
      <c r="H37" s="71"/>
      <c r="I37" s="71"/>
      <c r="J37" s="71"/>
      <c r="K37" s="71"/>
      <c r="L37" s="71"/>
      <c r="M37" s="71"/>
      <c r="N37" s="72"/>
    </row>
    <row r="38" spans="2:16" ht="21" x14ac:dyDescent="0.4">
      <c r="B38" s="73" t="s">
        <v>64</v>
      </c>
      <c r="C38" s="74"/>
      <c r="D38" s="75"/>
      <c r="E38" s="76"/>
      <c r="F38" s="76"/>
      <c r="G38" s="76"/>
      <c r="H38" s="76"/>
      <c r="I38" s="76"/>
      <c r="J38" s="77"/>
      <c r="K38" s="76"/>
      <c r="L38" s="76"/>
      <c r="M38" s="76"/>
      <c r="N38" s="78"/>
    </row>
    <row r="39" spans="2:16" ht="21" x14ac:dyDescent="0.4">
      <c r="B39" s="73" t="s">
        <v>65</v>
      </c>
      <c r="C39" s="79"/>
      <c r="D39" s="75"/>
      <c r="E39" s="76"/>
      <c r="F39" s="76"/>
      <c r="G39" s="76"/>
      <c r="H39" s="76"/>
      <c r="I39" s="76"/>
      <c r="J39" s="77"/>
      <c r="K39" s="76"/>
      <c r="L39" s="76"/>
      <c r="M39" s="76"/>
      <c r="N39" s="80"/>
    </row>
    <row r="40" spans="2:16" ht="21" x14ac:dyDescent="0.35">
      <c r="B40" s="73" t="s">
        <v>66</v>
      </c>
      <c r="C40" s="81"/>
      <c r="D40" s="76"/>
      <c r="E40" s="76"/>
      <c r="F40" s="76"/>
      <c r="G40" s="76"/>
      <c r="H40" s="76"/>
      <c r="I40" s="76"/>
      <c r="J40" s="77"/>
      <c r="K40" s="76"/>
      <c r="L40" s="76"/>
      <c r="M40" s="76"/>
      <c r="N40" s="80"/>
    </row>
    <row r="41" spans="2:16" ht="21" x14ac:dyDescent="0.35">
      <c r="B41" s="73" t="s">
        <v>67</v>
      </c>
      <c r="C41" s="82"/>
      <c r="D41" s="83"/>
      <c r="E41" s="83"/>
      <c r="F41" s="83"/>
      <c r="G41" s="83"/>
      <c r="H41" s="83"/>
      <c r="I41" s="83"/>
      <c r="J41" s="83"/>
      <c r="K41" s="83"/>
      <c r="L41" s="83"/>
      <c r="M41" s="83"/>
      <c r="N41" s="84"/>
    </row>
    <row r="42" spans="2:16" ht="21" x14ac:dyDescent="0.35">
      <c r="B42" s="73" t="s">
        <v>77</v>
      </c>
      <c r="C42" s="82"/>
      <c r="D42" s="83"/>
      <c r="E42" s="83"/>
      <c r="F42" s="83"/>
      <c r="G42" s="83"/>
      <c r="H42" s="83"/>
      <c r="I42" s="83"/>
      <c r="J42" s="83"/>
      <c r="K42" s="83"/>
      <c r="L42" s="83"/>
      <c r="M42" s="83"/>
      <c r="N42" s="84"/>
    </row>
    <row r="43" spans="2:16" ht="21" x14ac:dyDescent="0.35">
      <c r="B43" s="73" t="s">
        <v>68</v>
      </c>
      <c r="C43" s="82"/>
      <c r="D43" s="83"/>
      <c r="E43" s="83"/>
      <c r="F43" s="83"/>
      <c r="G43" s="83"/>
      <c r="H43" s="83"/>
      <c r="I43" s="83"/>
      <c r="J43" s="83"/>
      <c r="K43" s="83"/>
      <c r="L43" s="83"/>
      <c r="M43" s="83"/>
      <c r="N43" s="84"/>
    </row>
    <row r="44" spans="2:16" ht="21" x14ac:dyDescent="0.35">
      <c r="B44" s="73" t="s">
        <v>69</v>
      </c>
      <c r="C44" s="82"/>
      <c r="D44" s="83"/>
      <c r="E44" s="83"/>
      <c r="F44" s="83"/>
      <c r="G44" s="83"/>
      <c r="H44" s="83"/>
      <c r="I44" s="83"/>
      <c r="J44" s="83"/>
      <c r="K44" s="83"/>
      <c r="L44" s="83"/>
      <c r="M44" s="83"/>
      <c r="N44" s="84"/>
    </row>
    <row r="45" spans="2:16" ht="21" x14ac:dyDescent="0.35">
      <c r="B45" s="73" t="s">
        <v>70</v>
      </c>
      <c r="C45" s="82"/>
      <c r="D45" s="83"/>
      <c r="E45" s="83"/>
      <c r="F45" s="83"/>
      <c r="G45" s="83"/>
      <c r="H45" s="83"/>
      <c r="I45" s="83"/>
      <c r="J45" s="83"/>
      <c r="K45" s="83"/>
      <c r="L45" s="83"/>
      <c r="M45" s="83"/>
      <c r="N45" s="84"/>
    </row>
    <row r="46" spans="2:16" ht="21" x14ac:dyDescent="0.35">
      <c r="B46" s="73" t="s">
        <v>71</v>
      </c>
      <c r="C46" s="82"/>
      <c r="D46" s="83"/>
      <c r="E46" s="83"/>
      <c r="F46" s="83"/>
      <c r="G46" s="83"/>
      <c r="H46" s="83"/>
      <c r="I46" s="83"/>
      <c r="J46" s="83"/>
      <c r="K46" s="83"/>
      <c r="L46" s="83"/>
      <c r="M46" s="83"/>
      <c r="N46" s="84"/>
    </row>
    <row r="47" spans="2:16" x14ac:dyDescent="0.35">
      <c r="B47" s="118" t="s">
        <v>39</v>
      </c>
      <c r="C47" s="119"/>
      <c r="D47" s="119"/>
      <c r="E47" s="119"/>
      <c r="F47" s="119"/>
      <c r="G47" s="119"/>
      <c r="H47" s="119"/>
      <c r="I47" s="119"/>
      <c r="J47" s="119"/>
      <c r="K47" s="119"/>
      <c r="L47" s="119"/>
      <c r="M47" s="119"/>
      <c r="N47" s="120"/>
      <c r="O47" s="92"/>
    </row>
    <row r="48" spans="2:16" x14ac:dyDescent="0.35">
      <c r="B48" s="118" t="s">
        <v>40</v>
      </c>
      <c r="C48" s="119"/>
      <c r="D48" s="119"/>
      <c r="E48" s="119"/>
      <c r="F48" s="119"/>
      <c r="G48" s="119"/>
      <c r="H48" s="119"/>
      <c r="I48" s="119"/>
      <c r="J48" s="119"/>
      <c r="K48" s="119"/>
      <c r="L48" s="119"/>
      <c r="M48" s="119"/>
      <c r="N48" s="120"/>
      <c r="O48" s="92"/>
    </row>
    <row r="49" spans="2:14" x14ac:dyDescent="0.35">
      <c r="B49" s="118" t="s">
        <v>72</v>
      </c>
      <c r="C49" s="119"/>
      <c r="D49" s="119"/>
      <c r="E49" s="119"/>
      <c r="F49" s="119"/>
      <c r="G49" s="119"/>
      <c r="H49" s="119"/>
      <c r="I49" s="119"/>
      <c r="J49" s="119"/>
      <c r="K49" s="119"/>
      <c r="L49" s="119"/>
      <c r="M49" s="119"/>
      <c r="N49" s="120"/>
    </row>
    <row r="50" spans="2:14" ht="25.8" x14ac:dyDescent="0.35">
      <c r="C50" s="15" t="s">
        <v>41</v>
      </c>
    </row>
    <row r="51" spans="2:14" ht="25.8" x14ac:dyDescent="0.35">
      <c r="C51" s="15" t="s">
        <v>42</v>
      </c>
    </row>
    <row r="52" spans="2:14" ht="25.8" x14ac:dyDescent="0.35">
      <c r="C52" s="15" t="s">
        <v>43</v>
      </c>
    </row>
    <row r="53" spans="2:14" ht="25.8" x14ac:dyDescent="0.35">
      <c r="C53" s="15" t="s">
        <v>44</v>
      </c>
    </row>
    <row r="54" spans="2:14" ht="25.8" x14ac:dyDescent="0.35">
      <c r="C54" s="15" t="s">
        <v>45</v>
      </c>
    </row>
  </sheetData>
  <mergeCells count="12">
    <mergeCell ref="B49:N49"/>
    <mergeCell ref="B1:N4"/>
    <mergeCell ref="F8:G8"/>
    <mergeCell ref="F9:G9"/>
    <mergeCell ref="G19:I19"/>
    <mergeCell ref="B22:N22"/>
    <mergeCell ref="B30:N30"/>
    <mergeCell ref="B31:N31"/>
    <mergeCell ref="B32:N32"/>
    <mergeCell ref="B33:N33"/>
    <mergeCell ref="B47:N47"/>
    <mergeCell ref="B48:N48"/>
  </mergeCells>
  <dataValidations count="11">
    <dataValidation type="list" allowBlank="1" showInputMessage="1" showErrorMessage="1" sqref="K21" xr:uid="{D4EED5D2-9EE0-4B5C-8854-011E895E746F}">
      <formula1>"ADCB,ADCB PAY IN 2027,Ajman Bank,ADIB,DIB EXPAT,DIB LOCAL GVH,Emirates NBD,EIB,FAB,RAK,SIB STL,SIB NON STL"</formula1>
    </dataValidation>
    <dataValidation type="list" allowBlank="1" showInputMessage="1" showErrorMessage="1" sqref="D5" xr:uid="{5BDDB83A-2AB1-4F89-91A3-789D7AC198DE}">
      <formula1>"MIG09,MIG10,ATG16,ATP16,ATG17,ASG48,ASG43,ASG40,ASG42,ASG44,ASG45,ECG38,ECG37,ECG40,ECG43,XPML,XPHL,XPMLP, XPMLP-01, XC,OTF03,OTP03,OTF06,OTP06, OTP06-01,OTF08, OTP08,MOP57,MOG64,MOG59,MOG59P,MOG61,MOP61"</formula1>
    </dataValidation>
    <dataValidation type="list" allowBlank="1" showInputMessage="1" showErrorMessage="1" sqref="M21" xr:uid="{0C0950C9-6EFC-433C-AA93-3F452C1A4CC6}">
      <formula1>"3000-4999,5000-9999,10000-14999,15000-24999,25000-34999,35000-99999,5000-11999,12000-19999,20000-39999,40000-69999,70000-99999"</formula1>
    </dataValidation>
    <dataValidation type="list" allowBlank="1" showInputMessage="1" showErrorMessage="1" sqref="K20" xr:uid="{1AD82622-BE4C-4D58-9C41-6ADD6AA8E0A7}">
      <formula1>"Esaad,Emirates Platinum,Fazaa,Humat Alwatan,Permissible,ASX,XPMLP,XP,MON,MON G57,OUT,F08,P08,F06,P06,F03,P03,EC,G37,G38,G40,G43"</formula1>
    </dataValidation>
    <dataValidation type="list" allowBlank="1" showInputMessage="1" showErrorMessage="1" sqref="L19:L20 L24:L25 G14:G15 C10:C16 L10 J10" xr:uid="{58A51E9F-FBBD-4E70-95AB-44CA4C32E1D4}">
      <formula1>"YES,NO"</formula1>
    </dataValidation>
    <dataValidation type="list" allowBlank="1" showInputMessage="1" showErrorMessage="1" sqref="K24" xr:uid="{64CD7524-8DCA-4B41-ADB7-652B8A49F633}">
      <formula1>"RMC-10-70K,RMC-10-100000K,RMC-40-70K"</formula1>
    </dataValidation>
    <dataValidation type="list" allowBlank="1" showInputMessage="1" showErrorMessage="1" sqref="B16" xr:uid="{B1C86C53-E6C9-470D-B951-EBEEB86FEFC8}">
      <formula1>"RMC-10-40KMS,RMC-10-60KMS,RMC-10-70KMS,RMC-10-100000KMS,RMC-40-70KMS,RMC-40-100000KMS"</formula1>
    </dataValidation>
    <dataValidation type="list" allowBlank="1" showInputMessage="1" showErrorMessage="1" sqref="B12" xr:uid="{0F6AB501-16E3-429A-BCBA-115DE5035D5F}">
      <formula1>"FO Exterior ceramic All Cars SCOTCHGUARD,FO Mirror Camera Sensor,FO PPF Gold Package "</formula1>
    </dataValidation>
    <dataValidation type="list" allowBlank="1" showInputMessage="1" showErrorMessage="1" sqref="B11" xr:uid="{CF181521-BC58-4D5E-95E0-EA757313FCD8}">
      <formula1>"FO Ceramic+ Intr&amp;Extr CeramicGold WdwTnt,FO Mirror Camera Sensor"</formula1>
    </dataValidation>
    <dataValidation type="list" allowBlank="1" showInputMessage="1" showErrorMessage="1" sqref="M34" xr:uid="{F619526F-C0AA-4E78-99C6-D651B4E368E4}">
      <formula1>"Alaa,Bachir ,Khaled,Ramy,Simon,Mharen,Ranjith,Jihan,Praveen,Sujith,Mossallem"</formula1>
    </dataValidation>
    <dataValidation type="list" allowBlank="1" showInputMessage="1" showErrorMessage="1" sqref="H34" xr:uid="{587D2DF7-5F4E-4FF5-8CAD-E41AD2FB0AE5}">
      <formula1>"ALAA HAMMAD,KHALED QASSEM,RAMY RAOUF,SIMON LOBO,MHAREN CLEMENTE GARADO"</formula1>
    </dataValidation>
  </dataValidations>
  <pageMargins left="0.23622047244094491" right="0.23622047244094491" top="0.74803149606299213" bottom="0.74803149606299213" header="0.31496062992125984" footer="0.31496062992125984"/>
  <pageSetup paperSize="9" scale="37" orientation="landscape" horizontalDpi="4294967295" verticalDpi="4294967295"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46CCED-609D-49EE-AA5F-6EAFE5D3E500}">
  <sheetPr>
    <pageSetUpPr fitToPage="1"/>
  </sheetPr>
  <dimension ref="A1:AB54"/>
  <sheetViews>
    <sheetView topLeftCell="B1" zoomScaleNormal="100" workbookViewId="0">
      <selection activeCell="D5" sqref="D5"/>
    </sheetView>
  </sheetViews>
  <sheetFormatPr defaultColWidth="9.109375" defaultRowHeight="20.399999999999999" x14ac:dyDescent="0.35"/>
  <cols>
    <col min="1" max="1" width="16" style="1" hidden="1" customWidth="1"/>
    <col min="2" max="2" width="75.5546875" style="2" customWidth="1"/>
    <col min="3" max="3" width="25.5546875" style="3" customWidth="1"/>
    <col min="4" max="4" width="25.33203125" style="2" customWidth="1"/>
    <col min="5" max="5" width="22.6640625" style="2" customWidth="1"/>
    <col min="6" max="6" width="21" style="2" customWidth="1"/>
    <col min="7" max="7" width="25" style="2" customWidth="1"/>
    <col min="8" max="8" width="29.44140625" style="2" bestFit="1" customWidth="1"/>
    <col min="9" max="9" width="32.109375" style="2" bestFit="1" customWidth="1"/>
    <col min="10" max="10" width="22" style="2" customWidth="1"/>
    <col min="11" max="11" width="23.33203125" style="2" customWidth="1"/>
    <col min="12" max="12" width="31" style="2" customWidth="1"/>
    <col min="13" max="13" width="23.5546875" style="2" customWidth="1"/>
    <col min="14" max="14" width="21.109375" style="2" customWidth="1"/>
    <col min="15" max="15" width="14.44140625" style="83" bestFit="1" customWidth="1"/>
    <col min="16" max="16" width="21.6640625" style="83" hidden="1" customWidth="1"/>
    <col min="17" max="17" width="14.33203125" style="86" hidden="1" customWidth="1"/>
    <col min="18" max="18" width="12.88671875" style="86" hidden="1" customWidth="1"/>
    <col min="19" max="19" width="13" style="86" hidden="1" customWidth="1"/>
    <col min="20" max="20" width="17.109375" style="86" hidden="1" customWidth="1"/>
    <col min="21" max="21" width="21.5546875" style="86" customWidth="1"/>
    <col min="22" max="22" width="22.88671875" style="86" customWidth="1"/>
    <col min="23" max="26" width="17.109375" style="86" bestFit="1" customWidth="1"/>
    <col min="27" max="27" width="15" style="86" customWidth="1"/>
    <col min="28" max="28" width="14.33203125" style="86" bestFit="1" customWidth="1"/>
    <col min="29" max="16384" width="9.109375" style="1"/>
  </cols>
  <sheetData>
    <row r="1" spans="1:28" ht="15.75" customHeight="1" x14ac:dyDescent="0.35">
      <c r="B1" s="121" t="s">
        <v>46</v>
      </c>
      <c r="C1" s="122"/>
      <c r="D1" s="122"/>
      <c r="E1" s="122"/>
      <c r="F1" s="122"/>
      <c r="G1" s="122"/>
      <c r="H1" s="122"/>
      <c r="I1" s="122"/>
      <c r="J1" s="122"/>
      <c r="K1" s="122"/>
      <c r="L1" s="122"/>
      <c r="M1" s="122"/>
      <c r="N1" s="123"/>
    </row>
    <row r="2" spans="1:28" ht="15.75" customHeight="1" x14ac:dyDescent="0.35">
      <c r="B2" s="124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6"/>
      <c r="Q2" s="83"/>
      <c r="S2" s="87"/>
    </row>
    <row r="3" spans="1:28" ht="15.75" customHeight="1" x14ac:dyDescent="0.35">
      <c r="B3" s="124"/>
      <c r="C3" s="125"/>
      <c r="D3" s="125"/>
      <c r="E3" s="125"/>
      <c r="F3" s="125"/>
      <c r="G3" s="125"/>
      <c r="H3" s="125"/>
      <c r="I3" s="125"/>
      <c r="J3" s="125"/>
      <c r="K3" s="125"/>
      <c r="L3" s="125"/>
      <c r="M3" s="125"/>
      <c r="N3" s="126"/>
      <c r="O3" s="82"/>
      <c r="P3" s="82"/>
      <c r="Q3" s="81"/>
      <c r="R3" s="81"/>
      <c r="S3" s="88" t="e">
        <f>N7+J14</f>
        <v>#VALUE!</v>
      </c>
      <c r="T3" s="88"/>
      <c r="U3" s="81"/>
      <c r="V3" s="81"/>
      <c r="W3" s="81"/>
      <c r="AA3" s="86">
        <f>273000/5</f>
        <v>54600</v>
      </c>
    </row>
    <row r="4" spans="1:28" ht="15.75" customHeight="1" x14ac:dyDescent="0.4">
      <c r="B4" s="127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9"/>
      <c r="O4" s="89" t="s">
        <v>0</v>
      </c>
      <c r="P4" s="89"/>
      <c r="Q4" s="90"/>
      <c r="R4" s="90"/>
      <c r="S4" s="91"/>
      <c r="T4" s="91"/>
      <c r="U4" s="90" t="s">
        <v>1</v>
      </c>
      <c r="V4" s="90" t="s">
        <v>2</v>
      </c>
      <c r="W4" s="90" t="s">
        <v>3</v>
      </c>
    </row>
    <row r="5" spans="1:28" ht="25.2" thickBot="1" x14ac:dyDescent="0.45">
      <c r="B5" s="17">
        <f ca="1">TODAY()</f>
        <v>46215</v>
      </c>
      <c r="C5" s="18" t="str">
        <f>IF(D5="MIG09","Mirage G09",IF(D5="MIG10","MirageG10",IF(D5="ATG16","Attrage G16",IF(D5="ATP16","Attrage P16",IF(D5="ATG17","Attrage G17",IF(D5="ASG48","ASX G48",IF(D5="ASG43","ASX G43", IF(D5="ASG40","ASXG40",IF(D5="ASG42","ASX G42",IF(D5="ASG44","ASX G44",IF(D5="ASG45","ASX G45",IF(D5="ECG38","Eclipse G38",IF(D5="ECG37","Eclipse G37",IF(D5="ECG40","Eclipse G40",IF(D5="ECG43","Eclipse G43",IF(D5="XPML","Xpander ML",IF(D5="XPHL","Xpander HL",IF(D5="XPMLP","Xpander ML P",IF(D5="XPMLP-01","Xpander ML P-01",IF(D5="XC","Xpander Cross", IF(D5="OTF03","Outlander F03",IF(D5="OTP03","Outlander P03",IF(D5="OTF06","Outlander F06",IF(D5="OTP06","Outlander P06",IF(D5="OTP06-01","Outlander P06-01",IF(D5="OTF08","Outlander F08",IF(D5="OTP08","Outlander P08P", IF(D5="MOP57","Montero P57",IF(D5="MOG64","Montero G64",IF(D5="MOG59","Montero G59",IF(D5="MOG59P","Montero G59 P",IF(D5="MOG61","Montero G61",IF(D5="MOP61","Montero P61")))))))))))))))))))))))))))))))))</f>
        <v>Xpander Cross</v>
      </c>
      <c r="D5" s="19" t="s">
        <v>105</v>
      </c>
      <c r="E5" s="20" t="s">
        <v>47</v>
      </c>
      <c r="F5" s="21"/>
      <c r="G5" s="21"/>
      <c r="H5" s="21"/>
      <c r="I5" s="22"/>
      <c r="J5" s="23"/>
      <c r="K5" s="24">
        <v>0</v>
      </c>
      <c r="L5" s="25">
        <v>3.39E-2</v>
      </c>
      <c r="M5" s="25">
        <v>6.7799999999999999E-2</v>
      </c>
      <c r="N5" s="25">
        <v>0.1017</v>
      </c>
      <c r="O5" s="92">
        <f>K7+K14</f>
        <v>9638.1014768999994</v>
      </c>
      <c r="S5" s="87"/>
      <c r="U5" s="87">
        <f>L7+L14</f>
        <v>3927.2835400249996</v>
      </c>
      <c r="V5" s="87">
        <f>M7+M14</f>
        <v>2627.10792765</v>
      </c>
      <c r="W5" s="87">
        <f>N7+N14</f>
        <v>1820.4565400249999</v>
      </c>
    </row>
    <row r="6" spans="1:28" s="5" customFormat="1" ht="128.25" customHeight="1" thickBot="1" x14ac:dyDescent="0.35">
      <c r="A6" s="4" t="s">
        <v>4</v>
      </c>
      <c r="B6" s="26" t="s">
        <v>5</v>
      </c>
      <c r="C6" s="27" t="s">
        <v>6</v>
      </c>
      <c r="D6" s="27" t="s">
        <v>48</v>
      </c>
      <c r="E6" s="27" t="s">
        <v>7</v>
      </c>
      <c r="F6" s="27" t="s">
        <v>8</v>
      </c>
      <c r="G6" s="28" t="s">
        <v>9</v>
      </c>
      <c r="H6" s="28" t="s">
        <v>49</v>
      </c>
      <c r="I6" s="28" t="s">
        <v>10</v>
      </c>
      <c r="J6" s="28" t="s">
        <v>56</v>
      </c>
      <c r="K6" s="28" t="s">
        <v>11</v>
      </c>
      <c r="L6" s="28" t="s">
        <v>12</v>
      </c>
      <c r="M6" s="28" t="s">
        <v>13</v>
      </c>
      <c r="N6" s="28" t="s">
        <v>14</v>
      </c>
      <c r="O6" s="93"/>
      <c r="P6" s="94"/>
      <c r="Q6" s="95"/>
      <c r="R6" s="95"/>
      <c r="S6" s="95"/>
      <c r="T6" s="96"/>
      <c r="U6" s="96">
        <f>N7+L14</f>
        <v>3084.5527400249998</v>
      </c>
      <c r="V6" s="96">
        <f>N7+K14</f>
        <v>7741.9571768999995</v>
      </c>
      <c r="W6" s="96"/>
      <c r="X6" s="95"/>
      <c r="Y6" s="95"/>
      <c r="Z6" s="95"/>
      <c r="AA6" s="95"/>
      <c r="AB6" s="95"/>
    </row>
    <row r="7" spans="1:28" ht="25.2" thickBot="1" x14ac:dyDescent="0.45">
      <c r="A7" s="6">
        <f>B8</f>
        <v>77900</v>
      </c>
      <c r="B7" s="29">
        <f>IF(L20="YES",C8*1,IF(L20="NO",B8*1))</f>
        <v>77900</v>
      </c>
      <c r="C7" s="29">
        <f>B7*5/100</f>
        <v>3895</v>
      </c>
      <c r="D7" s="29">
        <f>B7+C7</f>
        <v>81795</v>
      </c>
      <c r="E7" s="29">
        <f>D17</f>
        <v>12707.215</v>
      </c>
      <c r="F7" s="29">
        <f>(C7)+(D10+D11+D12+D13+D16)*5/100</f>
        <v>4200</v>
      </c>
      <c r="G7" s="30">
        <f>B7+E7+F7</f>
        <v>94807.214999999997</v>
      </c>
      <c r="H7" s="29">
        <f>G7*D20</f>
        <v>18961.442999999999</v>
      </c>
      <c r="I7" s="29">
        <f>(G7-H7)</f>
        <v>75845.771999999997</v>
      </c>
      <c r="J7" s="30">
        <f>(((I7*D19)*1)+I7)/12</f>
        <v>6477.8609768999995</v>
      </c>
      <c r="K7" s="30">
        <f>(((I7*D19)*2)+I7)/24</f>
        <v>3317.6204768999996</v>
      </c>
      <c r="L7" s="30">
        <f>(((I7*D19)*3)+I7)/36</f>
        <v>2264.2069769</v>
      </c>
      <c r="M7" s="30">
        <f>(((I7*D19)*4)+I7)/48</f>
        <v>1737.5002268999999</v>
      </c>
      <c r="N7" s="30">
        <f>((((I7*D19)*5)+I7)/60)</f>
        <v>1421.4761768999999</v>
      </c>
      <c r="O7" s="92"/>
      <c r="P7" s="83">
        <f>H7+H16</f>
        <v>19757.823605999998</v>
      </c>
      <c r="T7" s="87">
        <f>25973/2</f>
        <v>12986.5</v>
      </c>
    </row>
    <row r="8" spans="1:28" ht="24.6" x14ac:dyDescent="0.4">
      <c r="A8" s="7">
        <v>0.2</v>
      </c>
      <c r="B8" s="31">
        <f>IF(D5="MIG09",39900,IF(D5="MIG10",40400,IF(D5="ATG16",40400,IF(D5="ATP16",49900,IF(D5="ATG17",41900,IF(D5="ASG48",63900,IF(D5="ASG43",62900,IF(D5="ASG40",63900,IF(D5="ASG42",68900,IF(D5="ASG44",89900,IF(D5="ASG45",95900,IF(D5="ECG38",73900,IF(D5="ECG37",70900,IF(D5="ECG40",86900,IF(D5="ECG43",91900,IF(D5="XPML",62900,IF(D5="XPHL",62900,IF(D5="XPMLP",69900,IF(D5="XPMLP-01",77800,IF(D5="XC",77900,IF(D5="OTF03",96900,IF(D5="OTP03",79900,IF(D5="OTF06",92900,IF(D5="OTP06",111900,IF(D5="OTP06-01",118900,IF(D5="OTF08",122900,IF(D5="OTP08",109900,IF(D5="MOP57",99900,IF(D5="MOG64",108900,IF(D5="MOG59",116900,IF(D5="MOG59P",110900,IF(D5="MOG61",127900,IF(D5="MOP61",125900)))))))))))))))))))))))))))))))))</f>
        <v>77900</v>
      </c>
      <c r="C8" s="32">
        <f>IF(L20="YES",N20,IF(L20="NO",N20))</f>
        <v>77900</v>
      </c>
      <c r="D8" s="29">
        <v>0</v>
      </c>
      <c r="E8" s="33"/>
      <c r="F8" s="139"/>
      <c r="G8" s="140"/>
      <c r="H8" s="110">
        <f>G7*20/100</f>
        <v>18961.442999999999</v>
      </c>
      <c r="I8" s="21"/>
      <c r="J8" s="34" t="s">
        <v>15</v>
      </c>
      <c r="K8" s="23">
        <f>(J7*K5+J7)/24</f>
        <v>269.91087403749998</v>
      </c>
      <c r="L8" s="23">
        <f>(J7*L5+J7)/36</f>
        <v>186.04056844491413</v>
      </c>
      <c r="M8" s="23">
        <f>(J7*M5+J7)/48</f>
        <v>144.10541564862123</v>
      </c>
      <c r="N8" s="23">
        <f>(J7*N5+J7)/60</f>
        <v>118.94432397084549</v>
      </c>
      <c r="O8" s="92"/>
      <c r="P8" s="83">
        <f>P7/12</f>
        <v>1646.4853004999998</v>
      </c>
      <c r="T8" s="86">
        <f>25973-12973</f>
        <v>13000</v>
      </c>
    </row>
    <row r="9" spans="1:28" ht="24.6" x14ac:dyDescent="0.4">
      <c r="A9" s="8">
        <f>B8/(100%-A8)</f>
        <v>97375</v>
      </c>
      <c r="B9" s="109">
        <f>B7-B8</f>
        <v>0</v>
      </c>
      <c r="C9" s="35"/>
      <c r="D9" s="36"/>
      <c r="E9" s="33"/>
      <c r="F9" s="139"/>
      <c r="G9" s="140"/>
      <c r="H9" s="33"/>
      <c r="I9" s="37" t="s">
        <v>16</v>
      </c>
      <c r="J9" s="38">
        <f>(J7*12)-(I7)</f>
        <v>1888.559722799997</v>
      </c>
      <c r="K9" s="38">
        <f>(K7*24)-I7</f>
        <v>3777.1194455999939</v>
      </c>
      <c r="L9" s="38">
        <f>(L7*36)-I7</f>
        <v>5665.6791684000054</v>
      </c>
      <c r="M9" s="38">
        <f>(M7*48)-I7</f>
        <v>7554.2388912000024</v>
      </c>
      <c r="N9" s="38">
        <f>(N7*60)-I7</f>
        <v>9442.7986139999994</v>
      </c>
      <c r="O9" s="92"/>
      <c r="T9" s="86">
        <f>T8/12</f>
        <v>1083.3333333333333</v>
      </c>
      <c r="Z9" s="86" t="s">
        <v>86</v>
      </c>
    </row>
    <row r="10" spans="1:28" ht="24.6" x14ac:dyDescent="0.4">
      <c r="A10" s="8"/>
      <c r="B10" s="37" t="s">
        <v>50</v>
      </c>
      <c r="C10" s="20" t="s">
        <v>17</v>
      </c>
      <c r="D10" s="36">
        <f>IF(C10="YES",800,IF(C10="NO",0))</f>
        <v>0</v>
      </c>
      <c r="E10" s="39"/>
      <c r="F10" s="40"/>
      <c r="G10" s="40"/>
      <c r="H10" s="33"/>
      <c r="I10" s="44" t="s">
        <v>85</v>
      </c>
      <c r="J10" s="117" t="s">
        <v>19</v>
      </c>
      <c r="K10" s="117">
        <f>IF(J10="YES",Z10,IF(J10="NO",0))</f>
        <v>1000</v>
      </c>
      <c r="L10" s="117"/>
      <c r="M10" s="117"/>
      <c r="N10" s="41">
        <f>(N8*60)-J7</f>
        <v>658.79846135072967</v>
      </c>
      <c r="O10" s="92">
        <f>IF(D5="XC",3690,IF(D5="XPML",3690,IF(D5="XPHL",3690,IF(D5="XPMLP",3690,IF(D5="XPMLP-01",3690,IF(D5="Xpander P",3690,IF(D5="MOP57",(U19*2.75/100+510)*1.05,IF(D5="MOG64",(U19*2.75/100+510)*1.05,IF(D5="MOG59",(U19*2.75/100+510)*1.05,IF(D5="MOG59P",(U19*2.75/100+510)*1.05,IF(D5="MOG61",(U19*2.75/100+510)*1.05,IF(D5="MOP61",(U19*2.75/100+510)*1.05,IF(D5="OTF03",(D7*3/100+510)*1.05,IF(D5="OTP03",(U19*3/100+510)*1.05,IF(D5="OTF06",(U19*3/100+510)*1.05,IF(D5="OTP06",(U19*3/100+510)*1.05,IF(D5="OTP06-01",(U19*3/100+510)*1.05,IF(D5="OTF08",(U19*3/100+510)*1.05,IF(D5="OTP08",(U19*3/100+510)*1.05,IF(D5="ECG38",3625,IF(D5="ECG37",3625,IF(D5="ECG40",(D7*3/100+510)*1.05,IF(D5="ECG43",(D7*3/100+510)*1.05,IF(D5="ASG48",3625,IF(D5="ASG43",3625,IF(D5="ASG40",3625,IF(D5="ASG42",3625,IF(D5="ASG44",3625,IF(D5="ASG45",3625,IF(D5="ASX HL 4WD",3625,IF(D5="ATG16",3625,IF(D5="ATG17",3625,IF(D5="ATP16",3625,IF(D5="Attrage S",3625,IF(D5="MIG09",3625,IF(D5="MIG10",3625,IF(D5="Xpander HL",3690)))))))))))))))))))))))))))))))))))))</f>
        <v>3690</v>
      </c>
      <c r="P10" s="97"/>
      <c r="Q10" s="97">
        <f>5.25*3</f>
        <v>15.75</v>
      </c>
      <c r="Z10" s="86">
        <f>IF(D5="MIG09",500,IF(D5="MIG10",500,IF(D5="ATG16",500,IF(D5="ATP16",500,IF(D5="ATG17",500,IF(D5="ASG48",1000,IF(D5="ASG43",1000,IF(D5="ASG40",1000,IF(D5="ASG42",1000,IF(D5="ASG44",1000,IF(D5="ASG45",1000,IF(D5="ECG38",1000,IF(D5="ECG37",1000,IF(D5="ECG40",1000,IF(D5="ECG43",1000,IF(D5="XPML",1000,IF(D5="XPHL",1000,IF(D5="XPMLP",1000,IF(D5="XPMLP-01",1000,IF(D5="XC",1000,IF(D5="OTF03",1000,IF(D5="OTP03",1000,IF(D5="OTF06",1000,IF(D5="OTP06",1000,IF(D5="OTP06-01",1000,IF(D5="OTF08",1000,IF(D5="OTP08",1000,IF(D5="MOP57",1000,IF(D5="MOG64",1000,IF(D5="MOG59",1000,IF(D5="MOG59P",1000,IF(D5="MOG61",1000,IF(D5="MOP61",1000)))))))))))))))))))))))))))))))))</f>
        <v>1000</v>
      </c>
    </row>
    <row r="11" spans="1:28" ht="24.6" x14ac:dyDescent="0.4">
      <c r="A11" s="8"/>
      <c r="B11" s="37" t="s">
        <v>18</v>
      </c>
      <c r="C11" s="20" t="s">
        <v>17</v>
      </c>
      <c r="D11" s="36">
        <f>IF(C11="YES",O17,IF(C11="NO",0))</f>
        <v>0</v>
      </c>
      <c r="E11" s="33"/>
      <c r="F11" s="40"/>
      <c r="G11" s="40"/>
      <c r="H11" s="33"/>
      <c r="I11" s="21"/>
      <c r="J11" s="44" t="s">
        <v>76</v>
      </c>
      <c r="K11" s="44">
        <f>H8-K10</f>
        <v>17961.442999999999</v>
      </c>
      <c r="L11" s="37"/>
      <c r="M11" s="37"/>
      <c r="N11" s="42"/>
      <c r="O11" s="92">
        <f>IF(D5="XC",6100,IF(D5="XPML",6100,IF(D5="XPHL",6100,IF(D5="XPMLP",6100,IF(D5="XPMLP-01",6100,IF(D5="Xpander P",6100,IF(D5="MOP57",5900,IF(D5="MOG64",5900,IF(D5="MOG59",5900,IF(D5="MOG59P",5900,IF(D5="MOG61",5900,IF(D5="MOP61",5900,IF(D5="OTF03",6700,IF(D5="OTP03",6700,IF(D5="OTF06",6700,IF(D5="OTP06",6700,IF(D5="OTP06-01",6700,IF(D5="OTF08",6700,IF(D5="OTP08",6700,IF(D5="ECG37",6400,IF(D5="ECG38",6400,IF(D5="ECG40",6400,IF(D5="ECG43",6400,IF(D5="ASG48",6600,IF(D5="ASG43",6600,IF(D5="ASG40",6600,IF(D5="ASG42",6600,IF(D5="ASG44",6600,IF(D5="ASG45",6600,IF(D5="ASX HL 4WD",6600,IF(D5="ATG16",5400,IF(D5="ATG17",5400,IF(D5="ATP16",5400,IF(D5="Attrage S",5400,IF(D5="MIG09",5400,IF(D5="MIG10",5400,IF(D5="Xpander HL",6000)))))))))))))))))))))))))))))))))))))</f>
        <v>6100</v>
      </c>
      <c r="P11" s="92"/>
      <c r="Q11" s="92"/>
      <c r="R11" s="92"/>
      <c r="S11" s="92"/>
      <c r="T11" s="92"/>
      <c r="U11" s="92">
        <f>IF(D5="XC",4900,IF(D5="XPML",4900,IF(D5="XPHL",4900,IF(D5="XPMLP",4900,IF(D5="XPMLP-01",4900,IF(D5="Xpander P",4900,IF(D5="MOP57",4600,IF(D5="MOG64",4600,IF(D5="MOG59",4600,IF(D5="MOG59P",4600,IF(D5="MOG61",4600,IF(D5="MOP61",4600,IF(D5="OTF03",5500,IF(D5="OTP03",5500,IF(D5="OTF06",5500,IF(D5="OTP06",5500,IF(D5="OTP06-01",5500,IF(D5="OTF08",5500,IF(D5="OTP08",5500,IF(D5="ECG38",5200,IF(D5="ECG37",5200,IF(D5="ECG40",5200,IF(D5="ECG43",5200,IF(D5="ASG48",5300,IF(D5="ASG43",5300,IF(D5="ASG40",5300,IF(D5="ASG42",5300,IF(D5="ASG44",5300,IF(D5="ASG45",5300,IF(D5="ASX HL",5300,IF(D5="ASX P",5300,IF(D5="ASX HL 4WD",5300,IF(D5="ATG16",4200,IF(D5="ATG17",4200,IF(D5="ATP16",4200,IF(D5="Attrage S",4200,IF(D5="MIG09",4200,IF(D5="MIG10",4200,IF(D5="Xpander HL",4900)))))))))))))))))))))))))))))))))))))))</f>
        <v>4900</v>
      </c>
      <c r="V11" s="92">
        <f>IF(D5="XC",9700,IF(D5="XPML",9700,IF(D5="XPHL",9700,IF(D5="XPMLP",9700,IF(D5="XPMLP-01",9700,IF(D5="XPMLP-01",9700,IF(D5="Xpander P",9700,IF(D5="MOP57",9300,IF(D5="MG64",9300,IF(D5="MOG59",9300,IF(D5="MOG59P",9300,IF(D5="MOG61",9300,IF(D5="MOP61",9300,IF(D5="OTF03",11000,IF(D5="OTP03",11000,IF(D5="OTF06",11000,IF(D5="OTP06",11000,IF(D5="OTP06-01",11000,IF(D5="OTF08",11000,IF(D5="OTP08",11000,IF(D5="ECG38",10400,IF(D5="ECG37",10400,IF(D5="ECG40",10400,IF(D5="ECG43",10400,IF(D5="ASG48",10700,IF(D5="ASG43",10700,IF(D5="ASG40",10700,IF(D5="ASG42",10700,IF(D5="ASG44",10800,IF(D5="ASG45",10800,IF(D5="ASX HL",12200,IF(D5="ASX P",12200,IF(D5="ASX HL 4WD",12200,IF(D5="ATG16",8500,IF(D5="ATG17",8500,IF(D5="ATP16",8500,IF(D5="Attrage S",9600,IF(D5="MIG09",8500,IF(D5="MIG10",8500,IF(D5="Xpander HL",11300))))))))))))))))))))))))))))))))))))))))</f>
        <v>9700</v>
      </c>
      <c r="W11" s="92">
        <f>IF(D5="XC",9200,IF(D5="XPML",9200,IF(D5="XPHL",9200,IF(D5="XPMLP",9200,IF(D5="XPMLP-01",9200,IF(D5="Xpander P",9200,IF(D5="MOP57",8700,IF(D5="MOG64",8700,IF(D5="MOG59",8700,IF(D5="MOG59P",8700,IF(D5="MOG61",8700,IF(D5="MOP61",8700,IF(D5="OTF03",10400,IF(D5="OTP03",10400,IF(D5="OTF06",10400,IF(D5="OTP06",10400,IF(D5="OTP06-01",10400,IF(D5="OTF08",10400,IF(D5="OTP08",10400,IF(D5="ECG38",9800,IF(D5="ECG37",9800,IF(D5="ECG40",9800,IF(D5="ECG43",9800,IF(D5="ASG48",10100,IF(D5="ASG43",10100,IF(D5="ASG40",10100,IF(D5="ASG42",10100,IF(D5="ASG44",10100,IF(D5="ASG45",10100,IF(D5="ASX HL",10100,IF(D5="ASX P",10100,IF(D5="ASX HL 4WD",10100,IF(D5="ATG16",7900,IF(D5="ATG17",7900,IF(D5="ATP16",7900,IF(D5="Attrage S",7900,IF(D5="MIG09",7900,IF(D5="MIG10",7900,IF(D5="Xpander HL",9200)))))))))))))))))))))))))))))))))))))))</f>
        <v>9200</v>
      </c>
      <c r="X11" s="92">
        <f>IF(D5="XC",4500,IF(D5="XPML",4500,IF(D5="XPHL",4500,IF(D5="XPMLP",4500,IF(D5="XPMLP-01",4500,IF(D5="Xpander P",4500,IF(D5="MOP57",4300,IF(D5="MOG64",4300,IF(D5="MOG59",4300,IF(D5="MOG59P",4300,IF(D5="MOG61",4300,IF(D5="MOP61",4300,IF(D5="OTF03",5000,IF(D5="OTP03",5000,IF(D5="OTF06",5000,IF(D5="OTP06",5000,IF(D5="OTP06-01",5000,IF(D5="OTF08",5000,IF(D5="OTP08",5000,IF(D5="ECG38",4900,IF(D5="ECG37",4900,IF(D5="ECG40",4900,IF(D5="ECG43",4900,IF(D5="ASG48",4900,IF(D5="ASG43",4900,IF(D5="ASG40",4900,IF(D5="ASG42",4900,IF(D5="ASG44",4900,IF(D5="ASG45",4900,IF(D5="ASX HL",4900,IF(D5="ASX P",4900,IF(D5="ASX HL 4WD",4900,IF(D5="ATG16",3700,IF(D5="ATG17",3700,IF(D5="ATP16",3700,IF(D5="Attrage S",3700,IF(D5="MIG09",3700,IF(D5="MIG10",3700,IF(D5="Xpander HL",4500)))))))))))))))))))))))))))))))))))))))</f>
        <v>4500</v>
      </c>
      <c r="Y11" s="92">
        <f>IF(D5="XC",5400,IF(D5="XPML ",5400,IF(D5="XPHL",5400,IF(D5="XPMLP",5400,IF(D5="XPMLP-01",5400,IF(D5="Xpander P",5400,IF(D5="MOP57",5200,IF(D5="MOG64",5200,IF(D5="MOG59",5200,IF(D5="MOG59P",5200,IF(D5="MOG61",5200,IF(D5="MOP61",5200,IF(D5="OTF03",6000,IF(D5="OTP03",6000,IF(D5="OTF06",6000,IF(D5="OTP06",6000,IF(D5="OTP06-01",6000,IF(D5="OTF08",6000,IF(D5="OTP08",6000,IF(D5="ECG38",5700,IF(D5="ECG37",5700,IF(D5="ECG40",5700,IF(D5="ECG43",5700,IF(D5="ASG48",5900,IF(D5="ASG43",5900,IF(D5="ASG40",5900,IF(D5="ASG42",5900,IF(D5="ASG44",5900,IF(D5="ASG45",5900,IF(D5="ASX HL",5900,IF(D5="ASX P",5900,IF(D5="ASX HL 4WD",5900,IF(D5="ATG16",4500,IF(D5="ATG17",4500,IF(D5="ATP16",4500,IF(D5="Attrage S",4500,IF(D5="MIG09",4500,IF(D5="MIG10",4500,IF(D5="Xpander HL",5400)))))))))))))))))))))))))))))))))))))))</f>
        <v>5400</v>
      </c>
    </row>
    <row r="12" spans="1:28" ht="24.75" customHeight="1" x14ac:dyDescent="0.4">
      <c r="A12" s="8"/>
      <c r="B12" s="37" t="s">
        <v>20</v>
      </c>
      <c r="C12" s="20" t="s">
        <v>17</v>
      </c>
      <c r="D12" s="36">
        <f>IF(C12="YES",2000,IF(C12="NO",0))</f>
        <v>0</v>
      </c>
      <c r="E12" s="43"/>
      <c r="F12" s="43" t="s">
        <v>21</v>
      </c>
      <c r="G12" s="40"/>
      <c r="H12" s="33">
        <v>600</v>
      </c>
      <c r="I12" s="21"/>
      <c r="J12" s="44" t="s">
        <v>22</v>
      </c>
      <c r="K12" s="45">
        <v>0</v>
      </c>
      <c r="L12" s="45">
        <v>5.2499999999999998E-2</v>
      </c>
      <c r="M12" s="45">
        <v>0.126</v>
      </c>
      <c r="N12" s="46">
        <v>0.26250000000000001</v>
      </c>
      <c r="O12" s="92">
        <f>IF(K20="Esaad",B8*3/100,IF(K20="Emirates Platinum",B8*3/100,IF(K20="Fazaa",B8*3/100,IF(K20="Humat Alwatan",B8*3/100,IF(K20="Permissible",2000,IF(K20="ASX",8400,IF(K20="XPMLP",4000,IF(K20="XP",14100,IF(K20="G43",11000,IF(K20="EC",7000,IF(K20="G37",14000,IF(K20="G38",15000,IF(K20="G40",11000,IF(K20="OUT",9600,IF(K20="F08",15400,IF(K20="P08",11100,IF(K20="F06",14100,IF(K20="P06",17100,IF(K20="F03",17000,IF(K20="P03",19100,IF(K20="MON",10000,IF(K20="MON G57",10000,0))))))))))))))))))))))</f>
        <v>2000</v>
      </c>
      <c r="P12" s="92"/>
      <c r="Q12" s="92"/>
      <c r="R12" s="92"/>
      <c r="S12" s="92"/>
      <c r="T12" s="92"/>
      <c r="U12" s="92"/>
      <c r="V12" s="92"/>
      <c r="W12" s="92"/>
      <c r="X12" s="92"/>
      <c r="Y12" s="92"/>
      <c r="Z12" s="86" t="s">
        <v>83</v>
      </c>
      <c r="AA12" s="86" t="s">
        <v>84</v>
      </c>
    </row>
    <row r="13" spans="1:28" ht="24.6" x14ac:dyDescent="0.4">
      <c r="A13" s="8">
        <f>B8*1.26582</f>
        <v>98607.377999999997</v>
      </c>
      <c r="B13" s="37" t="s">
        <v>23</v>
      </c>
      <c r="C13" s="20" t="s">
        <v>17</v>
      </c>
      <c r="D13" s="36">
        <f>IF(C13="YES",2000,IF(C13="NO",0))</f>
        <v>0</v>
      </c>
      <c r="E13" s="47"/>
      <c r="F13" s="47" t="s">
        <v>75</v>
      </c>
      <c r="G13" s="40"/>
      <c r="H13" s="33">
        <v>315</v>
      </c>
      <c r="I13" s="21"/>
      <c r="J13" s="44" t="s">
        <v>54</v>
      </c>
      <c r="K13" s="29" t="s">
        <v>79</v>
      </c>
      <c r="L13" s="29" t="s">
        <v>25</v>
      </c>
      <c r="M13" s="29" t="s">
        <v>0</v>
      </c>
      <c r="N13" s="49" t="s">
        <v>26</v>
      </c>
      <c r="O13" s="98">
        <f>IF(M21="3000-4999",6%,IF(M21="5000-9999",4.75%,IF(M21="10000-14999",3.15%,IF(M21="15000-24999",2.5%,IF(M21="25000-34999",2.25%,IF(M21="35000-99999",2.25%))))))</f>
        <v>4.7500000000000001E-2</v>
      </c>
      <c r="Q13" s="83">
        <f>H7/12</f>
        <v>1580.1202499999999</v>
      </c>
      <c r="U13" s="9">
        <f>IF(M21="3000-4999",6%,IF(M21="5000-9999",3.25%,IF(M21="10000-14999",3%,IF(M21="15000-24999",2.25%,IF(M21="25000-34999",2.15%,IF(M21="35000-99999",1.99%))))))</f>
        <v>3.2500000000000001E-2</v>
      </c>
      <c r="Z13" s="99">
        <f>IF(M21="5000-9999",2.49%,IF(M21="10000-19999",2.19%,IF(M21="20000-34999",2.09%,IF(M21="35000-49999",1.89%,IF(M21="50000-99999",1.79%)))))</f>
        <v>2.4900000000000002E-2</v>
      </c>
      <c r="AA13" s="99">
        <f>IF(M21="5000-9999",2.59%,IF(M21="10000-19999",2.29%,IF(M21="20000-34999",2.19%,IF(M21="35000-49999",1.99%,IF(M21="50000-99999",1.89%)))))</f>
        <v>2.5899999999999999E-2</v>
      </c>
    </row>
    <row r="14" spans="1:28" ht="24.6" x14ac:dyDescent="0.4">
      <c r="A14" s="10" t="s">
        <v>27</v>
      </c>
      <c r="B14" s="37" t="s">
        <v>24</v>
      </c>
      <c r="C14" s="20" t="s">
        <v>19</v>
      </c>
      <c r="D14" s="50">
        <f>IF(C14="YES",U19*3.15*1.05/100,IF(C14="NO",U19*0/100))</f>
        <v>2917.2150000000001</v>
      </c>
      <c r="E14" s="48"/>
      <c r="F14" s="48" t="s">
        <v>24</v>
      </c>
      <c r="G14" s="51" t="s">
        <v>17</v>
      </c>
      <c r="H14" s="39">
        <f>IF(G14="YES",U19*3.15*1.05/100,IF(G14="NO",U19*0/100))</f>
        <v>0</v>
      </c>
      <c r="I14" s="21"/>
      <c r="J14" s="44" t="s">
        <v>55</v>
      </c>
      <c r="K14" s="44">
        <f>(H8*K12+H8)/3</f>
        <v>6320.4809999999998</v>
      </c>
      <c r="L14" s="44">
        <f>(H8*L12+H8)/12</f>
        <v>1663.0765631249999</v>
      </c>
      <c r="M14" s="44">
        <f>(H8*M12+H8)/24</f>
        <v>889.60770074999994</v>
      </c>
      <c r="N14" s="52">
        <f>(H7*N12+H7)/60</f>
        <v>398.98036312499994</v>
      </c>
      <c r="O14" s="98">
        <f>IF(M21="3000-4999",3.89%,IF(M21="5000-9999",3.89%,IF(M21="10000-14999",3.89%,IF(M21="15000-24999",2.69%,IF(M21="25000-34999",2.69%,IF(M21="35000-99999",2.39%,IF(M21="76000-99999",2.19%)))))))</f>
        <v>3.8900000000000004E-2</v>
      </c>
    </row>
    <row r="15" spans="1:28" ht="24.6" x14ac:dyDescent="0.4">
      <c r="A15" s="11">
        <f>(B7*3%)+10+120</f>
        <v>2467</v>
      </c>
      <c r="B15" s="37" t="s">
        <v>28</v>
      </c>
      <c r="C15" s="20" t="s">
        <v>19</v>
      </c>
      <c r="D15" s="29">
        <f>IF(C15="YES",O10,IF(C15="NO",0))</f>
        <v>3690</v>
      </c>
      <c r="E15" s="48"/>
      <c r="F15" s="48" t="s">
        <v>53</v>
      </c>
      <c r="G15" s="51" t="s">
        <v>17</v>
      </c>
      <c r="H15" s="39">
        <f>IF(G15="YES",O10,IF(G15="NO",0))</f>
        <v>0</v>
      </c>
      <c r="I15" s="21"/>
      <c r="J15" s="44"/>
      <c r="K15" s="44"/>
      <c r="L15" s="44"/>
      <c r="M15" s="44"/>
      <c r="N15" s="53"/>
      <c r="O15" s="98" t="b">
        <f>IF(M21="3000-4999",4.99%, IF(M21="5000-11999",2.75%,IF(M21="12000-19999",2.75%,IF(M21="20000-39999",2.25%,IF(M21="40000-69999",2.39%,IF(M21="70000-99999",2.25%))))))</f>
        <v>0</v>
      </c>
      <c r="P15" s="99"/>
    </row>
    <row r="16" spans="1:28" ht="24.6" x14ac:dyDescent="0.4">
      <c r="A16" s="11">
        <f>((B7-B8)*3%+10+120)</f>
        <v>130</v>
      </c>
      <c r="B16" s="37" t="s">
        <v>78</v>
      </c>
      <c r="C16" s="20" t="s">
        <v>19</v>
      </c>
      <c r="D16" s="29">
        <f>IF(C16="YES",O16,IF(C16="NO",0))</f>
        <v>6100</v>
      </c>
      <c r="E16" s="47"/>
      <c r="F16" s="47" t="s">
        <v>74</v>
      </c>
      <c r="G16" s="54"/>
      <c r="H16" s="33">
        <f>I7*1.05%</f>
        <v>796.38060600000006</v>
      </c>
      <c r="I16" s="21"/>
      <c r="J16" s="44" t="s">
        <v>16</v>
      </c>
      <c r="K16" s="44">
        <f>(K14*3)-H8</f>
        <v>0</v>
      </c>
      <c r="L16" s="44">
        <f>(L14*12)-H8</f>
        <v>995.47575750000033</v>
      </c>
      <c r="M16" s="44">
        <f>(M14*24)-H8</f>
        <v>2389.1418180000001</v>
      </c>
      <c r="N16" s="53"/>
      <c r="O16" s="92">
        <f>IF(B16="RMC-10-70KMS",O11,IF(B16="RMC-10-100000KMS",V11,IF(B16="RMC-40-70KMS",U11, IF(B16="RMC-10-40KMS",X11, IF(B16="RMC-10-60KMS",Y11, IF(B16="RMC-40-100000KMS",W11,0))))))</f>
        <v>6100</v>
      </c>
    </row>
    <row r="17" spans="1:28" ht="24.6" x14ac:dyDescent="0.4">
      <c r="A17" s="11">
        <f>A15+A16</f>
        <v>2597</v>
      </c>
      <c r="B17" s="37"/>
      <c r="C17" s="20"/>
      <c r="D17" s="29">
        <f>SUM(D10:D16)</f>
        <v>12707.215</v>
      </c>
      <c r="E17" s="33"/>
      <c r="F17" s="33"/>
      <c r="G17" s="33"/>
      <c r="H17" s="33">
        <f>H7+H12+H15+H16</f>
        <v>20357.823605999998</v>
      </c>
      <c r="I17" s="33"/>
      <c r="J17" s="22"/>
      <c r="K17" s="53"/>
      <c r="L17" s="53"/>
      <c r="M17" s="53"/>
      <c r="N17" s="53"/>
      <c r="O17" s="92">
        <f>IF(B11="FO Ceramic+ Intr&amp;Extr CeramicGold WdwTnt",2700,IF(B11="FO Mirror Camera Sensor",2000))</f>
        <v>2700</v>
      </c>
      <c r="T17" s="86">
        <f>19615-791</f>
        <v>18824</v>
      </c>
    </row>
    <row r="18" spans="1:28" ht="24.6" x14ac:dyDescent="0.4">
      <c r="A18" s="12" t="s">
        <v>29</v>
      </c>
      <c r="B18" s="55" t="s">
        <v>30</v>
      </c>
      <c r="C18" s="56"/>
      <c r="D18" s="57">
        <v>0</v>
      </c>
      <c r="E18" s="38"/>
      <c r="F18" s="22"/>
      <c r="G18" s="22"/>
      <c r="H18" s="21"/>
      <c r="I18" s="21"/>
      <c r="J18" s="21"/>
      <c r="K18" s="21"/>
      <c r="L18" s="21"/>
      <c r="M18" s="21"/>
      <c r="N18" s="21"/>
      <c r="O18" s="92"/>
      <c r="U18" s="100" t="s">
        <v>52</v>
      </c>
      <c r="V18" s="100" t="s">
        <v>52</v>
      </c>
    </row>
    <row r="19" spans="1:28" ht="24.6" x14ac:dyDescent="0.4">
      <c r="A19" s="11">
        <f>B8*3.15%</f>
        <v>2453.85</v>
      </c>
      <c r="B19" s="58" t="s">
        <v>31</v>
      </c>
      <c r="C19" s="59"/>
      <c r="D19" s="60">
        <f>IF(K21="DIB EXPAT",O13,IF(K21="DIB LOCAL GVH",U13,IF(K21="Emirates NBD",O14,IF(K21="ADCB",O15,IF(K21="ADCB PAY IN 2027",O19,IF(K21="Ajman Bank",O18,IF(K21="SIB STL",Z13,IF(K21="SIB NON STL",AA13,))))))))</f>
        <v>2.4900000000000002E-2</v>
      </c>
      <c r="E19" s="22"/>
      <c r="F19" s="61"/>
      <c r="G19" s="141" t="s">
        <v>73</v>
      </c>
      <c r="H19" s="142"/>
      <c r="I19" s="143"/>
      <c r="J19" s="109">
        <f>H7/365</f>
        <v>51.949158904109588</v>
      </c>
      <c r="K19" s="21"/>
      <c r="L19" s="21"/>
      <c r="M19" s="21"/>
      <c r="N19" s="23">
        <f>D7</f>
        <v>81795</v>
      </c>
      <c r="O19" s="98" t="b">
        <f>IF(M21="5000-11999",3.35%,IF(M21="12000-19999",3.35%,IF(M21="20000-39999",2.85%,IF(M21="40000-69999",2.85%,IF(M21="70000-99999",2.85%)))))</f>
        <v>0</v>
      </c>
      <c r="P19" s="83">
        <f>81400-2500</f>
        <v>78900</v>
      </c>
      <c r="U19" s="101">
        <f>V19</f>
        <v>88200</v>
      </c>
      <c r="V19" s="102">
        <f>(B7+D10+D11+D12+D13+D16)*1.05</f>
        <v>88200</v>
      </c>
      <c r="X19" s="87">
        <f>G7*3.15*1.05/100</f>
        <v>3135.7486361250003</v>
      </c>
      <c r="Y19" s="87">
        <f>G7*3/100+510*1.05</f>
        <v>3379.7164500000003</v>
      </c>
      <c r="Z19" s="87">
        <f>Y19+X19</f>
        <v>6515.4650861250011</v>
      </c>
      <c r="AA19" s="87">
        <f>(Z19)-(D14+D15)</f>
        <v>-91.749913874999038</v>
      </c>
      <c r="AB19" s="87">
        <f>AA19*1.25</f>
        <v>-114.6873923437488</v>
      </c>
    </row>
    <row r="20" spans="1:28" ht="24.6" x14ac:dyDescent="0.4">
      <c r="A20" s="11"/>
      <c r="B20" s="58" t="s">
        <v>32</v>
      </c>
      <c r="C20" s="62"/>
      <c r="D20" s="63">
        <v>0.2</v>
      </c>
      <c r="E20" s="21"/>
      <c r="F20" s="21"/>
      <c r="G20" s="42"/>
      <c r="H20" s="42"/>
      <c r="I20" s="42"/>
      <c r="J20" s="103"/>
      <c r="K20" s="104" t="s">
        <v>33</v>
      </c>
      <c r="L20" s="104" t="s">
        <v>17</v>
      </c>
      <c r="M20" s="104">
        <f>IF(L20="YES",O12,IF(L20="NO",0))</f>
        <v>0</v>
      </c>
      <c r="N20" s="23">
        <f>B8-M20</f>
        <v>77900</v>
      </c>
      <c r="O20" s="92"/>
      <c r="P20" s="99"/>
      <c r="T20" s="86">
        <f>1992+1084</f>
        <v>3076</v>
      </c>
      <c r="V20" s="83"/>
      <c r="X20" s="87">
        <f>X19-D14</f>
        <v>218.53363612500016</v>
      </c>
      <c r="Y20" s="87">
        <f>Y19-D15</f>
        <v>-310.28354999999965</v>
      </c>
      <c r="AA20" s="87">
        <f>X20+Y20</f>
        <v>-91.749913874999493</v>
      </c>
    </row>
    <row r="21" spans="1:28" ht="24.6" x14ac:dyDescent="0.4">
      <c r="A21" s="13">
        <f>A19+A20</f>
        <v>2453.85</v>
      </c>
      <c r="B21" s="21"/>
      <c r="C21" s="22"/>
      <c r="D21" s="21"/>
      <c r="E21" s="21"/>
      <c r="F21" s="21"/>
      <c r="G21" s="21"/>
      <c r="H21" s="21"/>
      <c r="I21" s="21"/>
      <c r="J21" s="37" t="s">
        <v>34</v>
      </c>
      <c r="K21" s="16" t="s">
        <v>83</v>
      </c>
      <c r="L21" s="105" t="s">
        <v>35</v>
      </c>
      <c r="M21" s="106" t="s">
        <v>80</v>
      </c>
      <c r="N21" s="111"/>
      <c r="O21" s="92"/>
      <c r="T21" s="86">
        <f>25973-12973</f>
        <v>13000</v>
      </c>
    </row>
    <row r="22" spans="1:28" ht="24.6" x14ac:dyDescent="0.4">
      <c r="A22" s="13"/>
      <c r="B22" s="130" t="s">
        <v>51</v>
      </c>
      <c r="C22" s="131"/>
      <c r="D22" s="131"/>
      <c r="E22" s="131"/>
      <c r="F22" s="131"/>
      <c r="G22" s="131"/>
      <c r="H22" s="131"/>
      <c r="I22" s="131"/>
      <c r="J22" s="131"/>
      <c r="K22" s="131"/>
      <c r="L22" s="131"/>
      <c r="M22" s="131"/>
      <c r="N22" s="132"/>
      <c r="O22" s="92"/>
    </row>
    <row r="23" spans="1:28" ht="25.2" x14ac:dyDescent="0.45">
      <c r="A23" s="14" t="s">
        <v>36</v>
      </c>
      <c r="B23" s="64" t="s">
        <v>57</v>
      </c>
      <c r="C23" s="65"/>
      <c r="D23" s="65"/>
      <c r="E23" s="65"/>
      <c r="F23" s="65"/>
      <c r="G23" s="65"/>
      <c r="H23" s="66"/>
      <c r="I23" s="66"/>
      <c r="J23" s="65"/>
      <c r="K23" s="65"/>
      <c r="L23" s="65"/>
      <c r="M23" s="65"/>
      <c r="N23" s="67"/>
      <c r="O23" s="92">
        <f>N7+K14</f>
        <v>7741.9571768999995</v>
      </c>
    </row>
    <row r="24" spans="1:28" ht="25.2" x14ac:dyDescent="0.45">
      <c r="A24" s="14" t="s">
        <v>36</v>
      </c>
      <c r="B24" s="64" t="s">
        <v>58</v>
      </c>
      <c r="C24" s="65"/>
      <c r="D24" s="65"/>
      <c r="E24" s="65"/>
      <c r="F24" s="65"/>
      <c r="G24" s="65"/>
      <c r="H24" s="85">
        <f>H7/365</f>
        <v>51.949158904109588</v>
      </c>
      <c r="I24" s="85">
        <f>H7/365</f>
        <v>51.949158904109588</v>
      </c>
      <c r="J24" s="65"/>
      <c r="K24" s="65"/>
      <c r="L24" s="65"/>
      <c r="M24" s="65"/>
      <c r="N24" s="68"/>
      <c r="O24" s="92"/>
      <c r="P24" s="83">
        <f>1232+480</f>
        <v>1712</v>
      </c>
      <c r="T24" s="86">
        <f>88704/1.05</f>
        <v>84480</v>
      </c>
    </row>
    <row r="25" spans="1:28" ht="25.2" x14ac:dyDescent="0.45">
      <c r="A25" s="14" t="s">
        <v>36</v>
      </c>
      <c r="B25" s="64" t="s">
        <v>59</v>
      </c>
      <c r="C25" s="65"/>
      <c r="D25" s="65"/>
      <c r="E25" s="65"/>
      <c r="F25" s="65"/>
      <c r="G25" s="65"/>
      <c r="H25" s="66"/>
      <c r="I25" s="85">
        <f>I24*365*3</f>
        <v>56884.328999999998</v>
      </c>
      <c r="J25" s="65"/>
      <c r="K25" s="65"/>
      <c r="L25" s="65"/>
      <c r="M25" s="65"/>
      <c r="N25" s="68"/>
      <c r="O25" s="92"/>
      <c r="Q25" s="86">
        <f>79400-5233.33</f>
        <v>74166.67</v>
      </c>
      <c r="R25" s="86">
        <f>Q25*1.05</f>
        <v>77875.003500000006</v>
      </c>
    </row>
    <row r="26" spans="1:28" ht="25.2" x14ac:dyDescent="0.45">
      <c r="A26" s="14" t="s">
        <v>36</v>
      </c>
      <c r="B26" s="64" t="s">
        <v>60</v>
      </c>
      <c r="C26" s="65"/>
      <c r="D26" s="65"/>
      <c r="E26" s="65"/>
      <c r="F26" s="65"/>
      <c r="G26" s="65"/>
      <c r="H26" s="65"/>
      <c r="I26" s="65"/>
      <c r="J26" s="65"/>
      <c r="K26" s="65"/>
      <c r="L26" s="65"/>
      <c r="M26" s="65"/>
      <c r="N26" s="68"/>
      <c r="O26" s="92" t="s">
        <v>37</v>
      </c>
      <c r="R26" s="86">
        <f>R25+2469</f>
        <v>80344.003500000006</v>
      </c>
    </row>
    <row r="27" spans="1:28" ht="25.2" x14ac:dyDescent="0.45">
      <c r="A27" s="14" t="s">
        <v>36</v>
      </c>
      <c r="B27" s="64" t="s">
        <v>61</v>
      </c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8"/>
      <c r="O27" s="92">
        <f>129500-110900</f>
        <v>18600</v>
      </c>
    </row>
    <row r="28" spans="1:28" ht="25.2" x14ac:dyDescent="0.45">
      <c r="B28" s="64" t="s">
        <v>62</v>
      </c>
      <c r="C28" s="65"/>
      <c r="D28" s="65"/>
      <c r="E28" s="65"/>
      <c r="F28" s="65"/>
      <c r="G28" s="65"/>
      <c r="H28" s="65"/>
      <c r="I28" s="65"/>
      <c r="J28" s="65"/>
      <c r="K28" s="65"/>
      <c r="L28" s="65"/>
      <c r="M28" s="65"/>
      <c r="N28" s="68"/>
      <c r="O28" s="92"/>
    </row>
    <row r="29" spans="1:28" ht="25.2" x14ac:dyDescent="0.45">
      <c r="B29" s="64" t="s">
        <v>63</v>
      </c>
      <c r="C29" s="65"/>
      <c r="D29" s="65"/>
      <c r="E29" s="65"/>
      <c r="F29" s="65"/>
      <c r="G29" s="65"/>
      <c r="H29" s="65"/>
      <c r="I29" s="65"/>
      <c r="J29" s="65"/>
      <c r="K29" s="65"/>
      <c r="L29" s="65"/>
      <c r="M29" s="65"/>
      <c r="N29" s="69"/>
      <c r="O29" s="92"/>
    </row>
    <row r="30" spans="1:28" ht="24.6" x14ac:dyDescent="0.4">
      <c r="B30" s="133" t="s">
        <v>38</v>
      </c>
      <c r="C30" s="134"/>
      <c r="D30" s="134"/>
      <c r="E30" s="134"/>
      <c r="F30" s="134"/>
      <c r="G30" s="134"/>
      <c r="H30" s="134"/>
      <c r="I30" s="134"/>
      <c r="J30" s="134"/>
      <c r="K30" s="134"/>
      <c r="L30" s="134"/>
      <c r="M30" s="134"/>
      <c r="N30" s="135"/>
      <c r="O30" s="92"/>
    </row>
    <row r="31" spans="1:28" ht="24.6" x14ac:dyDescent="0.4">
      <c r="B31" s="136"/>
      <c r="C31" s="137"/>
      <c r="D31" s="137"/>
      <c r="E31" s="137"/>
      <c r="F31" s="137"/>
      <c r="G31" s="137"/>
      <c r="H31" s="137"/>
      <c r="I31" s="137"/>
      <c r="J31" s="137"/>
      <c r="K31" s="137"/>
      <c r="L31" s="137"/>
      <c r="M31" s="137"/>
      <c r="N31" s="138"/>
      <c r="O31" s="92"/>
    </row>
    <row r="32" spans="1:28" ht="24.6" x14ac:dyDescent="0.4">
      <c r="B32" s="136" t="s">
        <v>39</v>
      </c>
      <c r="C32" s="137"/>
      <c r="D32" s="137"/>
      <c r="E32" s="137"/>
      <c r="F32" s="137"/>
      <c r="G32" s="137"/>
      <c r="H32" s="137"/>
      <c r="I32" s="137"/>
      <c r="J32" s="137"/>
      <c r="K32" s="137"/>
      <c r="L32" s="137"/>
      <c r="M32" s="137"/>
      <c r="N32" s="138"/>
      <c r="O32" s="92"/>
    </row>
    <row r="33" spans="2:16" ht="24.6" x14ac:dyDescent="0.4">
      <c r="B33" s="136" t="s">
        <v>40</v>
      </c>
      <c r="C33" s="137"/>
      <c r="D33" s="137"/>
      <c r="E33" s="137"/>
      <c r="F33" s="137"/>
      <c r="G33" s="137"/>
      <c r="H33" s="137"/>
      <c r="I33" s="137"/>
      <c r="J33" s="137"/>
      <c r="K33" s="137"/>
      <c r="L33" s="137"/>
      <c r="M33" s="137"/>
      <c r="N33" s="138"/>
      <c r="O33" s="92"/>
    </row>
    <row r="34" spans="2:16" s="112" customFormat="1" ht="24.6" x14ac:dyDescent="0.4">
      <c r="B34" s="107" t="s">
        <v>81</v>
      </c>
      <c r="C34" s="108"/>
      <c r="D34" s="108"/>
      <c r="E34" s="108"/>
      <c r="F34" s="108"/>
      <c r="G34" s="113"/>
      <c r="H34" s="113"/>
      <c r="I34" s="108"/>
      <c r="J34" s="108"/>
      <c r="K34" s="108"/>
      <c r="L34" s="108"/>
      <c r="M34" s="114" t="s">
        <v>82</v>
      </c>
      <c r="N34" s="116" t="b">
        <f>IF(M34="ALAA",507963328, IF(M34="BACHIR",525246969,IF(M34="JIHAN",566201266, IF(M34="RAMY",505277871, IF(M34="SIMON",505140337,IF(M34="SUJITH",551079817, IF(M34="PRAVEEN",506367792,IF(M34="MHAREN",529224059, IF(M34="MOSSALLEM",505185577,IF(M34="RANJITH",554989288, IF(M34="KHALED",552319494)))))))))))</f>
        <v>0</v>
      </c>
      <c r="O34" s="115"/>
      <c r="P34" s="115"/>
    </row>
    <row r="35" spans="2:16" x14ac:dyDescent="0.35">
      <c r="B35" s="70"/>
      <c r="C35" s="71"/>
      <c r="D35" s="71"/>
      <c r="E35" s="71"/>
      <c r="F35" s="71"/>
      <c r="G35" s="71"/>
      <c r="H35" s="71"/>
      <c r="I35" s="71"/>
      <c r="J35" s="71"/>
      <c r="K35" s="71"/>
      <c r="L35" s="71"/>
      <c r="M35" s="71"/>
      <c r="N35" s="72"/>
    </row>
    <row r="36" spans="2:16" x14ac:dyDescent="0.35">
      <c r="B36" s="70"/>
      <c r="C36" s="71"/>
      <c r="D36" s="71"/>
      <c r="E36" s="71"/>
      <c r="F36" s="71"/>
      <c r="G36" s="71"/>
      <c r="H36" s="71"/>
      <c r="I36" s="71"/>
      <c r="J36" s="71"/>
      <c r="K36" s="71"/>
      <c r="L36" s="71"/>
      <c r="M36" s="71"/>
      <c r="N36" s="72"/>
    </row>
    <row r="37" spans="2:16" x14ac:dyDescent="0.35">
      <c r="B37" s="70"/>
      <c r="C37" s="71"/>
      <c r="D37" s="71"/>
      <c r="E37" s="71"/>
      <c r="F37" s="71"/>
      <c r="G37" s="71"/>
      <c r="H37" s="71"/>
      <c r="I37" s="71"/>
      <c r="J37" s="71"/>
      <c r="K37" s="71"/>
      <c r="L37" s="71"/>
      <c r="M37" s="71"/>
      <c r="N37" s="72"/>
    </row>
    <row r="38" spans="2:16" ht="21" x14ac:dyDescent="0.4">
      <c r="B38" s="73" t="s">
        <v>64</v>
      </c>
      <c r="C38" s="74"/>
      <c r="D38" s="75"/>
      <c r="E38" s="76"/>
      <c r="F38" s="76"/>
      <c r="G38" s="76"/>
      <c r="H38" s="76"/>
      <c r="I38" s="76"/>
      <c r="J38" s="77"/>
      <c r="K38" s="76"/>
      <c r="L38" s="76"/>
      <c r="M38" s="76"/>
      <c r="N38" s="78"/>
    </row>
    <row r="39" spans="2:16" ht="21" x14ac:dyDescent="0.4">
      <c r="B39" s="73" t="s">
        <v>65</v>
      </c>
      <c r="C39" s="79"/>
      <c r="D39" s="75"/>
      <c r="E39" s="76"/>
      <c r="F39" s="76"/>
      <c r="G39" s="76"/>
      <c r="H39" s="76"/>
      <c r="I39" s="76"/>
      <c r="J39" s="77"/>
      <c r="K39" s="76"/>
      <c r="L39" s="76"/>
      <c r="M39" s="76"/>
      <c r="N39" s="80"/>
    </row>
    <row r="40" spans="2:16" ht="21" x14ac:dyDescent="0.35">
      <c r="B40" s="73" t="s">
        <v>66</v>
      </c>
      <c r="C40" s="81"/>
      <c r="D40" s="76"/>
      <c r="E40" s="76"/>
      <c r="F40" s="76"/>
      <c r="G40" s="76"/>
      <c r="H40" s="76"/>
      <c r="I40" s="76"/>
      <c r="J40" s="77"/>
      <c r="K40" s="76"/>
      <c r="L40" s="76"/>
      <c r="M40" s="76"/>
      <c r="N40" s="80"/>
    </row>
    <row r="41" spans="2:16" ht="21" x14ac:dyDescent="0.35">
      <c r="B41" s="73" t="s">
        <v>67</v>
      </c>
      <c r="C41" s="82"/>
      <c r="D41" s="83"/>
      <c r="E41" s="83"/>
      <c r="F41" s="83"/>
      <c r="G41" s="83"/>
      <c r="H41" s="83"/>
      <c r="I41" s="83"/>
      <c r="J41" s="83"/>
      <c r="K41" s="83"/>
      <c r="L41" s="83"/>
      <c r="M41" s="83"/>
      <c r="N41" s="84"/>
    </row>
    <row r="42" spans="2:16" ht="21" x14ac:dyDescent="0.35">
      <c r="B42" s="73" t="s">
        <v>77</v>
      </c>
      <c r="C42" s="82"/>
      <c r="D42" s="83"/>
      <c r="E42" s="83"/>
      <c r="F42" s="83"/>
      <c r="G42" s="83"/>
      <c r="H42" s="83"/>
      <c r="I42" s="83"/>
      <c r="J42" s="83"/>
      <c r="K42" s="83"/>
      <c r="L42" s="83"/>
      <c r="M42" s="83"/>
      <c r="N42" s="84"/>
    </row>
    <row r="43" spans="2:16" ht="21" x14ac:dyDescent="0.35">
      <c r="B43" s="73" t="s">
        <v>68</v>
      </c>
      <c r="C43" s="82"/>
      <c r="D43" s="83"/>
      <c r="E43" s="83"/>
      <c r="F43" s="83"/>
      <c r="G43" s="83"/>
      <c r="H43" s="83"/>
      <c r="I43" s="83"/>
      <c r="J43" s="83"/>
      <c r="K43" s="83"/>
      <c r="L43" s="83"/>
      <c r="M43" s="83"/>
      <c r="N43" s="84"/>
    </row>
    <row r="44" spans="2:16" ht="21" x14ac:dyDescent="0.35">
      <c r="B44" s="73" t="s">
        <v>69</v>
      </c>
      <c r="C44" s="82"/>
      <c r="D44" s="83"/>
      <c r="E44" s="83"/>
      <c r="F44" s="83"/>
      <c r="G44" s="83"/>
      <c r="H44" s="83"/>
      <c r="I44" s="83"/>
      <c r="J44" s="83"/>
      <c r="K44" s="83"/>
      <c r="L44" s="83"/>
      <c r="M44" s="83"/>
      <c r="N44" s="84"/>
    </row>
    <row r="45" spans="2:16" ht="21" x14ac:dyDescent="0.35">
      <c r="B45" s="73" t="s">
        <v>70</v>
      </c>
      <c r="C45" s="82"/>
      <c r="D45" s="83"/>
      <c r="E45" s="83"/>
      <c r="F45" s="83"/>
      <c r="G45" s="83"/>
      <c r="H45" s="83"/>
      <c r="I45" s="83"/>
      <c r="J45" s="83"/>
      <c r="K45" s="83"/>
      <c r="L45" s="83"/>
      <c r="M45" s="83"/>
      <c r="N45" s="84"/>
    </row>
    <row r="46" spans="2:16" ht="21" x14ac:dyDescent="0.35">
      <c r="B46" s="73" t="s">
        <v>71</v>
      </c>
      <c r="C46" s="82"/>
      <c r="D46" s="83"/>
      <c r="E46" s="83"/>
      <c r="F46" s="83"/>
      <c r="G46" s="83"/>
      <c r="H46" s="83"/>
      <c r="I46" s="83"/>
      <c r="J46" s="83"/>
      <c r="K46" s="83"/>
      <c r="L46" s="83"/>
      <c r="M46" s="83"/>
      <c r="N46" s="84"/>
    </row>
    <row r="47" spans="2:16" x14ac:dyDescent="0.35">
      <c r="B47" s="118" t="s">
        <v>39</v>
      </c>
      <c r="C47" s="119"/>
      <c r="D47" s="119"/>
      <c r="E47" s="119"/>
      <c r="F47" s="119"/>
      <c r="G47" s="119"/>
      <c r="H47" s="119"/>
      <c r="I47" s="119"/>
      <c r="J47" s="119"/>
      <c r="K47" s="119"/>
      <c r="L47" s="119"/>
      <c r="M47" s="119"/>
      <c r="N47" s="120"/>
      <c r="O47" s="92"/>
    </row>
    <row r="48" spans="2:16" x14ac:dyDescent="0.35">
      <c r="B48" s="118" t="s">
        <v>40</v>
      </c>
      <c r="C48" s="119"/>
      <c r="D48" s="119"/>
      <c r="E48" s="119"/>
      <c r="F48" s="119"/>
      <c r="G48" s="119"/>
      <c r="H48" s="119"/>
      <c r="I48" s="119"/>
      <c r="J48" s="119"/>
      <c r="K48" s="119"/>
      <c r="L48" s="119"/>
      <c r="M48" s="119"/>
      <c r="N48" s="120"/>
      <c r="O48" s="92"/>
    </row>
    <row r="49" spans="2:14" x14ac:dyDescent="0.35">
      <c r="B49" s="118" t="s">
        <v>72</v>
      </c>
      <c r="C49" s="119"/>
      <c r="D49" s="119"/>
      <c r="E49" s="119"/>
      <c r="F49" s="119"/>
      <c r="G49" s="119"/>
      <c r="H49" s="119"/>
      <c r="I49" s="119"/>
      <c r="J49" s="119"/>
      <c r="K49" s="119"/>
      <c r="L49" s="119"/>
      <c r="M49" s="119"/>
      <c r="N49" s="120"/>
    </row>
    <row r="50" spans="2:14" ht="25.8" x14ac:dyDescent="0.35">
      <c r="C50" s="15" t="s">
        <v>41</v>
      </c>
    </row>
    <row r="51" spans="2:14" ht="25.8" x14ac:dyDescent="0.35">
      <c r="C51" s="15" t="s">
        <v>42</v>
      </c>
    </row>
    <row r="52" spans="2:14" ht="25.8" x14ac:dyDescent="0.35">
      <c r="C52" s="15" t="s">
        <v>43</v>
      </c>
    </row>
    <row r="53" spans="2:14" ht="25.8" x14ac:dyDescent="0.35">
      <c r="C53" s="15" t="s">
        <v>44</v>
      </c>
    </row>
    <row r="54" spans="2:14" ht="25.8" x14ac:dyDescent="0.35">
      <c r="C54" s="15" t="s">
        <v>45</v>
      </c>
    </row>
  </sheetData>
  <mergeCells count="12">
    <mergeCell ref="B49:N49"/>
    <mergeCell ref="B1:N4"/>
    <mergeCell ref="F8:G8"/>
    <mergeCell ref="F9:G9"/>
    <mergeCell ref="G19:I19"/>
    <mergeCell ref="B22:N22"/>
    <mergeCell ref="B30:N30"/>
    <mergeCell ref="B31:N31"/>
    <mergeCell ref="B32:N32"/>
    <mergeCell ref="B33:N33"/>
    <mergeCell ref="B47:N47"/>
    <mergeCell ref="B48:N48"/>
  </mergeCells>
  <dataValidations count="11">
    <dataValidation type="list" allowBlank="1" showInputMessage="1" showErrorMessage="1" sqref="K21" xr:uid="{18583FAB-CB09-4EA5-80CB-CB57454553C3}">
      <formula1>"ADCB,ADCB PAY IN 2027,Ajman Bank,ADIB,DIB EXPAT,DIB LOCAL GVH,Emirates NBD,EIB,FAB,RAK,SIB STL,SIB NON STL"</formula1>
    </dataValidation>
    <dataValidation type="list" allowBlank="1" showInputMessage="1" showErrorMessage="1" sqref="D5" xr:uid="{6A8ED090-2363-421C-B51D-38B5971AE213}">
      <formula1>"MIG09,MIG10,ATG16,ATP16,ATG17,ASG48,ASG43,ASG40,ASG42,ASG44,ASG45,ECG38,ECG37,ECG40,ECG43,XPML,XPHL,XPMLP, XPMLP-01, XC,OTF03,OTP03,OTF06,OTP06, OTP06-01,OTF08, OTP08,MOP57,MOG64,MOG59,MOG59P,MOG61,MOP61"</formula1>
    </dataValidation>
    <dataValidation type="list" allowBlank="1" showInputMessage="1" showErrorMessage="1" sqref="M21" xr:uid="{529A9337-462A-4763-A1BC-78272EC460F7}">
      <formula1>"3000-4999,5000-9999,10000-14999,15000-24999,25000-34999,35000-99999,5000-11999,12000-19999,20000-39999,40000-69999,70000-99999"</formula1>
    </dataValidation>
    <dataValidation type="list" allowBlank="1" showInputMessage="1" showErrorMessage="1" sqref="K20" xr:uid="{462EAADA-351B-4D68-A71B-5182A022DB7D}">
      <formula1>"Esaad,Emirates Platinum,Fazaa,Humat Alwatan,Permissible,ASX,XPMLP,XP,MON,MON G57,OUT,F08,P08,F06,P06,F03,P03,EC,G37,G38,G40,G43"</formula1>
    </dataValidation>
    <dataValidation type="list" allowBlank="1" showInputMessage="1" showErrorMessage="1" sqref="L19:L20 L24:L25 G14:G15 C10:C16 L10 J10" xr:uid="{C3214201-AAD9-4EB3-9531-D1AF8F11CCD4}">
      <formula1>"YES,NO"</formula1>
    </dataValidation>
    <dataValidation type="list" allowBlank="1" showInputMessage="1" showErrorMessage="1" sqref="K24" xr:uid="{46D6253A-BB8C-440D-B37E-1803504A7385}">
      <formula1>"RMC-10-70K,RMC-10-100000K,RMC-40-70K"</formula1>
    </dataValidation>
    <dataValidation type="list" allowBlank="1" showInputMessage="1" showErrorMessage="1" sqref="B16" xr:uid="{ECFC9BCC-FEF3-4BE4-BB5B-EB5DC25367AD}">
      <formula1>"RMC-10-40KMS,RMC-10-60KMS,RMC-10-70KMS,RMC-10-100000KMS,RMC-40-70KMS,RMC-40-100000KMS"</formula1>
    </dataValidation>
    <dataValidation type="list" allowBlank="1" showInputMessage="1" showErrorMessage="1" sqref="B12" xr:uid="{D7C8A2A6-5245-4CA3-BE61-436EC02A6495}">
      <formula1>"FO Exterior ceramic All Cars SCOTCHGUARD,FO Mirror Camera Sensor,FO PPF Gold Package "</formula1>
    </dataValidation>
    <dataValidation type="list" allowBlank="1" showInputMessage="1" showErrorMessage="1" sqref="B11" xr:uid="{ACAC1B9E-A2BE-4F0F-A4BF-D3EB042D1CAC}">
      <formula1>"FO Ceramic+ Intr&amp;Extr CeramicGold WdwTnt,FO Mirror Camera Sensor"</formula1>
    </dataValidation>
    <dataValidation type="list" allowBlank="1" showInputMessage="1" showErrorMessage="1" sqref="M34" xr:uid="{639E85CA-E034-431E-88D0-E2218DC79551}">
      <formula1>"Alaa,Bachir ,Khaled,Ramy,Simon,Mharen,Ranjith,Jihan,Praveen,Sujith,Mossallem"</formula1>
    </dataValidation>
    <dataValidation type="list" allowBlank="1" showInputMessage="1" showErrorMessage="1" sqref="H34" xr:uid="{0E9A144B-750C-456A-A4E8-1A59AC55F0D8}">
      <formula1>"ALAA HAMMAD,KHALED QASSEM,RAMY RAOUF,SIMON LOBO,MHAREN CLEMENTE GARADO"</formula1>
    </dataValidation>
  </dataValidations>
  <pageMargins left="0.23622047244094491" right="0.23622047244094491" top="0.74803149606299213" bottom="0.74803149606299213" header="0.31496062992125984" footer="0.31496062992125984"/>
  <pageSetup paperSize="9" scale="37" orientation="landscape" horizontalDpi="4294967295" verticalDpi="4294967295"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C1DCA-E30E-419D-9F5A-0CC8E8F99BBB}">
  <sheetPr>
    <pageSetUpPr fitToPage="1"/>
  </sheetPr>
  <dimension ref="A1:AB54"/>
  <sheetViews>
    <sheetView topLeftCell="B1" zoomScaleNormal="100" workbookViewId="0">
      <selection activeCell="D5" sqref="D5"/>
    </sheetView>
  </sheetViews>
  <sheetFormatPr defaultColWidth="9.109375" defaultRowHeight="20.399999999999999" x14ac:dyDescent="0.35"/>
  <cols>
    <col min="1" max="1" width="16" style="1" hidden="1" customWidth="1"/>
    <col min="2" max="2" width="75.5546875" style="2" customWidth="1"/>
    <col min="3" max="3" width="25.5546875" style="3" customWidth="1"/>
    <col min="4" max="4" width="25.33203125" style="2" customWidth="1"/>
    <col min="5" max="5" width="22.6640625" style="2" customWidth="1"/>
    <col min="6" max="6" width="21" style="2" customWidth="1"/>
    <col min="7" max="7" width="25" style="2" customWidth="1"/>
    <col min="8" max="8" width="29.44140625" style="2" bestFit="1" customWidth="1"/>
    <col min="9" max="9" width="32.109375" style="2" bestFit="1" customWidth="1"/>
    <col min="10" max="10" width="22" style="2" customWidth="1"/>
    <col min="11" max="11" width="23.33203125" style="2" customWidth="1"/>
    <col min="12" max="12" width="31" style="2" customWidth="1"/>
    <col min="13" max="13" width="23.5546875" style="2" customWidth="1"/>
    <col min="14" max="14" width="21.109375" style="2" customWidth="1"/>
    <col min="15" max="15" width="14.44140625" style="83" bestFit="1" customWidth="1"/>
    <col min="16" max="16" width="21.6640625" style="83" hidden="1" customWidth="1"/>
    <col min="17" max="17" width="14.33203125" style="86" hidden="1" customWidth="1"/>
    <col min="18" max="18" width="12.88671875" style="86" hidden="1" customWidth="1"/>
    <col min="19" max="19" width="13" style="86" hidden="1" customWidth="1"/>
    <col min="20" max="20" width="17.109375" style="86" hidden="1" customWidth="1"/>
    <col min="21" max="21" width="21.5546875" style="86" customWidth="1"/>
    <col min="22" max="22" width="22.88671875" style="86" customWidth="1"/>
    <col min="23" max="26" width="17.109375" style="86" bestFit="1" customWidth="1"/>
    <col min="27" max="27" width="15" style="86" customWidth="1"/>
    <col min="28" max="28" width="14.33203125" style="86" bestFit="1" customWidth="1"/>
    <col min="29" max="16384" width="9.109375" style="1"/>
  </cols>
  <sheetData>
    <row r="1" spans="1:28" ht="15.75" customHeight="1" x14ac:dyDescent="0.35">
      <c r="B1" s="121" t="s">
        <v>46</v>
      </c>
      <c r="C1" s="122"/>
      <c r="D1" s="122"/>
      <c r="E1" s="122"/>
      <c r="F1" s="122"/>
      <c r="G1" s="122"/>
      <c r="H1" s="122"/>
      <c r="I1" s="122"/>
      <c r="J1" s="122"/>
      <c r="K1" s="122"/>
      <c r="L1" s="122"/>
      <c r="M1" s="122"/>
      <c r="N1" s="123"/>
    </row>
    <row r="2" spans="1:28" ht="15.75" customHeight="1" x14ac:dyDescent="0.35">
      <c r="B2" s="124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6"/>
      <c r="Q2" s="83"/>
      <c r="S2" s="87"/>
    </row>
    <row r="3" spans="1:28" ht="15.75" customHeight="1" x14ac:dyDescent="0.35">
      <c r="B3" s="124"/>
      <c r="C3" s="125"/>
      <c r="D3" s="125"/>
      <c r="E3" s="125"/>
      <c r="F3" s="125"/>
      <c r="G3" s="125"/>
      <c r="H3" s="125"/>
      <c r="I3" s="125"/>
      <c r="J3" s="125"/>
      <c r="K3" s="125"/>
      <c r="L3" s="125"/>
      <c r="M3" s="125"/>
      <c r="N3" s="126"/>
      <c r="O3" s="82"/>
      <c r="P3" s="82"/>
      <c r="Q3" s="81"/>
      <c r="R3" s="81"/>
      <c r="S3" s="88" t="e">
        <f>N7+J14</f>
        <v>#VALUE!</v>
      </c>
      <c r="T3" s="88"/>
      <c r="U3" s="81"/>
      <c r="V3" s="81"/>
      <c r="W3" s="81"/>
      <c r="AA3" s="86">
        <f>273000/5</f>
        <v>54600</v>
      </c>
    </row>
    <row r="4" spans="1:28" ht="15.75" customHeight="1" x14ac:dyDescent="0.4">
      <c r="B4" s="127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9"/>
      <c r="O4" s="89" t="s">
        <v>0</v>
      </c>
      <c r="P4" s="89"/>
      <c r="Q4" s="90"/>
      <c r="R4" s="90"/>
      <c r="S4" s="91"/>
      <c r="T4" s="91"/>
      <c r="U4" s="90" t="s">
        <v>1</v>
      </c>
      <c r="V4" s="90" t="s">
        <v>2</v>
      </c>
      <c r="W4" s="90" t="s">
        <v>3</v>
      </c>
    </row>
    <row r="5" spans="1:28" ht="25.2" thickBot="1" x14ac:dyDescent="0.45">
      <c r="B5" s="17">
        <f ca="1">TODAY()</f>
        <v>46215</v>
      </c>
      <c r="C5" s="18" t="str">
        <f>IF(D5="MIG09","Mirage G09",IF(D5="MIG10","MirageG10",IF(D5="ATG16","Attrage G16",IF(D5="ATP16","Attrage P16",IF(D5="ATG17","Attrage G17",IF(D5="ASG48","ASX G48",IF(D5="ASG43","ASX G43", IF(D5="ASG40","ASXG40",IF(D5="ASG42","ASX G42",IF(D5="ASG44","ASX G44",IF(D5="ASG45","ASX G45",IF(D5="ECG38","Eclipse G38",IF(D5="ECG37","Eclipse G37",IF(D5="ECG40","Eclipse G40",IF(D5="ECG43","Eclipse G43",IF(D5="XPML","Xpander ML",IF(D5="XPHL","Xpander HL",IF(D5="XPMLP","Xpander ML P",IF(D5="XPMLP-01","Xpander ML P-01",IF(D5="XC","Xpander Cross", IF(D5="OTF03","Outlander F03",IF(D5="OTP03","Outlander P03",IF(D5="OTF06","Outlander F06",IF(D5="OTP06","Outlander P06",IF(D5="OTP06-01","Outlander P06-01",IF(D5="OTF08","Outlander F08",IF(D5="OTP08","Outlander P08P", IF(D5="MOP57","Montero P57",IF(D5="MOG64","Montero G64",IF(D5="MOG59","Montero G59",IF(D5="MOG59P","Montero G59 P",IF(D5="MOG61","Montero G61",IF(D5="MOP61","Montero P61")))))))))))))))))))))))))))))))))</f>
        <v>Xpander ML P-01</v>
      </c>
      <c r="D5" s="19" t="s">
        <v>104</v>
      </c>
      <c r="E5" s="20" t="s">
        <v>47</v>
      </c>
      <c r="F5" s="21"/>
      <c r="G5" s="21"/>
      <c r="H5" s="21"/>
      <c r="I5" s="22"/>
      <c r="J5" s="23"/>
      <c r="K5" s="24">
        <v>0</v>
      </c>
      <c r="L5" s="25">
        <v>3.39E-2</v>
      </c>
      <c r="M5" s="25">
        <v>6.7799999999999999E-2</v>
      </c>
      <c r="N5" s="25">
        <v>0.1017</v>
      </c>
      <c r="O5" s="92">
        <f>K7+K14</f>
        <v>9627.0741244275014</v>
      </c>
      <c r="S5" s="87"/>
      <c r="U5" s="87">
        <f>L7+L14</f>
        <v>3922.790171703542</v>
      </c>
      <c r="V5" s="87">
        <f>M7+M14</f>
        <v>2624.10214428375</v>
      </c>
      <c r="W5" s="87">
        <f>N7+N14</f>
        <v>1818.3736800368752</v>
      </c>
    </row>
    <row r="6" spans="1:28" s="5" customFormat="1" ht="128.25" customHeight="1" thickBot="1" x14ac:dyDescent="0.35">
      <c r="A6" s="4" t="s">
        <v>4</v>
      </c>
      <c r="B6" s="26" t="s">
        <v>5</v>
      </c>
      <c r="C6" s="27" t="s">
        <v>6</v>
      </c>
      <c r="D6" s="27" t="s">
        <v>48</v>
      </c>
      <c r="E6" s="27" t="s">
        <v>7</v>
      </c>
      <c r="F6" s="27" t="s">
        <v>8</v>
      </c>
      <c r="G6" s="28" t="s">
        <v>9</v>
      </c>
      <c r="H6" s="28" t="s">
        <v>49</v>
      </c>
      <c r="I6" s="28" t="s">
        <v>10</v>
      </c>
      <c r="J6" s="28" t="s">
        <v>56</v>
      </c>
      <c r="K6" s="28" t="s">
        <v>11</v>
      </c>
      <c r="L6" s="28" t="s">
        <v>12</v>
      </c>
      <c r="M6" s="28" t="s">
        <v>13</v>
      </c>
      <c r="N6" s="28" t="s">
        <v>14</v>
      </c>
      <c r="O6" s="93"/>
      <c r="P6" s="94"/>
      <c r="Q6" s="95"/>
      <c r="R6" s="95"/>
      <c r="S6" s="95"/>
      <c r="T6" s="96"/>
      <c r="U6" s="96">
        <f>N7+L14</f>
        <v>3081.0235750368756</v>
      </c>
      <c r="V6" s="96">
        <f>N7+K14</f>
        <v>7733.0992819275007</v>
      </c>
      <c r="W6" s="96"/>
      <c r="X6" s="95"/>
      <c r="Y6" s="95"/>
      <c r="Z6" s="95"/>
      <c r="AA6" s="95"/>
      <c r="AB6" s="95"/>
    </row>
    <row r="7" spans="1:28" ht="25.2" thickBot="1" x14ac:dyDescent="0.45">
      <c r="A7" s="6">
        <f>B8</f>
        <v>77800</v>
      </c>
      <c r="B7" s="29">
        <f>IF(L20="YES",C8*1,IF(L20="NO",B8*1))</f>
        <v>77800</v>
      </c>
      <c r="C7" s="29">
        <f>B7*5/100</f>
        <v>3890</v>
      </c>
      <c r="D7" s="29">
        <f>B7+C7</f>
        <v>81690</v>
      </c>
      <c r="E7" s="29">
        <f>D17</f>
        <v>12703.742125000001</v>
      </c>
      <c r="F7" s="29">
        <f>(C7)+(D10+D11+D12+D13+D16)*5/100</f>
        <v>4195</v>
      </c>
      <c r="G7" s="30">
        <f>B7+E7+F7</f>
        <v>94698.742125000004</v>
      </c>
      <c r="H7" s="29">
        <f>G7*D20</f>
        <v>18939.748425000002</v>
      </c>
      <c r="I7" s="29">
        <f>(G7-H7)</f>
        <v>75758.993700000006</v>
      </c>
      <c r="J7" s="30">
        <f>(((I7*D19)*1)+I7)/12</f>
        <v>6470.4493869275002</v>
      </c>
      <c r="K7" s="30">
        <f>(((I7*D19)*2)+I7)/24</f>
        <v>3313.8246494275004</v>
      </c>
      <c r="L7" s="30">
        <f>(((I7*D19)*3)+I7)/36</f>
        <v>2261.616403594167</v>
      </c>
      <c r="M7" s="30">
        <f>(((I7*D19)*4)+I7)/48</f>
        <v>1735.5122806775</v>
      </c>
      <c r="N7" s="30">
        <f>((((I7*D19)*5)+I7)/60)</f>
        <v>1419.8498069275001</v>
      </c>
      <c r="O7" s="92"/>
      <c r="P7" s="83">
        <f>H7+H16</f>
        <v>19735.217858850003</v>
      </c>
      <c r="T7" s="87">
        <f>25973/2</f>
        <v>12986.5</v>
      </c>
    </row>
    <row r="8" spans="1:28" ht="24.6" x14ac:dyDescent="0.4">
      <c r="A8" s="7">
        <v>0.2</v>
      </c>
      <c r="B8" s="31">
        <f>IF(D5="MIG09",39900,IF(D5="MIG10",40400,IF(D5="ATG16",40400,IF(D5="ATP16",49900,IF(D5="ATG17",41900,IF(D5="ASG48",63900,IF(D5="ASG43",62900,IF(D5="ASG40",63900,IF(D5="ASG42",68900,IF(D5="ASG44",89900,IF(D5="ASG45",95900,IF(D5="ECG38",73900,IF(D5="ECG37",70900,IF(D5="ECG40",86900,IF(D5="ECG43",91900,IF(D5="XPML",62900,IF(D5="XPHL",62900,IF(D5="XPMLP",69900,IF(D5="XPMLP-01",77800,IF(D5="XC",77900,IF(D5="OTF03",96900,IF(D5="OTP03",79900,IF(D5="OTF06",92900,IF(D5="OTP06",111900,IF(D5="OTP06-01",118900,IF(D5="OTF08",122900,IF(D5="OTP08",109900,IF(D5="MOP57",99900,IF(D5="MOG64",108900,IF(D5="MOG59",116900,IF(D5="MOG59P",110900,IF(D5="MOG61",127900,IF(D5="MOP61",125900)))))))))))))))))))))))))))))))))</f>
        <v>77800</v>
      </c>
      <c r="C8" s="32">
        <f>IF(L20="YES",N20,IF(L20="NO",N20))</f>
        <v>77800</v>
      </c>
      <c r="D8" s="29">
        <v>0</v>
      </c>
      <c r="E8" s="33"/>
      <c r="F8" s="139"/>
      <c r="G8" s="140"/>
      <c r="H8" s="110">
        <f>G7*20/100</f>
        <v>18939.748425000002</v>
      </c>
      <c r="I8" s="21"/>
      <c r="J8" s="34" t="s">
        <v>15</v>
      </c>
      <c r="K8" s="23">
        <f>(J7*K5+J7)/24</f>
        <v>269.60205778864582</v>
      </c>
      <c r="L8" s="23">
        <f>(J7*L5+J7)/36</f>
        <v>185.82771169845398</v>
      </c>
      <c r="M8" s="23">
        <f>(J7*M5+J7)/48</f>
        <v>143.940538653358</v>
      </c>
      <c r="N8" s="23">
        <f>(J7*N5+J7)/60</f>
        <v>118.80823482630045</v>
      </c>
      <c r="O8" s="92"/>
      <c r="P8" s="83">
        <f>P7/12</f>
        <v>1644.6014882375002</v>
      </c>
      <c r="T8" s="86">
        <f>25973-12973</f>
        <v>13000</v>
      </c>
    </row>
    <row r="9" spans="1:28" ht="24.6" x14ac:dyDescent="0.4">
      <c r="A9" s="8">
        <f>B8/(100%-A8)</f>
        <v>97250</v>
      </c>
      <c r="B9" s="109">
        <f>B7-B8</f>
        <v>0</v>
      </c>
      <c r="C9" s="35"/>
      <c r="D9" s="36"/>
      <c r="E9" s="33"/>
      <c r="F9" s="139"/>
      <c r="G9" s="140"/>
      <c r="H9" s="33"/>
      <c r="I9" s="37" t="s">
        <v>16</v>
      </c>
      <c r="J9" s="38">
        <f>(J7*12)-(I7)</f>
        <v>1886.3989431299997</v>
      </c>
      <c r="K9" s="38">
        <f>(K7*24)-I7</f>
        <v>3772.7978862599994</v>
      </c>
      <c r="L9" s="38">
        <f>(L7*36)-I7</f>
        <v>5659.196829389999</v>
      </c>
      <c r="M9" s="38">
        <f>(M7*48)-I7</f>
        <v>7545.5957725199987</v>
      </c>
      <c r="N9" s="38">
        <f>(N7*60)-I7</f>
        <v>9431.9947156499984</v>
      </c>
      <c r="O9" s="92"/>
      <c r="T9" s="86">
        <f>T8/12</f>
        <v>1083.3333333333333</v>
      </c>
      <c r="Z9" s="86" t="s">
        <v>86</v>
      </c>
    </row>
    <row r="10" spans="1:28" ht="24.6" x14ac:dyDescent="0.4">
      <c r="A10" s="8"/>
      <c r="B10" s="37" t="s">
        <v>50</v>
      </c>
      <c r="C10" s="20" t="s">
        <v>17</v>
      </c>
      <c r="D10" s="36">
        <f>IF(C10="YES",800,IF(C10="NO",0))</f>
        <v>0</v>
      </c>
      <c r="E10" s="39"/>
      <c r="F10" s="40"/>
      <c r="G10" s="40"/>
      <c r="H10" s="33"/>
      <c r="I10" s="44" t="s">
        <v>85</v>
      </c>
      <c r="J10" s="117" t="s">
        <v>19</v>
      </c>
      <c r="K10" s="117">
        <f>IF(J10="YES",Z10,IF(J10="NO",0))</f>
        <v>1000</v>
      </c>
      <c r="L10" s="117"/>
      <c r="M10" s="117"/>
      <c r="N10" s="41">
        <f>(N8*60)-J7</f>
        <v>658.04470265052714</v>
      </c>
      <c r="O10" s="92">
        <f>IF(D5="XC",3690,IF(D5="XPML",3690,IF(D5="XPHL",3690,IF(D5="XPMLP",3690,IF(D5="XPMLP-01",3690,IF(D5="Xpander P",3690,IF(D5="MOP57",(U19*2.75/100+510)*1.05,IF(D5="MOG64",(U19*2.75/100+510)*1.05,IF(D5="MOG59",(U19*2.75/100+510)*1.05,IF(D5="MOG59P",(U19*2.75/100+510)*1.05,IF(D5="MOG61",(U19*2.75/100+510)*1.05,IF(D5="MOP61",(U19*2.75/100+510)*1.05,IF(D5="OTF03",(D7*3/100+510)*1.05,IF(D5="OTP03",(U19*3/100+510)*1.05,IF(D5="OTF06",(U19*3/100+510)*1.05,IF(D5="OTP06",(U19*3/100+510)*1.05,IF(D5="OTP06-01",(U19*3/100+510)*1.05,IF(D5="OTF08",(U19*3/100+510)*1.05,IF(D5="OTP08",(U19*3/100+510)*1.05,IF(D5="ECG38",3625,IF(D5="ECG37",3625,IF(D5="ECG40",(D7*3/100+510)*1.05,IF(D5="ECG43",(D7*3/100+510)*1.05,IF(D5="ASG48",3625,IF(D5="ASG43",3625,IF(D5="ASG40",3625,IF(D5="ASG42",3625,IF(D5="ASG44",3625,IF(D5="ASG45",3625,IF(D5="ASX HL 4WD",3625,IF(D5="ATG16",3625,IF(D5="ATG17",3625,IF(D5="ATP16",3625,IF(D5="Attrage S",3625,IF(D5="MIG09",3625,IF(D5="MIG10",3625,IF(D5="Xpander HL",3690)))))))))))))))))))))))))))))))))))))</f>
        <v>3690</v>
      </c>
      <c r="P10" s="97"/>
      <c r="Q10" s="97">
        <f>5.25*3</f>
        <v>15.75</v>
      </c>
      <c r="Z10" s="86">
        <f>IF(D5="MIG09",500,IF(D5="MIG10",500,IF(D5="ATG16",500,IF(D5="ATP16",500,IF(D5="ATG17",500,IF(D5="ASG48",1000,IF(D5="ASG43",1000,IF(D5="ASG40",1000,IF(D5="ASG42",1000,IF(D5="ASG44",1000,IF(D5="ASG45",1000,IF(D5="ECG38",1000,IF(D5="ECG37",1000,IF(D5="ECG40",1000,IF(D5="ECG43",1000,IF(D5="XPML",1000,IF(D5="XPHL",1000,IF(D5="XPMLP",1000,IF(D5="XPMLP-01",1000,IF(D5="XC",1000,IF(D5="OTF03",1000,IF(D5="OTP03",1000,IF(D5="OTF06",1000,IF(D5="OTP06",1000,IF(D5="OTP06-01",1000,IF(D5="OTF08",1000,IF(D5="OTP08",1000,IF(D5="MOP57",1000,IF(D5="MOG64",1000,IF(D5="MOG59",1000,IF(D5="MOG59P",1000,IF(D5="MOG61",1000,IF(D5="MOP61",1000)))))))))))))))))))))))))))))))))</f>
        <v>1000</v>
      </c>
    </row>
    <row r="11" spans="1:28" ht="24.6" x14ac:dyDescent="0.4">
      <c r="A11" s="8"/>
      <c r="B11" s="37" t="s">
        <v>18</v>
      </c>
      <c r="C11" s="20" t="s">
        <v>17</v>
      </c>
      <c r="D11" s="36">
        <f>IF(C11="YES",O17,IF(C11="NO",0))</f>
        <v>0</v>
      </c>
      <c r="E11" s="33"/>
      <c r="F11" s="40"/>
      <c r="G11" s="40"/>
      <c r="H11" s="33"/>
      <c r="I11" s="21"/>
      <c r="J11" s="44" t="s">
        <v>76</v>
      </c>
      <c r="K11" s="44">
        <f>H8-K10</f>
        <v>17939.748425000002</v>
      </c>
      <c r="L11" s="37"/>
      <c r="M11" s="37"/>
      <c r="N11" s="42"/>
      <c r="O11" s="92">
        <f>IF(D5="XC",6100,IF(D5="XPML",6100,IF(D5="XPHL",6100,IF(D5="XPMLP",6100,IF(D5="XPMLP-01",6100,IF(D5="Xpander P",6100,IF(D5="MOP57",5900,IF(D5="MOG64",5900,IF(D5="MOG59",5900,IF(D5="MOG59P",5900,IF(D5="MOG61",5900,IF(D5="MOP61",5900,IF(D5="OTF03",6700,IF(D5="OTP03",6700,IF(D5="OTF06",6700,IF(D5="OTP06",6700,IF(D5="OTP06-01",6700,IF(D5="OTF08",6700,IF(D5="OTP08",6700,IF(D5="ECG37",6400,IF(D5="ECG38",6400,IF(D5="ECG40",6400,IF(D5="ECG43",6400,IF(D5="ASG48",6600,IF(D5="ASG43",6600,IF(D5="ASG40",6600,IF(D5="ASG42",6600,IF(D5="ASG44",6600,IF(D5="ASG45",6600,IF(D5="ASX HL 4WD",6600,IF(D5="ATG16",5400,IF(D5="ATG17",5400,IF(D5="ATP16",5400,IF(D5="Attrage S",5400,IF(D5="MIG09",5400,IF(D5="MIG10",5400,IF(D5="Xpander HL",6000)))))))))))))))))))))))))))))))))))))</f>
        <v>6100</v>
      </c>
      <c r="P11" s="92"/>
      <c r="Q11" s="92"/>
      <c r="R11" s="92"/>
      <c r="S11" s="92"/>
      <c r="T11" s="92"/>
      <c r="U11" s="92">
        <f>IF(D5="XC",4900,IF(D5="XPML",4900,IF(D5="XPHL",4900,IF(D5="XPMLP",4900,IF(D5="XPMLP-01",4900,IF(D5="Xpander P",4900,IF(D5="MOP57",4600,IF(D5="MOG64",4600,IF(D5="MOG59",4600,IF(D5="MOG59P",4600,IF(D5="MOG61",4600,IF(D5="MOP61",4600,IF(D5="OTF03",5500,IF(D5="OTP03",5500,IF(D5="OTF06",5500,IF(D5="OTP06",5500,IF(D5="OTP06-01",5500,IF(D5="OTF08",5500,IF(D5="OTP08",5500,IF(D5="ECG38",5200,IF(D5="ECG37",5200,IF(D5="ECG40",5200,IF(D5="ECG43",5200,IF(D5="ASG48",5300,IF(D5="ASG43",5300,IF(D5="ASG40",5300,IF(D5="ASG42",5300,IF(D5="ASG44",5300,IF(D5="ASG45",5300,IF(D5="ASX HL",5300,IF(D5="ASX P",5300,IF(D5="ASX HL 4WD",5300,IF(D5="ATG16",4200,IF(D5="ATG17",4200,IF(D5="ATP16",4200,IF(D5="Attrage S",4200,IF(D5="MIG09",4200,IF(D5="MIG10",4200,IF(D5="Xpander HL",4900)))))))))))))))))))))))))))))))))))))))</f>
        <v>4900</v>
      </c>
      <c r="V11" s="92">
        <f>IF(D5="XC",9700,IF(D5="XPML",9700,IF(D5="XPHL",9700,IF(D5="XPMLP",9700,IF(D5="XPMLP-01",9700,IF(D5="XPMLP-01",9700,IF(D5="Xpander P",9700,IF(D5="MOP57",9300,IF(D5="MG64",9300,IF(D5="MOG59",9300,IF(D5="MOG59P",9300,IF(D5="MOG61",9300,IF(D5="MOP61",9300,IF(D5="OTF03",11000,IF(D5="OTP03",11000,IF(D5="OTF06",11000,IF(D5="OTP06",11000,IF(D5="OTP06-01",11000,IF(D5="OTF08",11000,IF(D5="OTP08",11000,IF(D5="ECG38",10400,IF(D5="ECG37",10400,IF(D5="ECG40",10400,IF(D5="ECG43",10400,IF(D5="ASG48",10700,IF(D5="ASG43",10700,IF(D5="ASG40",10700,IF(D5="ASG42",10700,IF(D5="ASG44",10800,IF(D5="ASG45",10800,IF(D5="ASX HL",12200,IF(D5="ASX P",12200,IF(D5="ASX HL 4WD",12200,IF(D5="ATG16",8500,IF(D5="ATG17",8500,IF(D5="ATP16",8500,IF(D5="Attrage S",9600,IF(D5="MIG09",8500,IF(D5="MIG10",8500,IF(D5="Xpander HL",11300))))))))))))))))))))))))))))))))))))))))</f>
        <v>9700</v>
      </c>
      <c r="W11" s="92">
        <f>IF(D5="XC",9200,IF(D5="XPML",9200,IF(D5="XPHL",9200,IF(D5="XPMLP",9200,IF(D5="XPMLP-01",9200,IF(D5="Xpander P",9200,IF(D5="MOP57",8700,IF(D5="MOG64",8700,IF(D5="MOG59",8700,IF(D5="MOG59P",8700,IF(D5="MOG61",8700,IF(D5="MOP61",8700,IF(D5="OTF03",10400,IF(D5="OTP03",10400,IF(D5="OTF06",10400,IF(D5="OTP06",10400,IF(D5="OTP06-01",10400,IF(D5="OTF08",10400,IF(D5="OTP08",10400,IF(D5="ECG38",9800,IF(D5="ECG37",9800,IF(D5="ECG40",9800,IF(D5="ECG43",9800,IF(D5="ASG48",10100,IF(D5="ASG43",10100,IF(D5="ASG40",10100,IF(D5="ASG42",10100,IF(D5="ASG44",10100,IF(D5="ASG45",10100,IF(D5="ASX HL",10100,IF(D5="ASX P",10100,IF(D5="ASX HL 4WD",10100,IF(D5="ATG16",7900,IF(D5="ATG17",7900,IF(D5="ATP16",7900,IF(D5="Attrage S",7900,IF(D5="MIG09",7900,IF(D5="MIG10",7900,IF(D5="Xpander HL",9200)))))))))))))))))))))))))))))))))))))))</f>
        <v>9200</v>
      </c>
      <c r="X11" s="92">
        <f>IF(D5="XC",4500,IF(D5="XPML",4500,IF(D5="XPHL",4500,IF(D5="XPMLP",4500,IF(D5="XPMLP-01",4500,IF(D5="Xpander P",4500,IF(D5="MOP57",4300,IF(D5="MOG64",4300,IF(D5="MOG59",4300,IF(D5="MOG59P",4300,IF(D5="MOG61",4300,IF(D5="MOP61",4300,IF(D5="OTF03",5000,IF(D5="OTP03",5000,IF(D5="OTF06",5000,IF(D5="OTP06",5000,IF(D5="OTP06-01",5000,IF(D5="OTF08",5000,IF(D5="OTP08",5000,IF(D5="ECG38",4900,IF(D5="ECG37",4900,IF(D5="ECG40",4900,IF(D5="ECG43",4900,IF(D5="ASG48",4900,IF(D5="ASG43",4900,IF(D5="ASG40",4900,IF(D5="ASG42",4900,IF(D5="ASG44",4900,IF(D5="ASG45",4900,IF(D5="ASX HL",4900,IF(D5="ASX P",4900,IF(D5="ASX HL 4WD",4900,IF(D5="ATG16",3700,IF(D5="ATG17",3700,IF(D5="ATP16",3700,IF(D5="Attrage S",3700,IF(D5="MIG09",3700,IF(D5="MIG10",3700,IF(D5="Xpander HL",4500)))))))))))))))))))))))))))))))))))))))</f>
        <v>4500</v>
      </c>
      <c r="Y11" s="92">
        <f>IF(D5="XC",5400,IF(D5="XPML ",5400,IF(D5="XPHL",5400,IF(D5="XPMLP",5400,IF(D5="XPMLP-01",5400,IF(D5="Xpander P",5400,IF(D5="MOP57",5200,IF(D5="MOG64",5200,IF(D5="MOG59",5200,IF(D5="MOG59P",5200,IF(D5="MOG61",5200,IF(D5="MOP61",5200,IF(D5="OTF03",6000,IF(D5="OTP03",6000,IF(D5="OTF06",6000,IF(D5="OTP06",6000,IF(D5="OTP06-01",6000,IF(D5="OTF08",6000,IF(D5="OTP08",6000,IF(D5="ECG38",5700,IF(D5="ECG37",5700,IF(D5="ECG40",5700,IF(D5="ECG43",5700,IF(D5="ASG48",5900,IF(D5="ASG43",5900,IF(D5="ASG40",5900,IF(D5="ASG42",5900,IF(D5="ASG44",5900,IF(D5="ASG45",5900,IF(D5="ASX HL",5900,IF(D5="ASX P",5900,IF(D5="ASX HL 4WD",5900,IF(D5="ATG16",4500,IF(D5="ATG17",4500,IF(D5="ATP16",4500,IF(D5="Attrage S",4500,IF(D5="MIG09",4500,IF(D5="MIG10",4500,IF(D5="Xpander HL",5400)))))))))))))))))))))))))))))))))))))))</f>
        <v>5400</v>
      </c>
    </row>
    <row r="12" spans="1:28" ht="24.75" customHeight="1" x14ac:dyDescent="0.4">
      <c r="A12" s="8"/>
      <c r="B12" s="37" t="s">
        <v>20</v>
      </c>
      <c r="C12" s="20" t="s">
        <v>17</v>
      </c>
      <c r="D12" s="36">
        <f>IF(C12="YES",2000,IF(C12="NO",0))</f>
        <v>0</v>
      </c>
      <c r="E12" s="43"/>
      <c r="F12" s="43" t="s">
        <v>21</v>
      </c>
      <c r="G12" s="40"/>
      <c r="H12" s="33">
        <v>600</v>
      </c>
      <c r="I12" s="21"/>
      <c r="J12" s="44" t="s">
        <v>22</v>
      </c>
      <c r="K12" s="45">
        <v>0</v>
      </c>
      <c r="L12" s="45">
        <v>5.2499999999999998E-2</v>
      </c>
      <c r="M12" s="45">
        <v>0.126</v>
      </c>
      <c r="N12" s="46">
        <v>0.26250000000000001</v>
      </c>
      <c r="O12" s="92">
        <f>IF(K20="Esaad",B8*3/100,IF(K20="Emirates Platinum",B8*3/100,IF(K20="Fazaa",B8*3/100,IF(K20="Humat Alwatan",B8*3/100,IF(K20="Permissible",2000,IF(K20="ASX",8400,IF(K20="XPMLP",4000,IF(K20="XP",14100,IF(K20="G43",11000,IF(K20="EC",7000,IF(K20="G37",14000,IF(K20="G38",15000,IF(K20="G40",11000,IF(K20="OUT",9600,IF(K20="F08",15400,IF(K20="P08",11100,IF(K20="F06",14100,IF(K20="P06",17100,IF(K20="F03",17000,IF(K20="P03",19100,IF(K20="MON",10000,IF(K20="MON G57",10000,0))))))))))))))))))))))</f>
        <v>2000</v>
      </c>
      <c r="P12" s="92"/>
      <c r="Q12" s="92"/>
      <c r="R12" s="92"/>
      <c r="S12" s="92"/>
      <c r="T12" s="92"/>
      <c r="U12" s="92"/>
      <c r="V12" s="92"/>
      <c r="W12" s="92"/>
      <c r="X12" s="92"/>
      <c r="Y12" s="92"/>
      <c r="Z12" s="86" t="s">
        <v>83</v>
      </c>
      <c r="AA12" s="86" t="s">
        <v>84</v>
      </c>
    </row>
    <row r="13" spans="1:28" ht="24.6" x14ac:dyDescent="0.4">
      <c r="A13" s="8">
        <f>B8*1.26582</f>
        <v>98480.796000000002</v>
      </c>
      <c r="B13" s="37" t="s">
        <v>23</v>
      </c>
      <c r="C13" s="20" t="s">
        <v>17</v>
      </c>
      <c r="D13" s="36">
        <f>IF(C13="YES",2000,IF(C13="NO",0))</f>
        <v>0</v>
      </c>
      <c r="E13" s="47"/>
      <c r="F13" s="47" t="s">
        <v>75</v>
      </c>
      <c r="G13" s="40"/>
      <c r="H13" s="33">
        <v>315</v>
      </c>
      <c r="I13" s="21"/>
      <c r="J13" s="44" t="s">
        <v>54</v>
      </c>
      <c r="K13" s="29" t="s">
        <v>79</v>
      </c>
      <c r="L13" s="29" t="s">
        <v>25</v>
      </c>
      <c r="M13" s="29" t="s">
        <v>0</v>
      </c>
      <c r="N13" s="49" t="s">
        <v>26</v>
      </c>
      <c r="O13" s="98">
        <f>IF(M21="3000-4999",6%,IF(M21="5000-9999",4.75%,IF(M21="10000-14999",3.15%,IF(M21="15000-24999",2.5%,IF(M21="25000-34999",2.25%,IF(M21="35000-99999",2.25%))))))</f>
        <v>4.7500000000000001E-2</v>
      </c>
      <c r="Q13" s="83">
        <f>H7/12</f>
        <v>1578.3123687500001</v>
      </c>
      <c r="U13" s="9">
        <f>IF(M21="3000-4999",6%,IF(M21="5000-9999",3.25%,IF(M21="10000-14999",3%,IF(M21="15000-24999",2.25%,IF(M21="25000-34999",2.15%,IF(M21="35000-99999",1.99%))))))</f>
        <v>3.2500000000000001E-2</v>
      </c>
      <c r="Z13" s="99">
        <f>IF(M21="5000-9999",2.49%,IF(M21="10000-19999",2.19%,IF(M21="20000-34999",2.09%,IF(M21="35000-49999",1.89%,IF(M21="50000-99999",1.79%)))))</f>
        <v>2.4900000000000002E-2</v>
      </c>
      <c r="AA13" s="99">
        <f>IF(M21="5000-9999",2.59%,IF(M21="10000-19999",2.29%,IF(M21="20000-34999",2.19%,IF(M21="35000-49999",1.99%,IF(M21="50000-99999",1.89%)))))</f>
        <v>2.5899999999999999E-2</v>
      </c>
    </row>
    <row r="14" spans="1:28" ht="24.6" x14ac:dyDescent="0.4">
      <c r="A14" s="10" t="s">
        <v>27</v>
      </c>
      <c r="B14" s="37" t="s">
        <v>24</v>
      </c>
      <c r="C14" s="20" t="s">
        <v>19</v>
      </c>
      <c r="D14" s="50">
        <f>IF(C14="YES",U19*3.15*1.05/100,IF(C14="NO",U19*0/100))</f>
        <v>2913.7421250000002</v>
      </c>
      <c r="E14" s="48"/>
      <c r="F14" s="48" t="s">
        <v>24</v>
      </c>
      <c r="G14" s="51" t="s">
        <v>17</v>
      </c>
      <c r="H14" s="39">
        <f>IF(G14="YES",U19*3.15*1.05/100,IF(G14="NO",U19*0/100))</f>
        <v>0</v>
      </c>
      <c r="I14" s="21"/>
      <c r="J14" s="44" t="s">
        <v>55</v>
      </c>
      <c r="K14" s="44">
        <f>(H8*K12+H8)/3</f>
        <v>6313.2494750000005</v>
      </c>
      <c r="L14" s="44">
        <f>(H8*L12+H8)/12</f>
        <v>1661.1737681093753</v>
      </c>
      <c r="M14" s="44">
        <f>(H8*M12+H8)/24</f>
        <v>888.58986360625011</v>
      </c>
      <c r="N14" s="52">
        <f>(H7*N12+H7)/60</f>
        <v>398.52387310937502</v>
      </c>
      <c r="O14" s="98">
        <f>IF(M21="3000-4999",3.89%,IF(M21="5000-9999",3.89%,IF(M21="10000-14999",3.89%,IF(M21="15000-24999",2.69%,IF(M21="25000-34999",2.69%,IF(M21="35000-99999",2.39%,IF(M21="76000-99999",2.19%)))))))</f>
        <v>3.8900000000000004E-2</v>
      </c>
    </row>
    <row r="15" spans="1:28" ht="24.6" x14ac:dyDescent="0.4">
      <c r="A15" s="11">
        <f>(B7*3%)+10+120</f>
        <v>2464</v>
      </c>
      <c r="B15" s="37" t="s">
        <v>28</v>
      </c>
      <c r="C15" s="20" t="s">
        <v>19</v>
      </c>
      <c r="D15" s="29">
        <f>IF(C15="YES",O10,IF(C15="NO",0))</f>
        <v>3690</v>
      </c>
      <c r="E15" s="48"/>
      <c r="F15" s="48" t="s">
        <v>53</v>
      </c>
      <c r="G15" s="51" t="s">
        <v>17</v>
      </c>
      <c r="H15" s="39">
        <f>IF(G15="YES",O10,IF(G15="NO",0))</f>
        <v>0</v>
      </c>
      <c r="I15" s="21"/>
      <c r="J15" s="44"/>
      <c r="K15" s="44"/>
      <c r="L15" s="44"/>
      <c r="M15" s="44"/>
      <c r="N15" s="53"/>
      <c r="O15" s="98" t="b">
        <f>IF(M21="3000-4999",4.99%, IF(M21="5000-11999",2.75%,IF(M21="12000-19999",2.75%,IF(M21="20000-39999",2.25%,IF(M21="40000-69999",2.39%,IF(M21="70000-99999",2.25%))))))</f>
        <v>0</v>
      </c>
      <c r="P15" s="99"/>
    </row>
    <row r="16" spans="1:28" ht="24.6" x14ac:dyDescent="0.4">
      <c r="A16" s="11">
        <f>((B7-B8)*3%+10+120)</f>
        <v>130</v>
      </c>
      <c r="B16" s="37" t="s">
        <v>78</v>
      </c>
      <c r="C16" s="20" t="s">
        <v>19</v>
      </c>
      <c r="D16" s="29">
        <f>IF(C16="YES",O16,IF(C16="NO",0))</f>
        <v>6100</v>
      </c>
      <c r="E16" s="47"/>
      <c r="F16" s="47" t="s">
        <v>74</v>
      </c>
      <c r="G16" s="54"/>
      <c r="H16" s="33">
        <f>I7*1.05%</f>
        <v>795.46943385000009</v>
      </c>
      <c r="I16" s="21"/>
      <c r="J16" s="44" t="s">
        <v>16</v>
      </c>
      <c r="K16" s="44">
        <f>(K14*3)-H8</f>
        <v>0</v>
      </c>
      <c r="L16" s="44">
        <f>(L14*12)-H8</f>
        <v>994.33679231250062</v>
      </c>
      <c r="M16" s="44">
        <f>(M14*24)-H8</f>
        <v>2386.40830155</v>
      </c>
      <c r="N16" s="53"/>
      <c r="O16" s="92">
        <f>IF(B16="RMC-10-70KMS",O11,IF(B16="RMC-10-100000KMS",V11,IF(B16="RMC-40-70KMS",U11, IF(B16="RMC-10-40KMS",X11, IF(B16="RMC-10-60KMS",Y11, IF(B16="RMC-40-100000KMS",W11,0))))))</f>
        <v>6100</v>
      </c>
    </row>
    <row r="17" spans="1:28" ht="24.6" x14ac:dyDescent="0.4">
      <c r="A17" s="11">
        <f>A15+A16</f>
        <v>2594</v>
      </c>
      <c r="B17" s="37"/>
      <c r="C17" s="20"/>
      <c r="D17" s="29">
        <f>SUM(D10:D16)</f>
        <v>12703.742125000001</v>
      </c>
      <c r="E17" s="33"/>
      <c r="F17" s="33"/>
      <c r="G17" s="33"/>
      <c r="H17" s="33">
        <f>H7+H12+H15+H16</f>
        <v>20335.217858850003</v>
      </c>
      <c r="I17" s="33"/>
      <c r="J17" s="22"/>
      <c r="K17" s="53"/>
      <c r="L17" s="53"/>
      <c r="M17" s="53"/>
      <c r="N17" s="53"/>
      <c r="O17" s="92">
        <f>IF(B11="FO Ceramic+ Intr&amp;Extr CeramicGold WdwTnt",2700,IF(B11="FO Mirror Camera Sensor",2000))</f>
        <v>2700</v>
      </c>
      <c r="T17" s="86">
        <f>19615-791</f>
        <v>18824</v>
      </c>
    </row>
    <row r="18" spans="1:28" ht="24.6" x14ac:dyDescent="0.4">
      <c r="A18" s="12" t="s">
        <v>29</v>
      </c>
      <c r="B18" s="55" t="s">
        <v>30</v>
      </c>
      <c r="C18" s="56"/>
      <c r="D18" s="57">
        <v>0</v>
      </c>
      <c r="E18" s="38"/>
      <c r="F18" s="22"/>
      <c r="G18" s="22"/>
      <c r="H18" s="21"/>
      <c r="I18" s="21"/>
      <c r="J18" s="21"/>
      <c r="K18" s="21"/>
      <c r="L18" s="21"/>
      <c r="M18" s="21"/>
      <c r="N18" s="21"/>
      <c r="O18" s="92"/>
      <c r="U18" s="100" t="s">
        <v>52</v>
      </c>
      <c r="V18" s="100" t="s">
        <v>52</v>
      </c>
    </row>
    <row r="19" spans="1:28" ht="24.6" x14ac:dyDescent="0.4">
      <c r="A19" s="11">
        <f>B8*3.15%</f>
        <v>2450.6999999999998</v>
      </c>
      <c r="B19" s="58" t="s">
        <v>31</v>
      </c>
      <c r="C19" s="59"/>
      <c r="D19" s="60">
        <f>IF(K21="DIB EXPAT",O13,IF(K21="DIB LOCAL GVH",U13,IF(K21="Emirates NBD",O14,IF(K21="ADCB",O15,IF(K21="ADCB PAY IN 2027",O19,IF(K21="Ajman Bank",O18,IF(K21="SIB STL",Z13,IF(K21="SIB NON STL",AA13,))))))))</f>
        <v>2.4900000000000002E-2</v>
      </c>
      <c r="E19" s="22"/>
      <c r="F19" s="61"/>
      <c r="G19" s="141" t="s">
        <v>73</v>
      </c>
      <c r="H19" s="142"/>
      <c r="I19" s="143"/>
      <c r="J19" s="109">
        <f>H7/365</f>
        <v>51.889721712328772</v>
      </c>
      <c r="K19" s="21"/>
      <c r="L19" s="21"/>
      <c r="M19" s="21"/>
      <c r="N19" s="23">
        <f>D7</f>
        <v>81690</v>
      </c>
      <c r="O19" s="98" t="b">
        <f>IF(M21="5000-11999",3.35%,IF(M21="12000-19999",3.35%,IF(M21="20000-39999",2.85%,IF(M21="40000-69999",2.85%,IF(M21="70000-99999",2.85%)))))</f>
        <v>0</v>
      </c>
      <c r="P19" s="83">
        <f>81400-2500</f>
        <v>78900</v>
      </c>
      <c r="U19" s="101">
        <f>V19</f>
        <v>88095</v>
      </c>
      <c r="V19" s="102">
        <f>(B7+D10+D11+D12+D13+D16)*1.05</f>
        <v>88095</v>
      </c>
      <c r="X19" s="87">
        <f>G7*3.15*1.05/100</f>
        <v>3132.160895784375</v>
      </c>
      <c r="Y19" s="87">
        <f>G7*3/100+510*1.05</f>
        <v>3376.4622637500001</v>
      </c>
      <c r="Z19" s="87">
        <f>Y19+X19</f>
        <v>6508.6231595343752</v>
      </c>
      <c r="AA19" s="87">
        <f>(Z19)-(D14+D15)</f>
        <v>-95.118965465625479</v>
      </c>
      <c r="AB19" s="87">
        <f>AA19*1.25</f>
        <v>-118.89870683203185</v>
      </c>
    </row>
    <row r="20" spans="1:28" ht="24.6" x14ac:dyDescent="0.4">
      <c r="A20" s="11"/>
      <c r="B20" s="58" t="s">
        <v>32</v>
      </c>
      <c r="C20" s="62"/>
      <c r="D20" s="63">
        <v>0.2</v>
      </c>
      <c r="E20" s="21"/>
      <c r="F20" s="21"/>
      <c r="G20" s="42"/>
      <c r="H20" s="42"/>
      <c r="I20" s="42"/>
      <c r="J20" s="103"/>
      <c r="K20" s="104" t="s">
        <v>33</v>
      </c>
      <c r="L20" s="104" t="s">
        <v>17</v>
      </c>
      <c r="M20" s="104">
        <f>IF(L20="YES",O12,IF(L20="NO",0))</f>
        <v>0</v>
      </c>
      <c r="N20" s="23">
        <f>B8-M20</f>
        <v>77800</v>
      </c>
      <c r="O20" s="92"/>
      <c r="P20" s="99"/>
      <c r="T20" s="86">
        <f>1992+1084</f>
        <v>3076</v>
      </c>
      <c r="V20" s="83"/>
      <c r="X20" s="87">
        <f>X19-D14</f>
        <v>218.41877078437483</v>
      </c>
      <c r="Y20" s="87">
        <f>Y19-D15</f>
        <v>-313.53773624999985</v>
      </c>
      <c r="AA20" s="87">
        <f>X20+Y20</f>
        <v>-95.118965465625024</v>
      </c>
    </row>
    <row r="21" spans="1:28" ht="24.6" x14ac:dyDescent="0.4">
      <c r="A21" s="13">
        <f>A19+A20</f>
        <v>2450.6999999999998</v>
      </c>
      <c r="B21" s="21"/>
      <c r="C21" s="22"/>
      <c r="D21" s="21"/>
      <c r="E21" s="21"/>
      <c r="F21" s="21"/>
      <c r="G21" s="21"/>
      <c r="H21" s="21"/>
      <c r="I21" s="21"/>
      <c r="J21" s="37" t="s">
        <v>34</v>
      </c>
      <c r="K21" s="16" t="s">
        <v>83</v>
      </c>
      <c r="L21" s="105" t="s">
        <v>35</v>
      </c>
      <c r="M21" s="106" t="s">
        <v>80</v>
      </c>
      <c r="N21" s="111"/>
      <c r="O21" s="92"/>
      <c r="T21" s="86">
        <f>25973-12973</f>
        <v>13000</v>
      </c>
    </row>
    <row r="22" spans="1:28" ht="24.6" x14ac:dyDescent="0.4">
      <c r="A22" s="13"/>
      <c r="B22" s="130" t="s">
        <v>51</v>
      </c>
      <c r="C22" s="131"/>
      <c r="D22" s="131"/>
      <c r="E22" s="131"/>
      <c r="F22" s="131"/>
      <c r="G22" s="131"/>
      <c r="H22" s="131"/>
      <c r="I22" s="131"/>
      <c r="J22" s="131"/>
      <c r="K22" s="131"/>
      <c r="L22" s="131"/>
      <c r="M22" s="131"/>
      <c r="N22" s="132"/>
      <c r="O22" s="92"/>
    </row>
    <row r="23" spans="1:28" ht="25.2" x14ac:dyDescent="0.45">
      <c r="A23" s="14" t="s">
        <v>36</v>
      </c>
      <c r="B23" s="64" t="s">
        <v>57</v>
      </c>
      <c r="C23" s="65"/>
      <c r="D23" s="65"/>
      <c r="E23" s="65"/>
      <c r="F23" s="65"/>
      <c r="G23" s="65"/>
      <c r="H23" s="66"/>
      <c r="I23" s="66"/>
      <c r="J23" s="65"/>
      <c r="K23" s="65"/>
      <c r="L23" s="65"/>
      <c r="M23" s="65"/>
      <c r="N23" s="67"/>
      <c r="O23" s="92">
        <f>N7+K14</f>
        <v>7733.0992819275007</v>
      </c>
    </row>
    <row r="24" spans="1:28" ht="25.2" x14ac:dyDescent="0.45">
      <c r="A24" s="14" t="s">
        <v>36</v>
      </c>
      <c r="B24" s="64" t="s">
        <v>58</v>
      </c>
      <c r="C24" s="65"/>
      <c r="D24" s="65"/>
      <c r="E24" s="65"/>
      <c r="F24" s="65"/>
      <c r="G24" s="65"/>
      <c r="H24" s="85">
        <f>H7/365</f>
        <v>51.889721712328772</v>
      </c>
      <c r="I24" s="85">
        <f>H7/365</f>
        <v>51.889721712328772</v>
      </c>
      <c r="J24" s="65"/>
      <c r="K24" s="65"/>
      <c r="L24" s="65"/>
      <c r="M24" s="65"/>
      <c r="N24" s="68"/>
      <c r="O24" s="92"/>
      <c r="P24" s="83">
        <f>1232+480</f>
        <v>1712</v>
      </c>
      <c r="T24" s="86">
        <f>88704/1.05</f>
        <v>84480</v>
      </c>
    </row>
    <row r="25" spans="1:28" ht="25.2" x14ac:dyDescent="0.45">
      <c r="A25" s="14" t="s">
        <v>36</v>
      </c>
      <c r="B25" s="64" t="s">
        <v>59</v>
      </c>
      <c r="C25" s="65"/>
      <c r="D25" s="65"/>
      <c r="E25" s="65"/>
      <c r="F25" s="65"/>
      <c r="G25" s="65"/>
      <c r="H25" s="66"/>
      <c r="I25" s="85">
        <f>I24*365*3</f>
        <v>56819.245275000008</v>
      </c>
      <c r="J25" s="65"/>
      <c r="K25" s="65"/>
      <c r="L25" s="65"/>
      <c r="M25" s="65"/>
      <c r="N25" s="68"/>
      <c r="O25" s="92"/>
      <c r="Q25" s="86">
        <f>79400-5233.33</f>
        <v>74166.67</v>
      </c>
      <c r="R25" s="86">
        <f>Q25*1.05</f>
        <v>77875.003500000006</v>
      </c>
    </row>
    <row r="26" spans="1:28" ht="25.2" x14ac:dyDescent="0.45">
      <c r="A26" s="14" t="s">
        <v>36</v>
      </c>
      <c r="B26" s="64" t="s">
        <v>60</v>
      </c>
      <c r="C26" s="65"/>
      <c r="D26" s="65"/>
      <c r="E26" s="65"/>
      <c r="F26" s="65"/>
      <c r="G26" s="65"/>
      <c r="H26" s="65"/>
      <c r="I26" s="65"/>
      <c r="J26" s="65"/>
      <c r="K26" s="65"/>
      <c r="L26" s="65"/>
      <c r="M26" s="65"/>
      <c r="N26" s="68"/>
      <c r="O26" s="92" t="s">
        <v>37</v>
      </c>
      <c r="R26" s="86">
        <f>R25+2469</f>
        <v>80344.003500000006</v>
      </c>
    </row>
    <row r="27" spans="1:28" ht="25.2" x14ac:dyDescent="0.45">
      <c r="A27" s="14" t="s">
        <v>36</v>
      </c>
      <c r="B27" s="64" t="s">
        <v>61</v>
      </c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8"/>
      <c r="O27" s="92">
        <f>129500-110900</f>
        <v>18600</v>
      </c>
    </row>
    <row r="28" spans="1:28" ht="25.2" x14ac:dyDescent="0.45">
      <c r="B28" s="64" t="s">
        <v>62</v>
      </c>
      <c r="C28" s="65"/>
      <c r="D28" s="65"/>
      <c r="E28" s="65"/>
      <c r="F28" s="65"/>
      <c r="G28" s="65"/>
      <c r="H28" s="65"/>
      <c r="I28" s="65"/>
      <c r="J28" s="65"/>
      <c r="K28" s="65"/>
      <c r="L28" s="65"/>
      <c r="M28" s="65"/>
      <c r="N28" s="68"/>
      <c r="O28" s="92"/>
    </row>
    <row r="29" spans="1:28" ht="25.2" x14ac:dyDescent="0.45">
      <c r="B29" s="64" t="s">
        <v>63</v>
      </c>
      <c r="C29" s="65"/>
      <c r="D29" s="65"/>
      <c r="E29" s="65"/>
      <c r="F29" s="65"/>
      <c r="G29" s="65"/>
      <c r="H29" s="65"/>
      <c r="I29" s="65"/>
      <c r="J29" s="65"/>
      <c r="K29" s="65"/>
      <c r="L29" s="65"/>
      <c r="M29" s="65"/>
      <c r="N29" s="69"/>
      <c r="O29" s="92"/>
    </row>
    <row r="30" spans="1:28" ht="24.6" x14ac:dyDescent="0.4">
      <c r="B30" s="133" t="s">
        <v>38</v>
      </c>
      <c r="C30" s="134"/>
      <c r="D30" s="134"/>
      <c r="E30" s="134"/>
      <c r="F30" s="134"/>
      <c r="G30" s="134"/>
      <c r="H30" s="134"/>
      <c r="I30" s="134"/>
      <c r="J30" s="134"/>
      <c r="K30" s="134"/>
      <c r="L30" s="134"/>
      <c r="M30" s="134"/>
      <c r="N30" s="135"/>
      <c r="O30" s="92"/>
    </row>
    <row r="31" spans="1:28" ht="24.6" x14ac:dyDescent="0.4">
      <c r="B31" s="136"/>
      <c r="C31" s="137"/>
      <c r="D31" s="137"/>
      <c r="E31" s="137"/>
      <c r="F31" s="137"/>
      <c r="G31" s="137"/>
      <c r="H31" s="137"/>
      <c r="I31" s="137"/>
      <c r="J31" s="137"/>
      <c r="K31" s="137"/>
      <c r="L31" s="137"/>
      <c r="M31" s="137"/>
      <c r="N31" s="138"/>
      <c r="O31" s="92"/>
    </row>
    <row r="32" spans="1:28" ht="24.6" x14ac:dyDescent="0.4">
      <c r="B32" s="136" t="s">
        <v>39</v>
      </c>
      <c r="C32" s="137"/>
      <c r="D32" s="137"/>
      <c r="E32" s="137"/>
      <c r="F32" s="137"/>
      <c r="G32" s="137"/>
      <c r="H32" s="137"/>
      <c r="I32" s="137"/>
      <c r="J32" s="137"/>
      <c r="K32" s="137"/>
      <c r="L32" s="137"/>
      <c r="M32" s="137"/>
      <c r="N32" s="138"/>
      <c r="O32" s="92"/>
    </row>
    <row r="33" spans="2:16" ht="24.6" x14ac:dyDescent="0.4">
      <c r="B33" s="136" t="s">
        <v>40</v>
      </c>
      <c r="C33" s="137"/>
      <c r="D33" s="137"/>
      <c r="E33" s="137"/>
      <c r="F33" s="137"/>
      <c r="G33" s="137"/>
      <c r="H33" s="137"/>
      <c r="I33" s="137"/>
      <c r="J33" s="137"/>
      <c r="K33" s="137"/>
      <c r="L33" s="137"/>
      <c r="M33" s="137"/>
      <c r="N33" s="138"/>
      <c r="O33" s="92"/>
    </row>
    <row r="34" spans="2:16" s="112" customFormat="1" ht="24.6" x14ac:dyDescent="0.4">
      <c r="B34" s="107" t="s">
        <v>81</v>
      </c>
      <c r="C34" s="108"/>
      <c r="D34" s="108"/>
      <c r="E34" s="108"/>
      <c r="F34" s="108"/>
      <c r="G34" s="113"/>
      <c r="H34" s="113"/>
      <c r="I34" s="108"/>
      <c r="J34" s="108"/>
      <c r="K34" s="108"/>
      <c r="L34" s="108"/>
      <c r="M34" s="114" t="s">
        <v>82</v>
      </c>
      <c r="N34" s="116" t="b">
        <f>IF(M34="ALAA",507963328, IF(M34="BACHIR",525246969,IF(M34="JIHAN",566201266, IF(M34="RAMY",505277871, IF(M34="SIMON",505140337,IF(M34="SUJITH",551079817, IF(M34="PRAVEEN",506367792,IF(M34="MHAREN",529224059, IF(M34="MOSSALLEM",505185577,IF(M34="RANJITH",554989288, IF(M34="KHALED",552319494)))))))))))</f>
        <v>0</v>
      </c>
      <c r="O34" s="115"/>
      <c r="P34" s="115"/>
    </row>
    <row r="35" spans="2:16" x14ac:dyDescent="0.35">
      <c r="B35" s="70"/>
      <c r="C35" s="71"/>
      <c r="D35" s="71"/>
      <c r="E35" s="71"/>
      <c r="F35" s="71"/>
      <c r="G35" s="71"/>
      <c r="H35" s="71"/>
      <c r="I35" s="71"/>
      <c r="J35" s="71"/>
      <c r="K35" s="71"/>
      <c r="L35" s="71"/>
      <c r="M35" s="71"/>
      <c r="N35" s="72"/>
    </row>
    <row r="36" spans="2:16" x14ac:dyDescent="0.35">
      <c r="B36" s="70"/>
      <c r="C36" s="71"/>
      <c r="D36" s="71"/>
      <c r="E36" s="71"/>
      <c r="F36" s="71"/>
      <c r="G36" s="71"/>
      <c r="H36" s="71"/>
      <c r="I36" s="71"/>
      <c r="J36" s="71"/>
      <c r="K36" s="71"/>
      <c r="L36" s="71"/>
      <c r="M36" s="71"/>
      <c r="N36" s="72"/>
    </row>
    <row r="37" spans="2:16" x14ac:dyDescent="0.35">
      <c r="B37" s="70"/>
      <c r="C37" s="71"/>
      <c r="D37" s="71"/>
      <c r="E37" s="71"/>
      <c r="F37" s="71"/>
      <c r="G37" s="71"/>
      <c r="H37" s="71"/>
      <c r="I37" s="71"/>
      <c r="J37" s="71"/>
      <c r="K37" s="71"/>
      <c r="L37" s="71"/>
      <c r="M37" s="71"/>
      <c r="N37" s="72"/>
    </row>
    <row r="38" spans="2:16" ht="21" x14ac:dyDescent="0.4">
      <c r="B38" s="73" t="s">
        <v>64</v>
      </c>
      <c r="C38" s="74"/>
      <c r="D38" s="75"/>
      <c r="E38" s="76"/>
      <c r="F38" s="76"/>
      <c r="G38" s="76"/>
      <c r="H38" s="76"/>
      <c r="I38" s="76"/>
      <c r="J38" s="77"/>
      <c r="K38" s="76"/>
      <c r="L38" s="76"/>
      <c r="M38" s="76"/>
      <c r="N38" s="78"/>
    </row>
    <row r="39" spans="2:16" ht="21" x14ac:dyDescent="0.4">
      <c r="B39" s="73" t="s">
        <v>65</v>
      </c>
      <c r="C39" s="79"/>
      <c r="D39" s="75"/>
      <c r="E39" s="76"/>
      <c r="F39" s="76"/>
      <c r="G39" s="76"/>
      <c r="H39" s="76"/>
      <c r="I39" s="76"/>
      <c r="J39" s="77"/>
      <c r="K39" s="76"/>
      <c r="L39" s="76"/>
      <c r="M39" s="76"/>
      <c r="N39" s="80"/>
    </row>
    <row r="40" spans="2:16" ht="21" x14ac:dyDescent="0.35">
      <c r="B40" s="73" t="s">
        <v>66</v>
      </c>
      <c r="C40" s="81"/>
      <c r="D40" s="76"/>
      <c r="E40" s="76"/>
      <c r="F40" s="76"/>
      <c r="G40" s="76"/>
      <c r="H40" s="76"/>
      <c r="I40" s="76"/>
      <c r="J40" s="77"/>
      <c r="K40" s="76"/>
      <c r="L40" s="76"/>
      <c r="M40" s="76"/>
      <c r="N40" s="80"/>
    </row>
    <row r="41" spans="2:16" ht="21" x14ac:dyDescent="0.35">
      <c r="B41" s="73" t="s">
        <v>67</v>
      </c>
      <c r="C41" s="82"/>
      <c r="D41" s="83"/>
      <c r="E41" s="83"/>
      <c r="F41" s="83"/>
      <c r="G41" s="83"/>
      <c r="H41" s="83"/>
      <c r="I41" s="83"/>
      <c r="J41" s="83"/>
      <c r="K41" s="83"/>
      <c r="L41" s="83"/>
      <c r="M41" s="83"/>
      <c r="N41" s="84"/>
    </row>
    <row r="42" spans="2:16" ht="21" x14ac:dyDescent="0.35">
      <c r="B42" s="73" t="s">
        <v>77</v>
      </c>
      <c r="C42" s="82"/>
      <c r="D42" s="83"/>
      <c r="E42" s="83"/>
      <c r="F42" s="83"/>
      <c r="G42" s="83"/>
      <c r="H42" s="83"/>
      <c r="I42" s="83"/>
      <c r="J42" s="83"/>
      <c r="K42" s="83"/>
      <c r="L42" s="83"/>
      <c r="M42" s="83"/>
      <c r="N42" s="84"/>
    </row>
    <row r="43" spans="2:16" ht="21" x14ac:dyDescent="0.35">
      <c r="B43" s="73" t="s">
        <v>68</v>
      </c>
      <c r="C43" s="82"/>
      <c r="D43" s="83"/>
      <c r="E43" s="83"/>
      <c r="F43" s="83"/>
      <c r="G43" s="83"/>
      <c r="H43" s="83"/>
      <c r="I43" s="83"/>
      <c r="J43" s="83"/>
      <c r="K43" s="83"/>
      <c r="L43" s="83"/>
      <c r="M43" s="83"/>
      <c r="N43" s="84"/>
    </row>
    <row r="44" spans="2:16" ht="21" x14ac:dyDescent="0.35">
      <c r="B44" s="73" t="s">
        <v>69</v>
      </c>
      <c r="C44" s="82"/>
      <c r="D44" s="83"/>
      <c r="E44" s="83"/>
      <c r="F44" s="83"/>
      <c r="G44" s="83"/>
      <c r="H44" s="83"/>
      <c r="I44" s="83"/>
      <c r="J44" s="83"/>
      <c r="K44" s="83"/>
      <c r="L44" s="83"/>
      <c r="M44" s="83"/>
      <c r="N44" s="84"/>
    </row>
    <row r="45" spans="2:16" ht="21" x14ac:dyDescent="0.35">
      <c r="B45" s="73" t="s">
        <v>70</v>
      </c>
      <c r="C45" s="82"/>
      <c r="D45" s="83"/>
      <c r="E45" s="83"/>
      <c r="F45" s="83"/>
      <c r="G45" s="83"/>
      <c r="H45" s="83"/>
      <c r="I45" s="83"/>
      <c r="J45" s="83"/>
      <c r="K45" s="83"/>
      <c r="L45" s="83"/>
      <c r="M45" s="83"/>
      <c r="N45" s="84"/>
    </row>
    <row r="46" spans="2:16" ht="21" x14ac:dyDescent="0.35">
      <c r="B46" s="73" t="s">
        <v>71</v>
      </c>
      <c r="C46" s="82"/>
      <c r="D46" s="83"/>
      <c r="E46" s="83"/>
      <c r="F46" s="83"/>
      <c r="G46" s="83"/>
      <c r="H46" s="83"/>
      <c r="I46" s="83"/>
      <c r="J46" s="83"/>
      <c r="K46" s="83"/>
      <c r="L46" s="83"/>
      <c r="M46" s="83"/>
      <c r="N46" s="84"/>
    </row>
    <row r="47" spans="2:16" x14ac:dyDescent="0.35">
      <c r="B47" s="118" t="s">
        <v>39</v>
      </c>
      <c r="C47" s="119"/>
      <c r="D47" s="119"/>
      <c r="E47" s="119"/>
      <c r="F47" s="119"/>
      <c r="G47" s="119"/>
      <c r="H47" s="119"/>
      <c r="I47" s="119"/>
      <c r="J47" s="119"/>
      <c r="K47" s="119"/>
      <c r="L47" s="119"/>
      <c r="M47" s="119"/>
      <c r="N47" s="120"/>
      <c r="O47" s="92"/>
    </row>
    <row r="48" spans="2:16" x14ac:dyDescent="0.35">
      <c r="B48" s="118" t="s">
        <v>40</v>
      </c>
      <c r="C48" s="119"/>
      <c r="D48" s="119"/>
      <c r="E48" s="119"/>
      <c r="F48" s="119"/>
      <c r="G48" s="119"/>
      <c r="H48" s="119"/>
      <c r="I48" s="119"/>
      <c r="J48" s="119"/>
      <c r="K48" s="119"/>
      <c r="L48" s="119"/>
      <c r="M48" s="119"/>
      <c r="N48" s="120"/>
      <c r="O48" s="92"/>
    </row>
    <row r="49" spans="2:14" x14ac:dyDescent="0.35">
      <c r="B49" s="118" t="s">
        <v>72</v>
      </c>
      <c r="C49" s="119"/>
      <c r="D49" s="119"/>
      <c r="E49" s="119"/>
      <c r="F49" s="119"/>
      <c r="G49" s="119"/>
      <c r="H49" s="119"/>
      <c r="I49" s="119"/>
      <c r="J49" s="119"/>
      <c r="K49" s="119"/>
      <c r="L49" s="119"/>
      <c r="M49" s="119"/>
      <c r="N49" s="120"/>
    </row>
    <row r="50" spans="2:14" ht="25.8" x14ac:dyDescent="0.35">
      <c r="C50" s="15" t="s">
        <v>41</v>
      </c>
    </row>
    <row r="51" spans="2:14" ht="25.8" x14ac:dyDescent="0.35">
      <c r="C51" s="15" t="s">
        <v>42</v>
      </c>
    </row>
    <row r="52" spans="2:14" ht="25.8" x14ac:dyDescent="0.35">
      <c r="C52" s="15" t="s">
        <v>43</v>
      </c>
    </row>
    <row r="53" spans="2:14" ht="25.8" x14ac:dyDescent="0.35">
      <c r="C53" s="15" t="s">
        <v>44</v>
      </c>
    </row>
    <row r="54" spans="2:14" ht="25.8" x14ac:dyDescent="0.35">
      <c r="C54" s="15" t="s">
        <v>45</v>
      </c>
    </row>
  </sheetData>
  <mergeCells count="12">
    <mergeCell ref="B49:N49"/>
    <mergeCell ref="B1:N4"/>
    <mergeCell ref="F8:G8"/>
    <mergeCell ref="F9:G9"/>
    <mergeCell ref="G19:I19"/>
    <mergeCell ref="B22:N22"/>
    <mergeCell ref="B30:N30"/>
    <mergeCell ref="B31:N31"/>
    <mergeCell ref="B32:N32"/>
    <mergeCell ref="B33:N33"/>
    <mergeCell ref="B47:N47"/>
    <mergeCell ref="B48:N48"/>
  </mergeCells>
  <dataValidations count="11">
    <dataValidation type="list" allowBlank="1" showInputMessage="1" showErrorMessage="1" sqref="K21" xr:uid="{69FF54C7-4085-41DD-803C-C0A6207C07F8}">
      <formula1>"ADCB,ADCB PAY IN 2027,Ajman Bank,ADIB,DIB EXPAT,DIB LOCAL GVH,Emirates NBD,EIB,FAB,RAK,SIB STL,SIB NON STL"</formula1>
    </dataValidation>
    <dataValidation type="list" allowBlank="1" showInputMessage="1" showErrorMessage="1" sqref="D5" xr:uid="{285D760B-EF38-48C7-9BF7-E479A17B1FD7}">
      <formula1>"MIG09,MIG10,ATG16,ATP16,ATG17,ASG48,ASG43,ASG40,ASG42,ASG44,ASG45,ECG38,ECG37,ECG40,ECG43,XPML,XPHL,XPMLP, XPMLP-01, XC,OTF03,OTP03,OTF06,OTP06, OTP06-01,OTF08, OTP08,MOP57,MOG64,MOG59,MOG59P,MOG61,MOP61"</formula1>
    </dataValidation>
    <dataValidation type="list" allowBlank="1" showInputMessage="1" showErrorMessage="1" sqref="M21" xr:uid="{6A1AE8C4-99D0-4C0F-ACF8-5718B60C0656}">
      <formula1>"3000-4999,5000-9999,10000-14999,15000-24999,25000-34999,35000-99999,5000-11999,12000-19999,20000-39999,40000-69999,70000-99999"</formula1>
    </dataValidation>
    <dataValidation type="list" allowBlank="1" showInputMessage="1" showErrorMessage="1" sqref="K20" xr:uid="{115C9CAA-F2CD-456E-B875-735D6D6054FE}">
      <formula1>"Esaad,Emirates Platinum,Fazaa,Humat Alwatan,Permissible,ASX,XPMLP,XP,MON,MON G57,OUT,F08,P08,F06,P06,F03,P03,EC,G37,G38,G40,G43"</formula1>
    </dataValidation>
    <dataValidation type="list" allowBlank="1" showInputMessage="1" showErrorMessage="1" sqref="L19:L20 L24:L25 G14:G15 C10:C16 L10 J10" xr:uid="{73D903D0-01CD-44C9-8903-7C10C7AADED0}">
      <formula1>"YES,NO"</formula1>
    </dataValidation>
    <dataValidation type="list" allowBlank="1" showInputMessage="1" showErrorMessage="1" sqref="K24" xr:uid="{A52B955D-EFB6-49FA-95E1-EC6D3954226D}">
      <formula1>"RMC-10-70K,RMC-10-100000K,RMC-40-70K"</formula1>
    </dataValidation>
    <dataValidation type="list" allowBlank="1" showInputMessage="1" showErrorMessage="1" sqref="B16" xr:uid="{F5AC849C-5BDB-4276-B828-3DE9CFF10F57}">
      <formula1>"RMC-10-40KMS,RMC-10-60KMS,RMC-10-70KMS,RMC-10-100000KMS,RMC-40-70KMS,RMC-40-100000KMS"</formula1>
    </dataValidation>
    <dataValidation type="list" allowBlank="1" showInputMessage="1" showErrorMessage="1" sqref="B12" xr:uid="{E55AC275-18FD-4D4E-8B6F-F733E0D1A3A5}">
      <formula1>"FO Exterior ceramic All Cars SCOTCHGUARD,FO Mirror Camera Sensor,FO PPF Gold Package "</formula1>
    </dataValidation>
    <dataValidation type="list" allowBlank="1" showInputMessage="1" showErrorMessage="1" sqref="B11" xr:uid="{BFDE2F0C-041E-40BB-A3DC-44F79D499136}">
      <formula1>"FO Ceramic+ Intr&amp;Extr CeramicGold WdwTnt,FO Mirror Camera Sensor"</formula1>
    </dataValidation>
    <dataValidation type="list" allowBlank="1" showInputMessage="1" showErrorMessage="1" sqref="M34" xr:uid="{DB096E45-8C8C-4594-BA8A-E6BFAC07DB86}">
      <formula1>"Alaa,Bachir ,Khaled,Ramy,Simon,Mharen,Ranjith,Jihan,Praveen,Sujith,Mossallem"</formula1>
    </dataValidation>
    <dataValidation type="list" allowBlank="1" showInputMessage="1" showErrorMessage="1" sqref="H34" xr:uid="{98E672A1-95CE-48BA-8DA9-FF78BB7D3A50}">
      <formula1>"ALAA HAMMAD,KHALED QASSEM,RAMY RAOUF,SIMON LOBO,MHAREN CLEMENTE GARADO"</formula1>
    </dataValidation>
  </dataValidations>
  <pageMargins left="0.23622047244094491" right="0.23622047244094491" top="0.74803149606299213" bottom="0.74803149606299213" header="0.31496062992125984" footer="0.31496062992125984"/>
  <pageSetup paperSize="9" scale="37" orientation="landscape" horizontalDpi="4294967295" verticalDpi="4294967295"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CCC6E-F7D6-4E51-92CB-38F2FCE57964}">
  <sheetPr>
    <pageSetUpPr fitToPage="1"/>
  </sheetPr>
  <dimension ref="A1:AB54"/>
  <sheetViews>
    <sheetView topLeftCell="B1" zoomScaleNormal="100" workbookViewId="0">
      <selection activeCell="D5" sqref="D5"/>
    </sheetView>
  </sheetViews>
  <sheetFormatPr defaultColWidth="9.109375" defaultRowHeight="20.399999999999999" x14ac:dyDescent="0.35"/>
  <cols>
    <col min="1" max="1" width="16" style="1" hidden="1" customWidth="1"/>
    <col min="2" max="2" width="75.5546875" style="2" customWidth="1"/>
    <col min="3" max="3" width="25.5546875" style="3" customWidth="1"/>
    <col min="4" max="4" width="25.33203125" style="2" customWidth="1"/>
    <col min="5" max="5" width="22.6640625" style="2" customWidth="1"/>
    <col min="6" max="6" width="21" style="2" customWidth="1"/>
    <col min="7" max="7" width="25" style="2" customWidth="1"/>
    <col min="8" max="8" width="29.44140625" style="2" bestFit="1" customWidth="1"/>
    <col min="9" max="9" width="32.109375" style="2" bestFit="1" customWidth="1"/>
    <col min="10" max="10" width="22" style="2" customWidth="1"/>
    <col min="11" max="11" width="23.33203125" style="2" customWidth="1"/>
    <col min="12" max="12" width="31" style="2" customWidth="1"/>
    <col min="13" max="13" width="23.5546875" style="2" customWidth="1"/>
    <col min="14" max="14" width="21.109375" style="2" customWidth="1"/>
    <col min="15" max="15" width="14.44140625" style="83" bestFit="1" customWidth="1"/>
    <col min="16" max="16" width="21.6640625" style="83" hidden="1" customWidth="1"/>
    <col min="17" max="17" width="14.33203125" style="86" hidden="1" customWidth="1"/>
    <col min="18" max="18" width="12.88671875" style="86" hidden="1" customWidth="1"/>
    <col min="19" max="19" width="13" style="86" hidden="1" customWidth="1"/>
    <col min="20" max="20" width="17.109375" style="86" hidden="1" customWidth="1"/>
    <col min="21" max="21" width="21.5546875" style="86" customWidth="1"/>
    <col min="22" max="22" width="22.88671875" style="86" customWidth="1"/>
    <col min="23" max="26" width="17.109375" style="86" bestFit="1" customWidth="1"/>
    <col min="27" max="27" width="15" style="86" customWidth="1"/>
    <col min="28" max="28" width="14.33203125" style="86" bestFit="1" customWidth="1"/>
    <col min="29" max="16384" width="9.109375" style="1"/>
  </cols>
  <sheetData>
    <row r="1" spans="1:28" ht="15.75" customHeight="1" x14ac:dyDescent="0.35">
      <c r="B1" s="121" t="s">
        <v>46</v>
      </c>
      <c r="C1" s="122"/>
      <c r="D1" s="122"/>
      <c r="E1" s="122"/>
      <c r="F1" s="122"/>
      <c r="G1" s="122"/>
      <c r="H1" s="122"/>
      <c r="I1" s="122"/>
      <c r="J1" s="122"/>
      <c r="K1" s="122"/>
      <c r="L1" s="122"/>
      <c r="M1" s="122"/>
      <c r="N1" s="123"/>
    </row>
    <row r="2" spans="1:28" ht="15.75" customHeight="1" x14ac:dyDescent="0.35">
      <c r="B2" s="124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6"/>
      <c r="Q2" s="83"/>
      <c r="S2" s="87"/>
    </row>
    <row r="3" spans="1:28" ht="15.75" customHeight="1" x14ac:dyDescent="0.35">
      <c r="B3" s="124"/>
      <c r="C3" s="125"/>
      <c r="D3" s="125"/>
      <c r="E3" s="125"/>
      <c r="F3" s="125"/>
      <c r="G3" s="125"/>
      <c r="H3" s="125"/>
      <c r="I3" s="125"/>
      <c r="J3" s="125"/>
      <c r="K3" s="125"/>
      <c r="L3" s="125"/>
      <c r="M3" s="125"/>
      <c r="N3" s="126"/>
      <c r="O3" s="82"/>
      <c r="P3" s="82"/>
      <c r="Q3" s="81"/>
      <c r="R3" s="81"/>
      <c r="S3" s="88" t="e">
        <f>N7+J14</f>
        <v>#VALUE!</v>
      </c>
      <c r="T3" s="88"/>
      <c r="U3" s="81"/>
      <c r="V3" s="81"/>
      <c r="W3" s="81"/>
      <c r="AA3" s="86">
        <f>273000/5</f>
        <v>54600</v>
      </c>
    </row>
    <row r="4" spans="1:28" ht="15.75" customHeight="1" x14ac:dyDescent="0.4">
      <c r="B4" s="127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9"/>
      <c r="O4" s="89" t="s">
        <v>0</v>
      </c>
      <c r="P4" s="89"/>
      <c r="Q4" s="90"/>
      <c r="R4" s="90"/>
      <c r="S4" s="91"/>
      <c r="T4" s="91"/>
      <c r="U4" s="90" t="s">
        <v>1</v>
      </c>
      <c r="V4" s="90" t="s">
        <v>2</v>
      </c>
      <c r="W4" s="90" t="s">
        <v>3</v>
      </c>
    </row>
    <row r="5" spans="1:28" ht="25.2" thickBot="1" x14ac:dyDescent="0.45">
      <c r="B5" s="17">
        <f ca="1">TODAY()</f>
        <v>46215</v>
      </c>
      <c r="C5" s="18" t="str">
        <f>IF(D5="MIG09","Mirage G09",IF(D5="MIG10","MirageG10",IF(D5="ATG16","Attrage G16",IF(D5="ATP16","Attrage P16",IF(D5="ATG17","Attrage G17",IF(D5="ASG48","ASX G48",IF(D5="ASG43","ASX G43", IF(D5="ASG40","ASXG40",IF(D5="ASG42","ASX G42",IF(D5="ASG44","ASX G44",IF(D5="ASG45","ASX G45",IF(D5="ECG38","Eclipse G38",IF(D5="ECG37","Eclipse G37",IF(D5="ECG40","Eclipse G40",IF(D5="ECG43","Eclipse G43",IF(D5="XPML","Xpander ML",IF(D5="XPHL","Xpander HL",IF(D5="XPMLP","Xpander ML P",IF(D5="XPMLP-01","Xpander ML P-01",IF(D5="XC","Xpander Cross", IF(D5="OTF03","Outlander F03",IF(D5="OTP03","Outlander P03",IF(D5="OTF06","Outlander F06",IF(D5="OTP06","Outlander P06",IF(D5="OTP06-01","Outlander P06-01",IF(D5="OTF08","Outlander F08",IF(D5="OTP08","Outlander P08P", IF(D5="MOP57","Montero P57",IF(D5="MOG64","Montero G64",IF(D5="MOG59","Montero G59",IF(D5="MOG59P","Montero G59 P",IF(D5="MOG61","Montero G61",IF(D5="MOP61","Montero P61")))))))))))))))))))))))))))))))))</f>
        <v>Xpander ML P</v>
      </c>
      <c r="D5" s="19" t="s">
        <v>103</v>
      </c>
      <c r="E5" s="20" t="s">
        <v>47</v>
      </c>
      <c r="F5" s="21"/>
      <c r="G5" s="21"/>
      <c r="H5" s="21"/>
      <c r="I5" s="22"/>
      <c r="J5" s="23"/>
      <c r="K5" s="24">
        <v>0</v>
      </c>
      <c r="L5" s="25">
        <v>3.39E-2</v>
      </c>
      <c r="M5" s="25">
        <v>6.7799999999999999E-2</v>
      </c>
      <c r="N5" s="25">
        <v>0.1017</v>
      </c>
      <c r="O5" s="92">
        <f>K7+K14</f>
        <v>8755.9132791000011</v>
      </c>
      <c r="S5" s="87"/>
      <c r="U5" s="87">
        <f>L7+L14</f>
        <v>3567.8140743083331</v>
      </c>
      <c r="V5" s="87">
        <f>M7+M14</f>
        <v>2386.6452583499999</v>
      </c>
      <c r="W5" s="87">
        <f>N7+N14</f>
        <v>1653.8277409749999</v>
      </c>
    </row>
    <row r="6" spans="1:28" s="5" customFormat="1" ht="128.25" customHeight="1" thickBot="1" x14ac:dyDescent="0.35">
      <c r="A6" s="4" t="s">
        <v>4</v>
      </c>
      <c r="B6" s="26" t="s">
        <v>5</v>
      </c>
      <c r="C6" s="27" t="s">
        <v>6</v>
      </c>
      <c r="D6" s="27" t="s">
        <v>48</v>
      </c>
      <c r="E6" s="27" t="s">
        <v>7</v>
      </c>
      <c r="F6" s="27" t="s">
        <v>8</v>
      </c>
      <c r="G6" s="28" t="s">
        <v>9</v>
      </c>
      <c r="H6" s="28" t="s">
        <v>49</v>
      </c>
      <c r="I6" s="28" t="s">
        <v>10</v>
      </c>
      <c r="J6" s="28" t="s">
        <v>56</v>
      </c>
      <c r="K6" s="28" t="s">
        <v>11</v>
      </c>
      <c r="L6" s="28" t="s">
        <v>12</v>
      </c>
      <c r="M6" s="28" t="s">
        <v>13</v>
      </c>
      <c r="N6" s="28" t="s">
        <v>14</v>
      </c>
      <c r="O6" s="93"/>
      <c r="P6" s="94"/>
      <c r="Q6" s="95"/>
      <c r="R6" s="95"/>
      <c r="S6" s="95"/>
      <c r="T6" s="96"/>
      <c r="U6" s="96">
        <f>N7+L14</f>
        <v>2802.2195409749997</v>
      </c>
      <c r="V6" s="96">
        <f>N7+K14</f>
        <v>7033.3255790999992</v>
      </c>
      <c r="W6" s="96"/>
      <c r="X6" s="95"/>
      <c r="Y6" s="95"/>
      <c r="Z6" s="95"/>
      <c r="AA6" s="95"/>
      <c r="AB6" s="95"/>
    </row>
    <row r="7" spans="1:28" ht="25.2" thickBot="1" x14ac:dyDescent="0.45">
      <c r="A7" s="6">
        <f>B8</f>
        <v>69900</v>
      </c>
      <c r="B7" s="29">
        <f>IF(L20="YES",C8*1,IF(L20="NO",B8*1))</f>
        <v>69900</v>
      </c>
      <c r="C7" s="29">
        <f>B7*5/100</f>
        <v>3495</v>
      </c>
      <c r="D7" s="29">
        <f>B7+C7</f>
        <v>73395</v>
      </c>
      <c r="E7" s="29">
        <f>D17</f>
        <v>12429.385</v>
      </c>
      <c r="F7" s="29">
        <f>(C7)+(D10+D11+D12+D13+D16)*5/100</f>
        <v>3800</v>
      </c>
      <c r="G7" s="30">
        <f>B7+E7+F7</f>
        <v>86129.384999999995</v>
      </c>
      <c r="H7" s="29">
        <f>G7*D20</f>
        <v>17225.877</v>
      </c>
      <c r="I7" s="29">
        <f>(G7-H7)</f>
        <v>68903.508000000002</v>
      </c>
      <c r="J7" s="30">
        <f>(((I7*D19)*1)+I7)/12</f>
        <v>5884.9337790999998</v>
      </c>
      <c r="K7" s="30">
        <f>(((I7*D19)*2)+I7)/24</f>
        <v>3013.9542791000003</v>
      </c>
      <c r="L7" s="30">
        <f>(((I7*D19)*3)+I7)/36</f>
        <v>2056.9611124333333</v>
      </c>
      <c r="M7" s="30">
        <f>(((I7*D19)*4)+I7)/48</f>
        <v>1578.4645290999999</v>
      </c>
      <c r="N7" s="30">
        <f>((((I7*D19)*5)+I7)/60)</f>
        <v>1291.3665790999999</v>
      </c>
      <c r="O7" s="92"/>
      <c r="P7" s="83">
        <f>H7+H16</f>
        <v>17949.363834</v>
      </c>
      <c r="T7" s="87">
        <f>25973/2</f>
        <v>12986.5</v>
      </c>
    </row>
    <row r="8" spans="1:28" ht="24.6" x14ac:dyDescent="0.4">
      <c r="A8" s="7">
        <v>0.2</v>
      </c>
      <c r="B8" s="31">
        <f>IF(D5="MIG09",39900,IF(D5="MIG10",40400,IF(D5="ATG16",40400,IF(D5="ATP16",49900,IF(D5="ATG17",41900,IF(D5="ASG48",63900,IF(D5="ASG43",62900,IF(D5="ASG40",63900,IF(D5="ASG42",68900,IF(D5="ASG44",89900,IF(D5="ASG45",95900,IF(D5="ECG38",73900,IF(D5="ECG37",70900,IF(D5="ECG40",86900,IF(D5="ECG43",91900,IF(D5="XPML",62900,IF(D5="XPHL",62900,IF(D5="XPMLP",69900,IF(D5="XPMLP-01",77800,IF(D5="XC",77900,IF(D5="OTF03",96900,IF(D5="OTP03",79900,IF(D5="OTF06",92900,IF(D5="OTP06",111900,IF(D5="OTP06-01",118900,IF(D5="OTF08",122900,IF(D5="OTP08",109900,IF(D5="MOP57",99900,IF(D5="MOG64",108900,IF(D5="MOG59",116900,IF(D5="MOG59P",110900,IF(D5="MOG61",127900,IF(D5="MOP61",125900)))))))))))))))))))))))))))))))))</f>
        <v>69900</v>
      </c>
      <c r="C8" s="32">
        <f>IF(L20="YES",N20,IF(L20="NO",N20))</f>
        <v>69900</v>
      </c>
      <c r="D8" s="29">
        <v>0</v>
      </c>
      <c r="E8" s="33"/>
      <c r="F8" s="139"/>
      <c r="G8" s="140"/>
      <c r="H8" s="110">
        <f>G7*20/100</f>
        <v>17225.877</v>
      </c>
      <c r="I8" s="21"/>
      <c r="J8" s="34" t="s">
        <v>15</v>
      </c>
      <c r="K8" s="23">
        <f>(J7*K5+J7)/24</f>
        <v>245.20557412916665</v>
      </c>
      <c r="L8" s="23">
        <f>(J7*L5+J7)/36</f>
        <v>169.01202872809694</v>
      </c>
      <c r="M8" s="23">
        <f>(J7*M5+J7)/48</f>
        <v>130.91525602756209</v>
      </c>
      <c r="N8" s="23">
        <f>(J7*N5+J7)/60</f>
        <v>108.05719240724117</v>
      </c>
      <c r="O8" s="92"/>
      <c r="P8" s="83">
        <f>P7/12</f>
        <v>1495.7803194999999</v>
      </c>
      <c r="T8" s="86">
        <f>25973-12973</f>
        <v>13000</v>
      </c>
    </row>
    <row r="9" spans="1:28" ht="24.6" x14ac:dyDescent="0.4">
      <c r="A9" s="8">
        <f>B8/(100%-A8)</f>
        <v>87375</v>
      </c>
      <c r="B9" s="109">
        <f>B7-B8</f>
        <v>0</v>
      </c>
      <c r="C9" s="35"/>
      <c r="D9" s="36"/>
      <c r="E9" s="33"/>
      <c r="F9" s="139"/>
      <c r="G9" s="140"/>
      <c r="H9" s="33"/>
      <c r="I9" s="37" t="s">
        <v>16</v>
      </c>
      <c r="J9" s="38">
        <f>(J7*12)-(I7)</f>
        <v>1715.6973491999961</v>
      </c>
      <c r="K9" s="38">
        <f>(K7*24)-I7</f>
        <v>3431.3946984000067</v>
      </c>
      <c r="L9" s="38">
        <f>(L7*36)-I7</f>
        <v>5147.0920475999883</v>
      </c>
      <c r="M9" s="38">
        <f>(M7*48)-I7</f>
        <v>6862.7893967999989</v>
      </c>
      <c r="N9" s="38">
        <f>(N7*60)-I7</f>
        <v>8578.486745999995</v>
      </c>
      <c r="O9" s="92"/>
      <c r="T9" s="86">
        <f>T8/12</f>
        <v>1083.3333333333333</v>
      </c>
      <c r="Z9" s="86" t="s">
        <v>86</v>
      </c>
    </row>
    <row r="10" spans="1:28" ht="24.6" x14ac:dyDescent="0.4">
      <c r="A10" s="8"/>
      <c r="B10" s="37" t="s">
        <v>50</v>
      </c>
      <c r="C10" s="20" t="s">
        <v>17</v>
      </c>
      <c r="D10" s="36">
        <f>IF(C10="YES",800,IF(C10="NO",0))</f>
        <v>0</v>
      </c>
      <c r="E10" s="39"/>
      <c r="F10" s="40"/>
      <c r="G10" s="40"/>
      <c r="H10" s="33"/>
      <c r="I10" s="44" t="s">
        <v>85</v>
      </c>
      <c r="J10" s="117" t="s">
        <v>19</v>
      </c>
      <c r="K10" s="117">
        <f>IF(J10="YES",Z10,IF(J10="NO",0))</f>
        <v>1000</v>
      </c>
      <c r="L10" s="117"/>
      <c r="M10" s="117"/>
      <c r="N10" s="41">
        <f>(N8*60)-J7</f>
        <v>598.49776533447039</v>
      </c>
      <c r="O10" s="92">
        <f>IF(D5="XC",3690,IF(D5="XPML",3690,IF(D5="XPHL",3690,IF(D5="XPMLP",3690,IF(D5="XPMLP-01",3690,IF(D5="Xpander P",3690,IF(D5="MOP57",(U19*2.75/100+510)*1.05,IF(D5="MOG64",(U19*2.75/100+510)*1.05,IF(D5="MOG59",(U19*2.75/100+510)*1.05,IF(D5="MOG59P",(U19*2.75/100+510)*1.05,IF(D5="MOG61",(U19*2.75/100+510)*1.05,IF(D5="MOP61",(U19*2.75/100+510)*1.05,IF(D5="OTF03",(D7*3/100+510)*1.05,IF(D5="OTP03",(U19*3/100+510)*1.05,IF(D5="OTF06",(U19*3/100+510)*1.05,IF(D5="OTP06",(U19*3/100+510)*1.05,IF(D5="OTP06-01",(U19*3/100+510)*1.05,IF(D5="OTF08",(U19*3/100+510)*1.05,IF(D5="OTP08",(U19*3/100+510)*1.05,IF(D5="ECG38",3625,IF(D5="ECG37",3625,IF(D5="ECG40",(D7*3/100+510)*1.05,IF(D5="ECG43",(D7*3/100+510)*1.05,IF(D5="ASG48",3625,IF(D5="ASG43",3625,IF(D5="ASG40",3625,IF(D5="ASG42",3625,IF(D5="ASG44",3625,IF(D5="ASG45",3625,IF(D5="ASX HL 4WD",3625,IF(D5="ATG16",3625,IF(D5="ATG17",3625,IF(D5="ATP16",3625,IF(D5="Attrage S",3625,IF(D5="MIG09",3625,IF(D5="MIG10",3625,IF(D5="Xpander HL",3690)))))))))))))))))))))))))))))))))))))</f>
        <v>3690</v>
      </c>
      <c r="P10" s="97"/>
      <c r="Q10" s="97">
        <f>5.25*3</f>
        <v>15.75</v>
      </c>
      <c r="Z10" s="86">
        <f>IF(D5="MIG09",500,IF(D5="MIG10",500,IF(D5="ATG16",500,IF(D5="ATP16",500,IF(D5="ATG17",500,IF(D5="ASG48",1000,IF(D5="ASG43",1000,IF(D5="ASG40",1000,IF(D5="ASG42",1000,IF(D5="ASG44",1000,IF(D5="ASG45",1000,IF(D5="ECG38",1000,IF(D5="ECG37",1000,IF(D5="ECG40",1000,IF(D5="ECG43",1000,IF(D5="XPML",1000,IF(D5="XPHL",1000,IF(D5="XPMLP",1000,IF(D5="XPMLP-01",1000,IF(D5="XC",1000,IF(D5="OTF03",1000,IF(D5="OTP03",1000,IF(D5="OTF06",1000,IF(D5="OTP06",1000,IF(D5="OTP06-01",1000,IF(D5="OTF08",1000,IF(D5="OTP08",1000,IF(D5="MOP57",1000,IF(D5="MOG64",1000,IF(D5="MOG59",1000,IF(D5="MOG59P",1000,IF(D5="MOG61",1000,IF(D5="MOP61",1000)))))))))))))))))))))))))))))))))</f>
        <v>1000</v>
      </c>
    </row>
    <row r="11" spans="1:28" ht="24.6" x14ac:dyDescent="0.4">
      <c r="A11" s="8"/>
      <c r="B11" s="37" t="s">
        <v>18</v>
      </c>
      <c r="C11" s="20" t="s">
        <v>17</v>
      </c>
      <c r="D11" s="36">
        <f>IF(C11="YES",O17,IF(C11="NO",0))</f>
        <v>0</v>
      </c>
      <c r="E11" s="33"/>
      <c r="F11" s="40"/>
      <c r="G11" s="40"/>
      <c r="H11" s="33"/>
      <c r="I11" s="21"/>
      <c r="J11" s="44" t="s">
        <v>76</v>
      </c>
      <c r="K11" s="44">
        <f>H8-K10</f>
        <v>16225.877</v>
      </c>
      <c r="L11" s="37"/>
      <c r="M11" s="37"/>
      <c r="N11" s="42"/>
      <c r="O11" s="92">
        <f>IF(D5="XC",6100,IF(D5="XPML",6100,IF(D5="XPHL",6100,IF(D5="XPMLP",6100,IF(D5="XPMLP-01",6100,IF(D5="Xpander P",6100,IF(D5="MOP57",5900,IF(D5="MOG64",5900,IF(D5="MOG59",5900,IF(D5="MOG59P",5900,IF(D5="MOG61",5900,IF(D5="MOP61",5900,IF(D5="OTF03",6700,IF(D5="OTP03",6700,IF(D5="OTF06",6700,IF(D5="OTP06",6700,IF(D5="OTP06-01",6700,IF(D5="OTF08",6700,IF(D5="OTP08",6700,IF(D5="ECG37",6400,IF(D5="ECG38",6400,IF(D5="ECG40",6400,IF(D5="ECG43",6400,IF(D5="ASG48",6600,IF(D5="ASG43",6600,IF(D5="ASG40",6600,IF(D5="ASG42",6600,IF(D5="ASG44",6600,IF(D5="ASG45",6600,IF(D5="ASX HL 4WD",6600,IF(D5="ATG16",5400,IF(D5="ATG17",5400,IF(D5="ATP16",5400,IF(D5="Attrage S",5400,IF(D5="MIG09",5400,IF(D5="MIG10",5400,IF(D5="Xpander HL",6000)))))))))))))))))))))))))))))))))))))</f>
        <v>6100</v>
      </c>
      <c r="P11" s="92"/>
      <c r="Q11" s="92"/>
      <c r="R11" s="92"/>
      <c r="S11" s="92"/>
      <c r="T11" s="92"/>
      <c r="U11" s="92">
        <f>IF(D5="XC",4900,IF(D5="XPML",4900,IF(D5="XPHL",4900,IF(D5="XPMLP",4900,IF(D5="XPMLP-01",4900,IF(D5="Xpander P",4900,IF(D5="MOP57",4600,IF(D5="MOG64",4600,IF(D5="MOG59",4600,IF(D5="MOG59P",4600,IF(D5="MOG61",4600,IF(D5="MOP61",4600,IF(D5="OTF03",5500,IF(D5="OTP03",5500,IF(D5="OTF06",5500,IF(D5="OTP06",5500,IF(D5="OTP06-01",5500,IF(D5="OTF08",5500,IF(D5="OTP08",5500,IF(D5="ECG38",5200,IF(D5="ECG37",5200,IF(D5="ECG40",5200,IF(D5="ECG43",5200,IF(D5="ASG48",5300,IF(D5="ASG43",5300,IF(D5="ASG40",5300,IF(D5="ASG42",5300,IF(D5="ASG44",5300,IF(D5="ASG45",5300,IF(D5="ASX HL",5300,IF(D5="ASX P",5300,IF(D5="ASX HL 4WD",5300,IF(D5="ATG16",4200,IF(D5="ATG17",4200,IF(D5="ATP16",4200,IF(D5="Attrage S",4200,IF(D5="MIG09",4200,IF(D5="MIG10",4200,IF(D5="Xpander HL",4900)))))))))))))))))))))))))))))))))))))))</f>
        <v>4900</v>
      </c>
      <c r="V11" s="92">
        <f>IF(D5="XC",9700,IF(D5="XPML",9700,IF(D5="XPHL",9700,IF(D5="XPMLP",9700,IF(D5="XPMLP-01",9700,IF(D5="XPMLP-01",9700,IF(D5="Xpander P",9700,IF(D5="MOP57",9300,IF(D5="MG64",9300,IF(D5="MOG59",9300,IF(D5="MOG59P",9300,IF(D5="MOG61",9300,IF(D5="MOP61",9300,IF(D5="OTF03",11000,IF(D5="OTP03",11000,IF(D5="OTF06",11000,IF(D5="OTP06",11000,IF(D5="OTP06-01",11000,IF(D5="OTF08",11000,IF(D5="OTP08",11000,IF(D5="ECG38",10400,IF(D5="ECG37",10400,IF(D5="ECG40",10400,IF(D5="ECG43",10400,IF(D5="ASG48",10700,IF(D5="ASG43",10700,IF(D5="ASG40",10700,IF(D5="ASG42",10700,IF(D5="ASG44",10800,IF(D5="ASG45",10800,IF(D5="ASX HL",12200,IF(D5="ASX P",12200,IF(D5="ASX HL 4WD",12200,IF(D5="ATG16",8500,IF(D5="ATG17",8500,IF(D5="ATP16",8500,IF(D5="Attrage S",9600,IF(D5="MIG09",8500,IF(D5="MIG10",8500,IF(D5="Xpander HL",11300))))))))))))))))))))))))))))))))))))))))</f>
        <v>9700</v>
      </c>
      <c r="W11" s="92">
        <f>IF(D5="XC",9200,IF(D5="XPML",9200,IF(D5="XPHL",9200,IF(D5="XPMLP",9200,IF(D5="XPMLP-01",9200,IF(D5="Xpander P",9200,IF(D5="MOP57",8700,IF(D5="MOG64",8700,IF(D5="MOG59",8700,IF(D5="MOG59P",8700,IF(D5="MOG61",8700,IF(D5="MOP61",8700,IF(D5="OTF03",10400,IF(D5="OTP03",10400,IF(D5="OTF06",10400,IF(D5="OTP06",10400,IF(D5="OTP06-01",10400,IF(D5="OTF08",10400,IF(D5="OTP08",10400,IF(D5="ECG38",9800,IF(D5="ECG37",9800,IF(D5="ECG40",9800,IF(D5="ECG43",9800,IF(D5="ASG48",10100,IF(D5="ASG43",10100,IF(D5="ASG40",10100,IF(D5="ASG42",10100,IF(D5="ASG44",10100,IF(D5="ASG45",10100,IF(D5="ASX HL",10100,IF(D5="ASX P",10100,IF(D5="ASX HL 4WD",10100,IF(D5="ATG16",7900,IF(D5="ATG17",7900,IF(D5="ATP16",7900,IF(D5="Attrage S",7900,IF(D5="MIG09",7900,IF(D5="MIG10",7900,IF(D5="Xpander HL",9200)))))))))))))))))))))))))))))))))))))))</f>
        <v>9200</v>
      </c>
      <c r="X11" s="92">
        <f>IF(D5="XC",4500,IF(D5="XPML",4500,IF(D5="XPHL",4500,IF(D5="XPMLP",4500,IF(D5="XPMLP-01",4500,IF(D5="Xpander P",4500,IF(D5="MOP57",4300,IF(D5="MOG64",4300,IF(D5="MOG59",4300,IF(D5="MOG59P",4300,IF(D5="MOG61",4300,IF(D5="MOP61",4300,IF(D5="OTF03",5000,IF(D5="OTP03",5000,IF(D5="OTF06",5000,IF(D5="OTP06",5000,IF(D5="OTP06-01",5000,IF(D5="OTF08",5000,IF(D5="OTP08",5000,IF(D5="ECG38",4900,IF(D5="ECG37",4900,IF(D5="ECG40",4900,IF(D5="ECG43",4900,IF(D5="ASG48",4900,IF(D5="ASG43",4900,IF(D5="ASG40",4900,IF(D5="ASG42",4900,IF(D5="ASG44",4900,IF(D5="ASG45",4900,IF(D5="ASX HL",4900,IF(D5="ASX P",4900,IF(D5="ASX HL 4WD",4900,IF(D5="ATG16",3700,IF(D5="ATG17",3700,IF(D5="ATP16",3700,IF(D5="Attrage S",3700,IF(D5="MIG09",3700,IF(D5="MIG10",3700,IF(D5="Xpander HL",4500)))))))))))))))))))))))))))))))))))))))</f>
        <v>4500</v>
      </c>
      <c r="Y11" s="92">
        <f>IF(D5="XC",5400,IF(D5="XPML ",5400,IF(D5="XPHL",5400,IF(D5="XPMLP",5400,IF(D5="XPMLP-01",5400,IF(D5="Xpander P",5400,IF(D5="MOP57",5200,IF(D5="MOG64",5200,IF(D5="MOG59",5200,IF(D5="MOG59P",5200,IF(D5="MOG61",5200,IF(D5="MOP61",5200,IF(D5="OTF03",6000,IF(D5="OTP03",6000,IF(D5="OTF06",6000,IF(D5="OTP06",6000,IF(D5="OTP06-01",6000,IF(D5="OTF08",6000,IF(D5="OTP08",6000,IF(D5="ECG38",5700,IF(D5="ECG37",5700,IF(D5="ECG40",5700,IF(D5="ECG43",5700,IF(D5="ASG48",5900,IF(D5="ASG43",5900,IF(D5="ASG40",5900,IF(D5="ASG42",5900,IF(D5="ASG44",5900,IF(D5="ASG45",5900,IF(D5="ASX HL",5900,IF(D5="ASX P",5900,IF(D5="ASX HL 4WD",5900,IF(D5="ATG16",4500,IF(D5="ATG17",4500,IF(D5="ATP16",4500,IF(D5="Attrage S",4500,IF(D5="MIG09",4500,IF(D5="MIG10",4500,IF(D5="Xpander HL",5400)))))))))))))))))))))))))))))))))))))))</f>
        <v>5400</v>
      </c>
    </row>
    <row r="12" spans="1:28" ht="24.75" customHeight="1" x14ac:dyDescent="0.4">
      <c r="A12" s="8"/>
      <c r="B12" s="37" t="s">
        <v>20</v>
      </c>
      <c r="C12" s="20" t="s">
        <v>17</v>
      </c>
      <c r="D12" s="36">
        <f>IF(C12="YES",2000,IF(C12="NO",0))</f>
        <v>0</v>
      </c>
      <c r="E12" s="43"/>
      <c r="F12" s="43" t="s">
        <v>21</v>
      </c>
      <c r="G12" s="40"/>
      <c r="H12" s="33">
        <v>600</v>
      </c>
      <c r="I12" s="21"/>
      <c r="J12" s="44" t="s">
        <v>22</v>
      </c>
      <c r="K12" s="45">
        <v>0</v>
      </c>
      <c r="L12" s="45">
        <v>5.2499999999999998E-2</v>
      </c>
      <c r="M12" s="45">
        <v>0.126</v>
      </c>
      <c r="N12" s="46">
        <v>0.26250000000000001</v>
      </c>
      <c r="O12" s="92">
        <f>IF(K20="Esaad",B8*3/100,IF(K20="Emirates Platinum",B8*3/100,IF(K20="Fazaa",B8*3/100,IF(K20="Humat Alwatan",B8*3/100,IF(K20="Permissible",2000,IF(K20="ASX",8400,IF(K20="XPMLP",4000,IF(K20="XP",14100,IF(K20="G43",11000,IF(K20="EC",7000,IF(K20="G37",14000,IF(K20="G38",15000,IF(K20="G40",11000,IF(K20="OUT",9600,IF(K20="F08",15400,IF(K20="P08",11100,IF(K20="F06",14100,IF(K20="P06",17100,IF(K20="F03",17000,IF(K20="P03",19100,IF(K20="MON",10000,IF(K20="MON G57",10000,0))))))))))))))))))))))</f>
        <v>2000</v>
      </c>
      <c r="P12" s="92"/>
      <c r="Q12" s="92"/>
      <c r="R12" s="92"/>
      <c r="S12" s="92"/>
      <c r="T12" s="92"/>
      <c r="U12" s="92"/>
      <c r="V12" s="92"/>
      <c r="W12" s="92"/>
      <c r="X12" s="92"/>
      <c r="Y12" s="92"/>
      <c r="Z12" s="86" t="s">
        <v>83</v>
      </c>
      <c r="AA12" s="86" t="s">
        <v>84</v>
      </c>
    </row>
    <row r="13" spans="1:28" ht="24.6" x14ac:dyDescent="0.4">
      <c r="A13" s="8">
        <f>B8*1.26582</f>
        <v>88480.817999999999</v>
      </c>
      <c r="B13" s="37" t="s">
        <v>23</v>
      </c>
      <c r="C13" s="20" t="s">
        <v>17</v>
      </c>
      <c r="D13" s="36">
        <f>IF(C13="YES",2000,IF(C13="NO",0))</f>
        <v>0</v>
      </c>
      <c r="E13" s="47"/>
      <c r="F13" s="47" t="s">
        <v>75</v>
      </c>
      <c r="G13" s="40"/>
      <c r="H13" s="33">
        <v>315</v>
      </c>
      <c r="I13" s="21"/>
      <c r="J13" s="44" t="s">
        <v>54</v>
      </c>
      <c r="K13" s="29" t="s">
        <v>79</v>
      </c>
      <c r="L13" s="29" t="s">
        <v>25</v>
      </c>
      <c r="M13" s="29" t="s">
        <v>0</v>
      </c>
      <c r="N13" s="49" t="s">
        <v>26</v>
      </c>
      <c r="O13" s="98">
        <f>IF(M21="3000-4999",6%,IF(M21="5000-9999",4.75%,IF(M21="10000-14999",3.15%,IF(M21="15000-24999",2.5%,IF(M21="25000-34999",2.25%,IF(M21="35000-99999",2.25%))))))</f>
        <v>4.7500000000000001E-2</v>
      </c>
      <c r="Q13" s="83">
        <f>H7/12</f>
        <v>1435.48975</v>
      </c>
      <c r="U13" s="9">
        <f>IF(M21="3000-4999",6%,IF(M21="5000-9999",3.25%,IF(M21="10000-14999",3%,IF(M21="15000-24999",2.25%,IF(M21="25000-34999",2.15%,IF(M21="35000-99999",1.99%))))))</f>
        <v>3.2500000000000001E-2</v>
      </c>
      <c r="Z13" s="99">
        <f>IF(M21="5000-9999",2.49%,IF(M21="10000-19999",2.19%,IF(M21="20000-34999",2.09%,IF(M21="35000-49999",1.89%,IF(M21="50000-99999",1.79%)))))</f>
        <v>2.4900000000000002E-2</v>
      </c>
      <c r="AA13" s="99">
        <f>IF(M21="5000-9999",2.59%,IF(M21="10000-19999",2.29%,IF(M21="20000-34999",2.19%,IF(M21="35000-49999",1.99%,IF(M21="50000-99999",1.89%)))))</f>
        <v>2.5899999999999999E-2</v>
      </c>
    </row>
    <row r="14" spans="1:28" ht="24.6" x14ac:dyDescent="0.4">
      <c r="A14" s="10" t="s">
        <v>27</v>
      </c>
      <c r="B14" s="37" t="s">
        <v>24</v>
      </c>
      <c r="C14" s="20" t="s">
        <v>19</v>
      </c>
      <c r="D14" s="50">
        <f>IF(C14="YES",U19*3.15*1.05/100,IF(C14="NO",U19*0/100))</f>
        <v>2639.3850000000002</v>
      </c>
      <c r="E14" s="48"/>
      <c r="F14" s="48" t="s">
        <v>24</v>
      </c>
      <c r="G14" s="51" t="s">
        <v>17</v>
      </c>
      <c r="H14" s="39">
        <f>IF(G14="YES",U19*3.15*1.05/100,IF(G14="NO",U19*0/100))</f>
        <v>0</v>
      </c>
      <c r="I14" s="21"/>
      <c r="J14" s="44" t="s">
        <v>55</v>
      </c>
      <c r="K14" s="44">
        <f>(H8*K12+H8)/3</f>
        <v>5741.9589999999998</v>
      </c>
      <c r="L14" s="44">
        <f>(H8*L12+H8)/12</f>
        <v>1510.8529618749999</v>
      </c>
      <c r="M14" s="44">
        <f>(H8*M12+H8)/24</f>
        <v>808.18072925000013</v>
      </c>
      <c r="N14" s="52">
        <f>(H7*N12+H7)/60</f>
        <v>362.46116187499996</v>
      </c>
      <c r="O14" s="98">
        <f>IF(M21="3000-4999",3.89%,IF(M21="5000-9999",3.89%,IF(M21="10000-14999",3.89%,IF(M21="15000-24999",2.69%,IF(M21="25000-34999",2.69%,IF(M21="35000-99999",2.39%,IF(M21="76000-99999",2.19%)))))))</f>
        <v>3.8900000000000004E-2</v>
      </c>
    </row>
    <row r="15" spans="1:28" ht="24.6" x14ac:dyDescent="0.4">
      <c r="A15" s="11">
        <f>(B7*3%)+10+120</f>
        <v>2227</v>
      </c>
      <c r="B15" s="37" t="s">
        <v>28</v>
      </c>
      <c r="C15" s="20" t="s">
        <v>19</v>
      </c>
      <c r="D15" s="29">
        <f>IF(C15="YES",O10,IF(C15="NO",0))</f>
        <v>3690</v>
      </c>
      <c r="E15" s="48"/>
      <c r="F15" s="48" t="s">
        <v>53</v>
      </c>
      <c r="G15" s="51" t="s">
        <v>17</v>
      </c>
      <c r="H15" s="39">
        <f>IF(G15="YES",O10,IF(G15="NO",0))</f>
        <v>0</v>
      </c>
      <c r="I15" s="21"/>
      <c r="J15" s="44"/>
      <c r="K15" s="44"/>
      <c r="L15" s="44"/>
      <c r="M15" s="44"/>
      <c r="N15" s="53"/>
      <c r="O15" s="98" t="b">
        <f>IF(M21="3000-4999",4.99%, IF(M21="5000-11999",2.75%,IF(M21="12000-19999",2.75%,IF(M21="20000-39999",2.25%,IF(M21="40000-69999",2.39%,IF(M21="70000-99999",2.25%))))))</f>
        <v>0</v>
      </c>
      <c r="P15" s="99"/>
    </row>
    <row r="16" spans="1:28" ht="24.6" x14ac:dyDescent="0.4">
      <c r="A16" s="11">
        <f>((B7-B8)*3%+10+120)</f>
        <v>130</v>
      </c>
      <c r="B16" s="37" t="s">
        <v>78</v>
      </c>
      <c r="C16" s="20" t="s">
        <v>19</v>
      </c>
      <c r="D16" s="29">
        <f>IF(C16="YES",O16,IF(C16="NO",0))</f>
        <v>6100</v>
      </c>
      <c r="E16" s="47"/>
      <c r="F16" s="47" t="s">
        <v>74</v>
      </c>
      <c r="G16" s="54"/>
      <c r="H16" s="33">
        <f>I7*1.05%</f>
        <v>723.48683400000004</v>
      </c>
      <c r="I16" s="21"/>
      <c r="J16" s="44" t="s">
        <v>16</v>
      </c>
      <c r="K16" s="44">
        <f>(K14*3)-H8</f>
        <v>0</v>
      </c>
      <c r="L16" s="44">
        <f>(L14*12)-H8</f>
        <v>904.35854249999829</v>
      </c>
      <c r="M16" s="44">
        <f>(M14*24)-H8</f>
        <v>2170.4605020000017</v>
      </c>
      <c r="N16" s="53"/>
      <c r="O16" s="92">
        <f>IF(B16="RMC-10-70KMS",O11,IF(B16="RMC-10-100000KMS",V11,IF(B16="RMC-40-70KMS",U11, IF(B16="RMC-10-40KMS",X11, IF(B16="RMC-10-60KMS",Y11, IF(B16="RMC-40-100000KMS",W11,0))))))</f>
        <v>6100</v>
      </c>
    </row>
    <row r="17" spans="1:28" ht="24.6" x14ac:dyDescent="0.4">
      <c r="A17" s="11">
        <f>A15+A16</f>
        <v>2357</v>
      </c>
      <c r="B17" s="37"/>
      <c r="C17" s="20"/>
      <c r="D17" s="29">
        <f>SUM(D10:D16)</f>
        <v>12429.385</v>
      </c>
      <c r="E17" s="33"/>
      <c r="F17" s="33"/>
      <c r="G17" s="33"/>
      <c r="H17" s="33">
        <f>H7+H12+H15+H16</f>
        <v>18549.363834</v>
      </c>
      <c r="I17" s="33"/>
      <c r="J17" s="22"/>
      <c r="K17" s="53"/>
      <c r="L17" s="53"/>
      <c r="M17" s="53"/>
      <c r="N17" s="53"/>
      <c r="O17" s="92">
        <f>IF(B11="FO Ceramic+ Intr&amp;Extr CeramicGold WdwTnt",2700,IF(B11="FO Mirror Camera Sensor",2000))</f>
        <v>2700</v>
      </c>
      <c r="T17" s="86">
        <f>19615-791</f>
        <v>18824</v>
      </c>
    </row>
    <row r="18" spans="1:28" ht="24.6" x14ac:dyDescent="0.4">
      <c r="A18" s="12" t="s">
        <v>29</v>
      </c>
      <c r="B18" s="55" t="s">
        <v>30</v>
      </c>
      <c r="C18" s="56"/>
      <c r="D18" s="57">
        <v>0</v>
      </c>
      <c r="E18" s="38"/>
      <c r="F18" s="22"/>
      <c r="G18" s="22"/>
      <c r="H18" s="21"/>
      <c r="I18" s="21"/>
      <c r="J18" s="21"/>
      <c r="K18" s="21"/>
      <c r="L18" s="21"/>
      <c r="M18" s="21"/>
      <c r="N18" s="21"/>
      <c r="O18" s="92"/>
      <c r="U18" s="100" t="s">
        <v>52</v>
      </c>
      <c r="V18" s="100" t="s">
        <v>52</v>
      </c>
    </row>
    <row r="19" spans="1:28" ht="24.6" x14ac:dyDescent="0.4">
      <c r="A19" s="11">
        <f>B8*3.15%</f>
        <v>2201.85</v>
      </c>
      <c r="B19" s="58" t="s">
        <v>31</v>
      </c>
      <c r="C19" s="59"/>
      <c r="D19" s="60">
        <f>IF(K21="DIB EXPAT",O13,IF(K21="DIB LOCAL GVH",U13,IF(K21="Emirates NBD",O14,IF(K21="ADCB",O15,IF(K21="ADCB PAY IN 2027",O19,IF(K21="Ajman Bank",O18,IF(K21="SIB STL",Z13,IF(K21="SIB NON STL",AA13,))))))))</f>
        <v>2.4900000000000002E-2</v>
      </c>
      <c r="E19" s="22"/>
      <c r="F19" s="61"/>
      <c r="G19" s="141" t="s">
        <v>73</v>
      </c>
      <c r="H19" s="142"/>
      <c r="I19" s="143"/>
      <c r="J19" s="109">
        <f>H7/365</f>
        <v>47.19418356164384</v>
      </c>
      <c r="K19" s="21"/>
      <c r="L19" s="21"/>
      <c r="M19" s="21"/>
      <c r="N19" s="23">
        <f>D7</f>
        <v>73395</v>
      </c>
      <c r="O19" s="98" t="b">
        <f>IF(M21="5000-11999",3.35%,IF(M21="12000-19999",3.35%,IF(M21="20000-39999",2.85%,IF(M21="40000-69999",2.85%,IF(M21="70000-99999",2.85%)))))</f>
        <v>0</v>
      </c>
      <c r="P19" s="83">
        <f>81400-2500</f>
        <v>78900</v>
      </c>
      <c r="U19" s="101">
        <f>V19</f>
        <v>79800</v>
      </c>
      <c r="V19" s="102">
        <f>(B7+D10+D11+D12+D13+D16)*1.05</f>
        <v>79800</v>
      </c>
      <c r="X19" s="87">
        <f>G7*3.15*1.05/100</f>
        <v>2848.729408875</v>
      </c>
      <c r="Y19" s="87">
        <f>G7*3/100+510*1.05</f>
        <v>3119.3815499999996</v>
      </c>
      <c r="Z19" s="87">
        <f>Y19+X19</f>
        <v>5968.1109588749996</v>
      </c>
      <c r="AA19" s="87">
        <f>(Z19)-(D14+D15)</f>
        <v>-361.27404112500062</v>
      </c>
      <c r="AB19" s="87">
        <f>AA19*1.25</f>
        <v>-451.59255140625078</v>
      </c>
    </row>
    <row r="20" spans="1:28" ht="24.6" x14ac:dyDescent="0.4">
      <c r="A20" s="11"/>
      <c r="B20" s="58" t="s">
        <v>32</v>
      </c>
      <c r="C20" s="62"/>
      <c r="D20" s="63">
        <v>0.2</v>
      </c>
      <c r="E20" s="21"/>
      <c r="F20" s="21"/>
      <c r="G20" s="42"/>
      <c r="H20" s="42"/>
      <c r="I20" s="42"/>
      <c r="J20" s="103"/>
      <c r="K20" s="104" t="s">
        <v>33</v>
      </c>
      <c r="L20" s="104" t="s">
        <v>17</v>
      </c>
      <c r="M20" s="104">
        <f>IF(L20="YES",O12,IF(L20="NO",0))</f>
        <v>0</v>
      </c>
      <c r="N20" s="23">
        <f>B8-M20</f>
        <v>69900</v>
      </c>
      <c r="O20" s="92"/>
      <c r="P20" s="99"/>
      <c r="T20" s="86">
        <f>1992+1084</f>
        <v>3076</v>
      </c>
      <c r="V20" s="83"/>
      <c r="X20" s="87">
        <f>X19-D14</f>
        <v>209.34440887499977</v>
      </c>
      <c r="Y20" s="87">
        <f>Y19-D15</f>
        <v>-570.61845000000039</v>
      </c>
      <c r="AA20" s="87">
        <f>X20+Y20</f>
        <v>-361.27404112500062</v>
      </c>
    </row>
    <row r="21" spans="1:28" ht="24.6" x14ac:dyDescent="0.4">
      <c r="A21" s="13">
        <f>A19+A20</f>
        <v>2201.85</v>
      </c>
      <c r="B21" s="21"/>
      <c r="C21" s="22"/>
      <c r="D21" s="21"/>
      <c r="E21" s="21"/>
      <c r="F21" s="21"/>
      <c r="G21" s="21"/>
      <c r="H21" s="21"/>
      <c r="I21" s="21"/>
      <c r="J21" s="37" t="s">
        <v>34</v>
      </c>
      <c r="K21" s="16" t="s">
        <v>83</v>
      </c>
      <c r="L21" s="105" t="s">
        <v>35</v>
      </c>
      <c r="M21" s="106" t="s">
        <v>80</v>
      </c>
      <c r="N21" s="111"/>
      <c r="O21" s="92"/>
      <c r="T21" s="86">
        <f>25973-12973</f>
        <v>13000</v>
      </c>
    </row>
    <row r="22" spans="1:28" ht="24.6" x14ac:dyDescent="0.4">
      <c r="A22" s="13"/>
      <c r="B22" s="130" t="s">
        <v>51</v>
      </c>
      <c r="C22" s="131"/>
      <c r="D22" s="131"/>
      <c r="E22" s="131"/>
      <c r="F22" s="131"/>
      <c r="G22" s="131"/>
      <c r="H22" s="131"/>
      <c r="I22" s="131"/>
      <c r="J22" s="131"/>
      <c r="K22" s="131"/>
      <c r="L22" s="131"/>
      <c r="M22" s="131"/>
      <c r="N22" s="132"/>
      <c r="O22" s="92"/>
    </row>
    <row r="23" spans="1:28" ht="25.2" x14ac:dyDescent="0.45">
      <c r="A23" s="14" t="s">
        <v>36</v>
      </c>
      <c r="B23" s="64" t="s">
        <v>57</v>
      </c>
      <c r="C23" s="65"/>
      <c r="D23" s="65"/>
      <c r="E23" s="65"/>
      <c r="F23" s="65"/>
      <c r="G23" s="65"/>
      <c r="H23" s="66"/>
      <c r="I23" s="66"/>
      <c r="J23" s="65"/>
      <c r="K23" s="65"/>
      <c r="L23" s="65"/>
      <c r="M23" s="65"/>
      <c r="N23" s="67"/>
      <c r="O23" s="92">
        <f>N7+K14</f>
        <v>7033.3255790999992</v>
      </c>
    </row>
    <row r="24" spans="1:28" ht="25.2" x14ac:dyDescent="0.45">
      <c r="A24" s="14" t="s">
        <v>36</v>
      </c>
      <c r="B24" s="64" t="s">
        <v>58</v>
      </c>
      <c r="C24" s="65"/>
      <c r="D24" s="65"/>
      <c r="E24" s="65"/>
      <c r="F24" s="65"/>
      <c r="G24" s="65"/>
      <c r="H24" s="85">
        <f>H7/365</f>
        <v>47.19418356164384</v>
      </c>
      <c r="I24" s="85">
        <f>H7/365</f>
        <v>47.19418356164384</v>
      </c>
      <c r="J24" s="65"/>
      <c r="K24" s="65"/>
      <c r="L24" s="65"/>
      <c r="M24" s="65"/>
      <c r="N24" s="68"/>
      <c r="O24" s="92"/>
      <c r="P24" s="83">
        <f>1232+480</f>
        <v>1712</v>
      </c>
      <c r="T24" s="86">
        <f>88704/1.05</f>
        <v>84480</v>
      </c>
    </row>
    <row r="25" spans="1:28" ht="25.2" x14ac:dyDescent="0.45">
      <c r="A25" s="14" t="s">
        <v>36</v>
      </c>
      <c r="B25" s="64" t="s">
        <v>59</v>
      </c>
      <c r="C25" s="65"/>
      <c r="D25" s="65"/>
      <c r="E25" s="65"/>
      <c r="F25" s="65"/>
      <c r="G25" s="65"/>
      <c r="H25" s="66"/>
      <c r="I25" s="85">
        <f>I24*365*3</f>
        <v>51677.631000000001</v>
      </c>
      <c r="J25" s="65"/>
      <c r="K25" s="65"/>
      <c r="L25" s="65"/>
      <c r="M25" s="65"/>
      <c r="N25" s="68"/>
      <c r="O25" s="92"/>
      <c r="Q25" s="86">
        <f>79400-5233.33</f>
        <v>74166.67</v>
      </c>
      <c r="R25" s="86">
        <f>Q25*1.05</f>
        <v>77875.003500000006</v>
      </c>
    </row>
    <row r="26" spans="1:28" ht="25.2" x14ac:dyDescent="0.45">
      <c r="A26" s="14" t="s">
        <v>36</v>
      </c>
      <c r="B26" s="64" t="s">
        <v>60</v>
      </c>
      <c r="C26" s="65"/>
      <c r="D26" s="65"/>
      <c r="E26" s="65"/>
      <c r="F26" s="65"/>
      <c r="G26" s="65"/>
      <c r="H26" s="65"/>
      <c r="I26" s="65"/>
      <c r="J26" s="65"/>
      <c r="K26" s="65"/>
      <c r="L26" s="65"/>
      <c r="M26" s="65"/>
      <c r="N26" s="68"/>
      <c r="O26" s="92" t="s">
        <v>37</v>
      </c>
      <c r="R26" s="86">
        <f>R25+2469</f>
        <v>80344.003500000006</v>
      </c>
    </row>
    <row r="27" spans="1:28" ht="25.2" x14ac:dyDescent="0.45">
      <c r="A27" s="14" t="s">
        <v>36</v>
      </c>
      <c r="B27" s="64" t="s">
        <v>61</v>
      </c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8"/>
      <c r="O27" s="92">
        <f>129500-110900</f>
        <v>18600</v>
      </c>
    </row>
    <row r="28" spans="1:28" ht="25.2" x14ac:dyDescent="0.45">
      <c r="B28" s="64" t="s">
        <v>62</v>
      </c>
      <c r="C28" s="65"/>
      <c r="D28" s="65"/>
      <c r="E28" s="65"/>
      <c r="F28" s="65"/>
      <c r="G28" s="65"/>
      <c r="H28" s="65"/>
      <c r="I28" s="65"/>
      <c r="J28" s="65"/>
      <c r="K28" s="65"/>
      <c r="L28" s="65"/>
      <c r="M28" s="65"/>
      <c r="N28" s="68"/>
      <c r="O28" s="92"/>
    </row>
    <row r="29" spans="1:28" ht="25.2" x14ac:dyDescent="0.45">
      <c r="B29" s="64" t="s">
        <v>63</v>
      </c>
      <c r="C29" s="65"/>
      <c r="D29" s="65"/>
      <c r="E29" s="65"/>
      <c r="F29" s="65"/>
      <c r="G29" s="65"/>
      <c r="H29" s="65"/>
      <c r="I29" s="65"/>
      <c r="J29" s="65"/>
      <c r="K29" s="65"/>
      <c r="L29" s="65"/>
      <c r="M29" s="65"/>
      <c r="N29" s="69"/>
      <c r="O29" s="92"/>
    </row>
    <row r="30" spans="1:28" ht="24.6" x14ac:dyDescent="0.4">
      <c r="B30" s="133" t="s">
        <v>38</v>
      </c>
      <c r="C30" s="134"/>
      <c r="D30" s="134"/>
      <c r="E30" s="134"/>
      <c r="F30" s="134"/>
      <c r="G30" s="134"/>
      <c r="H30" s="134"/>
      <c r="I30" s="134"/>
      <c r="J30" s="134"/>
      <c r="K30" s="134"/>
      <c r="L30" s="134"/>
      <c r="M30" s="134"/>
      <c r="N30" s="135"/>
      <c r="O30" s="92"/>
    </row>
    <row r="31" spans="1:28" ht="24.6" x14ac:dyDescent="0.4">
      <c r="B31" s="136"/>
      <c r="C31" s="137"/>
      <c r="D31" s="137"/>
      <c r="E31" s="137"/>
      <c r="F31" s="137"/>
      <c r="G31" s="137"/>
      <c r="H31" s="137"/>
      <c r="I31" s="137"/>
      <c r="J31" s="137"/>
      <c r="K31" s="137"/>
      <c r="L31" s="137"/>
      <c r="M31" s="137"/>
      <c r="N31" s="138"/>
      <c r="O31" s="92"/>
    </row>
    <row r="32" spans="1:28" ht="24.6" x14ac:dyDescent="0.4">
      <c r="B32" s="136" t="s">
        <v>39</v>
      </c>
      <c r="C32" s="137"/>
      <c r="D32" s="137"/>
      <c r="E32" s="137"/>
      <c r="F32" s="137"/>
      <c r="G32" s="137"/>
      <c r="H32" s="137"/>
      <c r="I32" s="137"/>
      <c r="J32" s="137"/>
      <c r="K32" s="137"/>
      <c r="L32" s="137"/>
      <c r="M32" s="137"/>
      <c r="N32" s="138"/>
      <c r="O32" s="92"/>
    </row>
    <row r="33" spans="2:16" ht="24.6" x14ac:dyDescent="0.4">
      <c r="B33" s="136" t="s">
        <v>40</v>
      </c>
      <c r="C33" s="137"/>
      <c r="D33" s="137"/>
      <c r="E33" s="137"/>
      <c r="F33" s="137"/>
      <c r="G33" s="137"/>
      <c r="H33" s="137"/>
      <c r="I33" s="137"/>
      <c r="J33" s="137"/>
      <c r="K33" s="137"/>
      <c r="L33" s="137"/>
      <c r="M33" s="137"/>
      <c r="N33" s="138"/>
      <c r="O33" s="92"/>
    </row>
    <row r="34" spans="2:16" s="112" customFormat="1" ht="24.6" x14ac:dyDescent="0.4">
      <c r="B34" s="107" t="s">
        <v>81</v>
      </c>
      <c r="C34" s="108"/>
      <c r="D34" s="108"/>
      <c r="E34" s="108"/>
      <c r="F34" s="108"/>
      <c r="G34" s="113"/>
      <c r="H34" s="113"/>
      <c r="I34" s="108"/>
      <c r="J34" s="108"/>
      <c r="K34" s="108"/>
      <c r="L34" s="108"/>
      <c r="M34" s="114" t="s">
        <v>82</v>
      </c>
      <c r="N34" s="116" t="b">
        <f>IF(M34="ALAA",507963328, IF(M34="BACHIR",525246969,IF(M34="JIHAN",566201266, IF(M34="RAMY",505277871, IF(M34="SIMON",505140337,IF(M34="SUJITH",551079817, IF(M34="PRAVEEN",506367792,IF(M34="MHAREN",529224059, IF(M34="MOSSALLEM",505185577,IF(M34="RANJITH",554989288, IF(M34="KHALED",552319494)))))))))))</f>
        <v>0</v>
      </c>
      <c r="O34" s="115"/>
      <c r="P34" s="115"/>
    </row>
    <row r="35" spans="2:16" x14ac:dyDescent="0.35">
      <c r="B35" s="70"/>
      <c r="C35" s="71"/>
      <c r="D35" s="71"/>
      <c r="E35" s="71"/>
      <c r="F35" s="71"/>
      <c r="G35" s="71"/>
      <c r="H35" s="71"/>
      <c r="I35" s="71"/>
      <c r="J35" s="71"/>
      <c r="K35" s="71"/>
      <c r="L35" s="71"/>
      <c r="M35" s="71"/>
      <c r="N35" s="72"/>
    </row>
    <row r="36" spans="2:16" x14ac:dyDescent="0.35">
      <c r="B36" s="70"/>
      <c r="C36" s="71"/>
      <c r="D36" s="71"/>
      <c r="E36" s="71"/>
      <c r="F36" s="71"/>
      <c r="G36" s="71"/>
      <c r="H36" s="71"/>
      <c r="I36" s="71"/>
      <c r="J36" s="71"/>
      <c r="K36" s="71"/>
      <c r="L36" s="71"/>
      <c r="M36" s="71"/>
      <c r="N36" s="72"/>
    </row>
    <row r="37" spans="2:16" x14ac:dyDescent="0.35">
      <c r="B37" s="70"/>
      <c r="C37" s="71"/>
      <c r="D37" s="71"/>
      <c r="E37" s="71"/>
      <c r="F37" s="71"/>
      <c r="G37" s="71"/>
      <c r="H37" s="71"/>
      <c r="I37" s="71"/>
      <c r="J37" s="71"/>
      <c r="K37" s="71"/>
      <c r="L37" s="71"/>
      <c r="M37" s="71"/>
      <c r="N37" s="72"/>
    </row>
    <row r="38" spans="2:16" ht="21" x14ac:dyDescent="0.4">
      <c r="B38" s="73" t="s">
        <v>64</v>
      </c>
      <c r="C38" s="74"/>
      <c r="D38" s="75"/>
      <c r="E38" s="76"/>
      <c r="F38" s="76"/>
      <c r="G38" s="76"/>
      <c r="H38" s="76"/>
      <c r="I38" s="76"/>
      <c r="J38" s="77"/>
      <c r="K38" s="76"/>
      <c r="L38" s="76"/>
      <c r="M38" s="76"/>
      <c r="N38" s="78"/>
    </row>
    <row r="39" spans="2:16" ht="21" x14ac:dyDescent="0.4">
      <c r="B39" s="73" t="s">
        <v>65</v>
      </c>
      <c r="C39" s="79"/>
      <c r="D39" s="75"/>
      <c r="E39" s="76"/>
      <c r="F39" s="76"/>
      <c r="G39" s="76"/>
      <c r="H39" s="76"/>
      <c r="I39" s="76"/>
      <c r="J39" s="77"/>
      <c r="K39" s="76"/>
      <c r="L39" s="76"/>
      <c r="M39" s="76"/>
      <c r="N39" s="80"/>
    </row>
    <row r="40" spans="2:16" ht="21" x14ac:dyDescent="0.35">
      <c r="B40" s="73" t="s">
        <v>66</v>
      </c>
      <c r="C40" s="81"/>
      <c r="D40" s="76"/>
      <c r="E40" s="76"/>
      <c r="F40" s="76"/>
      <c r="G40" s="76"/>
      <c r="H40" s="76"/>
      <c r="I40" s="76"/>
      <c r="J40" s="77"/>
      <c r="K40" s="76"/>
      <c r="L40" s="76"/>
      <c r="M40" s="76"/>
      <c r="N40" s="80"/>
    </row>
    <row r="41" spans="2:16" ht="21" x14ac:dyDescent="0.35">
      <c r="B41" s="73" t="s">
        <v>67</v>
      </c>
      <c r="C41" s="82"/>
      <c r="D41" s="83"/>
      <c r="E41" s="83"/>
      <c r="F41" s="83"/>
      <c r="G41" s="83"/>
      <c r="H41" s="83"/>
      <c r="I41" s="83"/>
      <c r="J41" s="83"/>
      <c r="K41" s="83"/>
      <c r="L41" s="83"/>
      <c r="M41" s="83"/>
      <c r="N41" s="84"/>
    </row>
    <row r="42" spans="2:16" ht="21" x14ac:dyDescent="0.35">
      <c r="B42" s="73" t="s">
        <v>77</v>
      </c>
      <c r="C42" s="82"/>
      <c r="D42" s="83"/>
      <c r="E42" s="83"/>
      <c r="F42" s="83"/>
      <c r="G42" s="83"/>
      <c r="H42" s="83"/>
      <c r="I42" s="83"/>
      <c r="J42" s="83"/>
      <c r="K42" s="83"/>
      <c r="L42" s="83"/>
      <c r="M42" s="83"/>
      <c r="N42" s="84"/>
    </row>
    <row r="43" spans="2:16" ht="21" x14ac:dyDescent="0.35">
      <c r="B43" s="73" t="s">
        <v>68</v>
      </c>
      <c r="C43" s="82"/>
      <c r="D43" s="83"/>
      <c r="E43" s="83"/>
      <c r="F43" s="83"/>
      <c r="G43" s="83"/>
      <c r="H43" s="83"/>
      <c r="I43" s="83"/>
      <c r="J43" s="83"/>
      <c r="K43" s="83"/>
      <c r="L43" s="83"/>
      <c r="M43" s="83"/>
      <c r="N43" s="84"/>
    </row>
    <row r="44" spans="2:16" ht="21" x14ac:dyDescent="0.35">
      <c r="B44" s="73" t="s">
        <v>69</v>
      </c>
      <c r="C44" s="82"/>
      <c r="D44" s="83"/>
      <c r="E44" s="83"/>
      <c r="F44" s="83"/>
      <c r="G44" s="83"/>
      <c r="H44" s="83"/>
      <c r="I44" s="83"/>
      <c r="J44" s="83"/>
      <c r="K44" s="83"/>
      <c r="L44" s="83"/>
      <c r="M44" s="83"/>
      <c r="N44" s="84"/>
    </row>
    <row r="45" spans="2:16" ht="21" x14ac:dyDescent="0.35">
      <c r="B45" s="73" t="s">
        <v>70</v>
      </c>
      <c r="C45" s="82"/>
      <c r="D45" s="83"/>
      <c r="E45" s="83"/>
      <c r="F45" s="83"/>
      <c r="G45" s="83"/>
      <c r="H45" s="83"/>
      <c r="I45" s="83"/>
      <c r="J45" s="83"/>
      <c r="K45" s="83"/>
      <c r="L45" s="83"/>
      <c r="M45" s="83"/>
      <c r="N45" s="84"/>
    </row>
    <row r="46" spans="2:16" ht="21" x14ac:dyDescent="0.35">
      <c r="B46" s="73" t="s">
        <v>71</v>
      </c>
      <c r="C46" s="82"/>
      <c r="D46" s="83"/>
      <c r="E46" s="83"/>
      <c r="F46" s="83"/>
      <c r="G46" s="83"/>
      <c r="H46" s="83"/>
      <c r="I46" s="83"/>
      <c r="J46" s="83"/>
      <c r="K46" s="83"/>
      <c r="L46" s="83"/>
      <c r="M46" s="83"/>
      <c r="N46" s="84"/>
    </row>
    <row r="47" spans="2:16" x14ac:dyDescent="0.35">
      <c r="B47" s="118" t="s">
        <v>39</v>
      </c>
      <c r="C47" s="119"/>
      <c r="D47" s="119"/>
      <c r="E47" s="119"/>
      <c r="F47" s="119"/>
      <c r="G47" s="119"/>
      <c r="H47" s="119"/>
      <c r="I47" s="119"/>
      <c r="J47" s="119"/>
      <c r="K47" s="119"/>
      <c r="L47" s="119"/>
      <c r="M47" s="119"/>
      <c r="N47" s="120"/>
      <c r="O47" s="92"/>
    </row>
    <row r="48" spans="2:16" x14ac:dyDescent="0.35">
      <c r="B48" s="118" t="s">
        <v>40</v>
      </c>
      <c r="C48" s="119"/>
      <c r="D48" s="119"/>
      <c r="E48" s="119"/>
      <c r="F48" s="119"/>
      <c r="G48" s="119"/>
      <c r="H48" s="119"/>
      <c r="I48" s="119"/>
      <c r="J48" s="119"/>
      <c r="K48" s="119"/>
      <c r="L48" s="119"/>
      <c r="M48" s="119"/>
      <c r="N48" s="120"/>
      <c r="O48" s="92"/>
    </row>
    <row r="49" spans="2:14" x14ac:dyDescent="0.35">
      <c r="B49" s="118" t="s">
        <v>72</v>
      </c>
      <c r="C49" s="119"/>
      <c r="D49" s="119"/>
      <c r="E49" s="119"/>
      <c r="F49" s="119"/>
      <c r="G49" s="119"/>
      <c r="H49" s="119"/>
      <c r="I49" s="119"/>
      <c r="J49" s="119"/>
      <c r="K49" s="119"/>
      <c r="L49" s="119"/>
      <c r="M49" s="119"/>
      <c r="N49" s="120"/>
    </row>
    <row r="50" spans="2:14" ht="25.8" x14ac:dyDescent="0.35">
      <c r="C50" s="15" t="s">
        <v>41</v>
      </c>
    </row>
    <row r="51" spans="2:14" ht="25.8" x14ac:dyDescent="0.35">
      <c r="C51" s="15" t="s">
        <v>42</v>
      </c>
    </row>
    <row r="52" spans="2:14" ht="25.8" x14ac:dyDescent="0.35">
      <c r="C52" s="15" t="s">
        <v>43</v>
      </c>
    </row>
    <row r="53" spans="2:14" ht="25.8" x14ac:dyDescent="0.35">
      <c r="C53" s="15" t="s">
        <v>44</v>
      </c>
    </row>
    <row r="54" spans="2:14" ht="25.8" x14ac:dyDescent="0.35">
      <c r="C54" s="15" t="s">
        <v>45</v>
      </c>
    </row>
  </sheetData>
  <mergeCells count="12">
    <mergeCell ref="B49:N49"/>
    <mergeCell ref="B1:N4"/>
    <mergeCell ref="F8:G8"/>
    <mergeCell ref="F9:G9"/>
    <mergeCell ref="G19:I19"/>
    <mergeCell ref="B22:N22"/>
    <mergeCell ref="B30:N30"/>
    <mergeCell ref="B31:N31"/>
    <mergeCell ref="B32:N32"/>
    <mergeCell ref="B33:N33"/>
    <mergeCell ref="B47:N47"/>
    <mergeCell ref="B48:N48"/>
  </mergeCells>
  <dataValidations count="11">
    <dataValidation type="list" allowBlank="1" showInputMessage="1" showErrorMessage="1" sqref="K21" xr:uid="{D654BB4E-4CFE-45C0-9828-F2B0EAFD5D24}">
      <formula1>"ADCB,ADCB PAY IN 2027,Ajman Bank,ADIB,DIB EXPAT,DIB LOCAL GVH,Emirates NBD,EIB,FAB,RAK,SIB STL,SIB NON STL"</formula1>
    </dataValidation>
    <dataValidation type="list" allowBlank="1" showInputMessage="1" showErrorMessage="1" sqref="D5" xr:uid="{37F648E5-4E3A-4315-8F3B-4CC52E9B7014}">
      <formula1>"MIG09,MIG10,ATG16,ATP16,ATG17,ASG48,ASG43,ASG40,ASG42,ASG44,ASG45,ECG38,ECG37,ECG40,ECG43,XPML,XPHL,XPMLP, XPMLP-01, XC,OTF03,OTP03,OTF06,OTP06, OTP06-01,OTF08, OTP08,MOP57,MOG64,MOG59,MOG59P,MOG61,MOP61"</formula1>
    </dataValidation>
    <dataValidation type="list" allowBlank="1" showInputMessage="1" showErrorMessage="1" sqref="M21" xr:uid="{173A5ECF-4C7F-4361-89BC-A0943C771133}">
      <formula1>"3000-4999,5000-9999,10000-14999,15000-24999,25000-34999,35000-99999,5000-11999,12000-19999,20000-39999,40000-69999,70000-99999"</formula1>
    </dataValidation>
    <dataValidation type="list" allowBlank="1" showInputMessage="1" showErrorMessage="1" sqref="K20" xr:uid="{6B67CAA9-94E1-4BBA-84F8-98795CA3B4BD}">
      <formula1>"Esaad,Emirates Platinum,Fazaa,Humat Alwatan,Permissible,ASX,XPMLP,XP,MON,MON G57,OUT,F08,P08,F06,P06,F03,P03,EC,G37,G38,G40,G43"</formula1>
    </dataValidation>
    <dataValidation type="list" allowBlank="1" showInputMessage="1" showErrorMessage="1" sqref="L19:L20 L24:L25 G14:G15 C10:C16 L10 J10" xr:uid="{5B9545D0-3F2F-41A4-B4D0-79134EC14BB2}">
      <formula1>"YES,NO"</formula1>
    </dataValidation>
    <dataValidation type="list" allowBlank="1" showInputMessage="1" showErrorMessage="1" sqref="K24" xr:uid="{A88B4CC1-2B18-4CD2-8722-9D4456219C6F}">
      <formula1>"RMC-10-70K,RMC-10-100000K,RMC-40-70K"</formula1>
    </dataValidation>
    <dataValidation type="list" allowBlank="1" showInputMessage="1" showErrorMessage="1" sqref="B16" xr:uid="{29FC3844-4BB3-43A3-918E-970E588FA1F2}">
      <formula1>"RMC-10-40KMS,RMC-10-60KMS,RMC-10-70KMS,RMC-10-100000KMS,RMC-40-70KMS,RMC-40-100000KMS"</formula1>
    </dataValidation>
    <dataValidation type="list" allowBlank="1" showInputMessage="1" showErrorMessage="1" sqref="B12" xr:uid="{B0220F45-3A34-4BF3-AFF6-84F9080B87EE}">
      <formula1>"FO Exterior ceramic All Cars SCOTCHGUARD,FO Mirror Camera Sensor,FO PPF Gold Package "</formula1>
    </dataValidation>
    <dataValidation type="list" allowBlank="1" showInputMessage="1" showErrorMessage="1" sqref="B11" xr:uid="{2B7485AE-571C-4C5C-B047-BBC6AABD9BC0}">
      <formula1>"FO Ceramic+ Intr&amp;Extr CeramicGold WdwTnt,FO Mirror Camera Sensor"</formula1>
    </dataValidation>
    <dataValidation type="list" allowBlank="1" showInputMessage="1" showErrorMessage="1" sqref="M34" xr:uid="{704E222D-BA6B-499F-80A3-B3EFFA71C6B2}">
      <formula1>"Alaa,Bachir ,Khaled,Ramy,Simon,Mharen,Ranjith,Jihan,Praveen,Sujith,Mossallem"</formula1>
    </dataValidation>
    <dataValidation type="list" allowBlank="1" showInputMessage="1" showErrorMessage="1" sqref="H34" xr:uid="{ABE23F33-085D-4567-9A59-D3EB30905CE1}">
      <formula1>"ALAA HAMMAD,KHALED QASSEM,RAMY RAOUF,SIMON LOBO,MHAREN CLEMENTE GARADO"</formula1>
    </dataValidation>
  </dataValidations>
  <pageMargins left="0.23622047244094491" right="0.23622047244094491" top="0.74803149606299213" bottom="0.74803149606299213" header="0.31496062992125984" footer="0.31496062992125984"/>
  <pageSetup paperSize="9" scale="37" orientation="landscape" horizontalDpi="4294967295" verticalDpi="4294967295" r:id="rId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67748B-5FA6-478D-9F4F-3CECDF6ABDEA}">
  <sheetPr>
    <pageSetUpPr fitToPage="1"/>
  </sheetPr>
  <dimension ref="A1:AB54"/>
  <sheetViews>
    <sheetView topLeftCell="B1" zoomScaleNormal="100" workbookViewId="0">
      <selection activeCell="D5" sqref="D5"/>
    </sheetView>
  </sheetViews>
  <sheetFormatPr defaultColWidth="9.109375" defaultRowHeight="20.399999999999999" x14ac:dyDescent="0.35"/>
  <cols>
    <col min="1" max="1" width="16" style="1" hidden="1" customWidth="1"/>
    <col min="2" max="2" width="75.5546875" style="2" customWidth="1"/>
    <col min="3" max="3" width="25.5546875" style="3" customWidth="1"/>
    <col min="4" max="4" width="25.33203125" style="2" customWidth="1"/>
    <col min="5" max="5" width="22.6640625" style="2" customWidth="1"/>
    <col min="6" max="6" width="21" style="2" customWidth="1"/>
    <col min="7" max="7" width="25" style="2" customWidth="1"/>
    <col min="8" max="8" width="29.44140625" style="2" bestFit="1" customWidth="1"/>
    <col min="9" max="9" width="32.109375" style="2" bestFit="1" customWidth="1"/>
    <col min="10" max="10" width="22" style="2" customWidth="1"/>
    <col min="11" max="11" width="23.33203125" style="2" customWidth="1"/>
    <col min="12" max="12" width="31" style="2" customWidth="1"/>
    <col min="13" max="13" width="23.5546875" style="2" customWidth="1"/>
    <col min="14" max="14" width="21.109375" style="2" customWidth="1"/>
    <col min="15" max="15" width="14.44140625" style="83" bestFit="1" customWidth="1"/>
    <col min="16" max="16" width="21.6640625" style="83" hidden="1" customWidth="1"/>
    <col min="17" max="17" width="14.33203125" style="86" hidden="1" customWidth="1"/>
    <col min="18" max="18" width="12.88671875" style="86" hidden="1" customWidth="1"/>
    <col min="19" max="19" width="13" style="86" hidden="1" customWidth="1"/>
    <col min="20" max="20" width="17.109375" style="86" hidden="1" customWidth="1"/>
    <col min="21" max="21" width="21.5546875" style="86" customWidth="1"/>
    <col min="22" max="22" width="22.88671875" style="86" customWidth="1"/>
    <col min="23" max="26" width="17.109375" style="86" bestFit="1" customWidth="1"/>
    <col min="27" max="27" width="15" style="86" customWidth="1"/>
    <col min="28" max="28" width="14.33203125" style="86" bestFit="1" customWidth="1"/>
    <col min="29" max="16384" width="9.109375" style="1"/>
  </cols>
  <sheetData>
    <row r="1" spans="1:28" ht="15.75" customHeight="1" x14ac:dyDescent="0.35">
      <c r="B1" s="121" t="s">
        <v>46</v>
      </c>
      <c r="C1" s="122"/>
      <c r="D1" s="122"/>
      <c r="E1" s="122"/>
      <c r="F1" s="122"/>
      <c r="G1" s="122"/>
      <c r="H1" s="122"/>
      <c r="I1" s="122"/>
      <c r="J1" s="122"/>
      <c r="K1" s="122"/>
      <c r="L1" s="122"/>
      <c r="M1" s="122"/>
      <c r="N1" s="123"/>
    </row>
    <row r="2" spans="1:28" ht="15.75" customHeight="1" x14ac:dyDescent="0.35">
      <c r="B2" s="124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6"/>
      <c r="Q2" s="83"/>
      <c r="S2" s="87"/>
    </row>
    <row r="3" spans="1:28" ht="15.75" customHeight="1" x14ac:dyDescent="0.35">
      <c r="B3" s="124"/>
      <c r="C3" s="125"/>
      <c r="D3" s="125"/>
      <c r="E3" s="125"/>
      <c r="F3" s="125"/>
      <c r="G3" s="125"/>
      <c r="H3" s="125"/>
      <c r="I3" s="125"/>
      <c r="J3" s="125"/>
      <c r="K3" s="125"/>
      <c r="L3" s="125"/>
      <c r="M3" s="125"/>
      <c r="N3" s="126"/>
      <c r="O3" s="82"/>
      <c r="P3" s="82"/>
      <c r="Q3" s="81"/>
      <c r="R3" s="81"/>
      <c r="S3" s="88" t="e">
        <f>N7+J14</f>
        <v>#VALUE!</v>
      </c>
      <c r="T3" s="88"/>
      <c r="U3" s="81"/>
      <c r="V3" s="81"/>
      <c r="W3" s="81"/>
      <c r="AA3" s="86">
        <f>273000/5</f>
        <v>54600</v>
      </c>
    </row>
    <row r="4" spans="1:28" ht="15.75" customHeight="1" x14ac:dyDescent="0.4">
      <c r="B4" s="127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9"/>
      <c r="O4" s="89" t="s">
        <v>0</v>
      </c>
      <c r="P4" s="89"/>
      <c r="Q4" s="90"/>
      <c r="R4" s="90"/>
      <c r="S4" s="91"/>
      <c r="T4" s="91"/>
      <c r="U4" s="90" t="s">
        <v>1</v>
      </c>
      <c r="V4" s="90" t="s">
        <v>2</v>
      </c>
      <c r="W4" s="90" t="s">
        <v>3</v>
      </c>
    </row>
    <row r="5" spans="1:28" ht="25.2" thickBot="1" x14ac:dyDescent="0.45">
      <c r="B5" s="17">
        <f ca="1">TODAY()</f>
        <v>46215</v>
      </c>
      <c r="C5" s="18" t="str">
        <f>IF(D5="MIG09","Mirage G09",IF(D5="MIG10","MirageG10",IF(D5="ATG16","Attrage G16",IF(D5="ATP16","Attrage P16",IF(D5="ATG17","Attrage G17",IF(D5="ASG48","ASX G48",IF(D5="ASG43","ASX G43", IF(D5="ASG40","ASXG40",IF(D5="ASG42","ASX G42",IF(D5="ASG44","ASX G44",IF(D5="ASG45","ASX G45",IF(D5="ECG38","Eclipse G38",IF(D5="ECG37","Eclipse G37",IF(D5="ECG40","Eclipse G40",IF(D5="ECG43","Eclipse G43",IF(D5="XPML","Xpander ML",IF(D5="XPHL","Xpander HL",IF(D5="XPMLP","Xpander ML P",IF(D5="XPMLP-01","Xpander ML P-01",IF(D5="XC","Xpander Cross", IF(D5="OTF03","Outlander F03",IF(D5="OTP03","Outlander P03",IF(D5="OTF06","Outlander F06",IF(D5="OTP06","Outlander P06",IF(D5="OTP06-01","Outlander P06-01",IF(D5="OTF08","Outlander F08",IF(D5="OTP08","Outlander P08P", IF(D5="MOP57","Montero P57",IF(D5="MOG64","Montero G64",IF(D5="MOG59","Montero G59",IF(D5="MOG59P","Montero G59 P",IF(D5="MOG61","Montero G61",IF(D5="MOP61","Montero P61")))))))))))))))))))))))))))))))))</f>
        <v>Xpander HL</v>
      </c>
      <c r="D5" s="19" t="s">
        <v>102</v>
      </c>
      <c r="E5" s="20" t="s">
        <v>47</v>
      </c>
      <c r="F5" s="21"/>
      <c r="G5" s="21"/>
      <c r="H5" s="21"/>
      <c r="I5" s="22"/>
      <c r="J5" s="23"/>
      <c r="K5" s="24">
        <v>0</v>
      </c>
      <c r="L5" s="25">
        <v>3.39E-2</v>
      </c>
      <c r="M5" s="25">
        <v>6.7799999999999999E-2</v>
      </c>
      <c r="N5" s="25">
        <v>0.1017</v>
      </c>
      <c r="O5" s="92">
        <f>K7+K14</f>
        <v>7983.9986060250003</v>
      </c>
      <c r="S5" s="87"/>
      <c r="U5" s="87">
        <f>L7+L14</f>
        <v>3253.2782918062503</v>
      </c>
      <c r="V5" s="87">
        <f>M7+M14</f>
        <v>2176.2404227125003</v>
      </c>
      <c r="W5" s="87">
        <f>N7+N14</f>
        <v>1508.0275418062499</v>
      </c>
    </row>
    <row r="6" spans="1:28" s="5" customFormat="1" ht="128.25" customHeight="1" thickBot="1" x14ac:dyDescent="0.35">
      <c r="A6" s="4" t="s">
        <v>4</v>
      </c>
      <c r="B6" s="26" t="s">
        <v>5</v>
      </c>
      <c r="C6" s="27" t="s">
        <v>6</v>
      </c>
      <c r="D6" s="27" t="s">
        <v>48</v>
      </c>
      <c r="E6" s="27" t="s">
        <v>7</v>
      </c>
      <c r="F6" s="27" t="s">
        <v>8</v>
      </c>
      <c r="G6" s="28" t="s">
        <v>9</v>
      </c>
      <c r="H6" s="28" t="s">
        <v>49</v>
      </c>
      <c r="I6" s="28" t="s">
        <v>10</v>
      </c>
      <c r="J6" s="28" t="s">
        <v>56</v>
      </c>
      <c r="K6" s="28" t="s">
        <v>11</v>
      </c>
      <c r="L6" s="28" t="s">
        <v>12</v>
      </c>
      <c r="M6" s="28" t="s">
        <v>13</v>
      </c>
      <c r="N6" s="28" t="s">
        <v>14</v>
      </c>
      <c r="O6" s="93"/>
      <c r="P6" s="94"/>
      <c r="Q6" s="95"/>
      <c r="R6" s="95"/>
      <c r="S6" s="95"/>
      <c r="T6" s="96"/>
      <c r="U6" s="96">
        <f>N7+L14</f>
        <v>2555.1779918062502</v>
      </c>
      <c r="V6" s="96">
        <f>N7+K14</f>
        <v>6413.2729310250006</v>
      </c>
      <c r="W6" s="96"/>
      <c r="X6" s="95"/>
      <c r="Y6" s="95"/>
      <c r="Z6" s="95"/>
      <c r="AA6" s="95"/>
      <c r="AB6" s="95"/>
    </row>
    <row r="7" spans="1:28" ht="25.2" thickBot="1" x14ac:dyDescent="0.45">
      <c r="A7" s="6">
        <f>B8</f>
        <v>62900</v>
      </c>
      <c r="B7" s="29">
        <f>IF(L20="YES",C8*1,IF(L20="NO",B8*1))</f>
        <v>62900</v>
      </c>
      <c r="C7" s="29">
        <f>B7*5/100</f>
        <v>3145</v>
      </c>
      <c r="D7" s="29">
        <f>B7+C7</f>
        <v>66045</v>
      </c>
      <c r="E7" s="29">
        <f>D17</f>
        <v>12186.283750000001</v>
      </c>
      <c r="F7" s="29">
        <f>(C7)+(D10+D11+D12+D13+D16)*5/100</f>
        <v>3450</v>
      </c>
      <c r="G7" s="30">
        <f>B7+E7+F7</f>
        <v>78536.283750000002</v>
      </c>
      <c r="H7" s="29">
        <f>G7*D20</f>
        <v>15707.25675</v>
      </c>
      <c r="I7" s="29">
        <f>(G7-H7)</f>
        <v>62829.027000000002</v>
      </c>
      <c r="J7" s="30">
        <f>(((I7*D19)*1)+I7)/12</f>
        <v>5366.1224810249996</v>
      </c>
      <c r="K7" s="30">
        <f>(((I7*D19)*2)+I7)/24</f>
        <v>2748.2463560249998</v>
      </c>
      <c r="L7" s="30">
        <f>(((I7*D19)*3)+I7)/36</f>
        <v>1875.6209810250002</v>
      </c>
      <c r="M7" s="30">
        <f>(((I7*D19)*4)+I7)/48</f>
        <v>1439.3082935250002</v>
      </c>
      <c r="N7" s="30">
        <f>((((I7*D19)*5)+I7)/60)</f>
        <v>1177.5206810249999</v>
      </c>
      <c r="O7" s="92"/>
      <c r="P7" s="83">
        <f>H7+H16</f>
        <v>16366.9615335</v>
      </c>
      <c r="T7" s="87">
        <f>25973/2</f>
        <v>12986.5</v>
      </c>
    </row>
    <row r="8" spans="1:28" ht="24.6" x14ac:dyDescent="0.4">
      <c r="A8" s="7">
        <v>0.2</v>
      </c>
      <c r="B8" s="31">
        <f>IF(D5="MIG09",39900,IF(D5="MIG10",40400,IF(D5="ATG16",40400,IF(D5="ATP16",49900,IF(D5="ATG17",41900,IF(D5="ASG48",63900,IF(D5="ASG43",62900,IF(D5="ASG40",63900,IF(D5="ASG42",68900,IF(D5="ASG44",89900,IF(D5="ASG45",95900,IF(D5="ECG38",73900,IF(D5="ECG37",70900,IF(D5="ECG40",86900,IF(D5="ECG43",91900,IF(D5="XPML",62900,IF(D5="XPHL",62900,IF(D5="XPMLP",69900,IF(D5="XPMLP-01",77800,IF(D5="XC",77900,IF(D5="OTF03",96900,IF(D5="OTP03",79900,IF(D5="OTF06",92900,IF(D5="OTP06",111900,IF(D5="OTP06-01",118900,IF(D5="OTF08",122900,IF(D5="OTP08",109900,IF(D5="MOP57",99900,IF(D5="MOG64",108900,IF(D5="MOG59",116900,IF(D5="MOG59P",110900,IF(D5="MOG61",127900,IF(D5="MOP61",125900)))))))))))))))))))))))))))))))))</f>
        <v>62900</v>
      </c>
      <c r="C8" s="32">
        <f>IF(L20="YES",N20,IF(L20="NO",N20))</f>
        <v>62900</v>
      </c>
      <c r="D8" s="29">
        <v>0</v>
      </c>
      <c r="E8" s="33"/>
      <c r="F8" s="139"/>
      <c r="G8" s="140"/>
      <c r="H8" s="110">
        <f>G7*20/100</f>
        <v>15707.25675</v>
      </c>
      <c r="I8" s="21"/>
      <c r="J8" s="34" t="s">
        <v>15</v>
      </c>
      <c r="K8" s="23">
        <f>(J7*K5+J7)/24</f>
        <v>223.58843670937497</v>
      </c>
      <c r="L8" s="23">
        <f>(J7*L5+J7)/36</f>
        <v>154.11205647588187</v>
      </c>
      <c r="M8" s="23">
        <f>(J7*M5+J7)/48</f>
        <v>119.37386635913531</v>
      </c>
      <c r="N8" s="23">
        <f>(J7*N5+J7)/60</f>
        <v>98.530952289087367</v>
      </c>
      <c r="O8" s="92"/>
      <c r="P8" s="83">
        <f>P7/12</f>
        <v>1363.9134611249999</v>
      </c>
      <c r="T8" s="86">
        <f>25973-12973</f>
        <v>13000</v>
      </c>
    </row>
    <row r="9" spans="1:28" ht="24.6" x14ac:dyDescent="0.4">
      <c r="A9" s="8">
        <f>B8/(100%-A8)</f>
        <v>78625</v>
      </c>
      <c r="B9" s="109">
        <f>B7-B8</f>
        <v>0</v>
      </c>
      <c r="C9" s="35"/>
      <c r="D9" s="36"/>
      <c r="E9" s="33"/>
      <c r="F9" s="139"/>
      <c r="G9" s="140"/>
      <c r="H9" s="33"/>
      <c r="I9" s="37" t="s">
        <v>16</v>
      </c>
      <c r="J9" s="38">
        <f>(J7*12)-(I7)</f>
        <v>1564.4427722999972</v>
      </c>
      <c r="K9" s="38">
        <f>(K7*24)-I7</f>
        <v>3128.8855445999943</v>
      </c>
      <c r="L9" s="38">
        <f>(L7*36)-I7</f>
        <v>4693.328316900006</v>
      </c>
      <c r="M9" s="38">
        <f>(M7*48)-I7</f>
        <v>6257.7710892000032</v>
      </c>
      <c r="N9" s="38">
        <f>(N7*60)-I7</f>
        <v>7822.2138615000003</v>
      </c>
      <c r="O9" s="92"/>
      <c r="T9" s="86">
        <f>T8/12</f>
        <v>1083.3333333333333</v>
      </c>
      <c r="Z9" s="86" t="s">
        <v>86</v>
      </c>
    </row>
    <row r="10" spans="1:28" ht="24.6" x14ac:dyDescent="0.4">
      <c r="A10" s="8"/>
      <c r="B10" s="37" t="s">
        <v>50</v>
      </c>
      <c r="C10" s="20" t="s">
        <v>17</v>
      </c>
      <c r="D10" s="36">
        <f>IF(C10="YES",800,IF(C10="NO",0))</f>
        <v>0</v>
      </c>
      <c r="E10" s="39"/>
      <c r="F10" s="40"/>
      <c r="G10" s="40"/>
      <c r="H10" s="33"/>
      <c r="I10" s="44" t="s">
        <v>85</v>
      </c>
      <c r="J10" s="117" t="s">
        <v>19</v>
      </c>
      <c r="K10" s="117">
        <f>IF(J10="YES",Z10,IF(J10="NO",0))</f>
        <v>1000</v>
      </c>
      <c r="L10" s="117"/>
      <c r="M10" s="117"/>
      <c r="N10" s="41">
        <f>(N8*60)-J7</f>
        <v>545.73465632024272</v>
      </c>
      <c r="O10" s="92">
        <f>IF(D5="XC",3690,IF(D5="XPML",3690,IF(D5="XPHL",3690,IF(D5="XPMLP",3690,IF(D5="XPMLP-01",3690,IF(D5="Xpander P",3690,IF(D5="MOP57",(U19*2.75/100+510)*1.05,IF(D5="MOG64",(U19*2.75/100+510)*1.05,IF(D5="MOG59",(U19*2.75/100+510)*1.05,IF(D5="MOG59P",(U19*2.75/100+510)*1.05,IF(D5="MOG61",(U19*2.75/100+510)*1.05,IF(D5="MOP61",(U19*2.75/100+510)*1.05,IF(D5="OTF03",(D7*3/100+510)*1.05,IF(D5="OTP03",(U19*3/100+510)*1.05,IF(D5="OTF06",(U19*3/100+510)*1.05,IF(D5="OTP06",(U19*3/100+510)*1.05,IF(D5="OTP06-01",(U19*3/100+510)*1.05,IF(D5="OTF08",(U19*3/100+510)*1.05,IF(D5="OTP08",(U19*3/100+510)*1.05,IF(D5="ECG38",3625,IF(D5="ECG37",3625,IF(D5="ECG40",(D7*3/100+510)*1.05,IF(D5="ECG43",(D7*3/100+510)*1.05,IF(D5="ASG48",3625,IF(D5="ASG43",3625,IF(D5="ASG40",3625,IF(D5="ASG42",3625,IF(D5="ASG44",3625,IF(D5="ASG45",3625,IF(D5="ASX HL 4WD",3625,IF(D5="ATG16",3625,IF(D5="ATG17",3625,IF(D5="ATP16",3625,IF(D5="Attrage S",3625,IF(D5="MIG09",3625,IF(D5="MIG10",3625,IF(D5="Xpander HL",3690)))))))))))))))))))))))))))))))))))))</f>
        <v>3690</v>
      </c>
      <c r="P10" s="97"/>
      <c r="Q10" s="97">
        <f>5.25*3</f>
        <v>15.75</v>
      </c>
      <c r="Z10" s="86">
        <f>IF(D5="MIG09",500,IF(D5="MIG10",500,IF(D5="ATG16",500,IF(D5="ATP16",500,IF(D5="ATG17",500,IF(D5="ASG48",1000,IF(D5="ASG43",1000,IF(D5="ASG40",1000,IF(D5="ASG42",1000,IF(D5="ASG44",1000,IF(D5="ASG45",1000,IF(D5="ECG38",1000,IF(D5="ECG37",1000,IF(D5="ECG40",1000,IF(D5="ECG43",1000,IF(D5="XPML",1000,IF(D5="XPHL",1000,IF(D5="XPMLP",1000,IF(D5="XPMLP-01",1000,IF(D5="XC",1000,IF(D5="OTF03",1000,IF(D5="OTP03",1000,IF(D5="OTF06",1000,IF(D5="OTP06",1000,IF(D5="OTP06-01",1000,IF(D5="OTF08",1000,IF(D5="OTP08",1000,IF(D5="MOP57",1000,IF(D5="MOG64",1000,IF(D5="MOG59",1000,IF(D5="MOG59P",1000,IF(D5="MOG61",1000,IF(D5="MOP61",1000)))))))))))))))))))))))))))))))))</f>
        <v>1000</v>
      </c>
    </row>
    <row r="11" spans="1:28" ht="24.6" x14ac:dyDescent="0.4">
      <c r="A11" s="8"/>
      <c r="B11" s="37" t="s">
        <v>18</v>
      </c>
      <c r="C11" s="20" t="s">
        <v>17</v>
      </c>
      <c r="D11" s="36">
        <f>IF(C11="YES",O17,IF(C11="NO",0))</f>
        <v>0</v>
      </c>
      <c r="E11" s="33"/>
      <c r="F11" s="40"/>
      <c r="G11" s="40"/>
      <c r="H11" s="33"/>
      <c r="I11" s="21"/>
      <c r="J11" s="44" t="s">
        <v>76</v>
      </c>
      <c r="K11" s="44">
        <f>H8-K10</f>
        <v>14707.25675</v>
      </c>
      <c r="L11" s="37"/>
      <c r="M11" s="37"/>
      <c r="N11" s="42"/>
      <c r="O11" s="92">
        <f>IF(D5="XC",6100,IF(D5="XPML",6100,IF(D5="XPHL",6100,IF(D5="XPMLP",6100,IF(D5="XPMLP-01",6100,IF(D5="Xpander P",6100,IF(D5="MOP57",5900,IF(D5="MOG64",5900,IF(D5="MOG59",5900,IF(D5="MOG59P",5900,IF(D5="MOG61",5900,IF(D5="MOP61",5900,IF(D5="OTF03",6700,IF(D5="OTP03",6700,IF(D5="OTF06",6700,IF(D5="OTP06",6700,IF(D5="OTP06-01",6700,IF(D5="OTF08",6700,IF(D5="OTP08",6700,IF(D5="ECG37",6400,IF(D5="ECG38",6400,IF(D5="ECG40",6400,IF(D5="ECG43",6400,IF(D5="ASG48",6600,IF(D5="ASG43",6600,IF(D5="ASG40",6600,IF(D5="ASG42",6600,IF(D5="ASG44",6600,IF(D5="ASG45",6600,IF(D5="ASX HL 4WD",6600,IF(D5="ATG16",5400,IF(D5="ATG17",5400,IF(D5="ATP16",5400,IF(D5="Attrage S",5400,IF(D5="MIG09",5400,IF(D5="MIG10",5400,IF(D5="Xpander HL",6000)))))))))))))))))))))))))))))))))))))</f>
        <v>6100</v>
      </c>
      <c r="P11" s="92"/>
      <c r="Q11" s="92"/>
      <c r="R11" s="92"/>
      <c r="S11" s="92"/>
      <c r="T11" s="92"/>
      <c r="U11" s="92">
        <f>IF(D5="XC",4900,IF(D5="XPML",4900,IF(D5="XPHL",4900,IF(D5="XPMLP",4900,IF(D5="XPMLP-01",4900,IF(D5="Xpander P",4900,IF(D5="MOP57",4600,IF(D5="MOG64",4600,IF(D5="MOG59",4600,IF(D5="MOG59P",4600,IF(D5="MOG61",4600,IF(D5="MOP61",4600,IF(D5="OTF03",5500,IF(D5="OTP03",5500,IF(D5="OTF06",5500,IF(D5="OTP06",5500,IF(D5="OTP06-01",5500,IF(D5="OTF08",5500,IF(D5="OTP08",5500,IF(D5="ECG38",5200,IF(D5="ECG37",5200,IF(D5="ECG40",5200,IF(D5="ECG43",5200,IF(D5="ASG48",5300,IF(D5="ASG43",5300,IF(D5="ASG40",5300,IF(D5="ASG42",5300,IF(D5="ASG44",5300,IF(D5="ASG45",5300,IF(D5="ASX HL",5300,IF(D5="ASX P",5300,IF(D5="ASX HL 4WD",5300,IF(D5="ATG16",4200,IF(D5="ATG17",4200,IF(D5="ATP16",4200,IF(D5="Attrage S",4200,IF(D5="MIG09",4200,IF(D5="MIG10",4200,IF(D5="Xpander HL",4900)))))))))))))))))))))))))))))))))))))))</f>
        <v>4900</v>
      </c>
      <c r="V11" s="92">
        <f>IF(D5="XC",9700,IF(D5="XPML",9700,IF(D5="XPHL",9700,IF(D5="XPMLP",9700,IF(D5="XPMLP-01",9700,IF(D5="XPMLP-01",9700,IF(D5="Xpander P",9700,IF(D5="MOP57",9300,IF(D5="MG64",9300,IF(D5="MOG59",9300,IF(D5="MOG59P",9300,IF(D5="MOG61",9300,IF(D5="MOP61",9300,IF(D5="OTF03",11000,IF(D5="OTP03",11000,IF(D5="OTF06",11000,IF(D5="OTP06",11000,IF(D5="OTP06-01",11000,IF(D5="OTF08",11000,IF(D5="OTP08",11000,IF(D5="ECG38",10400,IF(D5="ECG37",10400,IF(D5="ECG40",10400,IF(D5="ECG43",10400,IF(D5="ASG48",10700,IF(D5="ASG43",10700,IF(D5="ASG40",10700,IF(D5="ASG42",10700,IF(D5="ASG44",10800,IF(D5="ASG45",10800,IF(D5="ASX HL",12200,IF(D5="ASX P",12200,IF(D5="ASX HL 4WD",12200,IF(D5="ATG16",8500,IF(D5="ATG17",8500,IF(D5="ATP16",8500,IF(D5="Attrage S",9600,IF(D5="MIG09",8500,IF(D5="MIG10",8500,IF(D5="Xpander HL",11300))))))))))))))))))))))))))))))))))))))))</f>
        <v>9700</v>
      </c>
      <c r="W11" s="92">
        <f>IF(D5="XC",9200,IF(D5="XPML",9200,IF(D5="XPHL",9200,IF(D5="XPMLP",9200,IF(D5="XPMLP-01",9200,IF(D5="Xpander P",9200,IF(D5="MOP57",8700,IF(D5="MOG64",8700,IF(D5="MOG59",8700,IF(D5="MOG59P",8700,IF(D5="MOG61",8700,IF(D5="MOP61",8700,IF(D5="OTF03",10400,IF(D5="OTP03",10400,IF(D5="OTF06",10400,IF(D5="OTP06",10400,IF(D5="OTP06-01",10400,IF(D5="OTF08",10400,IF(D5="OTP08",10400,IF(D5="ECG38",9800,IF(D5="ECG37",9800,IF(D5="ECG40",9800,IF(D5="ECG43",9800,IF(D5="ASG48",10100,IF(D5="ASG43",10100,IF(D5="ASG40",10100,IF(D5="ASG42",10100,IF(D5="ASG44",10100,IF(D5="ASG45",10100,IF(D5="ASX HL",10100,IF(D5="ASX P",10100,IF(D5="ASX HL 4WD",10100,IF(D5="ATG16",7900,IF(D5="ATG17",7900,IF(D5="ATP16",7900,IF(D5="Attrage S",7900,IF(D5="MIG09",7900,IF(D5="MIG10",7900,IF(D5="Xpander HL",9200)))))))))))))))))))))))))))))))))))))))</f>
        <v>9200</v>
      </c>
      <c r="X11" s="92">
        <f>IF(D5="XC",4500,IF(D5="XPML",4500,IF(D5="XPHL",4500,IF(D5="XPMLP",4500,IF(D5="XPMLP-01",4500,IF(D5="Xpander P",4500,IF(D5="MOP57",4300,IF(D5="MOG64",4300,IF(D5="MOG59",4300,IF(D5="MOG59P",4300,IF(D5="MOG61",4300,IF(D5="MOP61",4300,IF(D5="OTF03",5000,IF(D5="OTP03",5000,IF(D5="OTF06",5000,IF(D5="OTP06",5000,IF(D5="OTP06-01",5000,IF(D5="OTF08",5000,IF(D5="OTP08",5000,IF(D5="ECG38",4900,IF(D5="ECG37",4900,IF(D5="ECG40",4900,IF(D5="ECG43",4900,IF(D5="ASG48",4900,IF(D5="ASG43",4900,IF(D5="ASG40",4900,IF(D5="ASG42",4900,IF(D5="ASG44",4900,IF(D5="ASG45",4900,IF(D5="ASX HL",4900,IF(D5="ASX P",4900,IF(D5="ASX HL 4WD",4900,IF(D5="ATG16",3700,IF(D5="ATG17",3700,IF(D5="ATP16",3700,IF(D5="Attrage S",3700,IF(D5="MIG09",3700,IF(D5="MIG10",3700,IF(D5="Xpander HL",4500)))))))))))))))))))))))))))))))))))))))</f>
        <v>4500</v>
      </c>
      <c r="Y11" s="92">
        <f>IF(D5="XC",5400,IF(D5="XPML ",5400,IF(D5="XPHL",5400,IF(D5="XPMLP",5400,IF(D5="XPMLP-01",5400,IF(D5="Xpander P",5400,IF(D5="MOP57",5200,IF(D5="MOG64",5200,IF(D5="MOG59",5200,IF(D5="MOG59P",5200,IF(D5="MOG61",5200,IF(D5="MOP61",5200,IF(D5="OTF03",6000,IF(D5="OTP03",6000,IF(D5="OTF06",6000,IF(D5="OTP06",6000,IF(D5="OTP06-01",6000,IF(D5="OTF08",6000,IF(D5="OTP08",6000,IF(D5="ECG38",5700,IF(D5="ECG37",5700,IF(D5="ECG40",5700,IF(D5="ECG43",5700,IF(D5="ASG48",5900,IF(D5="ASG43",5900,IF(D5="ASG40",5900,IF(D5="ASG42",5900,IF(D5="ASG44",5900,IF(D5="ASG45",5900,IF(D5="ASX HL",5900,IF(D5="ASX P",5900,IF(D5="ASX HL 4WD",5900,IF(D5="ATG16",4500,IF(D5="ATG17",4500,IF(D5="ATP16",4500,IF(D5="Attrage S",4500,IF(D5="MIG09",4500,IF(D5="MIG10",4500,IF(D5="Xpander HL",5400)))))))))))))))))))))))))))))))))))))))</f>
        <v>5400</v>
      </c>
    </row>
    <row r="12" spans="1:28" ht="24.75" customHeight="1" x14ac:dyDescent="0.4">
      <c r="A12" s="8"/>
      <c r="B12" s="37" t="s">
        <v>20</v>
      </c>
      <c r="C12" s="20" t="s">
        <v>17</v>
      </c>
      <c r="D12" s="36">
        <f>IF(C12="YES",2000,IF(C12="NO",0))</f>
        <v>0</v>
      </c>
      <c r="E12" s="43"/>
      <c r="F12" s="43" t="s">
        <v>21</v>
      </c>
      <c r="G12" s="40"/>
      <c r="H12" s="33">
        <v>600</v>
      </c>
      <c r="I12" s="21"/>
      <c r="J12" s="44" t="s">
        <v>22</v>
      </c>
      <c r="K12" s="45">
        <v>0</v>
      </c>
      <c r="L12" s="45">
        <v>5.2499999999999998E-2</v>
      </c>
      <c r="M12" s="45">
        <v>0.126</v>
      </c>
      <c r="N12" s="46">
        <v>0.26250000000000001</v>
      </c>
      <c r="O12" s="92">
        <f>IF(K20="Esaad",B8*3/100,IF(K20="Emirates Platinum",B8*3/100,IF(K20="Fazaa",B8*3/100,IF(K20="Humat Alwatan",B8*3/100,IF(K20="Permissible",2000,IF(K20="ASX",8400,IF(K20="XPMLP",4000,IF(K20="XP",14100,IF(K20="G43",11000,IF(K20="EC",7000,IF(K20="G37",14000,IF(K20="G38",15000,IF(K20="G40",11000,IF(K20="OUT",9600,IF(K20="F08",15400,IF(K20="P08",11100,IF(K20="F06",14100,IF(K20="P06",17100,IF(K20="F03",17000,IF(K20="P03",19100,IF(K20="MON",10000,IF(K20="MON G57",10000,0))))))))))))))))))))))</f>
        <v>2000</v>
      </c>
      <c r="P12" s="92"/>
      <c r="Q12" s="92"/>
      <c r="R12" s="92"/>
      <c r="S12" s="92"/>
      <c r="T12" s="92"/>
      <c r="U12" s="92"/>
      <c r="V12" s="92"/>
      <c r="W12" s="92"/>
      <c r="X12" s="92"/>
      <c r="Y12" s="92"/>
      <c r="Z12" s="86" t="s">
        <v>83</v>
      </c>
      <c r="AA12" s="86" t="s">
        <v>84</v>
      </c>
    </row>
    <row r="13" spans="1:28" ht="24.6" x14ac:dyDescent="0.4">
      <c r="A13" s="8">
        <f>B8*1.26582</f>
        <v>79620.077999999994</v>
      </c>
      <c r="B13" s="37" t="s">
        <v>23</v>
      </c>
      <c r="C13" s="20" t="s">
        <v>17</v>
      </c>
      <c r="D13" s="36">
        <f>IF(C13="YES",2000,IF(C13="NO",0))</f>
        <v>0</v>
      </c>
      <c r="E13" s="47"/>
      <c r="F13" s="47" t="s">
        <v>75</v>
      </c>
      <c r="G13" s="40"/>
      <c r="H13" s="33">
        <v>315</v>
      </c>
      <c r="I13" s="21"/>
      <c r="J13" s="44" t="s">
        <v>54</v>
      </c>
      <c r="K13" s="29" t="s">
        <v>79</v>
      </c>
      <c r="L13" s="29" t="s">
        <v>25</v>
      </c>
      <c r="M13" s="29" t="s">
        <v>0</v>
      </c>
      <c r="N13" s="49" t="s">
        <v>26</v>
      </c>
      <c r="O13" s="98">
        <f>IF(M21="3000-4999",6%,IF(M21="5000-9999",4.75%,IF(M21="10000-14999",3.15%,IF(M21="15000-24999",2.5%,IF(M21="25000-34999",2.25%,IF(M21="35000-99999",2.25%))))))</f>
        <v>4.7500000000000001E-2</v>
      </c>
      <c r="Q13" s="83">
        <f>H7/12</f>
        <v>1308.9380625000001</v>
      </c>
      <c r="U13" s="9">
        <f>IF(M21="3000-4999",6%,IF(M21="5000-9999",3.25%,IF(M21="10000-14999",3%,IF(M21="15000-24999",2.25%,IF(M21="25000-34999",2.15%,IF(M21="35000-99999",1.99%))))))</f>
        <v>3.2500000000000001E-2</v>
      </c>
      <c r="Z13" s="99">
        <f>IF(M21="5000-9999",2.49%,IF(M21="10000-19999",2.19%,IF(M21="20000-34999",2.09%,IF(M21="35000-49999",1.89%,IF(M21="50000-99999",1.79%)))))</f>
        <v>2.4900000000000002E-2</v>
      </c>
      <c r="AA13" s="99">
        <f>IF(M21="5000-9999",2.59%,IF(M21="10000-19999",2.29%,IF(M21="20000-34999",2.19%,IF(M21="35000-49999",1.99%,IF(M21="50000-99999",1.89%)))))</f>
        <v>2.5899999999999999E-2</v>
      </c>
    </row>
    <row r="14" spans="1:28" ht="24.6" x14ac:dyDescent="0.4">
      <c r="A14" s="10" t="s">
        <v>27</v>
      </c>
      <c r="B14" s="37" t="s">
        <v>24</v>
      </c>
      <c r="C14" s="20" t="s">
        <v>19</v>
      </c>
      <c r="D14" s="50">
        <f>IF(C14="YES",U19*3.15*1.05/100,IF(C14="NO",U19*0/100))</f>
        <v>2396.2837500000001</v>
      </c>
      <c r="E14" s="48"/>
      <c r="F14" s="48" t="s">
        <v>24</v>
      </c>
      <c r="G14" s="51" t="s">
        <v>17</v>
      </c>
      <c r="H14" s="39">
        <f>IF(G14="YES",U19*3.15*1.05/100,IF(G14="NO",U19*0/100))</f>
        <v>0</v>
      </c>
      <c r="I14" s="21"/>
      <c r="J14" s="44" t="s">
        <v>55</v>
      </c>
      <c r="K14" s="44">
        <f>(H8*K12+H8)/3</f>
        <v>5235.7522500000005</v>
      </c>
      <c r="L14" s="44">
        <f>(H8*L12+H8)/12</f>
        <v>1377.6573107812501</v>
      </c>
      <c r="M14" s="44">
        <f>(H8*M12+H8)/24</f>
        <v>736.93212918749998</v>
      </c>
      <c r="N14" s="52">
        <f>(H7*N12+H7)/60</f>
        <v>330.50686078125</v>
      </c>
      <c r="O14" s="98">
        <f>IF(M21="3000-4999",3.89%,IF(M21="5000-9999",3.89%,IF(M21="10000-14999",3.89%,IF(M21="15000-24999",2.69%,IF(M21="25000-34999",2.69%,IF(M21="35000-99999",2.39%,IF(M21="76000-99999",2.19%)))))))</f>
        <v>3.8900000000000004E-2</v>
      </c>
    </row>
    <row r="15" spans="1:28" ht="24.6" x14ac:dyDescent="0.4">
      <c r="A15" s="11">
        <f>(B7*3%)+10+120</f>
        <v>2017</v>
      </c>
      <c r="B15" s="37" t="s">
        <v>28</v>
      </c>
      <c r="C15" s="20" t="s">
        <v>19</v>
      </c>
      <c r="D15" s="29">
        <f>IF(C15="YES",O10,IF(C15="NO",0))</f>
        <v>3690</v>
      </c>
      <c r="E15" s="48"/>
      <c r="F15" s="48" t="s">
        <v>53</v>
      </c>
      <c r="G15" s="51" t="s">
        <v>17</v>
      </c>
      <c r="H15" s="39">
        <f>IF(G15="YES",O10,IF(G15="NO",0))</f>
        <v>0</v>
      </c>
      <c r="I15" s="21"/>
      <c r="J15" s="44"/>
      <c r="K15" s="44"/>
      <c r="L15" s="44"/>
      <c r="M15" s="44"/>
      <c r="N15" s="53"/>
      <c r="O15" s="98" t="b">
        <f>IF(M21="3000-4999",4.99%, IF(M21="5000-11999",2.75%,IF(M21="12000-19999",2.75%,IF(M21="20000-39999",2.25%,IF(M21="40000-69999",2.39%,IF(M21="70000-99999",2.25%))))))</f>
        <v>0</v>
      </c>
      <c r="P15" s="99"/>
    </row>
    <row r="16" spans="1:28" ht="24.6" x14ac:dyDescent="0.4">
      <c r="A16" s="11">
        <f>((B7-B8)*3%+10+120)</f>
        <v>130</v>
      </c>
      <c r="B16" s="37" t="s">
        <v>78</v>
      </c>
      <c r="C16" s="20" t="s">
        <v>19</v>
      </c>
      <c r="D16" s="29">
        <f>IF(C16="YES",O16,IF(C16="NO",0))</f>
        <v>6100</v>
      </c>
      <c r="E16" s="47"/>
      <c r="F16" s="47" t="s">
        <v>74</v>
      </c>
      <c r="G16" s="54"/>
      <c r="H16" s="33">
        <f>I7*1.05%</f>
        <v>659.70478350000008</v>
      </c>
      <c r="I16" s="21"/>
      <c r="J16" s="44" t="s">
        <v>16</v>
      </c>
      <c r="K16" s="44">
        <f>(K14*3)-H8</f>
        <v>0</v>
      </c>
      <c r="L16" s="44">
        <f>(L14*12)-H8</f>
        <v>824.63097937500061</v>
      </c>
      <c r="M16" s="44">
        <f>(M14*24)-H8</f>
        <v>1979.1143505</v>
      </c>
      <c r="N16" s="53"/>
      <c r="O16" s="92">
        <f>IF(B16="RMC-10-70KMS",O11,IF(B16="RMC-10-100000KMS",V11,IF(B16="RMC-40-70KMS",U11, IF(B16="RMC-10-40KMS",X11, IF(B16="RMC-10-60KMS",Y11, IF(B16="RMC-40-100000KMS",W11,0))))))</f>
        <v>6100</v>
      </c>
    </row>
    <row r="17" spans="1:28" ht="24.6" x14ac:dyDescent="0.4">
      <c r="A17" s="11">
        <f>A15+A16</f>
        <v>2147</v>
      </c>
      <c r="B17" s="37"/>
      <c r="C17" s="20"/>
      <c r="D17" s="29">
        <f>SUM(D10:D16)</f>
        <v>12186.283750000001</v>
      </c>
      <c r="E17" s="33"/>
      <c r="F17" s="33"/>
      <c r="G17" s="33"/>
      <c r="H17" s="33">
        <f>H7+H12+H15+H16</f>
        <v>16966.961533500002</v>
      </c>
      <c r="I17" s="33"/>
      <c r="J17" s="22"/>
      <c r="K17" s="53"/>
      <c r="L17" s="53"/>
      <c r="M17" s="53"/>
      <c r="N17" s="53"/>
      <c r="O17" s="92">
        <f>IF(B11="FO Ceramic+ Intr&amp;Extr CeramicGold WdwTnt",2700,IF(B11="FO Mirror Camera Sensor",2000))</f>
        <v>2700</v>
      </c>
      <c r="T17" s="86">
        <f>19615-791</f>
        <v>18824</v>
      </c>
    </row>
    <row r="18" spans="1:28" ht="24.6" x14ac:dyDescent="0.4">
      <c r="A18" s="12" t="s">
        <v>29</v>
      </c>
      <c r="B18" s="55" t="s">
        <v>30</v>
      </c>
      <c r="C18" s="56"/>
      <c r="D18" s="57">
        <v>0</v>
      </c>
      <c r="E18" s="38"/>
      <c r="F18" s="22"/>
      <c r="G18" s="22"/>
      <c r="H18" s="21"/>
      <c r="I18" s="21"/>
      <c r="J18" s="21"/>
      <c r="K18" s="21"/>
      <c r="L18" s="21"/>
      <c r="M18" s="21"/>
      <c r="N18" s="21"/>
      <c r="O18" s="92"/>
      <c r="U18" s="100" t="s">
        <v>52</v>
      </c>
      <c r="V18" s="100" t="s">
        <v>52</v>
      </c>
    </row>
    <row r="19" spans="1:28" ht="24.6" x14ac:dyDescent="0.4">
      <c r="A19" s="11">
        <f>B8*3.15%</f>
        <v>1981.35</v>
      </c>
      <c r="B19" s="58" t="s">
        <v>31</v>
      </c>
      <c r="C19" s="59"/>
      <c r="D19" s="60">
        <f>IF(K21="DIB EXPAT",O13,IF(K21="DIB LOCAL GVH",U13,IF(K21="Emirates NBD",O14,IF(K21="ADCB",O15,IF(K21="ADCB PAY IN 2027",O19,IF(K21="Ajman Bank",O18,IF(K21="SIB STL",Z13,IF(K21="SIB NON STL",AA13,))))))))</f>
        <v>2.4900000000000002E-2</v>
      </c>
      <c r="E19" s="22"/>
      <c r="F19" s="61"/>
      <c r="G19" s="141" t="s">
        <v>73</v>
      </c>
      <c r="H19" s="142"/>
      <c r="I19" s="143"/>
      <c r="J19" s="109">
        <f>H7/365</f>
        <v>43.033580136986302</v>
      </c>
      <c r="K19" s="21"/>
      <c r="L19" s="21"/>
      <c r="M19" s="21"/>
      <c r="N19" s="23">
        <f>D7</f>
        <v>66045</v>
      </c>
      <c r="O19" s="98" t="b">
        <f>IF(M21="5000-11999",3.35%,IF(M21="12000-19999",3.35%,IF(M21="20000-39999",2.85%,IF(M21="40000-69999",2.85%,IF(M21="70000-99999",2.85%)))))</f>
        <v>0</v>
      </c>
      <c r="P19" s="83">
        <f>81400-2500</f>
        <v>78900</v>
      </c>
      <c r="U19" s="101">
        <f>V19</f>
        <v>72450</v>
      </c>
      <c r="V19" s="102">
        <f>(B7+D10+D11+D12+D13+D16)*1.05</f>
        <v>72450</v>
      </c>
      <c r="X19" s="87">
        <f>G7*3.15*1.05/100</f>
        <v>2597.58758503125</v>
      </c>
      <c r="Y19" s="87">
        <f>G7*3/100+510*1.05</f>
        <v>2891.5885125</v>
      </c>
      <c r="Z19" s="87">
        <f>Y19+X19</f>
        <v>5489.17609753125</v>
      </c>
      <c r="AA19" s="87">
        <f>(Z19)-(D14+D15)</f>
        <v>-597.10765246875053</v>
      </c>
      <c r="AB19" s="87">
        <f>AA19*1.25</f>
        <v>-746.38456558593816</v>
      </c>
    </row>
    <row r="20" spans="1:28" ht="24.6" x14ac:dyDescent="0.4">
      <c r="A20" s="11"/>
      <c r="B20" s="58" t="s">
        <v>32</v>
      </c>
      <c r="C20" s="62"/>
      <c r="D20" s="63">
        <v>0.2</v>
      </c>
      <c r="E20" s="21"/>
      <c r="F20" s="21"/>
      <c r="G20" s="42"/>
      <c r="H20" s="42"/>
      <c r="I20" s="42"/>
      <c r="J20" s="103"/>
      <c r="K20" s="104" t="s">
        <v>33</v>
      </c>
      <c r="L20" s="104" t="s">
        <v>17</v>
      </c>
      <c r="M20" s="104">
        <f>IF(L20="YES",O12,IF(L20="NO",0))</f>
        <v>0</v>
      </c>
      <c r="N20" s="23">
        <f>B8-M20</f>
        <v>62900</v>
      </c>
      <c r="O20" s="92"/>
      <c r="P20" s="99"/>
      <c r="T20" s="86">
        <f>1992+1084</f>
        <v>3076</v>
      </c>
      <c r="V20" s="83"/>
      <c r="X20" s="87">
        <f>X19-D14</f>
        <v>201.30383503124995</v>
      </c>
      <c r="Y20" s="87">
        <f>Y19-D15</f>
        <v>-798.41148750000002</v>
      </c>
      <c r="AA20" s="87">
        <f>X20+Y20</f>
        <v>-597.10765246875008</v>
      </c>
    </row>
    <row r="21" spans="1:28" ht="24.6" x14ac:dyDescent="0.4">
      <c r="A21" s="13">
        <f>A19+A20</f>
        <v>1981.35</v>
      </c>
      <c r="B21" s="21"/>
      <c r="C21" s="22"/>
      <c r="D21" s="21"/>
      <c r="E21" s="21"/>
      <c r="F21" s="21"/>
      <c r="G21" s="21"/>
      <c r="H21" s="21"/>
      <c r="I21" s="21"/>
      <c r="J21" s="37" t="s">
        <v>34</v>
      </c>
      <c r="K21" s="16" t="s">
        <v>83</v>
      </c>
      <c r="L21" s="105" t="s">
        <v>35</v>
      </c>
      <c r="M21" s="106" t="s">
        <v>80</v>
      </c>
      <c r="N21" s="111"/>
      <c r="O21" s="92"/>
      <c r="T21" s="86">
        <f>25973-12973</f>
        <v>13000</v>
      </c>
    </row>
    <row r="22" spans="1:28" ht="24.6" x14ac:dyDescent="0.4">
      <c r="A22" s="13"/>
      <c r="B22" s="130" t="s">
        <v>51</v>
      </c>
      <c r="C22" s="131"/>
      <c r="D22" s="131"/>
      <c r="E22" s="131"/>
      <c r="F22" s="131"/>
      <c r="G22" s="131"/>
      <c r="H22" s="131"/>
      <c r="I22" s="131"/>
      <c r="J22" s="131"/>
      <c r="K22" s="131"/>
      <c r="L22" s="131"/>
      <c r="M22" s="131"/>
      <c r="N22" s="132"/>
      <c r="O22" s="92"/>
    </row>
    <row r="23" spans="1:28" ht="25.2" x14ac:dyDescent="0.45">
      <c r="A23" s="14" t="s">
        <v>36</v>
      </c>
      <c r="B23" s="64" t="s">
        <v>57</v>
      </c>
      <c r="C23" s="65"/>
      <c r="D23" s="65"/>
      <c r="E23" s="65"/>
      <c r="F23" s="65"/>
      <c r="G23" s="65"/>
      <c r="H23" s="66"/>
      <c r="I23" s="66"/>
      <c r="J23" s="65"/>
      <c r="K23" s="65"/>
      <c r="L23" s="65"/>
      <c r="M23" s="65"/>
      <c r="N23" s="67"/>
      <c r="O23" s="92">
        <f>N7+K14</f>
        <v>6413.2729310250006</v>
      </c>
    </row>
    <row r="24" spans="1:28" ht="25.2" x14ac:dyDescent="0.45">
      <c r="A24" s="14" t="s">
        <v>36</v>
      </c>
      <c r="B24" s="64" t="s">
        <v>58</v>
      </c>
      <c r="C24" s="65"/>
      <c r="D24" s="65"/>
      <c r="E24" s="65"/>
      <c r="F24" s="65"/>
      <c r="G24" s="65"/>
      <c r="H24" s="85">
        <f>H7/365</f>
        <v>43.033580136986302</v>
      </c>
      <c r="I24" s="85">
        <f>H7/365</f>
        <v>43.033580136986302</v>
      </c>
      <c r="J24" s="65"/>
      <c r="K24" s="65"/>
      <c r="L24" s="65"/>
      <c r="M24" s="65"/>
      <c r="N24" s="68"/>
      <c r="O24" s="92"/>
      <c r="P24" s="83">
        <f>1232+480</f>
        <v>1712</v>
      </c>
      <c r="T24" s="86">
        <f>88704/1.05</f>
        <v>84480</v>
      </c>
    </row>
    <row r="25" spans="1:28" ht="25.2" x14ac:dyDescent="0.45">
      <c r="A25" s="14" t="s">
        <v>36</v>
      </c>
      <c r="B25" s="64" t="s">
        <v>59</v>
      </c>
      <c r="C25" s="65"/>
      <c r="D25" s="65"/>
      <c r="E25" s="65"/>
      <c r="F25" s="65"/>
      <c r="G25" s="65"/>
      <c r="H25" s="66"/>
      <c r="I25" s="85">
        <f>I24*365*3</f>
        <v>47121.770250000001</v>
      </c>
      <c r="J25" s="65"/>
      <c r="K25" s="65"/>
      <c r="L25" s="65"/>
      <c r="M25" s="65"/>
      <c r="N25" s="68"/>
      <c r="O25" s="92"/>
      <c r="Q25" s="86">
        <f>79400-5233.33</f>
        <v>74166.67</v>
      </c>
      <c r="R25" s="86">
        <f>Q25*1.05</f>
        <v>77875.003500000006</v>
      </c>
    </row>
    <row r="26" spans="1:28" ht="25.2" x14ac:dyDescent="0.45">
      <c r="A26" s="14" t="s">
        <v>36</v>
      </c>
      <c r="B26" s="64" t="s">
        <v>60</v>
      </c>
      <c r="C26" s="65"/>
      <c r="D26" s="65"/>
      <c r="E26" s="65"/>
      <c r="F26" s="65"/>
      <c r="G26" s="65"/>
      <c r="H26" s="65"/>
      <c r="I26" s="65"/>
      <c r="J26" s="65"/>
      <c r="K26" s="65"/>
      <c r="L26" s="65"/>
      <c r="M26" s="65"/>
      <c r="N26" s="68"/>
      <c r="O26" s="92" t="s">
        <v>37</v>
      </c>
      <c r="R26" s="86">
        <f>R25+2469</f>
        <v>80344.003500000006</v>
      </c>
    </row>
    <row r="27" spans="1:28" ht="25.2" x14ac:dyDescent="0.45">
      <c r="A27" s="14" t="s">
        <v>36</v>
      </c>
      <c r="B27" s="64" t="s">
        <v>61</v>
      </c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8"/>
      <c r="O27" s="92">
        <f>129500-110900</f>
        <v>18600</v>
      </c>
    </row>
    <row r="28" spans="1:28" ht="25.2" x14ac:dyDescent="0.45">
      <c r="B28" s="64" t="s">
        <v>62</v>
      </c>
      <c r="C28" s="65"/>
      <c r="D28" s="65"/>
      <c r="E28" s="65"/>
      <c r="F28" s="65"/>
      <c r="G28" s="65"/>
      <c r="H28" s="65"/>
      <c r="I28" s="65"/>
      <c r="J28" s="65"/>
      <c r="K28" s="65"/>
      <c r="L28" s="65"/>
      <c r="M28" s="65"/>
      <c r="N28" s="68"/>
      <c r="O28" s="92"/>
    </row>
    <row r="29" spans="1:28" ht="25.2" x14ac:dyDescent="0.45">
      <c r="B29" s="64" t="s">
        <v>63</v>
      </c>
      <c r="C29" s="65"/>
      <c r="D29" s="65"/>
      <c r="E29" s="65"/>
      <c r="F29" s="65"/>
      <c r="G29" s="65"/>
      <c r="H29" s="65"/>
      <c r="I29" s="65"/>
      <c r="J29" s="65"/>
      <c r="K29" s="65"/>
      <c r="L29" s="65"/>
      <c r="M29" s="65"/>
      <c r="N29" s="69"/>
      <c r="O29" s="92"/>
    </row>
    <row r="30" spans="1:28" ht="24.6" x14ac:dyDescent="0.4">
      <c r="B30" s="133" t="s">
        <v>38</v>
      </c>
      <c r="C30" s="134"/>
      <c r="D30" s="134"/>
      <c r="E30" s="134"/>
      <c r="F30" s="134"/>
      <c r="G30" s="134"/>
      <c r="H30" s="134"/>
      <c r="I30" s="134"/>
      <c r="J30" s="134"/>
      <c r="K30" s="134"/>
      <c r="L30" s="134"/>
      <c r="M30" s="134"/>
      <c r="N30" s="135"/>
      <c r="O30" s="92"/>
    </row>
    <row r="31" spans="1:28" ht="24.6" x14ac:dyDescent="0.4">
      <c r="B31" s="136"/>
      <c r="C31" s="137"/>
      <c r="D31" s="137"/>
      <c r="E31" s="137"/>
      <c r="F31" s="137"/>
      <c r="G31" s="137"/>
      <c r="H31" s="137"/>
      <c r="I31" s="137"/>
      <c r="J31" s="137"/>
      <c r="K31" s="137"/>
      <c r="L31" s="137"/>
      <c r="M31" s="137"/>
      <c r="N31" s="138"/>
      <c r="O31" s="92"/>
    </row>
    <row r="32" spans="1:28" ht="24.6" x14ac:dyDescent="0.4">
      <c r="B32" s="136" t="s">
        <v>39</v>
      </c>
      <c r="C32" s="137"/>
      <c r="D32" s="137"/>
      <c r="E32" s="137"/>
      <c r="F32" s="137"/>
      <c r="G32" s="137"/>
      <c r="H32" s="137"/>
      <c r="I32" s="137"/>
      <c r="J32" s="137"/>
      <c r="K32" s="137"/>
      <c r="L32" s="137"/>
      <c r="M32" s="137"/>
      <c r="N32" s="138"/>
      <c r="O32" s="92"/>
    </row>
    <row r="33" spans="2:16" ht="24.6" x14ac:dyDescent="0.4">
      <c r="B33" s="136" t="s">
        <v>40</v>
      </c>
      <c r="C33" s="137"/>
      <c r="D33" s="137"/>
      <c r="E33" s="137"/>
      <c r="F33" s="137"/>
      <c r="G33" s="137"/>
      <c r="H33" s="137"/>
      <c r="I33" s="137"/>
      <c r="J33" s="137"/>
      <c r="K33" s="137"/>
      <c r="L33" s="137"/>
      <c r="M33" s="137"/>
      <c r="N33" s="138"/>
      <c r="O33" s="92"/>
    </row>
    <row r="34" spans="2:16" s="112" customFormat="1" ht="24.6" x14ac:dyDescent="0.4">
      <c r="B34" s="107" t="s">
        <v>81</v>
      </c>
      <c r="C34" s="108"/>
      <c r="D34" s="108"/>
      <c r="E34" s="108"/>
      <c r="F34" s="108"/>
      <c r="G34" s="113"/>
      <c r="H34" s="113"/>
      <c r="I34" s="108"/>
      <c r="J34" s="108"/>
      <c r="K34" s="108"/>
      <c r="L34" s="108"/>
      <c r="M34" s="114" t="s">
        <v>82</v>
      </c>
      <c r="N34" s="116" t="b">
        <f>IF(M34="ALAA",507963328, IF(M34="BACHIR",525246969,IF(M34="JIHAN",566201266, IF(M34="RAMY",505277871, IF(M34="SIMON",505140337,IF(M34="SUJITH",551079817, IF(M34="PRAVEEN",506367792,IF(M34="MHAREN",529224059, IF(M34="MOSSALLEM",505185577,IF(M34="RANJITH",554989288, IF(M34="KHALED",552319494)))))))))))</f>
        <v>0</v>
      </c>
      <c r="O34" s="115"/>
      <c r="P34" s="115"/>
    </row>
    <row r="35" spans="2:16" x14ac:dyDescent="0.35">
      <c r="B35" s="70"/>
      <c r="C35" s="71"/>
      <c r="D35" s="71"/>
      <c r="E35" s="71"/>
      <c r="F35" s="71"/>
      <c r="G35" s="71"/>
      <c r="H35" s="71"/>
      <c r="I35" s="71"/>
      <c r="J35" s="71"/>
      <c r="K35" s="71"/>
      <c r="L35" s="71"/>
      <c r="M35" s="71"/>
      <c r="N35" s="72"/>
    </row>
    <row r="36" spans="2:16" x14ac:dyDescent="0.35">
      <c r="B36" s="70"/>
      <c r="C36" s="71"/>
      <c r="D36" s="71"/>
      <c r="E36" s="71"/>
      <c r="F36" s="71"/>
      <c r="G36" s="71"/>
      <c r="H36" s="71"/>
      <c r="I36" s="71"/>
      <c r="J36" s="71"/>
      <c r="K36" s="71"/>
      <c r="L36" s="71"/>
      <c r="M36" s="71"/>
      <c r="N36" s="72"/>
    </row>
    <row r="37" spans="2:16" x14ac:dyDescent="0.35">
      <c r="B37" s="70"/>
      <c r="C37" s="71"/>
      <c r="D37" s="71"/>
      <c r="E37" s="71"/>
      <c r="F37" s="71"/>
      <c r="G37" s="71"/>
      <c r="H37" s="71"/>
      <c r="I37" s="71"/>
      <c r="J37" s="71"/>
      <c r="K37" s="71"/>
      <c r="L37" s="71"/>
      <c r="M37" s="71"/>
      <c r="N37" s="72"/>
    </row>
    <row r="38" spans="2:16" ht="21" x14ac:dyDescent="0.4">
      <c r="B38" s="73" t="s">
        <v>64</v>
      </c>
      <c r="C38" s="74"/>
      <c r="D38" s="75"/>
      <c r="E38" s="76"/>
      <c r="F38" s="76"/>
      <c r="G38" s="76"/>
      <c r="H38" s="76"/>
      <c r="I38" s="76"/>
      <c r="J38" s="77"/>
      <c r="K38" s="76"/>
      <c r="L38" s="76"/>
      <c r="M38" s="76"/>
      <c r="N38" s="78"/>
    </row>
    <row r="39" spans="2:16" ht="21" x14ac:dyDescent="0.4">
      <c r="B39" s="73" t="s">
        <v>65</v>
      </c>
      <c r="C39" s="79"/>
      <c r="D39" s="75"/>
      <c r="E39" s="76"/>
      <c r="F39" s="76"/>
      <c r="G39" s="76"/>
      <c r="H39" s="76"/>
      <c r="I39" s="76"/>
      <c r="J39" s="77"/>
      <c r="K39" s="76"/>
      <c r="L39" s="76"/>
      <c r="M39" s="76"/>
      <c r="N39" s="80"/>
    </row>
    <row r="40" spans="2:16" ht="21" x14ac:dyDescent="0.35">
      <c r="B40" s="73" t="s">
        <v>66</v>
      </c>
      <c r="C40" s="81"/>
      <c r="D40" s="76"/>
      <c r="E40" s="76"/>
      <c r="F40" s="76"/>
      <c r="G40" s="76"/>
      <c r="H40" s="76"/>
      <c r="I40" s="76"/>
      <c r="J40" s="77"/>
      <c r="K40" s="76"/>
      <c r="L40" s="76"/>
      <c r="M40" s="76"/>
      <c r="N40" s="80"/>
    </row>
    <row r="41" spans="2:16" ht="21" x14ac:dyDescent="0.35">
      <c r="B41" s="73" t="s">
        <v>67</v>
      </c>
      <c r="C41" s="82"/>
      <c r="D41" s="83"/>
      <c r="E41" s="83"/>
      <c r="F41" s="83"/>
      <c r="G41" s="83"/>
      <c r="H41" s="83"/>
      <c r="I41" s="83"/>
      <c r="J41" s="83"/>
      <c r="K41" s="83"/>
      <c r="L41" s="83"/>
      <c r="M41" s="83"/>
      <c r="N41" s="84"/>
    </row>
    <row r="42" spans="2:16" ht="21" x14ac:dyDescent="0.35">
      <c r="B42" s="73" t="s">
        <v>77</v>
      </c>
      <c r="C42" s="82"/>
      <c r="D42" s="83"/>
      <c r="E42" s="83"/>
      <c r="F42" s="83"/>
      <c r="G42" s="83"/>
      <c r="H42" s="83"/>
      <c r="I42" s="83"/>
      <c r="J42" s="83"/>
      <c r="K42" s="83"/>
      <c r="L42" s="83"/>
      <c r="M42" s="83"/>
      <c r="N42" s="84"/>
    </row>
    <row r="43" spans="2:16" ht="21" x14ac:dyDescent="0.35">
      <c r="B43" s="73" t="s">
        <v>68</v>
      </c>
      <c r="C43" s="82"/>
      <c r="D43" s="83"/>
      <c r="E43" s="83"/>
      <c r="F43" s="83"/>
      <c r="G43" s="83"/>
      <c r="H43" s="83"/>
      <c r="I43" s="83"/>
      <c r="J43" s="83"/>
      <c r="K43" s="83"/>
      <c r="L43" s="83"/>
      <c r="M43" s="83"/>
      <c r="N43" s="84"/>
    </row>
    <row r="44" spans="2:16" ht="21" x14ac:dyDescent="0.35">
      <c r="B44" s="73" t="s">
        <v>69</v>
      </c>
      <c r="C44" s="82"/>
      <c r="D44" s="83"/>
      <c r="E44" s="83"/>
      <c r="F44" s="83"/>
      <c r="G44" s="83"/>
      <c r="H44" s="83"/>
      <c r="I44" s="83"/>
      <c r="J44" s="83"/>
      <c r="K44" s="83"/>
      <c r="L44" s="83"/>
      <c r="M44" s="83"/>
      <c r="N44" s="84"/>
    </row>
    <row r="45" spans="2:16" ht="21" x14ac:dyDescent="0.35">
      <c r="B45" s="73" t="s">
        <v>70</v>
      </c>
      <c r="C45" s="82"/>
      <c r="D45" s="83"/>
      <c r="E45" s="83"/>
      <c r="F45" s="83"/>
      <c r="G45" s="83"/>
      <c r="H45" s="83"/>
      <c r="I45" s="83"/>
      <c r="J45" s="83"/>
      <c r="K45" s="83"/>
      <c r="L45" s="83"/>
      <c r="M45" s="83"/>
      <c r="N45" s="84"/>
    </row>
    <row r="46" spans="2:16" ht="21" x14ac:dyDescent="0.35">
      <c r="B46" s="73" t="s">
        <v>71</v>
      </c>
      <c r="C46" s="82"/>
      <c r="D46" s="83"/>
      <c r="E46" s="83"/>
      <c r="F46" s="83"/>
      <c r="G46" s="83"/>
      <c r="H46" s="83"/>
      <c r="I46" s="83"/>
      <c r="J46" s="83"/>
      <c r="K46" s="83"/>
      <c r="L46" s="83"/>
      <c r="M46" s="83"/>
      <c r="N46" s="84"/>
    </row>
    <row r="47" spans="2:16" x14ac:dyDescent="0.35">
      <c r="B47" s="118" t="s">
        <v>39</v>
      </c>
      <c r="C47" s="119"/>
      <c r="D47" s="119"/>
      <c r="E47" s="119"/>
      <c r="F47" s="119"/>
      <c r="G47" s="119"/>
      <c r="H47" s="119"/>
      <c r="I47" s="119"/>
      <c r="J47" s="119"/>
      <c r="K47" s="119"/>
      <c r="L47" s="119"/>
      <c r="M47" s="119"/>
      <c r="N47" s="120"/>
      <c r="O47" s="92"/>
    </row>
    <row r="48" spans="2:16" x14ac:dyDescent="0.35">
      <c r="B48" s="118" t="s">
        <v>40</v>
      </c>
      <c r="C48" s="119"/>
      <c r="D48" s="119"/>
      <c r="E48" s="119"/>
      <c r="F48" s="119"/>
      <c r="G48" s="119"/>
      <c r="H48" s="119"/>
      <c r="I48" s="119"/>
      <c r="J48" s="119"/>
      <c r="K48" s="119"/>
      <c r="L48" s="119"/>
      <c r="M48" s="119"/>
      <c r="N48" s="120"/>
      <c r="O48" s="92"/>
    </row>
    <row r="49" spans="2:14" x14ac:dyDescent="0.35">
      <c r="B49" s="118" t="s">
        <v>72</v>
      </c>
      <c r="C49" s="119"/>
      <c r="D49" s="119"/>
      <c r="E49" s="119"/>
      <c r="F49" s="119"/>
      <c r="G49" s="119"/>
      <c r="H49" s="119"/>
      <c r="I49" s="119"/>
      <c r="J49" s="119"/>
      <c r="K49" s="119"/>
      <c r="L49" s="119"/>
      <c r="M49" s="119"/>
      <c r="N49" s="120"/>
    </row>
    <row r="50" spans="2:14" ht="25.8" x14ac:dyDescent="0.35">
      <c r="C50" s="15" t="s">
        <v>41</v>
      </c>
    </row>
    <row r="51" spans="2:14" ht="25.8" x14ac:dyDescent="0.35">
      <c r="C51" s="15" t="s">
        <v>42</v>
      </c>
    </row>
    <row r="52" spans="2:14" ht="25.8" x14ac:dyDescent="0.35">
      <c r="C52" s="15" t="s">
        <v>43</v>
      </c>
    </row>
    <row r="53" spans="2:14" ht="25.8" x14ac:dyDescent="0.35">
      <c r="C53" s="15" t="s">
        <v>44</v>
      </c>
    </row>
    <row r="54" spans="2:14" ht="25.8" x14ac:dyDescent="0.35">
      <c r="C54" s="15" t="s">
        <v>45</v>
      </c>
    </row>
  </sheetData>
  <mergeCells count="12">
    <mergeCell ref="B49:N49"/>
    <mergeCell ref="B1:N4"/>
    <mergeCell ref="F8:G8"/>
    <mergeCell ref="F9:G9"/>
    <mergeCell ref="G19:I19"/>
    <mergeCell ref="B22:N22"/>
    <mergeCell ref="B30:N30"/>
    <mergeCell ref="B31:N31"/>
    <mergeCell ref="B32:N32"/>
    <mergeCell ref="B33:N33"/>
    <mergeCell ref="B47:N47"/>
    <mergeCell ref="B48:N48"/>
  </mergeCells>
  <dataValidations count="11">
    <dataValidation type="list" allowBlank="1" showInputMessage="1" showErrorMessage="1" sqref="K21" xr:uid="{302DA3E8-8491-4F7D-8DE2-F9832AF1CBBD}">
      <formula1>"ADCB,ADCB PAY IN 2027,Ajman Bank,ADIB,DIB EXPAT,DIB LOCAL GVH,Emirates NBD,EIB,FAB,RAK,SIB STL,SIB NON STL"</formula1>
    </dataValidation>
    <dataValidation type="list" allowBlank="1" showInputMessage="1" showErrorMessage="1" sqref="D5" xr:uid="{31EBAD39-0B93-4D3A-8054-6C63ECF65CA0}">
      <formula1>"MIG09,MIG10,ATG16,ATP16,ATG17,ASG48,ASG43,ASG40,ASG42,ASG44,ASG45,ECG38,ECG37,ECG40,ECG43,XPML,XPHL,XPMLP, XPMLP-01, XC,OTF03,OTP03,OTF06,OTP06, OTP06-01,OTF08, OTP08,MOP57,MOG64,MOG59,MOG59P,MOG61,MOP61"</formula1>
    </dataValidation>
    <dataValidation type="list" allowBlank="1" showInputMessage="1" showErrorMessage="1" sqref="M21" xr:uid="{54961E52-D2AE-4266-9EF9-0FC4BFCC81BC}">
      <formula1>"3000-4999,5000-9999,10000-14999,15000-24999,25000-34999,35000-99999,5000-11999,12000-19999,20000-39999,40000-69999,70000-99999"</formula1>
    </dataValidation>
    <dataValidation type="list" allowBlank="1" showInputMessage="1" showErrorMessage="1" sqref="K20" xr:uid="{E5EB7FB0-6043-424D-852A-0AA846E1EB82}">
      <formula1>"Esaad,Emirates Platinum,Fazaa,Humat Alwatan,Permissible,ASX,XPMLP,XP,MON,MON G57,OUT,F08,P08,F06,P06,F03,P03,EC,G37,G38,G40,G43"</formula1>
    </dataValidation>
    <dataValidation type="list" allowBlank="1" showInputMessage="1" showErrorMessage="1" sqref="L19:L20 L24:L25 G14:G15 C10:C16 L10 J10" xr:uid="{BA6DC433-368F-4F08-B853-BFFEDA52738B}">
      <formula1>"YES,NO"</formula1>
    </dataValidation>
    <dataValidation type="list" allowBlank="1" showInputMessage="1" showErrorMessage="1" sqref="K24" xr:uid="{7943FDC9-1EFE-4769-8CA3-40B2C01BD1FC}">
      <formula1>"RMC-10-70K,RMC-10-100000K,RMC-40-70K"</formula1>
    </dataValidation>
    <dataValidation type="list" allowBlank="1" showInputMessage="1" showErrorMessage="1" sqref="B16" xr:uid="{D7292C9F-6016-4FB2-A64C-9A660854BE74}">
      <formula1>"RMC-10-40KMS,RMC-10-60KMS,RMC-10-70KMS,RMC-10-100000KMS,RMC-40-70KMS,RMC-40-100000KMS"</formula1>
    </dataValidation>
    <dataValidation type="list" allowBlank="1" showInputMessage="1" showErrorMessage="1" sqref="B12" xr:uid="{58EDC1F3-1A20-4D3A-9C4D-B8284D9BD513}">
      <formula1>"FO Exterior ceramic All Cars SCOTCHGUARD,FO Mirror Camera Sensor,FO PPF Gold Package "</formula1>
    </dataValidation>
    <dataValidation type="list" allowBlank="1" showInputMessage="1" showErrorMessage="1" sqref="B11" xr:uid="{5579B7B1-2521-42C9-A840-95B7E6233FFA}">
      <formula1>"FO Ceramic+ Intr&amp;Extr CeramicGold WdwTnt,FO Mirror Camera Sensor"</formula1>
    </dataValidation>
    <dataValidation type="list" allowBlank="1" showInputMessage="1" showErrorMessage="1" sqref="M34" xr:uid="{1D531698-67E5-473B-B04D-84E92F7380D7}">
      <formula1>"Alaa,Bachir ,Khaled,Ramy,Simon,Mharen,Ranjith,Jihan,Praveen,Sujith,Mossallem"</formula1>
    </dataValidation>
    <dataValidation type="list" allowBlank="1" showInputMessage="1" showErrorMessage="1" sqref="H34" xr:uid="{D31FC523-5B99-48B0-B444-A8DEFD94E0BC}">
      <formula1>"ALAA HAMMAD,KHALED QASSEM,RAMY RAOUF,SIMON LOBO,MHAREN CLEMENTE GARADO"</formula1>
    </dataValidation>
  </dataValidations>
  <pageMargins left="0.23622047244094491" right="0.23622047244094491" top="0.74803149606299213" bottom="0.74803149606299213" header="0.31496062992125984" footer="0.31496062992125984"/>
  <pageSetup paperSize="9" scale="37" orientation="landscape" horizontalDpi="4294967295" verticalDpi="4294967295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E70B98-9578-419B-8F14-97BDD41E165D}">
  <sheetPr>
    <pageSetUpPr fitToPage="1"/>
  </sheetPr>
  <dimension ref="A1:AB54"/>
  <sheetViews>
    <sheetView topLeftCell="B1" zoomScaleNormal="100" workbookViewId="0">
      <selection activeCell="D5" sqref="D5"/>
    </sheetView>
  </sheetViews>
  <sheetFormatPr defaultColWidth="9.109375" defaultRowHeight="20.399999999999999" x14ac:dyDescent="0.35"/>
  <cols>
    <col min="1" max="1" width="16" style="1" hidden="1" customWidth="1"/>
    <col min="2" max="2" width="75.5546875" style="2" customWidth="1"/>
    <col min="3" max="3" width="25.5546875" style="3" customWidth="1"/>
    <col min="4" max="4" width="25.33203125" style="2" customWidth="1"/>
    <col min="5" max="5" width="22.6640625" style="2" customWidth="1"/>
    <col min="6" max="6" width="21" style="2" customWidth="1"/>
    <col min="7" max="7" width="25" style="2" customWidth="1"/>
    <col min="8" max="8" width="29.44140625" style="2" bestFit="1" customWidth="1"/>
    <col min="9" max="9" width="32.109375" style="2" bestFit="1" customWidth="1"/>
    <col min="10" max="10" width="22" style="2" customWidth="1"/>
    <col min="11" max="11" width="23.33203125" style="2" customWidth="1"/>
    <col min="12" max="12" width="31" style="2" customWidth="1"/>
    <col min="13" max="13" width="23.5546875" style="2" customWidth="1"/>
    <col min="14" max="14" width="21.109375" style="2" customWidth="1"/>
    <col min="15" max="15" width="14.44140625" style="83" bestFit="1" customWidth="1"/>
    <col min="16" max="16" width="21.6640625" style="83" hidden="1" customWidth="1"/>
    <col min="17" max="17" width="14.33203125" style="86" hidden="1" customWidth="1"/>
    <col min="18" max="18" width="12.88671875" style="86" hidden="1" customWidth="1"/>
    <col min="19" max="19" width="13" style="86" hidden="1" customWidth="1"/>
    <col min="20" max="20" width="17.109375" style="86" hidden="1" customWidth="1"/>
    <col min="21" max="21" width="21.5546875" style="86" customWidth="1"/>
    <col min="22" max="22" width="22.88671875" style="86" customWidth="1"/>
    <col min="23" max="26" width="17.109375" style="86" bestFit="1" customWidth="1"/>
    <col min="27" max="27" width="15" style="86" customWidth="1"/>
    <col min="28" max="28" width="14.33203125" style="86" bestFit="1" customWidth="1"/>
    <col min="29" max="16384" width="9.109375" style="1"/>
  </cols>
  <sheetData>
    <row r="1" spans="1:28" ht="15.75" customHeight="1" x14ac:dyDescent="0.35">
      <c r="B1" s="121" t="s">
        <v>46</v>
      </c>
      <c r="C1" s="122"/>
      <c r="D1" s="122"/>
      <c r="E1" s="122"/>
      <c r="F1" s="122"/>
      <c r="G1" s="122"/>
      <c r="H1" s="122"/>
      <c r="I1" s="122"/>
      <c r="J1" s="122"/>
      <c r="K1" s="122"/>
      <c r="L1" s="122"/>
      <c r="M1" s="122"/>
      <c r="N1" s="123"/>
    </row>
    <row r="2" spans="1:28" ht="15.75" customHeight="1" x14ac:dyDescent="0.35">
      <c r="B2" s="124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6"/>
      <c r="Q2" s="83"/>
      <c r="S2" s="87"/>
    </row>
    <row r="3" spans="1:28" ht="15.75" customHeight="1" x14ac:dyDescent="0.35">
      <c r="B3" s="124"/>
      <c r="C3" s="125"/>
      <c r="D3" s="125"/>
      <c r="E3" s="125"/>
      <c r="F3" s="125"/>
      <c r="G3" s="125"/>
      <c r="H3" s="125"/>
      <c r="I3" s="125"/>
      <c r="J3" s="125"/>
      <c r="K3" s="125"/>
      <c r="L3" s="125"/>
      <c r="M3" s="125"/>
      <c r="N3" s="126"/>
      <c r="O3" s="82"/>
      <c r="P3" s="82"/>
      <c r="Q3" s="81"/>
      <c r="R3" s="81"/>
      <c r="S3" s="88" t="e">
        <f>N7+J14</f>
        <v>#VALUE!</v>
      </c>
      <c r="T3" s="88"/>
      <c r="U3" s="81"/>
      <c r="V3" s="81"/>
      <c r="W3" s="81"/>
      <c r="AA3" s="86">
        <f>273000/5</f>
        <v>54600</v>
      </c>
    </row>
    <row r="4" spans="1:28" ht="15.75" customHeight="1" x14ac:dyDescent="0.4">
      <c r="B4" s="127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9"/>
      <c r="O4" s="89" t="s">
        <v>0</v>
      </c>
      <c r="P4" s="89"/>
      <c r="Q4" s="90"/>
      <c r="R4" s="90"/>
      <c r="S4" s="91"/>
      <c r="T4" s="91"/>
      <c r="U4" s="90" t="s">
        <v>1</v>
      </c>
      <c r="V4" s="90" t="s">
        <v>2</v>
      </c>
      <c r="W4" s="90" t="s">
        <v>3</v>
      </c>
    </row>
    <row r="5" spans="1:28" ht="25.2" thickBot="1" x14ac:dyDescent="0.45">
      <c r="B5" s="17">
        <f ca="1">TODAY()</f>
        <v>46215</v>
      </c>
      <c r="C5" s="18" t="str">
        <f>IF(D5="MIG09","Mirage G09",IF(D5="MIG10","MirageG10",IF(D5="ATG16","Attrage G16",IF(D5="ATP16","Attrage P16",IF(D5="ATG17","Attrage G17",IF(D5="ASG48","ASX G48",IF(D5="ASG43","ASX G43", IF(D5="ASG40","ASXG40",IF(D5="ASG42","ASX G42",IF(D5="ASG44","ASX G44",IF(D5="ASG45","ASX G45",IF(D5="ECG38","Eclipse G38",IF(D5="ECG37","Eclipse G37",IF(D5="ECG40","Eclipse G40",IF(D5="ECG43","Eclipse G43",IF(D5="XPML","Xpander ML",IF(D5="XPHL","Xpander HL",IF(D5="XPMLP","Xpander ML P",IF(D5="XPMLP-01","Xpander ML P-01",IF(D5="XC","Xpander Cross", IF(D5="OTF03","Outlander F03",IF(D5="OTP03","Outlander P03",IF(D5="OTF06","Outlander F06",IF(D5="OTP06","Outlander P06",IF(D5="OTP06-01","Outlander P06-01",IF(D5="OTF08","Outlander F08",IF(D5="OTP08","Outlander P08P", IF(D5="MOP57","Montero P57",IF(D5="MOG64","Montero G64",IF(D5="MOG59","Montero G59",IF(D5="MOG59P","Montero G59 P",IF(D5="MOG61","Montero G61",IF(D5="MOP61","Montero P61")))))))))))))))))))))))))))))))))</f>
        <v>Xpander ML</v>
      </c>
      <c r="D5" s="19" t="s">
        <v>101</v>
      </c>
      <c r="E5" s="20" t="s">
        <v>47</v>
      </c>
      <c r="F5" s="21"/>
      <c r="G5" s="21"/>
      <c r="H5" s="21"/>
      <c r="I5" s="22"/>
      <c r="J5" s="23"/>
      <c r="K5" s="24">
        <v>0</v>
      </c>
      <c r="L5" s="25">
        <v>3.39E-2</v>
      </c>
      <c r="M5" s="25">
        <v>6.7799999999999999E-2</v>
      </c>
      <c r="N5" s="25">
        <v>0.1017</v>
      </c>
      <c r="O5" s="92">
        <f>K7+K14</f>
        <v>7983.9986060250003</v>
      </c>
      <c r="S5" s="87"/>
      <c r="U5" s="87">
        <f>L7+L14</f>
        <v>3253.2782918062503</v>
      </c>
      <c r="V5" s="87">
        <f>M7+M14</f>
        <v>2176.2404227125003</v>
      </c>
      <c r="W5" s="87">
        <f>N7+N14</f>
        <v>1508.0275418062499</v>
      </c>
    </row>
    <row r="6" spans="1:28" s="5" customFormat="1" ht="128.25" customHeight="1" thickBot="1" x14ac:dyDescent="0.35">
      <c r="A6" s="4" t="s">
        <v>4</v>
      </c>
      <c r="B6" s="26" t="s">
        <v>5</v>
      </c>
      <c r="C6" s="27" t="s">
        <v>6</v>
      </c>
      <c r="D6" s="27" t="s">
        <v>48</v>
      </c>
      <c r="E6" s="27" t="s">
        <v>7</v>
      </c>
      <c r="F6" s="27" t="s">
        <v>8</v>
      </c>
      <c r="G6" s="28" t="s">
        <v>9</v>
      </c>
      <c r="H6" s="28" t="s">
        <v>49</v>
      </c>
      <c r="I6" s="28" t="s">
        <v>10</v>
      </c>
      <c r="J6" s="28" t="s">
        <v>56</v>
      </c>
      <c r="K6" s="28" t="s">
        <v>11</v>
      </c>
      <c r="L6" s="28" t="s">
        <v>12</v>
      </c>
      <c r="M6" s="28" t="s">
        <v>13</v>
      </c>
      <c r="N6" s="28" t="s">
        <v>14</v>
      </c>
      <c r="O6" s="93"/>
      <c r="P6" s="94"/>
      <c r="Q6" s="95"/>
      <c r="R6" s="95"/>
      <c r="S6" s="95"/>
      <c r="T6" s="96"/>
      <c r="U6" s="96">
        <f>N7+L14</f>
        <v>2555.1779918062502</v>
      </c>
      <c r="V6" s="96">
        <f>N7+K14</f>
        <v>6413.2729310250006</v>
      </c>
      <c r="W6" s="96"/>
      <c r="X6" s="95"/>
      <c r="Y6" s="95"/>
      <c r="Z6" s="95"/>
      <c r="AA6" s="95"/>
      <c r="AB6" s="95"/>
    </row>
    <row r="7" spans="1:28" ht="25.2" thickBot="1" x14ac:dyDescent="0.45">
      <c r="A7" s="6">
        <f>B8</f>
        <v>62900</v>
      </c>
      <c r="B7" s="29">
        <f>IF(L20="YES",C8*1,IF(L20="NO",B8*1))</f>
        <v>62900</v>
      </c>
      <c r="C7" s="29">
        <f>B7*5/100</f>
        <v>3145</v>
      </c>
      <c r="D7" s="29">
        <f>B7+C7</f>
        <v>66045</v>
      </c>
      <c r="E7" s="29">
        <f>D17</f>
        <v>12186.283750000001</v>
      </c>
      <c r="F7" s="29">
        <f>(C7)+(D10+D11+D12+D13+D16)*5/100</f>
        <v>3450</v>
      </c>
      <c r="G7" s="30">
        <f>B7+E7+F7</f>
        <v>78536.283750000002</v>
      </c>
      <c r="H7" s="29">
        <f>G7*D20</f>
        <v>15707.25675</v>
      </c>
      <c r="I7" s="29">
        <f>(G7-H7)</f>
        <v>62829.027000000002</v>
      </c>
      <c r="J7" s="30">
        <f>(((I7*D19)*1)+I7)/12</f>
        <v>5366.1224810249996</v>
      </c>
      <c r="K7" s="30">
        <f>(((I7*D19)*2)+I7)/24</f>
        <v>2748.2463560249998</v>
      </c>
      <c r="L7" s="30">
        <f>(((I7*D19)*3)+I7)/36</f>
        <v>1875.6209810250002</v>
      </c>
      <c r="M7" s="30">
        <f>(((I7*D19)*4)+I7)/48</f>
        <v>1439.3082935250002</v>
      </c>
      <c r="N7" s="30">
        <f>((((I7*D19)*5)+I7)/60)</f>
        <v>1177.5206810249999</v>
      </c>
      <c r="O7" s="92"/>
      <c r="P7" s="83">
        <f>H7+H16</f>
        <v>16366.9615335</v>
      </c>
      <c r="T7" s="87">
        <f>25973/2</f>
        <v>12986.5</v>
      </c>
    </row>
    <row r="8" spans="1:28" ht="24.6" x14ac:dyDescent="0.4">
      <c r="A8" s="7">
        <v>0.2</v>
      </c>
      <c r="B8" s="31">
        <f>IF(D5="MIG09",39900,IF(D5="MIG10",40400,IF(D5="ATG16",40400,IF(D5="ATP16",49900,IF(D5="ATG17",41900,IF(D5="ASG48",63900,IF(D5="ASG43",62900,IF(D5="ASG40",63900,IF(D5="ASG42",68900,IF(D5="ASG44",89900,IF(D5="ASG45",95900,IF(D5="ECG38",73900,IF(D5="ECG37",70900,IF(D5="ECG40",86900,IF(D5="ECG43",91900,IF(D5="XPML",62900,IF(D5="XPHL",62900,IF(D5="XPMLP",69900,IF(D5="XPMLP-01",77800,IF(D5="XC",77900,IF(D5="OTF03",96900,IF(D5="OTP03",79900,IF(D5="OTF06",92900,IF(D5="OTP06",111900,IF(D5="OTP06-01",118900,IF(D5="OTF08",122900,IF(D5="OTP08",109900,IF(D5="MOP57",99900,IF(D5="MOG64",108900,IF(D5="MOG59",116900,IF(D5="MOG59P",110900,IF(D5="MOG61",127900,IF(D5="MOP61",125900)))))))))))))))))))))))))))))))))</f>
        <v>62900</v>
      </c>
      <c r="C8" s="32">
        <f>IF(L20="YES",N20,IF(L20="NO",N20))</f>
        <v>62900</v>
      </c>
      <c r="D8" s="29">
        <v>0</v>
      </c>
      <c r="E8" s="33"/>
      <c r="F8" s="139"/>
      <c r="G8" s="140"/>
      <c r="H8" s="110">
        <f>G7*20/100</f>
        <v>15707.25675</v>
      </c>
      <c r="I8" s="21"/>
      <c r="J8" s="34" t="s">
        <v>15</v>
      </c>
      <c r="K8" s="23">
        <f>(J7*K5+J7)/24</f>
        <v>223.58843670937497</v>
      </c>
      <c r="L8" s="23">
        <f>(J7*L5+J7)/36</f>
        <v>154.11205647588187</v>
      </c>
      <c r="M8" s="23">
        <f>(J7*M5+J7)/48</f>
        <v>119.37386635913531</v>
      </c>
      <c r="N8" s="23">
        <f>(J7*N5+J7)/60</f>
        <v>98.530952289087367</v>
      </c>
      <c r="O8" s="92"/>
      <c r="P8" s="83">
        <f>P7/12</f>
        <v>1363.9134611249999</v>
      </c>
      <c r="T8" s="86">
        <f>25973-12973</f>
        <v>13000</v>
      </c>
    </row>
    <row r="9" spans="1:28" ht="24.6" x14ac:dyDescent="0.4">
      <c r="A9" s="8">
        <f>B8/(100%-A8)</f>
        <v>78625</v>
      </c>
      <c r="B9" s="109">
        <f>B7-B8</f>
        <v>0</v>
      </c>
      <c r="C9" s="35"/>
      <c r="D9" s="36"/>
      <c r="E9" s="33"/>
      <c r="F9" s="139"/>
      <c r="G9" s="140"/>
      <c r="H9" s="33"/>
      <c r="I9" s="37" t="s">
        <v>16</v>
      </c>
      <c r="J9" s="38">
        <f>(J7*12)-(I7)</f>
        <v>1564.4427722999972</v>
      </c>
      <c r="K9" s="38">
        <f>(K7*24)-I7</f>
        <v>3128.8855445999943</v>
      </c>
      <c r="L9" s="38">
        <f>(L7*36)-I7</f>
        <v>4693.328316900006</v>
      </c>
      <c r="M9" s="38">
        <f>(M7*48)-I7</f>
        <v>6257.7710892000032</v>
      </c>
      <c r="N9" s="38">
        <f>(N7*60)-I7</f>
        <v>7822.2138615000003</v>
      </c>
      <c r="O9" s="92"/>
      <c r="T9" s="86">
        <f>T8/12</f>
        <v>1083.3333333333333</v>
      </c>
      <c r="Z9" s="86" t="s">
        <v>86</v>
      </c>
    </row>
    <row r="10" spans="1:28" ht="24.6" x14ac:dyDescent="0.4">
      <c r="A10" s="8"/>
      <c r="B10" s="37" t="s">
        <v>50</v>
      </c>
      <c r="C10" s="20" t="s">
        <v>17</v>
      </c>
      <c r="D10" s="36">
        <f>IF(C10="YES",800,IF(C10="NO",0))</f>
        <v>0</v>
      </c>
      <c r="E10" s="39"/>
      <c r="F10" s="40"/>
      <c r="G10" s="40"/>
      <c r="H10" s="33"/>
      <c r="I10" s="44" t="s">
        <v>85</v>
      </c>
      <c r="J10" s="117" t="s">
        <v>19</v>
      </c>
      <c r="K10" s="117">
        <f>IF(J10="YES",Z10,IF(J10="NO",0))</f>
        <v>1000</v>
      </c>
      <c r="L10" s="117"/>
      <c r="M10" s="117"/>
      <c r="N10" s="41">
        <f>(N8*60)-J7</f>
        <v>545.73465632024272</v>
      </c>
      <c r="O10" s="92">
        <f>IF(D5="XC",3690,IF(D5="XPML",3690,IF(D5="XPHL",3690,IF(D5="XPMLP",3690,IF(D5="XPMLP-01",3690,IF(D5="Xpander P",3690,IF(D5="MOP57",(U19*2.75/100+510)*1.05,IF(D5="MOG64",(U19*2.75/100+510)*1.05,IF(D5="MOG59",(U19*2.75/100+510)*1.05,IF(D5="MOG59P",(U19*2.75/100+510)*1.05,IF(D5="MOG61",(U19*2.75/100+510)*1.05,IF(D5="MOP61",(U19*2.75/100+510)*1.05,IF(D5="OTF03",(D7*3/100+510)*1.05,IF(D5="OTP03",(U19*3/100+510)*1.05,IF(D5="OTF06",(U19*3/100+510)*1.05,IF(D5="OTP06",(U19*3/100+510)*1.05,IF(D5="OTP06-01",(U19*3/100+510)*1.05,IF(D5="OTF08",(U19*3/100+510)*1.05,IF(D5="OTP08",(U19*3/100+510)*1.05,IF(D5="ECG38",3625,IF(D5="ECG37",3625,IF(D5="ECG40",(D7*3/100+510)*1.05,IF(D5="ECG43",(D7*3/100+510)*1.05,IF(D5="ASG48",3625,IF(D5="ASG43",3625,IF(D5="ASG40",3625,IF(D5="ASG42",3625,IF(D5="ASG44",3625,IF(D5="ASG45",3625,IF(D5="ASX HL 4WD",3625,IF(D5="ATG16",3625,IF(D5="ATG17",3625,IF(D5="ATP16",3625,IF(D5="Attrage S",3625,IF(D5="MIG09",3625,IF(D5="MIG10",3625,IF(D5="Xpander HL",3690)))))))))))))))))))))))))))))))))))))</f>
        <v>3690</v>
      </c>
      <c r="P10" s="97"/>
      <c r="Q10" s="97">
        <f>5.25*3</f>
        <v>15.75</v>
      </c>
      <c r="Z10" s="86">
        <f>IF(D5="MIG09",500,IF(D5="MIG10",500,IF(D5="ATG16",500,IF(D5="ATP16",500,IF(D5="ATG17",500,IF(D5="ASG48",1000,IF(D5="ASG43",1000,IF(D5="ASG40",1000,IF(D5="ASG42",1000,IF(D5="ASG44",1000,IF(D5="ASG45",1000,IF(D5="ECG38",1000,IF(D5="ECG37",1000,IF(D5="ECG40",1000,IF(D5="ECG43",1000,IF(D5="XPML",1000,IF(D5="XPHL",1000,IF(D5="XPMLP",1000,IF(D5="XPMLP-01",1000,IF(D5="XC",1000,IF(D5="OTF03",1000,IF(D5="OTP03",1000,IF(D5="OTF06",1000,IF(D5="OTP06",1000,IF(D5="OTP06-01",1000,IF(D5="OTF08",1000,IF(D5="OTP08",1000,IF(D5="MOP57",1000,IF(D5="MOG64",1000,IF(D5="MOG59",1000,IF(D5="MOG59P",1000,IF(D5="MOG61",1000,IF(D5="MOP61",1000)))))))))))))))))))))))))))))))))</f>
        <v>1000</v>
      </c>
    </row>
    <row r="11" spans="1:28" ht="24.6" x14ac:dyDescent="0.4">
      <c r="A11" s="8"/>
      <c r="B11" s="37" t="s">
        <v>18</v>
      </c>
      <c r="C11" s="20" t="s">
        <v>17</v>
      </c>
      <c r="D11" s="36">
        <f>IF(C11="YES",O17,IF(C11="NO",0))</f>
        <v>0</v>
      </c>
      <c r="E11" s="33"/>
      <c r="F11" s="40"/>
      <c r="G11" s="40"/>
      <c r="H11" s="33"/>
      <c r="I11" s="21"/>
      <c r="J11" s="44" t="s">
        <v>76</v>
      </c>
      <c r="K11" s="44">
        <f>H8-K10</f>
        <v>14707.25675</v>
      </c>
      <c r="L11" s="37"/>
      <c r="M11" s="37"/>
      <c r="N11" s="42"/>
      <c r="O11" s="92">
        <f>IF(D5="XC",6100,IF(D5="XPML",6100,IF(D5="XPHL",6100,IF(D5="XPMLP",6100,IF(D5="XPMLP-01",6100,IF(D5="Xpander P",6100,IF(D5="MOP57",5900,IF(D5="MOG64",5900,IF(D5="MOG59",5900,IF(D5="MOG59P",5900,IF(D5="MOG61",5900,IF(D5="MOP61",5900,IF(D5="OTF03",6700,IF(D5="OTP03",6700,IF(D5="OTF06",6700,IF(D5="OTP06",6700,IF(D5="OTP06-01",6700,IF(D5="OTF08",6700,IF(D5="OTP08",6700,IF(D5="ECG37",6400,IF(D5="ECG38",6400,IF(D5="ECG40",6400,IF(D5="ECG43",6400,IF(D5="ASG48",6600,IF(D5="ASG43",6600,IF(D5="ASG40",6600,IF(D5="ASG42",6600,IF(D5="ASG44",6600,IF(D5="ASG45",6600,IF(D5="ASX HL 4WD",6600,IF(D5="ATG16",5400,IF(D5="ATG17",5400,IF(D5="ATP16",5400,IF(D5="Attrage S",5400,IF(D5="MIG09",5400,IF(D5="MIG10",5400,IF(D5="Xpander HL",6000)))))))))))))))))))))))))))))))))))))</f>
        <v>6100</v>
      </c>
      <c r="P11" s="92"/>
      <c r="Q11" s="92"/>
      <c r="R11" s="92"/>
      <c r="S11" s="92"/>
      <c r="T11" s="92"/>
      <c r="U11" s="92">
        <f>IF(D5="XC",4900,IF(D5="XPML",4900,IF(D5="XPHL",4900,IF(D5="XPMLP",4900,IF(D5="XPMLP-01",4900,IF(D5="Xpander P",4900,IF(D5="MOP57",4600,IF(D5="MOG64",4600,IF(D5="MOG59",4600,IF(D5="MOG59P",4600,IF(D5="MOG61",4600,IF(D5="MOP61",4600,IF(D5="OTF03",5500,IF(D5="OTP03",5500,IF(D5="OTF06",5500,IF(D5="OTP06",5500,IF(D5="OTP06-01",5500,IF(D5="OTF08",5500,IF(D5="OTP08",5500,IF(D5="ECG38",5200,IF(D5="ECG37",5200,IF(D5="ECG40",5200,IF(D5="ECG43",5200,IF(D5="ASG48",5300,IF(D5="ASG43",5300,IF(D5="ASG40",5300,IF(D5="ASG42",5300,IF(D5="ASG44",5300,IF(D5="ASG45",5300,IF(D5="ASX HL",5300,IF(D5="ASX P",5300,IF(D5="ASX HL 4WD",5300,IF(D5="ATG16",4200,IF(D5="ATG17",4200,IF(D5="ATP16",4200,IF(D5="Attrage S",4200,IF(D5="MIG09",4200,IF(D5="MIG10",4200,IF(D5="Xpander HL",4900)))))))))))))))))))))))))))))))))))))))</f>
        <v>4900</v>
      </c>
      <c r="V11" s="92">
        <f>IF(D5="XC",9700,IF(D5="XPML",9700,IF(D5="XPHL",9700,IF(D5="XPMLP",9700,IF(D5="XPMLP-01",9700,IF(D5="XPMLP-01",9700,IF(D5="Xpander P",9700,IF(D5="MOP57",9300,IF(D5="MG64",9300,IF(D5="MOG59",9300,IF(D5="MOG59P",9300,IF(D5="MOG61",9300,IF(D5="MOP61",9300,IF(D5="OTF03",11000,IF(D5="OTP03",11000,IF(D5="OTF06",11000,IF(D5="OTP06",11000,IF(D5="OTP06-01",11000,IF(D5="OTF08",11000,IF(D5="OTP08",11000,IF(D5="ECG38",10400,IF(D5="ECG37",10400,IF(D5="ECG40",10400,IF(D5="ECG43",10400,IF(D5="ASG48",10700,IF(D5="ASG43",10700,IF(D5="ASG40",10700,IF(D5="ASG42",10700,IF(D5="ASG44",10800,IF(D5="ASG45",10800,IF(D5="ASX HL",12200,IF(D5="ASX P",12200,IF(D5="ASX HL 4WD",12200,IF(D5="ATG16",8500,IF(D5="ATG17",8500,IF(D5="ATP16",8500,IF(D5="Attrage S",9600,IF(D5="MIG09",8500,IF(D5="MIG10",8500,IF(D5="Xpander HL",11300))))))))))))))))))))))))))))))))))))))))</f>
        <v>9700</v>
      </c>
      <c r="W11" s="92">
        <f>IF(D5="XC",9200,IF(D5="XPML",9200,IF(D5="XPHL",9200,IF(D5="XPMLP",9200,IF(D5="XPMLP-01",9200,IF(D5="Xpander P",9200,IF(D5="MOP57",8700,IF(D5="MOG64",8700,IF(D5="MOG59",8700,IF(D5="MOG59P",8700,IF(D5="MOG61",8700,IF(D5="MOP61",8700,IF(D5="OTF03",10400,IF(D5="OTP03",10400,IF(D5="OTF06",10400,IF(D5="OTP06",10400,IF(D5="OTP06-01",10400,IF(D5="OTF08",10400,IF(D5="OTP08",10400,IF(D5="ECG38",9800,IF(D5="ECG37",9800,IF(D5="ECG40",9800,IF(D5="ECG43",9800,IF(D5="ASG48",10100,IF(D5="ASG43",10100,IF(D5="ASG40",10100,IF(D5="ASG42",10100,IF(D5="ASG44",10100,IF(D5="ASG45",10100,IF(D5="ASX HL",10100,IF(D5="ASX P",10100,IF(D5="ASX HL 4WD",10100,IF(D5="ATG16",7900,IF(D5="ATG17",7900,IF(D5="ATP16",7900,IF(D5="Attrage S",7900,IF(D5="MIG09",7900,IF(D5="MIG10",7900,IF(D5="Xpander HL",9200)))))))))))))))))))))))))))))))))))))))</f>
        <v>9200</v>
      </c>
      <c r="X11" s="92">
        <f>IF(D5="XC",4500,IF(D5="XPML",4500,IF(D5="XPHL",4500,IF(D5="XPMLP",4500,IF(D5="XPMLP-01",4500,IF(D5="Xpander P",4500,IF(D5="MOP57",4300,IF(D5="MOG64",4300,IF(D5="MOG59",4300,IF(D5="MOG59P",4300,IF(D5="MOG61",4300,IF(D5="MOP61",4300,IF(D5="OTF03",5000,IF(D5="OTP03",5000,IF(D5="OTF06",5000,IF(D5="OTP06",5000,IF(D5="OTP06-01",5000,IF(D5="OTF08",5000,IF(D5="OTP08",5000,IF(D5="ECG38",4900,IF(D5="ECG37",4900,IF(D5="ECG40",4900,IF(D5="ECG43",4900,IF(D5="ASG48",4900,IF(D5="ASG43",4900,IF(D5="ASG40",4900,IF(D5="ASG42",4900,IF(D5="ASG44",4900,IF(D5="ASG45",4900,IF(D5="ASX HL",4900,IF(D5="ASX P",4900,IF(D5="ASX HL 4WD",4900,IF(D5="ATG16",3700,IF(D5="ATG17",3700,IF(D5="ATP16",3700,IF(D5="Attrage S",3700,IF(D5="MIG09",3700,IF(D5="MIG10",3700,IF(D5="Xpander HL",4500)))))))))))))))))))))))))))))))))))))))</f>
        <v>4500</v>
      </c>
      <c r="Y11" s="92" t="b">
        <f>IF(D5="XC",5400,IF(D5="XPML ",5400,IF(D5="XPHL",5400,IF(D5="XPMLP",5400,IF(D5="XPMLP-01",5400,IF(D5="Xpander P",5400,IF(D5="MOP57",5200,IF(D5="MOG64",5200,IF(D5="MOG59",5200,IF(D5="MOG59P",5200,IF(D5="MOG61",5200,IF(D5="MOP61",5200,IF(D5="OTF03",6000,IF(D5="OTP03",6000,IF(D5="OTF06",6000,IF(D5="OTP06",6000,IF(D5="OTP06-01",6000,IF(D5="OTF08",6000,IF(D5="OTP08",6000,IF(D5="ECG38",5700,IF(D5="ECG37",5700,IF(D5="ECG40",5700,IF(D5="ECG43",5700,IF(D5="ASG48",5900,IF(D5="ASG43",5900,IF(D5="ASG40",5900,IF(D5="ASG42",5900,IF(D5="ASG44",5900,IF(D5="ASG45",5900,IF(D5="ASX HL",5900,IF(D5="ASX P",5900,IF(D5="ASX HL 4WD",5900,IF(D5="ATG16",4500,IF(D5="ATG17",4500,IF(D5="ATP16",4500,IF(D5="Attrage S",4500,IF(D5="MIG09",4500,IF(D5="MIG10",4500,IF(D5="Xpander HL",5400)))))))))))))))))))))))))))))))))))))))</f>
        <v>0</v>
      </c>
    </row>
    <row r="12" spans="1:28" ht="24.75" customHeight="1" x14ac:dyDescent="0.4">
      <c r="A12" s="8"/>
      <c r="B12" s="37" t="s">
        <v>20</v>
      </c>
      <c r="C12" s="20" t="s">
        <v>17</v>
      </c>
      <c r="D12" s="36">
        <f>IF(C12="YES",2000,IF(C12="NO",0))</f>
        <v>0</v>
      </c>
      <c r="E12" s="43"/>
      <c r="F12" s="43" t="s">
        <v>21</v>
      </c>
      <c r="G12" s="40"/>
      <c r="H12" s="33">
        <v>600</v>
      </c>
      <c r="I12" s="21"/>
      <c r="J12" s="44" t="s">
        <v>22</v>
      </c>
      <c r="K12" s="45">
        <v>0</v>
      </c>
      <c r="L12" s="45">
        <v>5.2499999999999998E-2</v>
      </c>
      <c r="M12" s="45">
        <v>0.126</v>
      </c>
      <c r="N12" s="46">
        <v>0.26250000000000001</v>
      </c>
      <c r="O12" s="92">
        <f>IF(K20="Esaad",B8*3/100,IF(K20="Emirates Platinum",B8*3/100,IF(K20="Fazaa",B8*3/100,IF(K20="Humat Alwatan",B8*3/100,IF(K20="Permissible",2000,IF(K20="ASX",8400,IF(K20="XPMLP",4000,IF(K20="XP",14100,IF(K20="G43",11000,IF(K20="EC",7000,IF(K20="G37",14000,IF(K20="G38",15000,IF(K20="G40",11000,IF(K20="OUT",9600,IF(K20="F08",15400,IF(K20="P08",11100,IF(K20="F06",14100,IF(K20="P06",17100,IF(K20="F03",17000,IF(K20="P03",19100,IF(K20="MON",10000,IF(K20="MON G57",10000,0))))))))))))))))))))))</f>
        <v>2000</v>
      </c>
      <c r="P12" s="92"/>
      <c r="Q12" s="92"/>
      <c r="R12" s="92"/>
      <c r="S12" s="92"/>
      <c r="T12" s="92"/>
      <c r="U12" s="92"/>
      <c r="V12" s="92"/>
      <c r="W12" s="92"/>
      <c r="X12" s="92"/>
      <c r="Y12" s="92"/>
      <c r="Z12" s="86" t="s">
        <v>83</v>
      </c>
      <c r="AA12" s="86" t="s">
        <v>84</v>
      </c>
    </row>
    <row r="13" spans="1:28" ht="24.6" x14ac:dyDescent="0.4">
      <c r="A13" s="8">
        <f>B8*1.26582</f>
        <v>79620.077999999994</v>
      </c>
      <c r="B13" s="37" t="s">
        <v>23</v>
      </c>
      <c r="C13" s="20" t="s">
        <v>17</v>
      </c>
      <c r="D13" s="36">
        <f>IF(C13="YES",2000,IF(C13="NO",0))</f>
        <v>0</v>
      </c>
      <c r="E13" s="47"/>
      <c r="F13" s="47" t="s">
        <v>75</v>
      </c>
      <c r="G13" s="40"/>
      <c r="H13" s="33">
        <v>315</v>
      </c>
      <c r="I13" s="21"/>
      <c r="J13" s="44" t="s">
        <v>54</v>
      </c>
      <c r="K13" s="29" t="s">
        <v>79</v>
      </c>
      <c r="L13" s="29" t="s">
        <v>25</v>
      </c>
      <c r="M13" s="29" t="s">
        <v>0</v>
      </c>
      <c r="N13" s="49" t="s">
        <v>26</v>
      </c>
      <c r="O13" s="98">
        <f>IF(M21="3000-4999",6%,IF(M21="5000-9999",4.75%,IF(M21="10000-14999",3.15%,IF(M21="15000-24999",2.5%,IF(M21="25000-34999",2.25%,IF(M21="35000-99999",2.25%))))))</f>
        <v>4.7500000000000001E-2</v>
      </c>
      <c r="Q13" s="83">
        <f>H7/12</f>
        <v>1308.9380625000001</v>
      </c>
      <c r="U13" s="9">
        <f>IF(M21="3000-4999",6%,IF(M21="5000-9999",3.25%,IF(M21="10000-14999",3%,IF(M21="15000-24999",2.25%,IF(M21="25000-34999",2.15%,IF(M21="35000-99999",1.99%))))))</f>
        <v>3.2500000000000001E-2</v>
      </c>
      <c r="Z13" s="99">
        <f>IF(M21="5000-9999",2.49%,IF(M21="10000-19999",2.19%,IF(M21="20000-34999",2.09%,IF(M21="35000-49999",1.89%,IF(M21="50000-99999",1.79%)))))</f>
        <v>2.4900000000000002E-2</v>
      </c>
      <c r="AA13" s="99">
        <f>IF(M21="5000-9999",2.59%,IF(M21="10000-19999",2.29%,IF(M21="20000-34999",2.19%,IF(M21="35000-49999",1.99%,IF(M21="50000-99999",1.89%)))))</f>
        <v>2.5899999999999999E-2</v>
      </c>
    </row>
    <row r="14" spans="1:28" ht="24.6" x14ac:dyDescent="0.4">
      <c r="A14" s="10" t="s">
        <v>27</v>
      </c>
      <c r="B14" s="37" t="s">
        <v>24</v>
      </c>
      <c r="C14" s="20" t="s">
        <v>19</v>
      </c>
      <c r="D14" s="50">
        <f>IF(C14="YES",U19*3.15*1.05/100,IF(C14="NO",U19*0/100))</f>
        <v>2396.2837500000001</v>
      </c>
      <c r="E14" s="48"/>
      <c r="F14" s="48" t="s">
        <v>24</v>
      </c>
      <c r="G14" s="51" t="s">
        <v>17</v>
      </c>
      <c r="H14" s="39">
        <f>IF(G14="YES",U19*3.15*1.05/100,IF(G14="NO",U19*0/100))</f>
        <v>0</v>
      </c>
      <c r="I14" s="21"/>
      <c r="J14" s="44" t="s">
        <v>55</v>
      </c>
      <c r="K14" s="44">
        <f>(H8*K12+H8)/3</f>
        <v>5235.7522500000005</v>
      </c>
      <c r="L14" s="44">
        <f>(H8*L12+H8)/12</f>
        <v>1377.6573107812501</v>
      </c>
      <c r="M14" s="44">
        <f>(H8*M12+H8)/24</f>
        <v>736.93212918749998</v>
      </c>
      <c r="N14" s="52">
        <f>(H7*N12+H7)/60</f>
        <v>330.50686078125</v>
      </c>
      <c r="O14" s="98">
        <f>IF(M21="3000-4999",3.89%,IF(M21="5000-9999",3.89%,IF(M21="10000-14999",3.89%,IF(M21="15000-24999",2.69%,IF(M21="25000-34999",2.69%,IF(M21="35000-99999",2.39%,IF(M21="76000-99999",2.19%)))))))</f>
        <v>3.8900000000000004E-2</v>
      </c>
    </row>
    <row r="15" spans="1:28" ht="24.6" x14ac:dyDescent="0.4">
      <c r="A15" s="11">
        <f>(B7*3%)+10+120</f>
        <v>2017</v>
      </c>
      <c r="B15" s="37" t="s">
        <v>28</v>
      </c>
      <c r="C15" s="20" t="s">
        <v>19</v>
      </c>
      <c r="D15" s="29">
        <f>IF(C15="YES",O10,IF(C15="NO",0))</f>
        <v>3690</v>
      </c>
      <c r="E15" s="48"/>
      <c r="F15" s="48" t="s">
        <v>53</v>
      </c>
      <c r="G15" s="51" t="s">
        <v>17</v>
      </c>
      <c r="H15" s="39">
        <f>IF(G15="YES",O10,IF(G15="NO",0))</f>
        <v>0</v>
      </c>
      <c r="I15" s="21"/>
      <c r="J15" s="44"/>
      <c r="K15" s="44"/>
      <c r="L15" s="44"/>
      <c r="M15" s="44"/>
      <c r="N15" s="53"/>
      <c r="O15" s="98" t="b">
        <f>IF(M21="3000-4999",4.99%, IF(M21="5000-11999",2.75%,IF(M21="12000-19999",2.75%,IF(M21="20000-39999",2.25%,IF(M21="40000-69999",2.39%,IF(M21="70000-99999",2.25%))))))</f>
        <v>0</v>
      </c>
      <c r="P15" s="99"/>
    </row>
    <row r="16" spans="1:28" ht="24.6" x14ac:dyDescent="0.4">
      <c r="A16" s="11">
        <f>((B7-B8)*3%+10+120)</f>
        <v>130</v>
      </c>
      <c r="B16" s="37" t="s">
        <v>78</v>
      </c>
      <c r="C16" s="20" t="s">
        <v>19</v>
      </c>
      <c r="D16" s="29">
        <f>IF(C16="YES",O16,IF(C16="NO",0))</f>
        <v>6100</v>
      </c>
      <c r="E16" s="47"/>
      <c r="F16" s="47" t="s">
        <v>74</v>
      </c>
      <c r="G16" s="54"/>
      <c r="H16" s="33">
        <f>I7*1.05%</f>
        <v>659.70478350000008</v>
      </c>
      <c r="I16" s="21"/>
      <c r="J16" s="44" t="s">
        <v>16</v>
      </c>
      <c r="K16" s="44">
        <f>(K14*3)-H8</f>
        <v>0</v>
      </c>
      <c r="L16" s="44">
        <f>(L14*12)-H8</f>
        <v>824.63097937500061</v>
      </c>
      <c r="M16" s="44">
        <f>(M14*24)-H8</f>
        <v>1979.1143505</v>
      </c>
      <c r="N16" s="53"/>
      <c r="O16" s="92">
        <f>IF(B16="RMC-10-70KMS",O11,IF(B16="RMC-10-100000KMS",V11,IF(B16="RMC-40-70KMS",U11, IF(B16="RMC-10-40KMS",X11, IF(B16="RMC-10-60KMS",Y11, IF(B16="RMC-40-100000KMS",W11,0))))))</f>
        <v>6100</v>
      </c>
    </row>
    <row r="17" spans="1:28" ht="24.6" x14ac:dyDescent="0.4">
      <c r="A17" s="11">
        <f>A15+A16</f>
        <v>2147</v>
      </c>
      <c r="B17" s="37"/>
      <c r="C17" s="20"/>
      <c r="D17" s="29">
        <f>SUM(D10:D16)</f>
        <v>12186.283750000001</v>
      </c>
      <c r="E17" s="33"/>
      <c r="F17" s="33"/>
      <c r="G17" s="33"/>
      <c r="H17" s="33">
        <f>H7+H12+H15+H16</f>
        <v>16966.961533500002</v>
      </c>
      <c r="I17" s="33"/>
      <c r="J17" s="22"/>
      <c r="K17" s="53"/>
      <c r="L17" s="53"/>
      <c r="M17" s="53"/>
      <c r="N17" s="53"/>
      <c r="O17" s="92">
        <f>IF(B11="FO Ceramic+ Intr&amp;Extr CeramicGold WdwTnt",2700,IF(B11="FO Mirror Camera Sensor",2000))</f>
        <v>2700</v>
      </c>
      <c r="T17" s="86">
        <f>19615-791</f>
        <v>18824</v>
      </c>
    </row>
    <row r="18" spans="1:28" ht="24.6" x14ac:dyDescent="0.4">
      <c r="A18" s="12" t="s">
        <v>29</v>
      </c>
      <c r="B18" s="55" t="s">
        <v>30</v>
      </c>
      <c r="C18" s="56"/>
      <c r="D18" s="57">
        <v>0</v>
      </c>
      <c r="E18" s="38"/>
      <c r="F18" s="22"/>
      <c r="G18" s="22"/>
      <c r="H18" s="21"/>
      <c r="I18" s="21"/>
      <c r="J18" s="21"/>
      <c r="K18" s="21"/>
      <c r="L18" s="21"/>
      <c r="M18" s="21"/>
      <c r="N18" s="21"/>
      <c r="O18" s="92"/>
      <c r="U18" s="100" t="s">
        <v>52</v>
      </c>
      <c r="V18" s="100" t="s">
        <v>52</v>
      </c>
    </row>
    <row r="19" spans="1:28" ht="24.6" x14ac:dyDescent="0.4">
      <c r="A19" s="11">
        <f>B8*3.15%</f>
        <v>1981.35</v>
      </c>
      <c r="B19" s="58" t="s">
        <v>31</v>
      </c>
      <c r="C19" s="59"/>
      <c r="D19" s="60">
        <f>IF(K21="DIB EXPAT",O13,IF(K21="DIB LOCAL GVH",U13,IF(K21="Emirates NBD",O14,IF(K21="ADCB",O15,IF(K21="ADCB PAY IN 2027",O19,IF(K21="Ajman Bank",O18,IF(K21="SIB STL",Z13,IF(K21="SIB NON STL",AA13,))))))))</f>
        <v>2.4900000000000002E-2</v>
      </c>
      <c r="E19" s="22"/>
      <c r="F19" s="61"/>
      <c r="G19" s="141" t="s">
        <v>73</v>
      </c>
      <c r="H19" s="142"/>
      <c r="I19" s="143"/>
      <c r="J19" s="109">
        <f>H7/365</f>
        <v>43.033580136986302</v>
      </c>
      <c r="K19" s="21"/>
      <c r="L19" s="21"/>
      <c r="M19" s="21"/>
      <c r="N19" s="23">
        <f>D7</f>
        <v>66045</v>
      </c>
      <c r="O19" s="98" t="b">
        <f>IF(M21="5000-11999",3.35%,IF(M21="12000-19999",3.35%,IF(M21="20000-39999",2.85%,IF(M21="40000-69999",2.85%,IF(M21="70000-99999",2.85%)))))</f>
        <v>0</v>
      </c>
      <c r="P19" s="83">
        <f>81400-2500</f>
        <v>78900</v>
      </c>
      <c r="U19" s="101">
        <f>V19</f>
        <v>72450</v>
      </c>
      <c r="V19" s="102">
        <f>(B7+D10+D11+D12+D13+D16)*1.05</f>
        <v>72450</v>
      </c>
      <c r="X19" s="87">
        <f>G7*3.15*1.05/100</f>
        <v>2597.58758503125</v>
      </c>
      <c r="Y19" s="87">
        <f>G7*3/100+510*1.05</f>
        <v>2891.5885125</v>
      </c>
      <c r="Z19" s="87">
        <f>Y19+X19</f>
        <v>5489.17609753125</v>
      </c>
      <c r="AA19" s="87">
        <f>(Z19)-(D14+D15)</f>
        <v>-597.10765246875053</v>
      </c>
      <c r="AB19" s="87">
        <f>AA19*1.25</f>
        <v>-746.38456558593816</v>
      </c>
    </row>
    <row r="20" spans="1:28" ht="24.6" x14ac:dyDescent="0.4">
      <c r="A20" s="11"/>
      <c r="B20" s="58" t="s">
        <v>32</v>
      </c>
      <c r="C20" s="62"/>
      <c r="D20" s="63">
        <v>0.2</v>
      </c>
      <c r="E20" s="21"/>
      <c r="F20" s="21"/>
      <c r="G20" s="42"/>
      <c r="H20" s="42"/>
      <c r="I20" s="42"/>
      <c r="J20" s="103"/>
      <c r="K20" s="104" t="s">
        <v>33</v>
      </c>
      <c r="L20" s="104" t="s">
        <v>17</v>
      </c>
      <c r="M20" s="104">
        <f>IF(L20="YES",O12,IF(L20="NO",0))</f>
        <v>0</v>
      </c>
      <c r="N20" s="23">
        <f>B8-M20</f>
        <v>62900</v>
      </c>
      <c r="O20" s="92"/>
      <c r="P20" s="99"/>
      <c r="T20" s="86">
        <f>1992+1084</f>
        <v>3076</v>
      </c>
      <c r="V20" s="83"/>
      <c r="X20" s="87">
        <f>X19-D14</f>
        <v>201.30383503124995</v>
      </c>
      <c r="Y20" s="87">
        <f>Y19-D15</f>
        <v>-798.41148750000002</v>
      </c>
      <c r="AA20" s="87">
        <f>X20+Y20</f>
        <v>-597.10765246875008</v>
      </c>
    </row>
    <row r="21" spans="1:28" ht="24.6" x14ac:dyDescent="0.4">
      <c r="A21" s="13">
        <f>A19+A20</f>
        <v>1981.35</v>
      </c>
      <c r="B21" s="21"/>
      <c r="C21" s="22"/>
      <c r="D21" s="21"/>
      <c r="E21" s="21"/>
      <c r="F21" s="21"/>
      <c r="G21" s="21"/>
      <c r="H21" s="21"/>
      <c r="I21" s="21"/>
      <c r="J21" s="37" t="s">
        <v>34</v>
      </c>
      <c r="K21" s="16" t="s">
        <v>83</v>
      </c>
      <c r="L21" s="105" t="s">
        <v>35</v>
      </c>
      <c r="M21" s="106" t="s">
        <v>80</v>
      </c>
      <c r="N21" s="111"/>
      <c r="O21" s="92"/>
      <c r="T21" s="86">
        <f>25973-12973</f>
        <v>13000</v>
      </c>
    </row>
    <row r="22" spans="1:28" ht="24.6" x14ac:dyDescent="0.4">
      <c r="A22" s="13"/>
      <c r="B22" s="130" t="s">
        <v>51</v>
      </c>
      <c r="C22" s="131"/>
      <c r="D22" s="131"/>
      <c r="E22" s="131"/>
      <c r="F22" s="131"/>
      <c r="G22" s="131"/>
      <c r="H22" s="131"/>
      <c r="I22" s="131"/>
      <c r="J22" s="131"/>
      <c r="K22" s="131"/>
      <c r="L22" s="131"/>
      <c r="M22" s="131"/>
      <c r="N22" s="132"/>
      <c r="O22" s="92"/>
    </row>
    <row r="23" spans="1:28" ht="25.2" x14ac:dyDescent="0.45">
      <c r="A23" s="14" t="s">
        <v>36</v>
      </c>
      <c r="B23" s="64" t="s">
        <v>57</v>
      </c>
      <c r="C23" s="65"/>
      <c r="D23" s="65"/>
      <c r="E23" s="65"/>
      <c r="F23" s="65"/>
      <c r="G23" s="65"/>
      <c r="H23" s="66"/>
      <c r="I23" s="66"/>
      <c r="J23" s="65"/>
      <c r="K23" s="65"/>
      <c r="L23" s="65"/>
      <c r="M23" s="65"/>
      <c r="N23" s="67"/>
      <c r="O23" s="92">
        <f>N7+K14</f>
        <v>6413.2729310250006</v>
      </c>
    </row>
    <row r="24" spans="1:28" ht="25.2" x14ac:dyDescent="0.45">
      <c r="A24" s="14" t="s">
        <v>36</v>
      </c>
      <c r="B24" s="64" t="s">
        <v>58</v>
      </c>
      <c r="C24" s="65"/>
      <c r="D24" s="65"/>
      <c r="E24" s="65"/>
      <c r="F24" s="65"/>
      <c r="G24" s="65"/>
      <c r="H24" s="85">
        <f>H7/365</f>
        <v>43.033580136986302</v>
      </c>
      <c r="I24" s="85">
        <f>H7/365</f>
        <v>43.033580136986302</v>
      </c>
      <c r="J24" s="65"/>
      <c r="K24" s="65"/>
      <c r="L24" s="65"/>
      <c r="M24" s="65"/>
      <c r="N24" s="68"/>
      <c r="O24" s="92"/>
      <c r="P24" s="83">
        <f>1232+480</f>
        <v>1712</v>
      </c>
      <c r="T24" s="86">
        <f>88704/1.05</f>
        <v>84480</v>
      </c>
    </row>
    <row r="25" spans="1:28" ht="25.2" x14ac:dyDescent="0.45">
      <c r="A25" s="14" t="s">
        <v>36</v>
      </c>
      <c r="B25" s="64" t="s">
        <v>59</v>
      </c>
      <c r="C25" s="65"/>
      <c r="D25" s="65"/>
      <c r="E25" s="65"/>
      <c r="F25" s="65"/>
      <c r="G25" s="65"/>
      <c r="H25" s="66"/>
      <c r="I25" s="85">
        <f>I24*365*3</f>
        <v>47121.770250000001</v>
      </c>
      <c r="J25" s="65"/>
      <c r="K25" s="65"/>
      <c r="L25" s="65"/>
      <c r="M25" s="65"/>
      <c r="N25" s="68"/>
      <c r="O25" s="92"/>
      <c r="Q25" s="86">
        <f>79400-5233.33</f>
        <v>74166.67</v>
      </c>
      <c r="R25" s="86">
        <f>Q25*1.05</f>
        <v>77875.003500000006</v>
      </c>
    </row>
    <row r="26" spans="1:28" ht="25.2" x14ac:dyDescent="0.45">
      <c r="A26" s="14" t="s">
        <v>36</v>
      </c>
      <c r="B26" s="64" t="s">
        <v>60</v>
      </c>
      <c r="C26" s="65"/>
      <c r="D26" s="65"/>
      <c r="E26" s="65"/>
      <c r="F26" s="65"/>
      <c r="G26" s="65"/>
      <c r="H26" s="65"/>
      <c r="I26" s="65"/>
      <c r="J26" s="65"/>
      <c r="K26" s="65"/>
      <c r="L26" s="65"/>
      <c r="M26" s="65"/>
      <c r="N26" s="68"/>
      <c r="O26" s="92" t="s">
        <v>37</v>
      </c>
      <c r="R26" s="86">
        <f>R25+2469</f>
        <v>80344.003500000006</v>
      </c>
    </row>
    <row r="27" spans="1:28" ht="25.2" x14ac:dyDescent="0.45">
      <c r="A27" s="14" t="s">
        <v>36</v>
      </c>
      <c r="B27" s="64" t="s">
        <v>61</v>
      </c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8"/>
      <c r="O27" s="92">
        <f>129500-110900</f>
        <v>18600</v>
      </c>
    </row>
    <row r="28" spans="1:28" ht="25.2" x14ac:dyDescent="0.45">
      <c r="B28" s="64" t="s">
        <v>62</v>
      </c>
      <c r="C28" s="65"/>
      <c r="D28" s="65"/>
      <c r="E28" s="65"/>
      <c r="F28" s="65"/>
      <c r="G28" s="65"/>
      <c r="H28" s="65"/>
      <c r="I28" s="65"/>
      <c r="J28" s="65"/>
      <c r="K28" s="65"/>
      <c r="L28" s="65"/>
      <c r="M28" s="65"/>
      <c r="N28" s="68"/>
      <c r="O28" s="92"/>
    </row>
    <row r="29" spans="1:28" ht="25.2" x14ac:dyDescent="0.45">
      <c r="B29" s="64" t="s">
        <v>63</v>
      </c>
      <c r="C29" s="65"/>
      <c r="D29" s="65"/>
      <c r="E29" s="65"/>
      <c r="F29" s="65"/>
      <c r="G29" s="65"/>
      <c r="H29" s="65"/>
      <c r="I29" s="65"/>
      <c r="J29" s="65"/>
      <c r="K29" s="65"/>
      <c r="L29" s="65"/>
      <c r="M29" s="65"/>
      <c r="N29" s="69"/>
      <c r="O29" s="92"/>
    </row>
    <row r="30" spans="1:28" ht="24.6" x14ac:dyDescent="0.4">
      <c r="B30" s="133" t="s">
        <v>38</v>
      </c>
      <c r="C30" s="134"/>
      <c r="D30" s="134"/>
      <c r="E30" s="134"/>
      <c r="F30" s="134"/>
      <c r="G30" s="134"/>
      <c r="H30" s="134"/>
      <c r="I30" s="134"/>
      <c r="J30" s="134"/>
      <c r="K30" s="134"/>
      <c r="L30" s="134"/>
      <c r="M30" s="134"/>
      <c r="N30" s="135"/>
      <c r="O30" s="92"/>
    </row>
    <row r="31" spans="1:28" ht="24.6" x14ac:dyDescent="0.4">
      <c r="B31" s="136"/>
      <c r="C31" s="137"/>
      <c r="D31" s="137"/>
      <c r="E31" s="137"/>
      <c r="F31" s="137"/>
      <c r="G31" s="137"/>
      <c r="H31" s="137"/>
      <c r="I31" s="137"/>
      <c r="J31" s="137"/>
      <c r="K31" s="137"/>
      <c r="L31" s="137"/>
      <c r="M31" s="137"/>
      <c r="N31" s="138"/>
      <c r="O31" s="92"/>
    </row>
    <row r="32" spans="1:28" ht="24.6" x14ac:dyDescent="0.4">
      <c r="B32" s="136" t="s">
        <v>39</v>
      </c>
      <c r="C32" s="137"/>
      <c r="D32" s="137"/>
      <c r="E32" s="137"/>
      <c r="F32" s="137"/>
      <c r="G32" s="137"/>
      <c r="H32" s="137"/>
      <c r="I32" s="137"/>
      <c r="J32" s="137"/>
      <c r="K32" s="137"/>
      <c r="L32" s="137"/>
      <c r="M32" s="137"/>
      <c r="N32" s="138"/>
      <c r="O32" s="92"/>
    </row>
    <row r="33" spans="2:16" ht="24.6" x14ac:dyDescent="0.4">
      <c r="B33" s="136" t="s">
        <v>40</v>
      </c>
      <c r="C33" s="137"/>
      <c r="D33" s="137"/>
      <c r="E33" s="137"/>
      <c r="F33" s="137"/>
      <c r="G33" s="137"/>
      <c r="H33" s="137"/>
      <c r="I33" s="137"/>
      <c r="J33" s="137"/>
      <c r="K33" s="137"/>
      <c r="L33" s="137"/>
      <c r="M33" s="137"/>
      <c r="N33" s="138"/>
      <c r="O33" s="92"/>
    </row>
    <row r="34" spans="2:16" s="112" customFormat="1" ht="24.6" x14ac:dyDescent="0.4">
      <c r="B34" s="107" t="s">
        <v>81</v>
      </c>
      <c r="C34" s="108"/>
      <c r="D34" s="108"/>
      <c r="E34" s="108"/>
      <c r="F34" s="108"/>
      <c r="G34" s="113"/>
      <c r="H34" s="113"/>
      <c r="I34" s="108"/>
      <c r="J34" s="108"/>
      <c r="K34" s="108"/>
      <c r="L34" s="108"/>
      <c r="M34" s="114" t="s">
        <v>82</v>
      </c>
      <c r="N34" s="116" t="b">
        <f>IF(M34="ALAA",507963328, IF(M34="BACHIR",525246969,IF(M34="JIHAN",566201266, IF(M34="RAMY",505277871, IF(M34="SIMON",505140337,IF(M34="SUJITH",551079817, IF(M34="PRAVEEN",506367792,IF(M34="MHAREN",529224059, IF(M34="MOSSALLEM",505185577,IF(M34="RANJITH",554989288, IF(M34="KHALED",552319494)))))))))))</f>
        <v>0</v>
      </c>
      <c r="O34" s="115"/>
      <c r="P34" s="115"/>
    </row>
    <row r="35" spans="2:16" x14ac:dyDescent="0.35">
      <c r="B35" s="70"/>
      <c r="C35" s="71"/>
      <c r="D35" s="71"/>
      <c r="E35" s="71"/>
      <c r="F35" s="71"/>
      <c r="G35" s="71"/>
      <c r="H35" s="71"/>
      <c r="I35" s="71"/>
      <c r="J35" s="71"/>
      <c r="K35" s="71"/>
      <c r="L35" s="71"/>
      <c r="M35" s="71"/>
      <c r="N35" s="72"/>
    </row>
    <row r="36" spans="2:16" x14ac:dyDescent="0.35">
      <c r="B36" s="70"/>
      <c r="C36" s="71"/>
      <c r="D36" s="71"/>
      <c r="E36" s="71"/>
      <c r="F36" s="71"/>
      <c r="G36" s="71"/>
      <c r="H36" s="71"/>
      <c r="I36" s="71"/>
      <c r="J36" s="71"/>
      <c r="K36" s="71"/>
      <c r="L36" s="71"/>
      <c r="M36" s="71"/>
      <c r="N36" s="72"/>
    </row>
    <row r="37" spans="2:16" x14ac:dyDescent="0.35">
      <c r="B37" s="70"/>
      <c r="C37" s="71"/>
      <c r="D37" s="71"/>
      <c r="E37" s="71"/>
      <c r="F37" s="71"/>
      <c r="G37" s="71"/>
      <c r="H37" s="71"/>
      <c r="I37" s="71"/>
      <c r="J37" s="71"/>
      <c r="K37" s="71"/>
      <c r="L37" s="71"/>
      <c r="M37" s="71"/>
      <c r="N37" s="72"/>
    </row>
    <row r="38" spans="2:16" ht="21" x14ac:dyDescent="0.4">
      <c r="B38" s="73" t="s">
        <v>64</v>
      </c>
      <c r="C38" s="74"/>
      <c r="D38" s="75"/>
      <c r="E38" s="76"/>
      <c r="F38" s="76"/>
      <c r="G38" s="76"/>
      <c r="H38" s="76"/>
      <c r="I38" s="76"/>
      <c r="J38" s="77"/>
      <c r="K38" s="76"/>
      <c r="L38" s="76"/>
      <c r="M38" s="76"/>
      <c r="N38" s="78"/>
    </row>
    <row r="39" spans="2:16" ht="21" x14ac:dyDescent="0.4">
      <c r="B39" s="73" t="s">
        <v>65</v>
      </c>
      <c r="C39" s="79"/>
      <c r="D39" s="75"/>
      <c r="E39" s="76"/>
      <c r="F39" s="76"/>
      <c r="G39" s="76"/>
      <c r="H39" s="76"/>
      <c r="I39" s="76"/>
      <c r="J39" s="77"/>
      <c r="K39" s="76"/>
      <c r="L39" s="76"/>
      <c r="M39" s="76"/>
      <c r="N39" s="80"/>
    </row>
    <row r="40" spans="2:16" ht="21" x14ac:dyDescent="0.35">
      <c r="B40" s="73" t="s">
        <v>66</v>
      </c>
      <c r="C40" s="81"/>
      <c r="D40" s="76"/>
      <c r="E40" s="76"/>
      <c r="F40" s="76"/>
      <c r="G40" s="76"/>
      <c r="H40" s="76"/>
      <c r="I40" s="76"/>
      <c r="J40" s="77"/>
      <c r="K40" s="76"/>
      <c r="L40" s="76"/>
      <c r="M40" s="76"/>
      <c r="N40" s="80"/>
    </row>
    <row r="41" spans="2:16" ht="21" x14ac:dyDescent="0.35">
      <c r="B41" s="73" t="s">
        <v>67</v>
      </c>
      <c r="C41" s="82"/>
      <c r="D41" s="83"/>
      <c r="E41" s="83"/>
      <c r="F41" s="83"/>
      <c r="G41" s="83"/>
      <c r="H41" s="83"/>
      <c r="I41" s="83"/>
      <c r="J41" s="83"/>
      <c r="K41" s="83"/>
      <c r="L41" s="83"/>
      <c r="M41" s="83"/>
      <c r="N41" s="84"/>
    </row>
    <row r="42" spans="2:16" ht="21" x14ac:dyDescent="0.35">
      <c r="B42" s="73" t="s">
        <v>77</v>
      </c>
      <c r="C42" s="82"/>
      <c r="D42" s="83"/>
      <c r="E42" s="83"/>
      <c r="F42" s="83"/>
      <c r="G42" s="83"/>
      <c r="H42" s="83"/>
      <c r="I42" s="83"/>
      <c r="J42" s="83"/>
      <c r="K42" s="83"/>
      <c r="L42" s="83"/>
      <c r="M42" s="83"/>
      <c r="N42" s="84"/>
    </row>
    <row r="43" spans="2:16" ht="21" x14ac:dyDescent="0.35">
      <c r="B43" s="73" t="s">
        <v>68</v>
      </c>
      <c r="C43" s="82"/>
      <c r="D43" s="83"/>
      <c r="E43" s="83"/>
      <c r="F43" s="83"/>
      <c r="G43" s="83"/>
      <c r="H43" s="83"/>
      <c r="I43" s="83"/>
      <c r="J43" s="83"/>
      <c r="K43" s="83"/>
      <c r="L43" s="83"/>
      <c r="M43" s="83"/>
      <c r="N43" s="84"/>
    </row>
    <row r="44" spans="2:16" ht="21" x14ac:dyDescent="0.35">
      <c r="B44" s="73" t="s">
        <v>69</v>
      </c>
      <c r="C44" s="82"/>
      <c r="D44" s="83"/>
      <c r="E44" s="83"/>
      <c r="F44" s="83"/>
      <c r="G44" s="83"/>
      <c r="H44" s="83"/>
      <c r="I44" s="83"/>
      <c r="J44" s="83"/>
      <c r="K44" s="83"/>
      <c r="L44" s="83"/>
      <c r="M44" s="83"/>
      <c r="N44" s="84"/>
    </row>
    <row r="45" spans="2:16" ht="21" x14ac:dyDescent="0.35">
      <c r="B45" s="73" t="s">
        <v>70</v>
      </c>
      <c r="C45" s="82"/>
      <c r="D45" s="83"/>
      <c r="E45" s="83"/>
      <c r="F45" s="83"/>
      <c r="G45" s="83"/>
      <c r="H45" s="83"/>
      <c r="I45" s="83"/>
      <c r="J45" s="83"/>
      <c r="K45" s="83"/>
      <c r="L45" s="83"/>
      <c r="M45" s="83"/>
      <c r="N45" s="84"/>
    </row>
    <row r="46" spans="2:16" ht="21" x14ac:dyDescent="0.35">
      <c r="B46" s="73" t="s">
        <v>71</v>
      </c>
      <c r="C46" s="82"/>
      <c r="D46" s="83"/>
      <c r="E46" s="83"/>
      <c r="F46" s="83"/>
      <c r="G46" s="83"/>
      <c r="H46" s="83"/>
      <c r="I46" s="83"/>
      <c r="J46" s="83"/>
      <c r="K46" s="83"/>
      <c r="L46" s="83"/>
      <c r="M46" s="83"/>
      <c r="N46" s="84"/>
    </row>
    <row r="47" spans="2:16" x14ac:dyDescent="0.35">
      <c r="B47" s="118" t="s">
        <v>39</v>
      </c>
      <c r="C47" s="119"/>
      <c r="D47" s="119"/>
      <c r="E47" s="119"/>
      <c r="F47" s="119"/>
      <c r="G47" s="119"/>
      <c r="H47" s="119"/>
      <c r="I47" s="119"/>
      <c r="J47" s="119"/>
      <c r="K47" s="119"/>
      <c r="L47" s="119"/>
      <c r="M47" s="119"/>
      <c r="N47" s="120"/>
      <c r="O47" s="92"/>
    </row>
    <row r="48" spans="2:16" x14ac:dyDescent="0.35">
      <c r="B48" s="118" t="s">
        <v>40</v>
      </c>
      <c r="C48" s="119"/>
      <c r="D48" s="119"/>
      <c r="E48" s="119"/>
      <c r="F48" s="119"/>
      <c r="G48" s="119"/>
      <c r="H48" s="119"/>
      <c r="I48" s="119"/>
      <c r="J48" s="119"/>
      <c r="K48" s="119"/>
      <c r="L48" s="119"/>
      <c r="M48" s="119"/>
      <c r="N48" s="120"/>
      <c r="O48" s="92"/>
    </row>
    <row r="49" spans="2:14" x14ac:dyDescent="0.35">
      <c r="B49" s="118" t="s">
        <v>72</v>
      </c>
      <c r="C49" s="119"/>
      <c r="D49" s="119"/>
      <c r="E49" s="119"/>
      <c r="F49" s="119"/>
      <c r="G49" s="119"/>
      <c r="H49" s="119"/>
      <c r="I49" s="119"/>
      <c r="J49" s="119"/>
      <c r="K49" s="119"/>
      <c r="L49" s="119"/>
      <c r="M49" s="119"/>
      <c r="N49" s="120"/>
    </row>
    <row r="50" spans="2:14" ht="25.8" x14ac:dyDescent="0.35">
      <c r="C50" s="15" t="s">
        <v>41</v>
      </c>
    </row>
    <row r="51" spans="2:14" ht="25.8" x14ac:dyDescent="0.35">
      <c r="C51" s="15" t="s">
        <v>42</v>
      </c>
    </row>
    <row r="52" spans="2:14" ht="25.8" x14ac:dyDescent="0.35">
      <c r="C52" s="15" t="s">
        <v>43</v>
      </c>
    </row>
    <row r="53" spans="2:14" ht="25.8" x14ac:dyDescent="0.35">
      <c r="C53" s="15" t="s">
        <v>44</v>
      </c>
    </row>
    <row r="54" spans="2:14" ht="25.8" x14ac:dyDescent="0.35">
      <c r="C54" s="15" t="s">
        <v>45</v>
      </c>
    </row>
  </sheetData>
  <mergeCells count="12">
    <mergeCell ref="B49:N49"/>
    <mergeCell ref="B1:N4"/>
    <mergeCell ref="F8:G8"/>
    <mergeCell ref="F9:G9"/>
    <mergeCell ref="G19:I19"/>
    <mergeCell ref="B22:N22"/>
    <mergeCell ref="B30:N30"/>
    <mergeCell ref="B31:N31"/>
    <mergeCell ref="B32:N32"/>
    <mergeCell ref="B33:N33"/>
    <mergeCell ref="B47:N47"/>
    <mergeCell ref="B48:N48"/>
  </mergeCells>
  <dataValidations count="11">
    <dataValidation type="list" allowBlank="1" showInputMessage="1" showErrorMessage="1" sqref="K21" xr:uid="{2187A12E-29B5-4694-8232-613870A82CC5}">
      <formula1>"ADCB,ADCB PAY IN 2027,Ajman Bank,ADIB,DIB EXPAT,DIB LOCAL GVH,Emirates NBD,EIB,FAB,RAK,SIB STL,SIB NON STL"</formula1>
    </dataValidation>
    <dataValidation type="list" allowBlank="1" showInputMessage="1" showErrorMessage="1" sqref="D5" xr:uid="{768CBF70-2692-475C-A275-4C3F970AD2D6}">
      <formula1>"MIG09,MIG10,ATG16,ATP16,ATG17,ASG48,ASG43,ASG40,ASG42,ASG44,ASG45,ECG38,ECG37,ECG40,ECG43,XPML,XPHL,XPMLP, XPMLP-01, XC,OTF03,OTP03,OTF06,OTP06, OTP06-01,OTF08, OTP08,MOP57,MOG64,MOG59,MOG59P,MOG61,MOP61"</formula1>
    </dataValidation>
    <dataValidation type="list" allowBlank="1" showInputMessage="1" showErrorMessage="1" sqref="M21" xr:uid="{377854B5-DC0A-4627-B8E0-9DFEB703C917}">
      <formula1>"3000-4999,5000-9999,10000-14999,15000-24999,25000-34999,35000-99999,5000-11999,12000-19999,20000-39999,40000-69999,70000-99999"</formula1>
    </dataValidation>
    <dataValidation type="list" allowBlank="1" showInputMessage="1" showErrorMessage="1" sqref="K20" xr:uid="{94CFB1EE-2F39-49DC-8726-D6BA619422B4}">
      <formula1>"Esaad,Emirates Platinum,Fazaa,Humat Alwatan,Permissible,ASX,XPMLP,XP,MON,MON G57,OUT,F08,P08,F06,P06,F03,P03,EC,G37,G38,G40,G43"</formula1>
    </dataValidation>
    <dataValidation type="list" allowBlank="1" showInputMessage="1" showErrorMessage="1" sqref="L19:L20 L24:L25 G14:G15 C10:C16 L10 J10" xr:uid="{A4CA38AC-0A11-4EBC-B429-7E4229A466DF}">
      <formula1>"YES,NO"</formula1>
    </dataValidation>
    <dataValidation type="list" allowBlank="1" showInputMessage="1" showErrorMessage="1" sqref="K24" xr:uid="{B913722A-F4C1-41F6-87F4-73B23427A694}">
      <formula1>"RMC-10-70K,RMC-10-100000K,RMC-40-70K"</formula1>
    </dataValidation>
    <dataValidation type="list" allowBlank="1" showInputMessage="1" showErrorMessage="1" sqref="B16" xr:uid="{219BAF85-1ECF-4305-B523-4704D2698B86}">
      <formula1>"RMC-10-40KMS,RMC-10-60KMS,RMC-10-70KMS,RMC-10-100000KMS,RMC-40-70KMS,RMC-40-100000KMS"</formula1>
    </dataValidation>
    <dataValidation type="list" allowBlank="1" showInputMessage="1" showErrorMessage="1" sqref="B12" xr:uid="{FAB37681-AE50-4E7F-BD57-542D4C540D3E}">
      <formula1>"FO Exterior ceramic All Cars SCOTCHGUARD,FO Mirror Camera Sensor,FO PPF Gold Package "</formula1>
    </dataValidation>
    <dataValidation type="list" allowBlank="1" showInputMessage="1" showErrorMessage="1" sqref="B11" xr:uid="{9E4B379B-0E26-486E-B8F1-9ADE7FC75D8B}">
      <formula1>"FO Ceramic+ Intr&amp;Extr CeramicGold WdwTnt,FO Mirror Camera Sensor"</formula1>
    </dataValidation>
    <dataValidation type="list" allowBlank="1" showInputMessage="1" showErrorMessage="1" sqref="M34" xr:uid="{600ACA2B-F191-4C95-B050-02C15D29FF9C}">
      <formula1>"Alaa,Bachir ,Khaled,Ramy,Simon,Mharen,Ranjith,Jihan,Praveen,Sujith,Mossallem"</formula1>
    </dataValidation>
    <dataValidation type="list" allowBlank="1" showInputMessage="1" showErrorMessage="1" sqref="H34" xr:uid="{77A42FCE-4C74-4CF8-B4D8-2C16D59B6AAE}">
      <formula1>"ALAA HAMMAD,KHALED QASSEM,RAMY RAOUF,SIMON LOBO,MHAREN CLEMENTE GARADO"</formula1>
    </dataValidation>
  </dataValidations>
  <pageMargins left="0.23622047244094491" right="0.23622047244094491" top="0.74803149606299213" bottom="0.74803149606299213" header="0.31496062992125984" footer="0.31496062992125984"/>
  <pageSetup paperSize="9" scale="37" orientation="landscape" horizontalDpi="4294967295" verticalDpi="4294967295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AFA7B2-558F-48E3-BE2F-014A79727B6E}">
  <sheetPr>
    <pageSetUpPr fitToPage="1"/>
  </sheetPr>
  <dimension ref="A1:AB54"/>
  <sheetViews>
    <sheetView topLeftCell="B1" zoomScaleNormal="100" workbookViewId="0">
      <selection activeCell="D5" sqref="D5"/>
    </sheetView>
  </sheetViews>
  <sheetFormatPr defaultColWidth="9.109375" defaultRowHeight="20.399999999999999" x14ac:dyDescent="0.35"/>
  <cols>
    <col min="1" max="1" width="16" style="1" hidden="1" customWidth="1"/>
    <col min="2" max="2" width="75.5546875" style="2" customWidth="1"/>
    <col min="3" max="3" width="25.5546875" style="3" customWidth="1"/>
    <col min="4" max="4" width="25.33203125" style="2" customWidth="1"/>
    <col min="5" max="5" width="22.6640625" style="2" customWidth="1"/>
    <col min="6" max="6" width="21" style="2" customWidth="1"/>
    <col min="7" max="7" width="25" style="2" customWidth="1"/>
    <col min="8" max="8" width="29.44140625" style="2" bestFit="1" customWidth="1"/>
    <col min="9" max="9" width="32.109375" style="2" bestFit="1" customWidth="1"/>
    <col min="10" max="10" width="22" style="2" customWidth="1"/>
    <col min="11" max="11" width="23.33203125" style="2" customWidth="1"/>
    <col min="12" max="12" width="31" style="2" customWidth="1"/>
    <col min="13" max="13" width="23.5546875" style="2" customWidth="1"/>
    <col min="14" max="14" width="21.109375" style="2" customWidth="1"/>
    <col min="15" max="15" width="14.44140625" style="83" bestFit="1" customWidth="1"/>
    <col min="16" max="16" width="21.6640625" style="83" hidden="1" customWidth="1"/>
    <col min="17" max="17" width="14.33203125" style="86" hidden="1" customWidth="1"/>
    <col min="18" max="18" width="12.88671875" style="86" hidden="1" customWidth="1"/>
    <col min="19" max="19" width="13" style="86" hidden="1" customWidth="1"/>
    <col min="20" max="20" width="17.109375" style="86" hidden="1" customWidth="1"/>
    <col min="21" max="21" width="21.5546875" style="86" customWidth="1"/>
    <col min="22" max="22" width="22.88671875" style="86" customWidth="1"/>
    <col min="23" max="26" width="17.109375" style="86" bestFit="1" customWidth="1"/>
    <col min="27" max="27" width="15" style="86" customWidth="1"/>
    <col min="28" max="28" width="14.33203125" style="86" bestFit="1" customWidth="1"/>
    <col min="29" max="16384" width="9.109375" style="1"/>
  </cols>
  <sheetData>
    <row r="1" spans="1:28" ht="15.75" customHeight="1" x14ac:dyDescent="0.35">
      <c r="B1" s="121" t="s">
        <v>46</v>
      </c>
      <c r="C1" s="122"/>
      <c r="D1" s="122"/>
      <c r="E1" s="122"/>
      <c r="F1" s="122"/>
      <c r="G1" s="122"/>
      <c r="H1" s="122"/>
      <c r="I1" s="122"/>
      <c r="J1" s="122"/>
      <c r="K1" s="122"/>
      <c r="L1" s="122"/>
      <c r="M1" s="122"/>
      <c r="N1" s="123"/>
    </row>
    <row r="2" spans="1:28" ht="15.75" customHeight="1" x14ac:dyDescent="0.35">
      <c r="B2" s="124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6"/>
      <c r="Q2" s="83"/>
      <c r="S2" s="87"/>
    </row>
    <row r="3" spans="1:28" ht="15.75" customHeight="1" x14ac:dyDescent="0.35">
      <c r="B3" s="124"/>
      <c r="C3" s="125"/>
      <c r="D3" s="125"/>
      <c r="E3" s="125"/>
      <c r="F3" s="125"/>
      <c r="G3" s="125"/>
      <c r="H3" s="125"/>
      <c r="I3" s="125"/>
      <c r="J3" s="125"/>
      <c r="K3" s="125"/>
      <c r="L3" s="125"/>
      <c r="M3" s="125"/>
      <c r="N3" s="126"/>
      <c r="O3" s="82"/>
      <c r="P3" s="82"/>
      <c r="Q3" s="81"/>
      <c r="R3" s="81"/>
      <c r="S3" s="88" t="e">
        <f>N7+J14</f>
        <v>#VALUE!</v>
      </c>
      <c r="T3" s="88"/>
      <c r="U3" s="81"/>
      <c r="V3" s="81"/>
      <c r="W3" s="81"/>
      <c r="AA3" s="86">
        <f>273000/5</f>
        <v>54600</v>
      </c>
    </row>
    <row r="4" spans="1:28" ht="15.75" customHeight="1" x14ac:dyDescent="0.4">
      <c r="B4" s="127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9"/>
      <c r="O4" s="89" t="s">
        <v>0</v>
      </c>
      <c r="P4" s="89"/>
      <c r="Q4" s="90"/>
      <c r="R4" s="90"/>
      <c r="S4" s="91"/>
      <c r="T4" s="91"/>
      <c r="U4" s="90" t="s">
        <v>1</v>
      </c>
      <c r="V4" s="90" t="s">
        <v>2</v>
      </c>
      <c r="W4" s="90" t="s">
        <v>3</v>
      </c>
    </row>
    <row r="5" spans="1:28" ht="25.2" thickBot="1" x14ac:dyDescent="0.45">
      <c r="B5" s="17">
        <f ca="1">TODAY()</f>
        <v>46215</v>
      </c>
      <c r="C5" s="18" t="str">
        <f>IF(D5="MIG09","Mirage G09",IF(D5="MIG10","MirageG10",IF(D5="ATG16","Attrage G16",IF(D5="ATP16","Attrage P16",IF(D5="ATG17","Attrage G17",IF(D5="ASG48","ASX G48",IF(D5="ASG43","ASX G43", IF(D5="ASG40","ASXG40",IF(D5="ASG42","ASX G42",IF(D5="ASG44","ASX G44",IF(D5="ASG45","ASX G45",IF(D5="ECG38","Eclipse G38",IF(D5="ECG37","Eclipse G37",IF(D5="ECG40","Eclipse G40",IF(D5="ECG43","Eclipse G43",IF(D5="XPML","Xpander ML",IF(D5="XPHL","Xpander HL",IF(D5="XPMLP","Xpander ML P",IF(D5="XPMLP-01","Xpander ML P-01",IF(D5="XC","Xpander Cross", IF(D5="OTF03","Outlander F03",IF(D5="OTP03","Outlander P03",IF(D5="OTF06","Outlander F06",IF(D5="OTP06","Outlander P06",IF(D5="OTP06-01","Outlander P06-01",IF(D5="OTF08","Outlander F08",IF(D5="OTP08","Outlander P08P", IF(D5="MOP57","Montero P57",IF(D5="MOG64","Montero G64",IF(D5="MOG59","Montero G59",IF(D5="MOG59P","Montero G59 P",IF(D5="MOG61","Montero G61",IF(D5="MOP61","Montero P61")))))))))))))))))))))))))))))))))</f>
        <v>Eclipse G43</v>
      </c>
      <c r="D5" s="19" t="s">
        <v>100</v>
      </c>
      <c r="E5" s="20" t="s">
        <v>47</v>
      </c>
      <c r="F5" s="21"/>
      <c r="G5" s="21"/>
      <c r="H5" s="21"/>
      <c r="I5" s="22"/>
      <c r="J5" s="23"/>
      <c r="K5" s="24">
        <v>0</v>
      </c>
      <c r="L5" s="25">
        <v>3.39E-2</v>
      </c>
      <c r="M5" s="25">
        <v>6.7799999999999999E-2</v>
      </c>
      <c r="N5" s="25">
        <v>0.1017</v>
      </c>
      <c r="O5" s="92">
        <f>K7+K14</f>
        <v>11203.3313840175</v>
      </c>
      <c r="S5" s="87"/>
      <c r="U5" s="87">
        <f>L7+L14</f>
        <v>4565.075294481042</v>
      </c>
      <c r="V5" s="87">
        <f>M7+M14</f>
        <v>3053.7508621987499</v>
      </c>
      <c r="W5" s="87">
        <f>N7+N14</f>
        <v>2116.0991028143753</v>
      </c>
    </row>
    <row r="6" spans="1:28" s="5" customFormat="1" ht="128.25" customHeight="1" thickBot="1" x14ac:dyDescent="0.35">
      <c r="A6" s="4" t="s">
        <v>4</v>
      </c>
      <c r="B6" s="26" t="s">
        <v>5</v>
      </c>
      <c r="C6" s="27" t="s">
        <v>6</v>
      </c>
      <c r="D6" s="27" t="s">
        <v>48</v>
      </c>
      <c r="E6" s="27" t="s">
        <v>7</v>
      </c>
      <c r="F6" s="27" t="s">
        <v>8</v>
      </c>
      <c r="G6" s="28" t="s">
        <v>9</v>
      </c>
      <c r="H6" s="28" t="s">
        <v>49</v>
      </c>
      <c r="I6" s="28" t="s">
        <v>10</v>
      </c>
      <c r="J6" s="28" t="s">
        <v>56</v>
      </c>
      <c r="K6" s="28" t="s">
        <v>11</v>
      </c>
      <c r="L6" s="28" t="s">
        <v>12</v>
      </c>
      <c r="M6" s="28" t="s">
        <v>13</v>
      </c>
      <c r="N6" s="28" t="s">
        <v>14</v>
      </c>
      <c r="O6" s="93"/>
      <c r="P6" s="94"/>
      <c r="Q6" s="95"/>
      <c r="R6" s="95"/>
      <c r="S6" s="95"/>
      <c r="T6" s="96"/>
      <c r="U6" s="96">
        <f>N7+L14</f>
        <v>3585.4848178143748</v>
      </c>
      <c r="V6" s="96">
        <f>N7+K14</f>
        <v>8999.2528115174991</v>
      </c>
      <c r="W6" s="96"/>
      <c r="X6" s="95"/>
      <c r="Y6" s="95"/>
      <c r="Z6" s="95"/>
      <c r="AA6" s="95"/>
      <c r="AB6" s="95"/>
    </row>
    <row r="7" spans="1:28" ht="25.2" thickBot="1" x14ac:dyDescent="0.45">
      <c r="A7" s="6">
        <f>B8</f>
        <v>91900</v>
      </c>
      <c r="B7" s="29">
        <f>IF(L20="YES",C8*1,IF(L20="NO",B8*1))</f>
        <v>91900</v>
      </c>
      <c r="C7" s="29">
        <f>B7*5/100</f>
        <v>4595</v>
      </c>
      <c r="D7" s="29">
        <f>B7+C7</f>
        <v>96495</v>
      </c>
      <c r="E7" s="29">
        <f>D17</f>
        <v>13388.928625</v>
      </c>
      <c r="F7" s="29">
        <f>(C7)+(D10+D11+D12+D13+D16)*5/100</f>
        <v>4915</v>
      </c>
      <c r="G7" s="30">
        <f>B7+E7+F7</f>
        <v>110203.928625</v>
      </c>
      <c r="H7" s="29">
        <f>G7*D20</f>
        <v>22040.785725000002</v>
      </c>
      <c r="I7" s="29">
        <f>(G7-H7)</f>
        <v>88163.142900000006</v>
      </c>
      <c r="J7" s="30">
        <f>(((I7*D19)*1)+I7)/12</f>
        <v>7529.8670965175006</v>
      </c>
      <c r="K7" s="30">
        <f>(((I7*D19)*2)+I7)/24</f>
        <v>3856.4028090175002</v>
      </c>
      <c r="L7" s="30">
        <f>(((I7*D19)*3)+I7)/36</f>
        <v>2631.9147131841669</v>
      </c>
      <c r="M7" s="30">
        <f>(((I7*D19)*4)+I7)/48</f>
        <v>2019.6706652675002</v>
      </c>
      <c r="N7" s="30">
        <f>((((I7*D19)*5)+I7)/60)</f>
        <v>1652.3242365175001</v>
      </c>
      <c r="O7" s="92"/>
      <c r="P7" s="83">
        <f>H7+H16</f>
        <v>22966.498725450001</v>
      </c>
      <c r="T7" s="87">
        <f>25973/2</f>
        <v>12986.5</v>
      </c>
    </row>
    <row r="8" spans="1:28" ht="24.6" x14ac:dyDescent="0.4">
      <c r="A8" s="7">
        <v>0.2</v>
      </c>
      <c r="B8" s="31">
        <f>IF(D5="MIG09",39900,IF(D5="MIG10",40400,IF(D5="ATG16",40400,IF(D5="ATP16",49900,IF(D5="ATG17",41900,IF(D5="ASG48",63900,IF(D5="ASG43",62900,IF(D5="ASG40",63900,IF(D5="ASG42",68900,IF(D5="ASG44",89900,IF(D5="ASG45",95900,IF(D5="ECG38",73900,IF(D5="ECG37",70900,IF(D5="ECG40",86900,IF(D5="ECG43",91900,IF(D5="XPML",62900,IF(D5="XPHL",62900,IF(D5="XPMLP",69900,IF(D5="XPMLP-01",77800,IF(D5="XC",77900,IF(D5="OTF03",96900,IF(D5="OTP03",79900,IF(D5="OTF06",92900,IF(D5="OTP06",111900,IF(D5="OTP06-01",118900,IF(D5="OTF08",122900,IF(D5="OTP08",109900,IF(D5="MOP57",99900,IF(D5="MOG64",108900,IF(D5="MOG59",116900,IF(D5="MOG59P",110900,IF(D5="MOG61",127900,IF(D5="MOP61",125900)))))))))))))))))))))))))))))))))</f>
        <v>91900</v>
      </c>
      <c r="C8" s="32">
        <f>IF(L20="YES",N20,IF(L20="NO",N20))</f>
        <v>91900</v>
      </c>
      <c r="D8" s="29">
        <v>0</v>
      </c>
      <c r="E8" s="33"/>
      <c r="F8" s="139"/>
      <c r="G8" s="140"/>
      <c r="H8" s="110">
        <f>G7*20/100</f>
        <v>22040.785724999998</v>
      </c>
      <c r="I8" s="21"/>
      <c r="J8" s="34" t="s">
        <v>15</v>
      </c>
      <c r="K8" s="23">
        <f>(J7*K5+J7)/24</f>
        <v>313.74446235489586</v>
      </c>
      <c r="L8" s="23">
        <f>(J7*L5+J7)/36</f>
        <v>216.25359975248455</v>
      </c>
      <c r="M8" s="23">
        <f>(J7*M5+J7)/48</f>
        <v>167.50816845127889</v>
      </c>
      <c r="N8" s="23">
        <f>(J7*N5+J7)/60</f>
        <v>138.26090967055552</v>
      </c>
      <c r="O8" s="92"/>
      <c r="P8" s="83">
        <f>P7/12</f>
        <v>1913.8748937875</v>
      </c>
      <c r="T8" s="86">
        <f>25973-12973</f>
        <v>13000</v>
      </c>
    </row>
    <row r="9" spans="1:28" ht="24.6" x14ac:dyDescent="0.4">
      <c r="A9" s="8">
        <f>B8/(100%-A8)</f>
        <v>114875</v>
      </c>
      <c r="B9" s="109">
        <f>B7-B8</f>
        <v>0</v>
      </c>
      <c r="C9" s="35"/>
      <c r="D9" s="36"/>
      <c r="E9" s="33"/>
      <c r="F9" s="139"/>
      <c r="G9" s="140"/>
      <c r="H9" s="33"/>
      <c r="I9" s="37" t="s">
        <v>16</v>
      </c>
      <c r="J9" s="38">
        <f>(J7*12)-(I7)</f>
        <v>2195.2622582100012</v>
      </c>
      <c r="K9" s="38">
        <f>(K7*24)-I7</f>
        <v>4390.5245164200023</v>
      </c>
      <c r="L9" s="38">
        <f>(L7*36)-I7</f>
        <v>6585.7867746300035</v>
      </c>
      <c r="M9" s="38">
        <f>(M7*48)-I7</f>
        <v>8781.0490328400047</v>
      </c>
      <c r="N9" s="38">
        <f>(N7*60)-I7</f>
        <v>10976.311291050006</v>
      </c>
      <c r="O9" s="92"/>
      <c r="T9" s="86">
        <f>T8/12</f>
        <v>1083.3333333333333</v>
      </c>
      <c r="Z9" s="86" t="s">
        <v>86</v>
      </c>
    </row>
    <row r="10" spans="1:28" ht="24.6" x14ac:dyDescent="0.4">
      <c r="A10" s="8"/>
      <c r="B10" s="37" t="s">
        <v>50</v>
      </c>
      <c r="C10" s="20" t="s">
        <v>17</v>
      </c>
      <c r="D10" s="36">
        <f>IF(C10="YES",800,IF(C10="NO",0))</f>
        <v>0</v>
      </c>
      <c r="E10" s="39"/>
      <c r="F10" s="40"/>
      <c r="G10" s="40"/>
      <c r="H10" s="33"/>
      <c r="I10" s="44" t="s">
        <v>85</v>
      </c>
      <c r="J10" s="117" t="s">
        <v>19</v>
      </c>
      <c r="K10" s="117">
        <f>IF(J10="YES",Z10,IF(J10="NO",0))</f>
        <v>1000</v>
      </c>
      <c r="L10" s="117"/>
      <c r="M10" s="117"/>
      <c r="N10" s="41">
        <f>(N8*60)-J7</f>
        <v>765.7874837158306</v>
      </c>
      <c r="O10" s="92">
        <f>IF(D5="XC",3690,IF(D5="XPML",3690,IF(D5="XPHL",3690,IF(D5="XPMLP",3690,IF(D5="XPMLP-01",3690,IF(D5="Xpander P",3690,IF(D5="MOP57",(U19*2.75/100+510)*1.05,IF(D5="MOG64",(U19*2.75/100+510)*1.05,IF(D5="MOG59",(U19*2.75/100+510)*1.05,IF(D5="MOG59P",(U19*2.75/100+510)*1.05,IF(D5="MOG61",(U19*2.75/100+510)*1.05,IF(D5="MOP61",(U19*2.75/100+510)*1.05,IF(D5="OTF03",(D7*3/100+510)*1.05,IF(D5="OTP03",(U19*3/100+510)*1.05,IF(D5="OTF06",(U19*3/100+510)*1.05,IF(D5="OTP06",(U19*3/100+510)*1.05,IF(D5="OTP06-01",(U19*3/100+510)*1.05,IF(D5="OTF08",(U19*3/100+510)*1.05,IF(D5="OTP08",(U19*3/100+510)*1.05,IF(D5="ECG38",3625,IF(D5="ECG37",3625,IF(D5="ECG40",(D7*3/100+510)*1.05,IF(D5="ECG43",(D7*3/100+510)*1.05,IF(D5="ASG48",3625,IF(D5="ASG43",3625,IF(D5="ASG40",3625,IF(D5="ASG42",3625,IF(D5="ASG44",3625,IF(D5="ASG45",3625,IF(D5="ASX HL 4WD",3625,IF(D5="ATG16",3625,IF(D5="ATG17",3625,IF(D5="ATP16",3625,IF(D5="Attrage S",3625,IF(D5="MIG09",3625,IF(D5="MIG10",3625,IF(D5="Xpander HL",3690)))))))))))))))))))))))))))))))))))))</f>
        <v>3575.0925000000002</v>
      </c>
      <c r="P10" s="97"/>
      <c r="Q10" s="97">
        <f>5.25*3</f>
        <v>15.75</v>
      </c>
      <c r="Z10" s="86">
        <f>IF(D5="MIG09",500,IF(D5="MIG10",500,IF(D5="ATG16",500,IF(D5="ATP16",500,IF(D5="ATG17",500,IF(D5="ASG48",1000,IF(D5="ASG43",1000,IF(D5="ASG40",1000,IF(D5="ASG42",1000,IF(D5="ASG44",1000,IF(D5="ASG45",1000,IF(D5="ECG38",1000,IF(D5="ECG37",1000,IF(D5="ECG40",1000,IF(D5="ECG43",1000,IF(D5="XPML",1000,IF(D5="XPHL",1000,IF(D5="XPMLP",1000,IF(D5="XPMLP-01",1000,IF(D5="XC",1000,IF(D5="OTF03",1000,IF(D5="OTP03",1000,IF(D5="OTF06",1000,IF(D5="OTP06",1000,IF(D5="OTP06-01",1000,IF(D5="OTF08",1000,IF(D5="OTP08",1000,IF(D5="MOP57",1000,IF(D5="MOG64",1000,IF(D5="MOG59",1000,IF(D5="MOG59P",1000,IF(D5="MOG61",1000,IF(D5="MOP61",1000)))))))))))))))))))))))))))))))))</f>
        <v>1000</v>
      </c>
    </row>
    <row r="11" spans="1:28" ht="24.6" x14ac:dyDescent="0.4">
      <c r="A11" s="8"/>
      <c r="B11" s="37" t="s">
        <v>18</v>
      </c>
      <c r="C11" s="20" t="s">
        <v>17</v>
      </c>
      <c r="D11" s="36">
        <f>IF(C11="YES",O17,IF(C11="NO",0))</f>
        <v>0</v>
      </c>
      <c r="E11" s="33"/>
      <c r="F11" s="40"/>
      <c r="G11" s="40"/>
      <c r="H11" s="33"/>
      <c r="I11" s="21"/>
      <c r="J11" s="44" t="s">
        <v>76</v>
      </c>
      <c r="K11" s="44">
        <f>H8-K10</f>
        <v>21040.785724999998</v>
      </c>
      <c r="L11" s="37"/>
      <c r="M11" s="37"/>
      <c r="N11" s="42"/>
      <c r="O11" s="92">
        <f>IF(D5="XC",6100,IF(D5="XPML",6100,IF(D5="XPHL",6100,IF(D5="XPMLP",6100,IF(D5="XPMLP-01",6100,IF(D5="Xpander P",6100,IF(D5="MOP57",5900,IF(D5="MOG64",5900,IF(D5="MOG59",5900,IF(D5="MOG59P",5900,IF(D5="MOG61",5900,IF(D5="MOP61",5900,IF(D5="OTF03",6700,IF(D5="OTP03",6700,IF(D5="OTF06",6700,IF(D5="OTP06",6700,IF(D5="OTP06-01",6700,IF(D5="OTF08",6700,IF(D5="OTP08",6700,IF(D5="ECG37",6400,IF(D5="ECG38",6400,IF(D5="ECG40",6400,IF(D5="ECG43",6400,IF(D5="ASG48",6600,IF(D5="ASG43",6600,IF(D5="ASG40",6600,IF(D5="ASG42",6600,IF(D5="ASG44",6600,IF(D5="ASG45",6600,IF(D5="ASX HL 4WD",6600,IF(D5="ATG16",5400,IF(D5="ATG17",5400,IF(D5="ATP16",5400,IF(D5="Attrage S",5400,IF(D5="MIG09",5400,IF(D5="MIG10",5400,IF(D5="Xpander HL",6000)))))))))))))))))))))))))))))))))))))</f>
        <v>6400</v>
      </c>
      <c r="P11" s="92"/>
      <c r="Q11" s="92"/>
      <c r="R11" s="92"/>
      <c r="S11" s="92"/>
      <c r="T11" s="92"/>
      <c r="U11" s="92">
        <f>IF(D5="XC",4900,IF(D5="XPML",4900,IF(D5="XPHL",4900,IF(D5="XPMLP",4900,IF(D5="XPMLP-01",4900,IF(D5="Xpander P",4900,IF(D5="MOP57",4600,IF(D5="MOG64",4600,IF(D5="MOG59",4600,IF(D5="MOG59P",4600,IF(D5="MOG61",4600,IF(D5="MOP61",4600,IF(D5="OTF03",5500,IF(D5="OTP03",5500,IF(D5="OTF06",5500,IF(D5="OTP06",5500,IF(D5="OTP06-01",5500,IF(D5="OTF08",5500,IF(D5="OTP08",5500,IF(D5="ECG38",5200,IF(D5="ECG37",5200,IF(D5="ECG40",5200,IF(D5="ECG43",5200,IF(D5="ASG48",5300,IF(D5="ASG43",5300,IF(D5="ASG40",5300,IF(D5="ASG42",5300,IF(D5="ASG44",5300,IF(D5="ASG45",5300,IF(D5="ASX HL",5300,IF(D5="ASX P",5300,IF(D5="ASX HL 4WD",5300,IF(D5="ATG16",4200,IF(D5="ATG17",4200,IF(D5="ATP16",4200,IF(D5="Attrage S",4200,IF(D5="MIG09",4200,IF(D5="MIG10",4200,IF(D5="Xpander HL",4900)))))))))))))))))))))))))))))))))))))))</f>
        <v>5200</v>
      </c>
      <c r="V11" s="92">
        <f>IF(D5="XC",9700,IF(D5="XPML",9700,IF(D5="XPHL",9700,IF(D5="XPMLP",9700,IF(D5="XPMLP-01",9700,IF(D5="XPMLP-01",9700,IF(D5="Xpander P",9700,IF(D5="MOP57",9300,IF(D5="MG64",9300,IF(D5="MOG59",9300,IF(D5="MOG59P",9300,IF(D5="MOG61",9300,IF(D5="MOP61",9300,IF(D5="OTF03",11000,IF(D5="OTP03",11000,IF(D5="OTF06",11000,IF(D5="OTP06",11000,IF(D5="OTP06-01",11000,IF(D5="OTF08",11000,IF(D5="OTP08",11000,IF(D5="ECG38",10400,IF(D5="ECG37",10400,IF(D5="ECG40",10400,IF(D5="ECG43",10400,IF(D5="ASG48",10700,IF(D5="ASG43",10700,IF(D5="ASG40",10700,IF(D5="ASG42",10700,IF(D5="ASG44",10800,IF(D5="ASG45",10800,IF(D5="ASX HL",12200,IF(D5="ASX P",12200,IF(D5="ASX HL 4WD",12200,IF(D5="ATG16",8500,IF(D5="ATG17",8500,IF(D5="ATP16",8500,IF(D5="Attrage S",9600,IF(D5="MIG09",8500,IF(D5="MIG10",8500,IF(D5="Xpander HL",11300))))))))))))))))))))))))))))))))))))))))</f>
        <v>10400</v>
      </c>
      <c r="W11" s="92">
        <f>IF(D5="XC",9200,IF(D5="XPML",9200,IF(D5="XPHL",9200,IF(D5="XPMLP",9200,IF(D5="XPMLP-01",9200,IF(D5="Xpander P",9200,IF(D5="MOP57",8700,IF(D5="MOG64",8700,IF(D5="MOG59",8700,IF(D5="MOG59P",8700,IF(D5="MOG61",8700,IF(D5="MOP61",8700,IF(D5="OTF03",10400,IF(D5="OTP03",10400,IF(D5="OTF06",10400,IF(D5="OTP06",10400,IF(D5="OTP06-01",10400,IF(D5="OTF08",10400,IF(D5="OTP08",10400,IF(D5="ECG38",9800,IF(D5="ECG37",9800,IF(D5="ECG40",9800,IF(D5="ECG43",9800,IF(D5="ASG48",10100,IF(D5="ASG43",10100,IF(D5="ASG40",10100,IF(D5="ASG42",10100,IF(D5="ASG44",10100,IF(D5="ASG45",10100,IF(D5="ASX HL",10100,IF(D5="ASX P",10100,IF(D5="ASX HL 4WD",10100,IF(D5="ATG16",7900,IF(D5="ATG17",7900,IF(D5="ATP16",7900,IF(D5="Attrage S",7900,IF(D5="MIG09",7900,IF(D5="MIG10",7900,IF(D5="Xpander HL",9200)))))))))))))))))))))))))))))))))))))))</f>
        <v>9800</v>
      </c>
      <c r="X11" s="92">
        <f>IF(D5="XC",4500,IF(D5="XPML",4500,IF(D5="XPHL",4500,IF(D5="XPMLP",4500,IF(D5="XPMLP-01",4500,IF(D5="Xpander P",4500,IF(D5="MOP57",4300,IF(D5="MOG64",4300,IF(D5="MOG59",4300,IF(D5="MOG59P",4300,IF(D5="MOG61",4300,IF(D5="MOP61",4300,IF(D5="OTF03",5000,IF(D5="OTP03",5000,IF(D5="OTF06",5000,IF(D5="OTP06",5000,IF(D5="OTP06-01",5000,IF(D5="OTF08",5000,IF(D5="OTP08",5000,IF(D5="ECG38",4900,IF(D5="ECG37",4900,IF(D5="ECG40",4900,IF(D5="ECG43",4900,IF(D5="ASG48",4900,IF(D5="ASG43",4900,IF(D5="ASG40",4900,IF(D5="ASG42",4900,IF(D5="ASG44",4900,IF(D5="ASG45",4900,IF(D5="ASX HL",4900,IF(D5="ASX P",4900,IF(D5="ASX HL 4WD",4900,IF(D5="ATG16",3700,IF(D5="ATG17",3700,IF(D5="ATP16",3700,IF(D5="Attrage S",3700,IF(D5="MIG09",3700,IF(D5="MIG10",3700,IF(D5="Xpander HL",4500)))))))))))))))))))))))))))))))))))))))</f>
        <v>4900</v>
      </c>
      <c r="Y11" s="92">
        <f>IF(D5="XC",5400,IF(D5="XPML ",5400,IF(D5="XPHL",5400,IF(D5="XPMLP",5400,IF(D5="XPMLP-01",5400,IF(D5="Xpander P",5400,IF(D5="MOP57",5200,IF(D5="MOG64",5200,IF(D5="MOG59",5200,IF(D5="MOG59P",5200,IF(D5="MOG61",5200,IF(D5="MOP61",5200,IF(D5="OTF03",6000,IF(D5="OTP03",6000,IF(D5="OTF06",6000,IF(D5="OTP06",6000,IF(D5="OTP06-01",6000,IF(D5="OTF08",6000,IF(D5="OTP08",6000,IF(D5="ECG38",5700,IF(D5="ECG37",5700,IF(D5="ECG40",5700,IF(D5="ECG43",5700,IF(D5="ASG48",5900,IF(D5="ASG43",5900,IF(D5="ASG40",5900,IF(D5="ASG42",5900,IF(D5="ASG44",5900,IF(D5="ASG45",5900,IF(D5="ASX HL",5900,IF(D5="ASX P",5900,IF(D5="ASX HL 4WD",5900,IF(D5="ATG16",4500,IF(D5="ATG17",4500,IF(D5="ATP16",4500,IF(D5="Attrage S",4500,IF(D5="MIG09",4500,IF(D5="MIG10",4500,IF(D5="Xpander HL",5400)))))))))))))))))))))))))))))))))))))))</f>
        <v>5700</v>
      </c>
    </row>
    <row r="12" spans="1:28" ht="24.75" customHeight="1" x14ac:dyDescent="0.4">
      <c r="A12" s="8"/>
      <c r="B12" s="37" t="s">
        <v>20</v>
      </c>
      <c r="C12" s="20" t="s">
        <v>17</v>
      </c>
      <c r="D12" s="36">
        <f>IF(C12="YES",2000,IF(C12="NO",0))</f>
        <v>0</v>
      </c>
      <c r="E12" s="43"/>
      <c r="F12" s="43" t="s">
        <v>21</v>
      </c>
      <c r="G12" s="40"/>
      <c r="H12" s="33">
        <v>600</v>
      </c>
      <c r="I12" s="21"/>
      <c r="J12" s="44" t="s">
        <v>22</v>
      </c>
      <c r="K12" s="45">
        <v>0</v>
      </c>
      <c r="L12" s="45">
        <v>5.2499999999999998E-2</v>
      </c>
      <c r="M12" s="45">
        <v>0.126</v>
      </c>
      <c r="N12" s="46">
        <v>0.26250000000000001</v>
      </c>
      <c r="O12" s="92">
        <f>IF(K20="Esaad",B8*3/100,IF(K20="Emirates Platinum",B8*3/100,IF(K20="Fazaa",B8*3/100,IF(K20="Humat Alwatan",B8*3/100,IF(K20="Permissible",2000,IF(K20="ASX",8400,IF(K20="XPMLP",4000,IF(K20="XP",14100,IF(K20="G43",11000,IF(K20="EC",7000,IF(K20="G37",14000,IF(K20="G38",15000,IF(K20="G40",11000,IF(K20="OUT",9600,IF(K20="F08",15400,IF(K20="P08",11100,IF(K20="F06",14100,IF(K20="P06",17100,IF(K20="F03",17000,IF(K20="P03",19100,IF(K20="MON",10000,IF(K20="MON G57",10000,0))))))))))))))))))))))</f>
        <v>2000</v>
      </c>
      <c r="P12" s="92"/>
      <c r="Q12" s="92"/>
      <c r="R12" s="92"/>
      <c r="S12" s="92"/>
      <c r="T12" s="92"/>
      <c r="U12" s="92"/>
      <c r="V12" s="92"/>
      <c r="W12" s="92"/>
      <c r="X12" s="92"/>
      <c r="Y12" s="92"/>
      <c r="Z12" s="86" t="s">
        <v>83</v>
      </c>
      <c r="AA12" s="86" t="s">
        <v>84</v>
      </c>
    </row>
    <row r="13" spans="1:28" ht="24.6" x14ac:dyDescent="0.4">
      <c r="A13" s="8">
        <f>B8*1.26582</f>
        <v>116328.85799999999</v>
      </c>
      <c r="B13" s="37" t="s">
        <v>23</v>
      </c>
      <c r="C13" s="20" t="s">
        <v>17</v>
      </c>
      <c r="D13" s="36">
        <f>IF(C13="YES",2000,IF(C13="NO",0))</f>
        <v>0</v>
      </c>
      <c r="E13" s="47"/>
      <c r="F13" s="47" t="s">
        <v>75</v>
      </c>
      <c r="G13" s="40"/>
      <c r="H13" s="33">
        <v>315</v>
      </c>
      <c r="I13" s="21"/>
      <c r="J13" s="44" t="s">
        <v>54</v>
      </c>
      <c r="K13" s="29" t="s">
        <v>79</v>
      </c>
      <c r="L13" s="29" t="s">
        <v>25</v>
      </c>
      <c r="M13" s="29" t="s">
        <v>0</v>
      </c>
      <c r="N13" s="49" t="s">
        <v>26</v>
      </c>
      <c r="O13" s="98">
        <f>IF(M21="3000-4999",6%,IF(M21="5000-9999",4.75%,IF(M21="10000-14999",3.15%,IF(M21="15000-24999",2.5%,IF(M21="25000-34999",2.25%,IF(M21="35000-99999",2.25%))))))</f>
        <v>4.7500000000000001E-2</v>
      </c>
      <c r="Q13" s="83">
        <f>H7/12</f>
        <v>1836.7321437500002</v>
      </c>
      <c r="U13" s="9">
        <f>IF(M21="3000-4999",6%,IF(M21="5000-9999",3.25%,IF(M21="10000-14999",3%,IF(M21="15000-24999",2.25%,IF(M21="25000-34999",2.15%,IF(M21="35000-99999",1.99%))))))</f>
        <v>3.2500000000000001E-2</v>
      </c>
      <c r="Z13" s="99">
        <f>IF(M21="5000-9999",2.49%,IF(M21="10000-19999",2.19%,IF(M21="20000-34999",2.09%,IF(M21="35000-49999",1.89%,IF(M21="50000-99999",1.79%)))))</f>
        <v>2.4900000000000002E-2</v>
      </c>
      <c r="AA13" s="99">
        <f>IF(M21="5000-9999",2.59%,IF(M21="10000-19999",2.29%,IF(M21="20000-34999",2.19%,IF(M21="35000-49999",1.99%,IF(M21="50000-99999",1.89%)))))</f>
        <v>2.5899999999999999E-2</v>
      </c>
    </row>
    <row r="14" spans="1:28" ht="24.6" x14ac:dyDescent="0.4">
      <c r="A14" s="10" t="s">
        <v>27</v>
      </c>
      <c r="B14" s="37" t="s">
        <v>24</v>
      </c>
      <c r="C14" s="20" t="s">
        <v>19</v>
      </c>
      <c r="D14" s="50">
        <f>IF(C14="YES",U19*3.15*1.05/100,IF(C14="NO",U19*0/100))</f>
        <v>3413.8361249999998</v>
      </c>
      <c r="E14" s="48"/>
      <c r="F14" s="48" t="s">
        <v>24</v>
      </c>
      <c r="G14" s="51" t="s">
        <v>17</v>
      </c>
      <c r="H14" s="39">
        <f>IF(G14="YES",U19*3.15*1.05/100,IF(G14="NO",U19*0/100))</f>
        <v>0</v>
      </c>
      <c r="I14" s="21"/>
      <c r="J14" s="44" t="s">
        <v>55</v>
      </c>
      <c r="K14" s="44">
        <f>(H8*K12+H8)/3</f>
        <v>7346.928574999999</v>
      </c>
      <c r="L14" s="44">
        <f>(H8*L12+H8)/12</f>
        <v>1933.1605812968749</v>
      </c>
      <c r="M14" s="44">
        <f>(H8*M12+H8)/24</f>
        <v>1034.0801969312499</v>
      </c>
      <c r="N14" s="52">
        <f>(H7*N12+H7)/60</f>
        <v>463.77486629687508</v>
      </c>
      <c r="O14" s="98">
        <f>IF(M21="3000-4999",3.89%,IF(M21="5000-9999",3.89%,IF(M21="10000-14999",3.89%,IF(M21="15000-24999",2.69%,IF(M21="25000-34999",2.69%,IF(M21="35000-99999",2.39%,IF(M21="76000-99999",2.19%)))))))</f>
        <v>3.8900000000000004E-2</v>
      </c>
    </row>
    <row r="15" spans="1:28" ht="24.6" x14ac:dyDescent="0.4">
      <c r="A15" s="11">
        <f>(B7*3%)+10+120</f>
        <v>2887</v>
      </c>
      <c r="B15" s="37" t="s">
        <v>28</v>
      </c>
      <c r="C15" s="20" t="s">
        <v>19</v>
      </c>
      <c r="D15" s="29">
        <f>IF(C15="YES",O10,IF(C15="NO",0))</f>
        <v>3575.0925000000002</v>
      </c>
      <c r="E15" s="48"/>
      <c r="F15" s="48" t="s">
        <v>53</v>
      </c>
      <c r="G15" s="51" t="s">
        <v>17</v>
      </c>
      <c r="H15" s="39">
        <f>IF(G15="YES",O10,IF(G15="NO",0))</f>
        <v>0</v>
      </c>
      <c r="I15" s="21"/>
      <c r="J15" s="44"/>
      <c r="K15" s="44"/>
      <c r="L15" s="44"/>
      <c r="M15" s="44"/>
      <c r="N15" s="53"/>
      <c r="O15" s="98" t="b">
        <f>IF(M21="3000-4999",4.99%, IF(M21="5000-11999",2.75%,IF(M21="12000-19999",2.75%,IF(M21="20000-39999",2.25%,IF(M21="40000-69999",2.39%,IF(M21="70000-99999",2.25%))))))</f>
        <v>0</v>
      </c>
      <c r="P15" s="99"/>
    </row>
    <row r="16" spans="1:28" ht="24.6" x14ac:dyDescent="0.4">
      <c r="A16" s="11">
        <f>((B7-B8)*3%+10+120)</f>
        <v>130</v>
      </c>
      <c r="B16" s="37" t="s">
        <v>78</v>
      </c>
      <c r="C16" s="20" t="s">
        <v>19</v>
      </c>
      <c r="D16" s="29">
        <f>IF(C16="YES",O16,IF(C16="NO",0))</f>
        <v>6400</v>
      </c>
      <c r="E16" s="47"/>
      <c r="F16" s="47" t="s">
        <v>74</v>
      </c>
      <c r="G16" s="54"/>
      <c r="H16" s="33">
        <f>I7*1.05%</f>
        <v>925.7130004500001</v>
      </c>
      <c r="I16" s="21"/>
      <c r="J16" s="44" t="s">
        <v>16</v>
      </c>
      <c r="K16" s="44">
        <f>(K14*3)-H8</f>
        <v>0</v>
      </c>
      <c r="L16" s="44">
        <f>(L14*12)-H8</f>
        <v>1157.1412505625012</v>
      </c>
      <c r="M16" s="44">
        <f>(M14*24)-H8</f>
        <v>2777.1390013500022</v>
      </c>
      <c r="N16" s="53"/>
      <c r="O16" s="92">
        <f>IF(B16="RMC-10-70KMS",O11,IF(B16="RMC-10-100000KMS",V11,IF(B16="RMC-40-70KMS",U11, IF(B16="RMC-10-40KMS",X11, IF(B16="RMC-10-60KMS",Y11, IF(B16="RMC-40-100000KMS",W11,0))))))</f>
        <v>6400</v>
      </c>
    </row>
    <row r="17" spans="1:28" ht="24.6" x14ac:dyDescent="0.4">
      <c r="A17" s="11">
        <f>A15+A16</f>
        <v>3017</v>
      </c>
      <c r="B17" s="37"/>
      <c r="C17" s="20"/>
      <c r="D17" s="29">
        <f>SUM(D10:D16)</f>
        <v>13388.928625</v>
      </c>
      <c r="E17" s="33"/>
      <c r="F17" s="33"/>
      <c r="G17" s="33"/>
      <c r="H17" s="33">
        <f>H7+H12+H15+H16</f>
        <v>23566.498725450001</v>
      </c>
      <c r="I17" s="33"/>
      <c r="J17" s="22"/>
      <c r="K17" s="53"/>
      <c r="L17" s="53"/>
      <c r="M17" s="53"/>
      <c r="N17" s="53"/>
      <c r="O17" s="92">
        <f>IF(B11="FO Ceramic+ Intr&amp;Extr CeramicGold WdwTnt",2700,IF(B11="FO Mirror Camera Sensor",2000))</f>
        <v>2700</v>
      </c>
      <c r="T17" s="86">
        <f>19615-791</f>
        <v>18824</v>
      </c>
    </row>
    <row r="18" spans="1:28" ht="24.6" x14ac:dyDescent="0.4">
      <c r="A18" s="12" t="s">
        <v>29</v>
      </c>
      <c r="B18" s="55" t="s">
        <v>30</v>
      </c>
      <c r="C18" s="56"/>
      <c r="D18" s="57">
        <v>0</v>
      </c>
      <c r="E18" s="38"/>
      <c r="F18" s="22"/>
      <c r="G18" s="22"/>
      <c r="H18" s="21"/>
      <c r="I18" s="21"/>
      <c r="J18" s="21"/>
      <c r="K18" s="21"/>
      <c r="L18" s="21"/>
      <c r="M18" s="21"/>
      <c r="N18" s="21"/>
      <c r="O18" s="92"/>
      <c r="U18" s="100" t="s">
        <v>52</v>
      </c>
      <c r="V18" s="100" t="s">
        <v>52</v>
      </c>
    </row>
    <row r="19" spans="1:28" ht="24.6" x14ac:dyDescent="0.4">
      <c r="A19" s="11">
        <f>B8*3.15%</f>
        <v>2894.85</v>
      </c>
      <c r="B19" s="58" t="s">
        <v>31</v>
      </c>
      <c r="C19" s="59"/>
      <c r="D19" s="60">
        <f>IF(K21="DIB EXPAT",O13,IF(K21="DIB LOCAL GVH",U13,IF(K21="Emirates NBD",O14,IF(K21="ADCB",O15,IF(K21="ADCB PAY IN 2027",O19,IF(K21="Ajman Bank",O18,IF(K21="SIB STL",Z13,IF(K21="SIB NON STL",AA13,))))))))</f>
        <v>2.4900000000000002E-2</v>
      </c>
      <c r="E19" s="22"/>
      <c r="F19" s="61"/>
      <c r="G19" s="141" t="s">
        <v>73</v>
      </c>
      <c r="H19" s="142"/>
      <c r="I19" s="143"/>
      <c r="J19" s="109">
        <f>H7/365</f>
        <v>60.385714315068498</v>
      </c>
      <c r="K19" s="21"/>
      <c r="L19" s="21"/>
      <c r="M19" s="21"/>
      <c r="N19" s="23">
        <f>D7</f>
        <v>96495</v>
      </c>
      <c r="O19" s="98" t="b">
        <f>IF(M21="5000-11999",3.35%,IF(M21="12000-19999",3.35%,IF(M21="20000-39999",2.85%,IF(M21="40000-69999",2.85%,IF(M21="70000-99999",2.85%)))))</f>
        <v>0</v>
      </c>
      <c r="P19" s="83">
        <f>81400-2500</f>
        <v>78900</v>
      </c>
      <c r="U19" s="101">
        <f>V19</f>
        <v>103215</v>
      </c>
      <c r="V19" s="102">
        <f>(B7+D10+D11+D12+D13+D16)*1.05</f>
        <v>103215</v>
      </c>
      <c r="X19" s="87">
        <f>G7*3.15*1.05/100</f>
        <v>3644.9949392718754</v>
      </c>
      <c r="Y19" s="87">
        <f>G7*3/100+510*1.05</f>
        <v>3841.6178587499999</v>
      </c>
      <c r="Z19" s="87">
        <f>Y19+X19</f>
        <v>7486.6127980218753</v>
      </c>
      <c r="AA19" s="87">
        <f>(Z19)-(D14+D15)</f>
        <v>497.68417302187481</v>
      </c>
      <c r="AB19" s="87">
        <f>AA19*1.25</f>
        <v>622.10521627734352</v>
      </c>
    </row>
    <row r="20" spans="1:28" ht="24.6" x14ac:dyDescent="0.4">
      <c r="A20" s="11"/>
      <c r="B20" s="58" t="s">
        <v>32</v>
      </c>
      <c r="C20" s="62"/>
      <c r="D20" s="63">
        <v>0.2</v>
      </c>
      <c r="E20" s="21"/>
      <c r="F20" s="21"/>
      <c r="G20" s="42"/>
      <c r="H20" s="42"/>
      <c r="I20" s="42"/>
      <c r="J20" s="103"/>
      <c r="K20" s="104" t="s">
        <v>33</v>
      </c>
      <c r="L20" s="104" t="s">
        <v>17</v>
      </c>
      <c r="M20" s="104">
        <f>IF(L20="YES",O12,IF(L20="NO",0))</f>
        <v>0</v>
      </c>
      <c r="N20" s="23">
        <f>B8-M20</f>
        <v>91900</v>
      </c>
      <c r="O20" s="92"/>
      <c r="P20" s="99"/>
      <c r="T20" s="86">
        <f>1992+1084</f>
        <v>3076</v>
      </c>
      <c r="V20" s="83"/>
      <c r="X20" s="87">
        <f>X19-D14</f>
        <v>231.1588142718756</v>
      </c>
      <c r="Y20" s="87">
        <f>Y19-D15</f>
        <v>266.52535874999967</v>
      </c>
      <c r="AA20" s="87">
        <f>X20+Y20</f>
        <v>497.68417302187527</v>
      </c>
    </row>
    <row r="21" spans="1:28" ht="24.6" x14ac:dyDescent="0.4">
      <c r="A21" s="13">
        <f>A19+A20</f>
        <v>2894.85</v>
      </c>
      <c r="B21" s="21"/>
      <c r="C21" s="22"/>
      <c r="D21" s="21"/>
      <c r="E21" s="21"/>
      <c r="F21" s="21"/>
      <c r="G21" s="21"/>
      <c r="H21" s="21"/>
      <c r="I21" s="21"/>
      <c r="J21" s="37" t="s">
        <v>34</v>
      </c>
      <c r="K21" s="16" t="s">
        <v>83</v>
      </c>
      <c r="L21" s="105" t="s">
        <v>35</v>
      </c>
      <c r="M21" s="106" t="s">
        <v>80</v>
      </c>
      <c r="N21" s="111"/>
      <c r="O21" s="92"/>
      <c r="T21" s="86">
        <f>25973-12973</f>
        <v>13000</v>
      </c>
    </row>
    <row r="22" spans="1:28" ht="24.6" x14ac:dyDescent="0.4">
      <c r="A22" s="13"/>
      <c r="B22" s="130" t="s">
        <v>51</v>
      </c>
      <c r="C22" s="131"/>
      <c r="D22" s="131"/>
      <c r="E22" s="131"/>
      <c r="F22" s="131"/>
      <c r="G22" s="131"/>
      <c r="H22" s="131"/>
      <c r="I22" s="131"/>
      <c r="J22" s="131"/>
      <c r="K22" s="131"/>
      <c r="L22" s="131"/>
      <c r="M22" s="131"/>
      <c r="N22" s="132"/>
      <c r="O22" s="92"/>
    </row>
    <row r="23" spans="1:28" ht="25.2" x14ac:dyDescent="0.45">
      <c r="A23" s="14" t="s">
        <v>36</v>
      </c>
      <c r="B23" s="64" t="s">
        <v>57</v>
      </c>
      <c r="C23" s="65"/>
      <c r="D23" s="65"/>
      <c r="E23" s="65"/>
      <c r="F23" s="65"/>
      <c r="G23" s="65"/>
      <c r="H23" s="66"/>
      <c r="I23" s="66"/>
      <c r="J23" s="65"/>
      <c r="K23" s="65"/>
      <c r="L23" s="65"/>
      <c r="M23" s="65"/>
      <c r="N23" s="67"/>
      <c r="O23" s="92">
        <f>N7+K14</f>
        <v>8999.2528115174991</v>
      </c>
    </row>
    <row r="24" spans="1:28" ht="25.2" x14ac:dyDescent="0.45">
      <c r="A24" s="14" t="s">
        <v>36</v>
      </c>
      <c r="B24" s="64" t="s">
        <v>58</v>
      </c>
      <c r="C24" s="65"/>
      <c r="D24" s="65"/>
      <c r="E24" s="65"/>
      <c r="F24" s="65"/>
      <c r="G24" s="65"/>
      <c r="H24" s="85">
        <f>H7/365</f>
        <v>60.385714315068498</v>
      </c>
      <c r="I24" s="85">
        <f>H7/365</f>
        <v>60.385714315068498</v>
      </c>
      <c r="J24" s="65"/>
      <c r="K24" s="65"/>
      <c r="L24" s="65"/>
      <c r="M24" s="65"/>
      <c r="N24" s="68"/>
      <c r="O24" s="92"/>
      <c r="P24" s="83">
        <f>1232+480</f>
        <v>1712</v>
      </c>
      <c r="T24" s="86">
        <f>88704/1.05</f>
        <v>84480</v>
      </c>
    </row>
    <row r="25" spans="1:28" ht="25.2" x14ac:dyDescent="0.45">
      <c r="A25" s="14" t="s">
        <v>36</v>
      </c>
      <c r="B25" s="64" t="s">
        <v>59</v>
      </c>
      <c r="C25" s="65"/>
      <c r="D25" s="65"/>
      <c r="E25" s="65"/>
      <c r="F25" s="65"/>
      <c r="G25" s="65"/>
      <c r="H25" s="66"/>
      <c r="I25" s="85">
        <f>I24*365*3</f>
        <v>66122.357175000012</v>
      </c>
      <c r="J25" s="65"/>
      <c r="K25" s="65"/>
      <c r="L25" s="65"/>
      <c r="M25" s="65"/>
      <c r="N25" s="68"/>
      <c r="O25" s="92"/>
      <c r="Q25" s="86">
        <f>79400-5233.33</f>
        <v>74166.67</v>
      </c>
      <c r="R25" s="86">
        <f>Q25*1.05</f>
        <v>77875.003500000006</v>
      </c>
    </row>
    <row r="26" spans="1:28" ht="25.2" x14ac:dyDescent="0.45">
      <c r="A26" s="14" t="s">
        <v>36</v>
      </c>
      <c r="B26" s="64" t="s">
        <v>60</v>
      </c>
      <c r="C26" s="65"/>
      <c r="D26" s="65"/>
      <c r="E26" s="65"/>
      <c r="F26" s="65"/>
      <c r="G26" s="65"/>
      <c r="H26" s="65"/>
      <c r="I26" s="65"/>
      <c r="J26" s="65"/>
      <c r="K26" s="65"/>
      <c r="L26" s="65"/>
      <c r="M26" s="65"/>
      <c r="N26" s="68"/>
      <c r="O26" s="92" t="s">
        <v>37</v>
      </c>
      <c r="R26" s="86">
        <f>R25+2469</f>
        <v>80344.003500000006</v>
      </c>
    </row>
    <row r="27" spans="1:28" ht="25.2" x14ac:dyDescent="0.45">
      <c r="A27" s="14" t="s">
        <v>36</v>
      </c>
      <c r="B27" s="64" t="s">
        <v>61</v>
      </c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8"/>
      <c r="O27" s="92">
        <f>129500-110900</f>
        <v>18600</v>
      </c>
    </row>
    <row r="28" spans="1:28" ht="25.2" x14ac:dyDescent="0.45">
      <c r="B28" s="64" t="s">
        <v>62</v>
      </c>
      <c r="C28" s="65"/>
      <c r="D28" s="65"/>
      <c r="E28" s="65"/>
      <c r="F28" s="65"/>
      <c r="G28" s="65"/>
      <c r="H28" s="65"/>
      <c r="I28" s="65"/>
      <c r="J28" s="65"/>
      <c r="K28" s="65"/>
      <c r="L28" s="65"/>
      <c r="M28" s="65"/>
      <c r="N28" s="68"/>
      <c r="O28" s="92"/>
    </row>
    <row r="29" spans="1:28" ht="25.2" x14ac:dyDescent="0.45">
      <c r="B29" s="64" t="s">
        <v>63</v>
      </c>
      <c r="C29" s="65"/>
      <c r="D29" s="65"/>
      <c r="E29" s="65"/>
      <c r="F29" s="65"/>
      <c r="G29" s="65"/>
      <c r="H29" s="65"/>
      <c r="I29" s="65"/>
      <c r="J29" s="65"/>
      <c r="K29" s="65"/>
      <c r="L29" s="65"/>
      <c r="M29" s="65"/>
      <c r="N29" s="69"/>
      <c r="O29" s="92"/>
    </row>
    <row r="30" spans="1:28" ht="24.6" x14ac:dyDescent="0.4">
      <c r="B30" s="133" t="s">
        <v>38</v>
      </c>
      <c r="C30" s="134"/>
      <c r="D30" s="134"/>
      <c r="E30" s="134"/>
      <c r="F30" s="134"/>
      <c r="G30" s="134"/>
      <c r="H30" s="134"/>
      <c r="I30" s="134"/>
      <c r="J30" s="134"/>
      <c r="K30" s="134"/>
      <c r="L30" s="134"/>
      <c r="M30" s="134"/>
      <c r="N30" s="135"/>
      <c r="O30" s="92"/>
    </row>
    <row r="31" spans="1:28" ht="24.6" x14ac:dyDescent="0.4">
      <c r="B31" s="136"/>
      <c r="C31" s="137"/>
      <c r="D31" s="137"/>
      <c r="E31" s="137"/>
      <c r="F31" s="137"/>
      <c r="G31" s="137"/>
      <c r="H31" s="137"/>
      <c r="I31" s="137"/>
      <c r="J31" s="137"/>
      <c r="K31" s="137"/>
      <c r="L31" s="137"/>
      <c r="M31" s="137"/>
      <c r="N31" s="138"/>
      <c r="O31" s="92"/>
    </row>
    <row r="32" spans="1:28" ht="24.6" x14ac:dyDescent="0.4">
      <c r="B32" s="136" t="s">
        <v>39</v>
      </c>
      <c r="C32" s="137"/>
      <c r="D32" s="137"/>
      <c r="E32" s="137"/>
      <c r="F32" s="137"/>
      <c r="G32" s="137"/>
      <c r="H32" s="137"/>
      <c r="I32" s="137"/>
      <c r="J32" s="137"/>
      <c r="K32" s="137"/>
      <c r="L32" s="137"/>
      <c r="M32" s="137"/>
      <c r="N32" s="138"/>
      <c r="O32" s="92"/>
    </row>
    <row r="33" spans="2:16" ht="24.6" x14ac:dyDescent="0.4">
      <c r="B33" s="136" t="s">
        <v>40</v>
      </c>
      <c r="C33" s="137"/>
      <c r="D33" s="137"/>
      <c r="E33" s="137"/>
      <c r="F33" s="137"/>
      <c r="G33" s="137"/>
      <c r="H33" s="137"/>
      <c r="I33" s="137"/>
      <c r="J33" s="137"/>
      <c r="K33" s="137"/>
      <c r="L33" s="137"/>
      <c r="M33" s="137"/>
      <c r="N33" s="138"/>
      <c r="O33" s="92"/>
    </row>
    <row r="34" spans="2:16" s="112" customFormat="1" ht="24.6" x14ac:dyDescent="0.4">
      <c r="B34" s="107" t="s">
        <v>81</v>
      </c>
      <c r="C34" s="108"/>
      <c r="D34" s="108"/>
      <c r="E34" s="108"/>
      <c r="F34" s="108"/>
      <c r="G34" s="113"/>
      <c r="H34" s="113"/>
      <c r="I34" s="108"/>
      <c r="J34" s="108"/>
      <c r="K34" s="108"/>
      <c r="L34" s="108"/>
      <c r="M34" s="114" t="s">
        <v>82</v>
      </c>
      <c r="N34" s="116" t="b">
        <f>IF(M34="ALAA",507963328, IF(M34="BACHIR",525246969,IF(M34="JIHAN",566201266, IF(M34="RAMY",505277871, IF(M34="SIMON",505140337,IF(M34="SUJITH",551079817, IF(M34="PRAVEEN",506367792,IF(M34="MHAREN",529224059, IF(M34="MOSSALLEM",505185577,IF(M34="RANJITH",554989288, IF(M34="KHALED",552319494)))))))))))</f>
        <v>0</v>
      </c>
      <c r="O34" s="115"/>
      <c r="P34" s="115"/>
    </row>
    <row r="35" spans="2:16" x14ac:dyDescent="0.35">
      <c r="B35" s="70"/>
      <c r="C35" s="71"/>
      <c r="D35" s="71"/>
      <c r="E35" s="71"/>
      <c r="F35" s="71"/>
      <c r="G35" s="71"/>
      <c r="H35" s="71"/>
      <c r="I35" s="71"/>
      <c r="J35" s="71"/>
      <c r="K35" s="71"/>
      <c r="L35" s="71"/>
      <c r="M35" s="71"/>
      <c r="N35" s="72"/>
    </row>
    <row r="36" spans="2:16" x14ac:dyDescent="0.35">
      <c r="B36" s="70"/>
      <c r="C36" s="71"/>
      <c r="D36" s="71"/>
      <c r="E36" s="71"/>
      <c r="F36" s="71"/>
      <c r="G36" s="71"/>
      <c r="H36" s="71"/>
      <c r="I36" s="71"/>
      <c r="J36" s="71"/>
      <c r="K36" s="71"/>
      <c r="L36" s="71"/>
      <c r="M36" s="71"/>
      <c r="N36" s="72"/>
    </row>
    <row r="37" spans="2:16" x14ac:dyDescent="0.35">
      <c r="B37" s="70"/>
      <c r="C37" s="71"/>
      <c r="D37" s="71"/>
      <c r="E37" s="71"/>
      <c r="F37" s="71"/>
      <c r="G37" s="71"/>
      <c r="H37" s="71"/>
      <c r="I37" s="71"/>
      <c r="J37" s="71"/>
      <c r="K37" s="71"/>
      <c r="L37" s="71"/>
      <c r="M37" s="71"/>
      <c r="N37" s="72"/>
    </row>
    <row r="38" spans="2:16" ht="21" x14ac:dyDescent="0.4">
      <c r="B38" s="73" t="s">
        <v>64</v>
      </c>
      <c r="C38" s="74"/>
      <c r="D38" s="75"/>
      <c r="E38" s="76"/>
      <c r="F38" s="76"/>
      <c r="G38" s="76"/>
      <c r="H38" s="76"/>
      <c r="I38" s="76"/>
      <c r="J38" s="77"/>
      <c r="K38" s="76"/>
      <c r="L38" s="76"/>
      <c r="M38" s="76"/>
      <c r="N38" s="78"/>
    </row>
    <row r="39" spans="2:16" ht="21" x14ac:dyDescent="0.4">
      <c r="B39" s="73" t="s">
        <v>65</v>
      </c>
      <c r="C39" s="79"/>
      <c r="D39" s="75"/>
      <c r="E39" s="76"/>
      <c r="F39" s="76"/>
      <c r="G39" s="76"/>
      <c r="H39" s="76"/>
      <c r="I39" s="76"/>
      <c r="J39" s="77"/>
      <c r="K39" s="76"/>
      <c r="L39" s="76"/>
      <c r="M39" s="76"/>
      <c r="N39" s="80"/>
    </row>
    <row r="40" spans="2:16" ht="21" x14ac:dyDescent="0.35">
      <c r="B40" s="73" t="s">
        <v>66</v>
      </c>
      <c r="C40" s="81"/>
      <c r="D40" s="76"/>
      <c r="E40" s="76"/>
      <c r="F40" s="76"/>
      <c r="G40" s="76"/>
      <c r="H40" s="76"/>
      <c r="I40" s="76"/>
      <c r="J40" s="77"/>
      <c r="K40" s="76"/>
      <c r="L40" s="76"/>
      <c r="M40" s="76"/>
      <c r="N40" s="80"/>
    </row>
    <row r="41" spans="2:16" ht="21" x14ac:dyDescent="0.35">
      <c r="B41" s="73" t="s">
        <v>67</v>
      </c>
      <c r="C41" s="82"/>
      <c r="D41" s="83"/>
      <c r="E41" s="83"/>
      <c r="F41" s="83"/>
      <c r="G41" s="83"/>
      <c r="H41" s="83"/>
      <c r="I41" s="83"/>
      <c r="J41" s="83"/>
      <c r="K41" s="83"/>
      <c r="L41" s="83"/>
      <c r="M41" s="83"/>
      <c r="N41" s="84"/>
    </row>
    <row r="42" spans="2:16" ht="21" x14ac:dyDescent="0.35">
      <c r="B42" s="73" t="s">
        <v>77</v>
      </c>
      <c r="C42" s="82"/>
      <c r="D42" s="83"/>
      <c r="E42" s="83"/>
      <c r="F42" s="83"/>
      <c r="G42" s="83"/>
      <c r="H42" s="83"/>
      <c r="I42" s="83"/>
      <c r="J42" s="83"/>
      <c r="K42" s="83"/>
      <c r="L42" s="83"/>
      <c r="M42" s="83"/>
      <c r="N42" s="84"/>
    </row>
    <row r="43" spans="2:16" ht="21" x14ac:dyDescent="0.35">
      <c r="B43" s="73" t="s">
        <v>68</v>
      </c>
      <c r="C43" s="82"/>
      <c r="D43" s="83"/>
      <c r="E43" s="83"/>
      <c r="F43" s="83"/>
      <c r="G43" s="83"/>
      <c r="H43" s="83"/>
      <c r="I43" s="83"/>
      <c r="J43" s="83"/>
      <c r="K43" s="83"/>
      <c r="L43" s="83"/>
      <c r="M43" s="83"/>
      <c r="N43" s="84"/>
    </row>
    <row r="44" spans="2:16" ht="21" x14ac:dyDescent="0.35">
      <c r="B44" s="73" t="s">
        <v>69</v>
      </c>
      <c r="C44" s="82"/>
      <c r="D44" s="83"/>
      <c r="E44" s="83"/>
      <c r="F44" s="83"/>
      <c r="G44" s="83"/>
      <c r="H44" s="83"/>
      <c r="I44" s="83"/>
      <c r="J44" s="83"/>
      <c r="K44" s="83"/>
      <c r="L44" s="83"/>
      <c r="M44" s="83"/>
      <c r="N44" s="84"/>
    </row>
    <row r="45" spans="2:16" ht="21" x14ac:dyDescent="0.35">
      <c r="B45" s="73" t="s">
        <v>70</v>
      </c>
      <c r="C45" s="82"/>
      <c r="D45" s="83"/>
      <c r="E45" s="83"/>
      <c r="F45" s="83"/>
      <c r="G45" s="83"/>
      <c r="H45" s="83"/>
      <c r="I45" s="83"/>
      <c r="J45" s="83"/>
      <c r="K45" s="83"/>
      <c r="L45" s="83"/>
      <c r="M45" s="83"/>
      <c r="N45" s="84"/>
    </row>
    <row r="46" spans="2:16" ht="21" x14ac:dyDescent="0.35">
      <c r="B46" s="73" t="s">
        <v>71</v>
      </c>
      <c r="C46" s="82"/>
      <c r="D46" s="83"/>
      <c r="E46" s="83"/>
      <c r="F46" s="83"/>
      <c r="G46" s="83"/>
      <c r="H46" s="83"/>
      <c r="I46" s="83"/>
      <c r="J46" s="83"/>
      <c r="K46" s="83"/>
      <c r="L46" s="83"/>
      <c r="M46" s="83"/>
      <c r="N46" s="84"/>
    </row>
    <row r="47" spans="2:16" x14ac:dyDescent="0.35">
      <c r="B47" s="118" t="s">
        <v>39</v>
      </c>
      <c r="C47" s="119"/>
      <c r="D47" s="119"/>
      <c r="E47" s="119"/>
      <c r="F47" s="119"/>
      <c r="G47" s="119"/>
      <c r="H47" s="119"/>
      <c r="I47" s="119"/>
      <c r="J47" s="119"/>
      <c r="K47" s="119"/>
      <c r="L47" s="119"/>
      <c r="M47" s="119"/>
      <c r="N47" s="120"/>
      <c r="O47" s="92"/>
    </row>
    <row r="48" spans="2:16" x14ac:dyDescent="0.35">
      <c r="B48" s="118" t="s">
        <v>40</v>
      </c>
      <c r="C48" s="119"/>
      <c r="D48" s="119"/>
      <c r="E48" s="119"/>
      <c r="F48" s="119"/>
      <c r="G48" s="119"/>
      <c r="H48" s="119"/>
      <c r="I48" s="119"/>
      <c r="J48" s="119"/>
      <c r="K48" s="119"/>
      <c r="L48" s="119"/>
      <c r="M48" s="119"/>
      <c r="N48" s="120"/>
      <c r="O48" s="92"/>
    </row>
    <row r="49" spans="2:14" x14ac:dyDescent="0.35">
      <c r="B49" s="118" t="s">
        <v>72</v>
      </c>
      <c r="C49" s="119"/>
      <c r="D49" s="119"/>
      <c r="E49" s="119"/>
      <c r="F49" s="119"/>
      <c r="G49" s="119"/>
      <c r="H49" s="119"/>
      <c r="I49" s="119"/>
      <c r="J49" s="119"/>
      <c r="K49" s="119"/>
      <c r="L49" s="119"/>
      <c r="M49" s="119"/>
      <c r="N49" s="120"/>
    </row>
    <row r="50" spans="2:14" ht="25.8" x14ac:dyDescent="0.35">
      <c r="C50" s="15" t="s">
        <v>41</v>
      </c>
    </row>
    <row r="51" spans="2:14" ht="25.8" x14ac:dyDescent="0.35">
      <c r="C51" s="15" t="s">
        <v>42</v>
      </c>
    </row>
    <row r="52" spans="2:14" ht="25.8" x14ac:dyDescent="0.35">
      <c r="C52" s="15" t="s">
        <v>43</v>
      </c>
    </row>
    <row r="53" spans="2:14" ht="25.8" x14ac:dyDescent="0.35">
      <c r="C53" s="15" t="s">
        <v>44</v>
      </c>
    </row>
    <row r="54" spans="2:14" ht="25.8" x14ac:dyDescent="0.35">
      <c r="C54" s="15" t="s">
        <v>45</v>
      </c>
    </row>
  </sheetData>
  <mergeCells count="12">
    <mergeCell ref="B49:N49"/>
    <mergeCell ref="B1:N4"/>
    <mergeCell ref="F8:G8"/>
    <mergeCell ref="F9:G9"/>
    <mergeCell ref="G19:I19"/>
    <mergeCell ref="B22:N22"/>
    <mergeCell ref="B30:N30"/>
    <mergeCell ref="B31:N31"/>
    <mergeCell ref="B32:N32"/>
    <mergeCell ref="B33:N33"/>
    <mergeCell ref="B47:N47"/>
    <mergeCell ref="B48:N48"/>
  </mergeCells>
  <dataValidations count="11">
    <dataValidation type="list" allowBlank="1" showInputMessage="1" showErrorMessage="1" sqref="K21" xr:uid="{376577DF-E0B7-406B-861C-BCBE4FC6A2FA}">
      <formula1>"ADCB,ADCB PAY IN 2027,Ajman Bank,ADIB,DIB EXPAT,DIB LOCAL GVH,Emirates NBD,EIB,FAB,RAK,SIB STL,SIB NON STL"</formula1>
    </dataValidation>
    <dataValidation type="list" allowBlank="1" showInputMessage="1" showErrorMessage="1" sqref="D5" xr:uid="{A606157F-81C4-4A15-9571-2F81408DE1EA}">
      <formula1>"MIG09,MIG10,ATG16,ATP16,ATG17,ASG48,ASG43,ASG40,ASG42,ASG44,ASG45,ECG38,ECG37,ECG40,ECG43,XPML,XPHL,XPMLP, XPMLP-01, XC,OTF03,OTP03,OTF06,OTP06, OTP06-01,OTF08, OTP08,MOP57,MOG64,MOG59,MOG59P,MOG61,MOP61"</formula1>
    </dataValidation>
    <dataValidation type="list" allowBlank="1" showInputMessage="1" showErrorMessage="1" sqref="M21" xr:uid="{C895AA4E-AFD8-468D-BC16-36B36EBE8442}">
      <formula1>"3000-4999,5000-9999,10000-14999,15000-24999,25000-34999,35000-99999,5000-11999,12000-19999,20000-39999,40000-69999,70000-99999"</formula1>
    </dataValidation>
    <dataValidation type="list" allowBlank="1" showInputMessage="1" showErrorMessage="1" sqref="K20" xr:uid="{A9183E67-A8F4-4B59-9A55-4B60974E7340}">
      <formula1>"Esaad,Emirates Platinum,Fazaa,Humat Alwatan,Permissible,ASX,XPMLP,XP,MON,MON G57,OUT,F08,P08,F06,P06,F03,P03,EC,G37,G38,G40,G43"</formula1>
    </dataValidation>
    <dataValidation type="list" allowBlank="1" showInputMessage="1" showErrorMessage="1" sqref="L19:L20 L24:L25 G14:G15 C10:C16 L10 J10" xr:uid="{2137FBA1-F0DC-4B9E-BCB5-D4E0D967ADBA}">
      <formula1>"YES,NO"</formula1>
    </dataValidation>
    <dataValidation type="list" allowBlank="1" showInputMessage="1" showErrorMessage="1" sqref="K24" xr:uid="{C7E9F1EA-C418-4F3A-9904-9A18258DEAFB}">
      <formula1>"RMC-10-70K,RMC-10-100000K,RMC-40-70K"</formula1>
    </dataValidation>
    <dataValidation type="list" allowBlank="1" showInputMessage="1" showErrorMessage="1" sqref="B16" xr:uid="{86A59D18-A044-4673-8666-EB86868FB78C}">
      <formula1>"RMC-10-40KMS,RMC-10-60KMS,RMC-10-70KMS,RMC-10-100000KMS,RMC-40-70KMS,RMC-40-100000KMS"</formula1>
    </dataValidation>
    <dataValidation type="list" allowBlank="1" showInputMessage="1" showErrorMessage="1" sqref="B12" xr:uid="{91DB52E7-5429-4481-8CE5-9DFD367225EB}">
      <formula1>"FO Exterior ceramic All Cars SCOTCHGUARD,FO Mirror Camera Sensor,FO PPF Gold Package "</formula1>
    </dataValidation>
    <dataValidation type="list" allowBlank="1" showInputMessage="1" showErrorMessage="1" sqref="B11" xr:uid="{0BE1ECBD-620A-4BA1-ADED-25CE2374ED52}">
      <formula1>"FO Ceramic+ Intr&amp;Extr CeramicGold WdwTnt,FO Mirror Camera Sensor"</formula1>
    </dataValidation>
    <dataValidation type="list" allowBlank="1" showInputMessage="1" showErrorMessage="1" sqref="M34" xr:uid="{0CED6D80-BD38-4029-BD79-0AE3A613B768}">
      <formula1>"Alaa,Bachir ,Khaled,Ramy,Simon,Mharen,Ranjith,Jihan,Praveen,Sujith,Mossallem"</formula1>
    </dataValidation>
    <dataValidation type="list" allowBlank="1" showInputMessage="1" showErrorMessage="1" sqref="H34" xr:uid="{84EBA34A-A00B-4726-A6B4-8F5B70B9A76A}">
      <formula1>"ALAA HAMMAD,KHALED QASSEM,RAMY RAOUF,SIMON LOBO,MHAREN CLEMENTE GARADO"</formula1>
    </dataValidation>
  </dataValidations>
  <pageMargins left="0.23622047244094491" right="0.23622047244094491" top="0.74803149606299213" bottom="0.74803149606299213" header="0.31496062992125984" footer="0.31496062992125984"/>
  <pageSetup paperSize="9" scale="37" orientation="landscape" horizontalDpi="4294967295" verticalDpi="4294967295"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5DA8E1-5579-4AAF-A7CB-3BB9FCDCDA53}">
  <sheetPr>
    <pageSetUpPr fitToPage="1"/>
  </sheetPr>
  <dimension ref="A1:AB54"/>
  <sheetViews>
    <sheetView topLeftCell="B1" zoomScaleNormal="100" workbookViewId="0">
      <selection activeCell="D5" sqref="D5"/>
    </sheetView>
  </sheetViews>
  <sheetFormatPr defaultColWidth="9.109375" defaultRowHeight="20.399999999999999" x14ac:dyDescent="0.35"/>
  <cols>
    <col min="1" max="1" width="16" style="1" hidden="1" customWidth="1"/>
    <col min="2" max="2" width="75.5546875" style="2" customWidth="1"/>
    <col min="3" max="3" width="25.5546875" style="3" customWidth="1"/>
    <col min="4" max="4" width="25.33203125" style="2" customWidth="1"/>
    <col min="5" max="5" width="22.6640625" style="2" customWidth="1"/>
    <col min="6" max="6" width="21" style="2" customWidth="1"/>
    <col min="7" max="7" width="25" style="2" customWidth="1"/>
    <col min="8" max="8" width="29.44140625" style="2" bestFit="1" customWidth="1"/>
    <col min="9" max="9" width="32.109375" style="2" bestFit="1" customWidth="1"/>
    <col min="10" max="10" width="22" style="2" customWidth="1"/>
    <col min="11" max="11" width="23.33203125" style="2" customWidth="1"/>
    <col min="12" max="12" width="31" style="2" customWidth="1"/>
    <col min="13" max="13" width="23.5546875" style="2" customWidth="1"/>
    <col min="14" max="14" width="21.109375" style="2" customWidth="1"/>
    <col min="15" max="15" width="14.44140625" style="83" bestFit="1" customWidth="1"/>
    <col min="16" max="16" width="21.6640625" style="83" hidden="1" customWidth="1"/>
    <col min="17" max="17" width="14.33203125" style="86" hidden="1" customWidth="1"/>
    <col min="18" max="18" width="12.88671875" style="86" hidden="1" customWidth="1"/>
    <col min="19" max="19" width="13" style="86" hidden="1" customWidth="1"/>
    <col min="20" max="20" width="17.109375" style="86" hidden="1" customWidth="1"/>
    <col min="21" max="21" width="21.5546875" style="86" customWidth="1"/>
    <col min="22" max="22" width="22.88671875" style="86" customWidth="1"/>
    <col min="23" max="26" width="17.109375" style="86" bestFit="1" customWidth="1"/>
    <col min="27" max="27" width="15" style="86" customWidth="1"/>
    <col min="28" max="28" width="14.33203125" style="86" bestFit="1" customWidth="1"/>
    <col min="29" max="16384" width="9.109375" style="1"/>
  </cols>
  <sheetData>
    <row r="1" spans="1:28" ht="15.75" customHeight="1" x14ac:dyDescent="0.35">
      <c r="B1" s="121" t="s">
        <v>46</v>
      </c>
      <c r="C1" s="122"/>
      <c r="D1" s="122"/>
      <c r="E1" s="122"/>
      <c r="F1" s="122"/>
      <c r="G1" s="122"/>
      <c r="H1" s="122"/>
      <c r="I1" s="122"/>
      <c r="J1" s="122"/>
      <c r="K1" s="122"/>
      <c r="L1" s="122"/>
      <c r="M1" s="122"/>
      <c r="N1" s="123"/>
    </row>
    <row r="2" spans="1:28" ht="15.75" customHeight="1" x14ac:dyDescent="0.35">
      <c r="B2" s="124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6"/>
      <c r="Q2" s="83"/>
      <c r="S2" s="87"/>
    </row>
    <row r="3" spans="1:28" ht="15.75" customHeight="1" x14ac:dyDescent="0.35">
      <c r="B3" s="124"/>
      <c r="C3" s="125"/>
      <c r="D3" s="125"/>
      <c r="E3" s="125"/>
      <c r="F3" s="125"/>
      <c r="G3" s="125"/>
      <c r="H3" s="125"/>
      <c r="I3" s="125"/>
      <c r="J3" s="125"/>
      <c r="K3" s="125"/>
      <c r="L3" s="125"/>
      <c r="M3" s="125"/>
      <c r="N3" s="126"/>
      <c r="O3" s="82"/>
      <c r="P3" s="82"/>
      <c r="Q3" s="81"/>
      <c r="R3" s="81"/>
      <c r="S3" s="88" t="e">
        <f>N7+J14</f>
        <v>#VALUE!</v>
      </c>
      <c r="T3" s="88"/>
      <c r="U3" s="81"/>
      <c r="V3" s="81"/>
      <c r="W3" s="81"/>
      <c r="AA3" s="86">
        <f>273000/5</f>
        <v>54600</v>
      </c>
    </row>
    <row r="4" spans="1:28" ht="15.75" customHeight="1" x14ac:dyDescent="0.4">
      <c r="B4" s="127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9"/>
      <c r="O4" s="89" t="s">
        <v>0</v>
      </c>
      <c r="P4" s="89"/>
      <c r="Q4" s="90"/>
      <c r="R4" s="90"/>
      <c r="S4" s="91"/>
      <c r="T4" s="91"/>
      <c r="U4" s="90" t="s">
        <v>1</v>
      </c>
      <c r="V4" s="90" t="s">
        <v>2</v>
      </c>
      <c r="W4" s="90" t="s">
        <v>3</v>
      </c>
    </row>
    <row r="5" spans="1:28" ht="25.2" thickBot="1" x14ac:dyDescent="0.45">
      <c r="B5" s="17">
        <f ca="1">TODAY()</f>
        <v>46215</v>
      </c>
      <c r="C5" s="18" t="str">
        <f>IF(D5="MIG09","Mirage G09",IF(D5="MIG10","MirageG10",IF(D5="ATG16","Attrage G16",IF(D5="ATP16","Attrage P16",IF(D5="ATG17","Attrage G17",IF(D5="ASG48","ASX G48",IF(D5="ASG43","ASX G43", IF(D5="ASG40","ASXG40",IF(D5="ASG42","ASX G42",IF(D5="ASG44","ASX G44",IF(D5="ASG45","ASX G45",IF(D5="ECG38","Eclipse G38",IF(D5="ECG37","Eclipse G37",IF(D5="ECG40","Eclipse G40",IF(D5="ECG43","Eclipse G43",IF(D5="XPML","Xpander ML",IF(D5="XPHL","Xpander HL",IF(D5="XPMLP","Xpander ML P",IF(D5="XPMLP-01","Xpander ML P-01",IF(D5="XC","Xpander Cross", IF(D5="OTF03","Outlander F03",IF(D5="OTP03","Outlander P03",IF(D5="OTF06","Outlander F06",IF(D5="OTP06","Outlander P06",IF(D5="OTP06-01","Outlander P06-01",IF(D5="OTF08","Outlander F08",IF(D5="OTP08","Outlander P08P", IF(D5="MOP57","Montero P57",IF(D5="MOG64","Montero G64",IF(D5="MOG59","Montero G59",IF(D5="MOG59P","Montero G59 P",IF(D5="MOG61","Montero G61",IF(D5="MOP61","Montero P61")))))))))))))))))))))))))))))))))</f>
        <v>Eclipse G40</v>
      </c>
      <c r="D5" s="19" t="s">
        <v>99</v>
      </c>
      <c r="E5" s="20" t="s">
        <v>47</v>
      </c>
      <c r="F5" s="21"/>
      <c r="G5" s="21"/>
      <c r="H5" s="21"/>
      <c r="I5" s="22"/>
      <c r="J5" s="23"/>
      <c r="K5" s="24">
        <v>0</v>
      </c>
      <c r="L5" s="25">
        <v>3.39E-2</v>
      </c>
      <c r="M5" s="25">
        <v>6.7799999999999999E-2</v>
      </c>
      <c r="N5" s="25">
        <v>0.1017</v>
      </c>
      <c r="O5" s="92">
        <f>K7+K14</f>
        <v>10635.151737892498</v>
      </c>
      <c r="S5" s="87"/>
      <c r="U5" s="87">
        <f>L7+L14</f>
        <v>4333.5564027831251</v>
      </c>
      <c r="V5" s="87">
        <f>M7+M14</f>
        <v>2898.8791526362502</v>
      </c>
      <c r="W5" s="87">
        <f>N7+N14</f>
        <v>2008.7806277831248</v>
      </c>
    </row>
    <row r="6" spans="1:28" s="5" customFormat="1" ht="128.25" customHeight="1" thickBot="1" x14ac:dyDescent="0.35">
      <c r="A6" s="4" t="s">
        <v>4</v>
      </c>
      <c r="B6" s="26" t="s">
        <v>5</v>
      </c>
      <c r="C6" s="27" t="s">
        <v>6</v>
      </c>
      <c r="D6" s="27" t="s">
        <v>48</v>
      </c>
      <c r="E6" s="27" t="s">
        <v>7</v>
      </c>
      <c r="F6" s="27" t="s">
        <v>8</v>
      </c>
      <c r="G6" s="28" t="s">
        <v>9</v>
      </c>
      <c r="H6" s="28" t="s">
        <v>49</v>
      </c>
      <c r="I6" s="28" t="s">
        <v>10</v>
      </c>
      <c r="J6" s="28" t="s">
        <v>56</v>
      </c>
      <c r="K6" s="28" t="s">
        <v>11</v>
      </c>
      <c r="L6" s="28" t="s">
        <v>12</v>
      </c>
      <c r="M6" s="28" t="s">
        <v>13</v>
      </c>
      <c r="N6" s="28" t="s">
        <v>14</v>
      </c>
      <c r="O6" s="93"/>
      <c r="P6" s="94"/>
      <c r="Q6" s="95"/>
      <c r="R6" s="95"/>
      <c r="S6" s="95"/>
      <c r="T6" s="96"/>
      <c r="U6" s="96">
        <f>N7+L14</f>
        <v>3403.6460927831249</v>
      </c>
      <c r="V6" s="96">
        <f>N7+K14</f>
        <v>8542.8535403924998</v>
      </c>
      <c r="W6" s="96"/>
      <c r="X6" s="95"/>
      <c r="Y6" s="95"/>
      <c r="Z6" s="95"/>
      <c r="AA6" s="95"/>
      <c r="AB6" s="95"/>
    </row>
    <row r="7" spans="1:28" ht="25.2" thickBot="1" x14ac:dyDescent="0.45">
      <c r="A7" s="6">
        <f>B8</f>
        <v>86900</v>
      </c>
      <c r="B7" s="29">
        <f>IF(L20="YES",C8*1,IF(L20="NO",B8*1))</f>
        <v>86900</v>
      </c>
      <c r="C7" s="29">
        <f>B7*5/100</f>
        <v>4345</v>
      </c>
      <c r="D7" s="29">
        <f>B7+C7</f>
        <v>91245</v>
      </c>
      <c r="E7" s="29">
        <f>D17</f>
        <v>13049.909875000001</v>
      </c>
      <c r="F7" s="29">
        <f>(C7)+(D10+D11+D12+D13+D16)*5/100</f>
        <v>4665</v>
      </c>
      <c r="G7" s="30">
        <f>B7+E7+F7</f>
        <v>104614.909875</v>
      </c>
      <c r="H7" s="29">
        <f>G7*D20</f>
        <v>20922.981975000002</v>
      </c>
      <c r="I7" s="29">
        <f>(G7-H7)</f>
        <v>83691.927899999995</v>
      </c>
      <c r="J7" s="30">
        <f>(((I7*D19)*1)+I7)/12</f>
        <v>7147.988075392499</v>
      </c>
      <c r="K7" s="30">
        <f>(((I7*D19)*2)+I7)/24</f>
        <v>3660.8244128924998</v>
      </c>
      <c r="L7" s="30">
        <f>(((I7*D19)*3)+I7)/36</f>
        <v>2498.4365253924998</v>
      </c>
      <c r="M7" s="30">
        <f>(((I7*D19)*4)+I7)/48</f>
        <v>1917.2425816425</v>
      </c>
      <c r="N7" s="30">
        <f>((((I7*D19)*5)+I7)/60)</f>
        <v>1568.5262153924998</v>
      </c>
      <c r="O7" s="92"/>
      <c r="P7" s="83">
        <f>H7+H16</f>
        <v>21801.747217950004</v>
      </c>
      <c r="T7" s="87">
        <f>25973/2</f>
        <v>12986.5</v>
      </c>
    </row>
    <row r="8" spans="1:28" ht="24.6" x14ac:dyDescent="0.4">
      <c r="A8" s="7">
        <v>0.2</v>
      </c>
      <c r="B8" s="31">
        <f>IF(D5="MIG09",39900,IF(D5="MIG10",40400,IF(D5="ATG16",40400,IF(D5="ATP16",49900,IF(D5="ATG17",41900,IF(D5="ASG48",63900,IF(D5="ASG43",62900,IF(D5="ASG40",63900,IF(D5="ASG42",68900,IF(D5="ASG44",89900,IF(D5="ASG45",95900,IF(D5="ECG38",73900,IF(D5="ECG37",70900,IF(D5="ECG40",86900,IF(D5="ECG43",91900,IF(D5="XPML",62900,IF(D5="XPHL",62900,IF(D5="XPMLP",69900,IF(D5="XPMLP-01",77800,IF(D5="XC",77900,IF(D5="OTF03",96900,IF(D5="OTP03",79900,IF(D5="OTF06",92900,IF(D5="OTP06",111900,IF(D5="OTP06-01",118900,IF(D5="OTF08",122900,IF(D5="OTP08",109900,IF(D5="MOP57",99900,IF(D5="MOG64",108900,IF(D5="MOG59",116900,IF(D5="MOG59P",110900,IF(D5="MOG61",127900,IF(D5="MOP61",125900)))))))))))))))))))))))))))))))))</f>
        <v>86900</v>
      </c>
      <c r="C8" s="32">
        <f>IF(L20="YES",N20,IF(L20="NO",N20))</f>
        <v>86900</v>
      </c>
      <c r="D8" s="29">
        <v>0</v>
      </c>
      <c r="E8" s="33"/>
      <c r="F8" s="139"/>
      <c r="G8" s="140"/>
      <c r="H8" s="110">
        <f>G7*20/100</f>
        <v>20922.981974999999</v>
      </c>
      <c r="I8" s="21"/>
      <c r="J8" s="34" t="s">
        <v>15</v>
      </c>
      <c r="K8" s="23">
        <f>(J7*K5+J7)/24</f>
        <v>297.83283647468744</v>
      </c>
      <c r="L8" s="23">
        <f>(J7*L5+J7)/36</f>
        <v>205.28624642078623</v>
      </c>
      <c r="M8" s="23">
        <f>(J7*M5+J7)/48</f>
        <v>159.01295139383564</v>
      </c>
      <c r="N8" s="23">
        <f>(J7*N5+J7)/60</f>
        <v>131.24897437766526</v>
      </c>
      <c r="O8" s="92"/>
      <c r="P8" s="83">
        <f>P7/12</f>
        <v>1816.8122681625002</v>
      </c>
      <c r="T8" s="86">
        <f>25973-12973</f>
        <v>13000</v>
      </c>
    </row>
    <row r="9" spans="1:28" ht="24.6" x14ac:dyDescent="0.4">
      <c r="A9" s="8">
        <f>B8/(100%-A8)</f>
        <v>108625</v>
      </c>
      <c r="B9" s="109">
        <f>B7-B8</f>
        <v>0</v>
      </c>
      <c r="C9" s="35"/>
      <c r="D9" s="36"/>
      <c r="E9" s="33"/>
      <c r="F9" s="139"/>
      <c r="G9" s="140"/>
      <c r="H9" s="33"/>
      <c r="I9" s="37" t="s">
        <v>16</v>
      </c>
      <c r="J9" s="38">
        <f>(J7*12)-(I7)</f>
        <v>2083.929004709993</v>
      </c>
      <c r="K9" s="38">
        <f>(K7*24)-I7</f>
        <v>4167.8580094200006</v>
      </c>
      <c r="L9" s="38">
        <f>(L7*36)-I7</f>
        <v>6251.7870141299936</v>
      </c>
      <c r="M9" s="38">
        <f>(M7*48)-I7</f>
        <v>8335.7160188400012</v>
      </c>
      <c r="N9" s="38">
        <f>(N7*60)-I7</f>
        <v>10419.645023549994</v>
      </c>
      <c r="O9" s="92"/>
      <c r="T9" s="86">
        <f>T8/12</f>
        <v>1083.3333333333333</v>
      </c>
      <c r="Z9" s="86" t="s">
        <v>86</v>
      </c>
    </row>
    <row r="10" spans="1:28" ht="24.6" x14ac:dyDescent="0.4">
      <c r="A10" s="8"/>
      <c r="B10" s="37" t="s">
        <v>50</v>
      </c>
      <c r="C10" s="20" t="s">
        <v>17</v>
      </c>
      <c r="D10" s="36">
        <f>IF(C10="YES",800,IF(C10="NO",0))</f>
        <v>0</v>
      </c>
      <c r="E10" s="39"/>
      <c r="F10" s="40"/>
      <c r="G10" s="40"/>
      <c r="H10" s="33"/>
      <c r="I10" s="44" t="s">
        <v>85</v>
      </c>
      <c r="J10" s="117" t="s">
        <v>19</v>
      </c>
      <c r="K10" s="117">
        <f>IF(J10="YES",Z10,IF(J10="NO",0))</f>
        <v>1000</v>
      </c>
      <c r="L10" s="117"/>
      <c r="M10" s="117"/>
      <c r="N10" s="41">
        <f>(N8*60)-J7</f>
        <v>726.95038726741677</v>
      </c>
      <c r="O10" s="92">
        <f>IF(D5="XC",3690,IF(D5="XPML",3690,IF(D5="XPHL",3690,IF(D5="XPMLP",3690,IF(D5="XPMLP-01",3690,IF(D5="Xpander P",3690,IF(D5="MOP57",(U19*2.75/100+510)*1.05,IF(D5="MOG64",(U19*2.75/100+510)*1.05,IF(D5="MOG59",(U19*2.75/100+510)*1.05,IF(D5="MOG59P",(U19*2.75/100+510)*1.05,IF(D5="MOG61",(U19*2.75/100+510)*1.05,IF(D5="MOP61",(U19*2.75/100+510)*1.05,IF(D5="OTF03",(D7*3/100+510)*1.05,IF(D5="OTP03",(U19*3/100+510)*1.05,IF(D5="OTF06",(U19*3/100+510)*1.05,IF(D5="OTP06",(U19*3/100+510)*1.05,IF(D5="OTP06-01",(U19*3/100+510)*1.05,IF(D5="OTF08",(U19*3/100+510)*1.05,IF(D5="OTP08",(U19*3/100+510)*1.05,IF(D5="ECG38",3625,IF(D5="ECG37",3625,IF(D5="ECG40",(D7*3/100+510)*1.05,IF(D5="ECG43",(D7*3/100+510)*1.05,IF(D5="ASG48",3625,IF(D5="ASG43",3625,IF(D5="ASG40",3625,IF(D5="ASG42",3625,IF(D5="ASG44",3625,IF(D5="ASG45",3625,IF(D5="ASX HL 4WD",3625,IF(D5="ATG16",3625,IF(D5="ATG17",3625,IF(D5="ATP16",3625,IF(D5="Attrage S",3625,IF(D5="MIG09",3625,IF(D5="MIG10",3625,IF(D5="Xpander HL",3690)))))))))))))))))))))))))))))))))))))</f>
        <v>3409.7175000000002</v>
      </c>
      <c r="P10" s="97"/>
      <c r="Q10" s="97">
        <f>5.25*3</f>
        <v>15.75</v>
      </c>
      <c r="Z10" s="86">
        <f>IF(D5="MIG09",500,IF(D5="MIG10",500,IF(D5="ATG16",500,IF(D5="ATP16",500,IF(D5="ATG17",500,IF(D5="ASG48",1000,IF(D5="ASG43",1000,IF(D5="ASG40",1000,IF(D5="ASG42",1000,IF(D5="ASG44",1000,IF(D5="ASG45",1000,IF(D5="ECG38",1000,IF(D5="ECG37",1000,IF(D5="ECG40",1000,IF(D5="ECG43",1000,IF(D5="XPML",1000,IF(D5="XPHL",1000,IF(D5="XPMLP",1000,IF(D5="XPMLP-01",1000,IF(D5="XC",1000,IF(D5="OTF03",1000,IF(D5="OTP03",1000,IF(D5="OTF06",1000,IF(D5="OTP06",1000,IF(D5="OTP06-01",1000,IF(D5="OTF08",1000,IF(D5="OTP08",1000,IF(D5="MOP57",1000,IF(D5="MOG64",1000,IF(D5="MOG59",1000,IF(D5="MOG59P",1000,IF(D5="MOG61",1000,IF(D5="MOP61",1000)))))))))))))))))))))))))))))))))</f>
        <v>1000</v>
      </c>
    </row>
    <row r="11" spans="1:28" ht="24.6" x14ac:dyDescent="0.4">
      <c r="A11" s="8"/>
      <c r="B11" s="37" t="s">
        <v>18</v>
      </c>
      <c r="C11" s="20" t="s">
        <v>17</v>
      </c>
      <c r="D11" s="36">
        <f>IF(C11="YES",O17,IF(C11="NO",0))</f>
        <v>0</v>
      </c>
      <c r="E11" s="33"/>
      <c r="F11" s="40"/>
      <c r="G11" s="40"/>
      <c r="H11" s="33"/>
      <c r="I11" s="21"/>
      <c r="J11" s="44" t="s">
        <v>76</v>
      </c>
      <c r="K11" s="44">
        <f>H8-K10</f>
        <v>19922.981974999999</v>
      </c>
      <c r="L11" s="37"/>
      <c r="M11" s="37"/>
      <c r="N11" s="42"/>
      <c r="O11" s="92">
        <f>IF(D5="XC",6100,IF(D5="XPML",6100,IF(D5="XPHL",6100,IF(D5="XPMLP",6100,IF(D5="XPMLP-01",6100,IF(D5="Xpander P",6100,IF(D5="MOP57",5900,IF(D5="MOG64",5900,IF(D5="MOG59",5900,IF(D5="MOG59P",5900,IF(D5="MOG61",5900,IF(D5="MOP61",5900,IF(D5="OTF03",6700,IF(D5="OTP03",6700,IF(D5="OTF06",6700,IF(D5="OTP06",6700,IF(D5="OTP06-01",6700,IF(D5="OTF08",6700,IF(D5="OTP08",6700,IF(D5="ECG37",6400,IF(D5="ECG38",6400,IF(D5="ECG40",6400,IF(D5="ECG43",6400,IF(D5="ASG48",6600,IF(D5="ASG43",6600,IF(D5="ASG40",6600,IF(D5="ASG42",6600,IF(D5="ASG44",6600,IF(D5="ASG45",6600,IF(D5="ASX HL 4WD",6600,IF(D5="ATG16",5400,IF(D5="ATG17",5400,IF(D5="ATP16",5400,IF(D5="Attrage S",5400,IF(D5="MIG09",5400,IF(D5="MIG10",5400,IF(D5="Xpander HL",6000)))))))))))))))))))))))))))))))))))))</f>
        <v>6400</v>
      </c>
      <c r="P11" s="92"/>
      <c r="Q11" s="92"/>
      <c r="R11" s="92"/>
      <c r="S11" s="92"/>
      <c r="T11" s="92"/>
      <c r="U11" s="92">
        <f>IF(D5="XC",4900,IF(D5="XPML",4900,IF(D5="XPHL",4900,IF(D5="XPMLP",4900,IF(D5="XPMLP-01",4900,IF(D5="Xpander P",4900,IF(D5="MOP57",4600,IF(D5="MOG64",4600,IF(D5="MOG59",4600,IF(D5="MOG59P",4600,IF(D5="MOG61",4600,IF(D5="MOP61",4600,IF(D5="OTF03",5500,IF(D5="OTP03",5500,IF(D5="OTF06",5500,IF(D5="OTP06",5500,IF(D5="OTP06-01",5500,IF(D5="OTF08",5500,IF(D5="OTP08",5500,IF(D5="ECG38",5200,IF(D5="ECG37",5200,IF(D5="ECG40",5200,IF(D5="ECG43",5200,IF(D5="ASG48",5300,IF(D5="ASG43",5300,IF(D5="ASG40",5300,IF(D5="ASG42",5300,IF(D5="ASG44",5300,IF(D5="ASG45",5300,IF(D5="ASX HL",5300,IF(D5="ASX P",5300,IF(D5="ASX HL 4WD",5300,IF(D5="ATG16",4200,IF(D5="ATG17",4200,IF(D5="ATP16",4200,IF(D5="Attrage S",4200,IF(D5="MIG09",4200,IF(D5="MIG10",4200,IF(D5="Xpander HL",4900)))))))))))))))))))))))))))))))))))))))</f>
        <v>5200</v>
      </c>
      <c r="V11" s="92">
        <f>IF(D5="XC",9700,IF(D5="XPML",9700,IF(D5="XPHL",9700,IF(D5="XPMLP",9700,IF(D5="XPMLP-01",9700,IF(D5="XPMLP-01",9700,IF(D5="Xpander P",9700,IF(D5="MOP57",9300,IF(D5="MG64",9300,IF(D5="MOG59",9300,IF(D5="MOG59P",9300,IF(D5="MOG61",9300,IF(D5="MOP61",9300,IF(D5="OTF03",11000,IF(D5="OTP03",11000,IF(D5="OTF06",11000,IF(D5="OTP06",11000,IF(D5="OTP06-01",11000,IF(D5="OTF08",11000,IF(D5="OTP08",11000,IF(D5="ECG38",10400,IF(D5="ECG37",10400,IF(D5="ECG40",10400,IF(D5="ECG43",10400,IF(D5="ASG48",10700,IF(D5="ASG43",10700,IF(D5="ASG40",10700,IF(D5="ASG42",10700,IF(D5="ASG44",10800,IF(D5="ASG45",10800,IF(D5="ASX HL",12200,IF(D5="ASX P",12200,IF(D5="ASX HL 4WD",12200,IF(D5="ATG16",8500,IF(D5="ATG17",8500,IF(D5="ATP16",8500,IF(D5="Attrage S",9600,IF(D5="MIG09",8500,IF(D5="MIG10",8500,IF(D5="Xpander HL",11300))))))))))))))))))))))))))))))))))))))))</f>
        <v>10400</v>
      </c>
      <c r="W11" s="92">
        <f>IF(D5="XC",9200,IF(D5="XPML",9200,IF(D5="XPHL",9200,IF(D5="XPMLP",9200,IF(D5="XPMLP-01",9200,IF(D5="Xpander P",9200,IF(D5="MOP57",8700,IF(D5="MOG64",8700,IF(D5="MOG59",8700,IF(D5="MOG59P",8700,IF(D5="MOG61",8700,IF(D5="MOP61",8700,IF(D5="OTF03",10400,IF(D5="OTP03",10400,IF(D5="OTF06",10400,IF(D5="OTP06",10400,IF(D5="OTP06-01",10400,IF(D5="OTF08",10400,IF(D5="OTP08",10400,IF(D5="ECG38",9800,IF(D5="ECG37",9800,IF(D5="ECG40",9800,IF(D5="ECG43",9800,IF(D5="ASG48",10100,IF(D5="ASG43",10100,IF(D5="ASG40",10100,IF(D5="ASG42",10100,IF(D5="ASG44",10100,IF(D5="ASG45",10100,IF(D5="ASX HL",10100,IF(D5="ASX P",10100,IF(D5="ASX HL 4WD",10100,IF(D5="ATG16",7900,IF(D5="ATG17",7900,IF(D5="ATP16",7900,IF(D5="Attrage S",7900,IF(D5="MIG09",7900,IF(D5="MIG10",7900,IF(D5="Xpander HL",9200)))))))))))))))))))))))))))))))))))))))</f>
        <v>9800</v>
      </c>
      <c r="X11" s="92">
        <f>IF(D5="XC",4500,IF(D5="XPML",4500,IF(D5="XPHL",4500,IF(D5="XPMLP",4500,IF(D5="XPMLP-01",4500,IF(D5="Xpander P",4500,IF(D5="MOP57",4300,IF(D5="MOG64",4300,IF(D5="MOG59",4300,IF(D5="MOG59P",4300,IF(D5="MOG61",4300,IF(D5="MOP61",4300,IF(D5="OTF03",5000,IF(D5="OTP03",5000,IF(D5="OTF06",5000,IF(D5="OTP06",5000,IF(D5="OTP06-01",5000,IF(D5="OTF08",5000,IF(D5="OTP08",5000,IF(D5="ECG38",4900,IF(D5="ECG37",4900,IF(D5="ECG40",4900,IF(D5="ECG43",4900,IF(D5="ASG48",4900,IF(D5="ASG43",4900,IF(D5="ASG40",4900,IF(D5="ASG42",4900,IF(D5="ASG44",4900,IF(D5="ASG45",4900,IF(D5="ASX HL",4900,IF(D5="ASX P",4900,IF(D5="ASX HL 4WD",4900,IF(D5="ATG16",3700,IF(D5="ATG17",3700,IF(D5="ATP16",3700,IF(D5="Attrage S",3700,IF(D5="MIG09",3700,IF(D5="MIG10",3700,IF(D5="Xpander HL",4500)))))))))))))))))))))))))))))))))))))))</f>
        <v>4900</v>
      </c>
      <c r="Y11" s="92">
        <f>IF(D5="XC",5400,IF(D5="XPML ",5400,IF(D5="XPHL",5400,IF(D5="XPMLP",5400,IF(D5="XPMLP-01",5400,IF(D5="Xpander P",5400,IF(D5="MOP57",5200,IF(D5="MOG64",5200,IF(D5="MOG59",5200,IF(D5="MOG59P",5200,IF(D5="MOG61",5200,IF(D5="MOP61",5200,IF(D5="OTF03",6000,IF(D5="OTP03",6000,IF(D5="OTF06",6000,IF(D5="OTP06",6000,IF(D5="OTP06-01",6000,IF(D5="OTF08",6000,IF(D5="OTP08",6000,IF(D5="ECG38",5700,IF(D5="ECG37",5700,IF(D5="ECG40",5700,IF(D5="ECG43",5700,IF(D5="ASG48",5900,IF(D5="ASG43",5900,IF(D5="ASG40",5900,IF(D5="ASG42",5900,IF(D5="ASG44",5900,IF(D5="ASG45",5900,IF(D5="ASX HL",5900,IF(D5="ASX P",5900,IF(D5="ASX HL 4WD",5900,IF(D5="ATG16",4500,IF(D5="ATG17",4500,IF(D5="ATP16",4500,IF(D5="Attrage S",4500,IF(D5="MIG09",4500,IF(D5="MIG10",4500,IF(D5="Xpander HL",5400)))))))))))))))))))))))))))))))))))))))</f>
        <v>5700</v>
      </c>
    </row>
    <row r="12" spans="1:28" ht="24.75" customHeight="1" x14ac:dyDescent="0.4">
      <c r="A12" s="8"/>
      <c r="B12" s="37" t="s">
        <v>20</v>
      </c>
      <c r="C12" s="20" t="s">
        <v>17</v>
      </c>
      <c r="D12" s="36">
        <f>IF(C12="YES",2000,IF(C12="NO",0))</f>
        <v>0</v>
      </c>
      <c r="E12" s="43"/>
      <c r="F12" s="43" t="s">
        <v>21</v>
      </c>
      <c r="G12" s="40"/>
      <c r="H12" s="33">
        <v>600</v>
      </c>
      <c r="I12" s="21"/>
      <c r="J12" s="44" t="s">
        <v>22</v>
      </c>
      <c r="K12" s="45">
        <v>0</v>
      </c>
      <c r="L12" s="45">
        <v>5.2499999999999998E-2</v>
      </c>
      <c r="M12" s="45">
        <v>0.126</v>
      </c>
      <c r="N12" s="46">
        <v>0.26250000000000001</v>
      </c>
      <c r="O12" s="92">
        <f>IF(K20="Esaad",B8*3/100,IF(K20="Emirates Platinum",B8*3/100,IF(K20="Fazaa",B8*3/100,IF(K20="Humat Alwatan",B8*3/100,IF(K20="Permissible",2000,IF(K20="ASX",8400,IF(K20="XPMLP",4000,IF(K20="XP",14100,IF(K20="G43",11000,IF(K20="EC",7000,IF(K20="G37",14000,IF(K20="G38",15000,IF(K20="G40",11000,IF(K20="OUT",9600,IF(K20="F08",15400,IF(K20="P08",11100,IF(K20="F06",14100,IF(K20="P06",17100,IF(K20="F03",17000,IF(K20="P03",19100,IF(K20="MON",10000,IF(K20="MON G57",10000,0))))))))))))))))))))))</f>
        <v>2000</v>
      </c>
      <c r="P12" s="92"/>
      <c r="Q12" s="92"/>
      <c r="R12" s="92"/>
      <c r="S12" s="92"/>
      <c r="T12" s="92"/>
      <c r="U12" s="92"/>
      <c r="V12" s="92"/>
      <c r="W12" s="92"/>
      <c r="X12" s="92"/>
      <c r="Y12" s="92"/>
      <c r="Z12" s="86" t="s">
        <v>83</v>
      </c>
      <c r="AA12" s="86" t="s">
        <v>84</v>
      </c>
    </row>
    <row r="13" spans="1:28" ht="24.6" x14ac:dyDescent="0.4">
      <c r="A13" s="8">
        <f>B8*1.26582</f>
        <v>109999.758</v>
      </c>
      <c r="B13" s="37" t="s">
        <v>23</v>
      </c>
      <c r="C13" s="20" t="s">
        <v>17</v>
      </c>
      <c r="D13" s="36">
        <f>IF(C13="YES",2000,IF(C13="NO",0))</f>
        <v>0</v>
      </c>
      <c r="E13" s="47"/>
      <c r="F13" s="47" t="s">
        <v>75</v>
      </c>
      <c r="G13" s="40"/>
      <c r="H13" s="33">
        <v>315</v>
      </c>
      <c r="I13" s="21"/>
      <c r="J13" s="44" t="s">
        <v>54</v>
      </c>
      <c r="K13" s="29" t="s">
        <v>79</v>
      </c>
      <c r="L13" s="29" t="s">
        <v>25</v>
      </c>
      <c r="M13" s="29" t="s">
        <v>0</v>
      </c>
      <c r="N13" s="49" t="s">
        <v>26</v>
      </c>
      <c r="O13" s="98">
        <f>IF(M21="3000-4999",6%,IF(M21="5000-9999",4.75%,IF(M21="10000-14999",3.15%,IF(M21="15000-24999",2.5%,IF(M21="25000-34999",2.25%,IF(M21="35000-99999",2.25%))))))</f>
        <v>4.7500000000000001E-2</v>
      </c>
      <c r="Q13" s="83">
        <f>H7/12</f>
        <v>1743.5818312500003</v>
      </c>
      <c r="U13" s="9">
        <f>IF(M21="3000-4999",6%,IF(M21="5000-9999",3.25%,IF(M21="10000-14999",3%,IF(M21="15000-24999",2.25%,IF(M21="25000-34999",2.15%,IF(M21="35000-99999",1.99%))))))</f>
        <v>3.2500000000000001E-2</v>
      </c>
      <c r="Z13" s="99">
        <f>IF(M21="5000-9999",2.49%,IF(M21="10000-19999",2.19%,IF(M21="20000-34999",2.09%,IF(M21="35000-49999",1.89%,IF(M21="50000-99999",1.79%)))))</f>
        <v>2.4900000000000002E-2</v>
      </c>
      <c r="AA13" s="99">
        <f>IF(M21="5000-9999",2.59%,IF(M21="10000-19999",2.29%,IF(M21="20000-34999",2.19%,IF(M21="35000-49999",1.99%,IF(M21="50000-99999",1.89%)))))</f>
        <v>2.5899999999999999E-2</v>
      </c>
    </row>
    <row r="14" spans="1:28" ht="24.6" x14ac:dyDescent="0.4">
      <c r="A14" s="10" t="s">
        <v>27</v>
      </c>
      <c r="B14" s="37" t="s">
        <v>24</v>
      </c>
      <c r="C14" s="20" t="s">
        <v>19</v>
      </c>
      <c r="D14" s="50">
        <f>IF(C14="YES",U19*3.15*1.05/100,IF(C14="NO",U19*0/100))</f>
        <v>3240.1923750000001</v>
      </c>
      <c r="E14" s="48"/>
      <c r="F14" s="48" t="s">
        <v>24</v>
      </c>
      <c r="G14" s="51" t="s">
        <v>17</v>
      </c>
      <c r="H14" s="39">
        <f>IF(G14="YES",U19*3.15*1.05/100,IF(G14="NO",U19*0/100))</f>
        <v>0</v>
      </c>
      <c r="I14" s="21"/>
      <c r="J14" s="44" t="s">
        <v>55</v>
      </c>
      <c r="K14" s="44">
        <f>(H8*K12+H8)/3</f>
        <v>6974.3273249999993</v>
      </c>
      <c r="L14" s="44">
        <f>(H8*L12+H8)/12</f>
        <v>1835.1198773906251</v>
      </c>
      <c r="M14" s="44">
        <f>(H8*M12+H8)/24</f>
        <v>981.63657099374996</v>
      </c>
      <c r="N14" s="52">
        <f>(H7*N12+H7)/60</f>
        <v>440.25441239062508</v>
      </c>
      <c r="O14" s="98">
        <f>IF(M21="3000-4999",3.89%,IF(M21="5000-9999",3.89%,IF(M21="10000-14999",3.89%,IF(M21="15000-24999",2.69%,IF(M21="25000-34999",2.69%,IF(M21="35000-99999",2.39%,IF(M21="76000-99999",2.19%)))))))</f>
        <v>3.8900000000000004E-2</v>
      </c>
    </row>
    <row r="15" spans="1:28" ht="24.6" x14ac:dyDescent="0.4">
      <c r="A15" s="11">
        <f>(B7*3%)+10+120</f>
        <v>2737</v>
      </c>
      <c r="B15" s="37" t="s">
        <v>28</v>
      </c>
      <c r="C15" s="20" t="s">
        <v>19</v>
      </c>
      <c r="D15" s="29">
        <f>IF(C15="YES",O10,IF(C15="NO",0))</f>
        <v>3409.7175000000002</v>
      </c>
      <c r="E15" s="48"/>
      <c r="F15" s="48" t="s">
        <v>53</v>
      </c>
      <c r="G15" s="51" t="s">
        <v>17</v>
      </c>
      <c r="H15" s="39">
        <f>IF(G15="YES",O10,IF(G15="NO",0))</f>
        <v>0</v>
      </c>
      <c r="I15" s="21"/>
      <c r="J15" s="44"/>
      <c r="K15" s="44"/>
      <c r="L15" s="44"/>
      <c r="M15" s="44"/>
      <c r="N15" s="53"/>
      <c r="O15" s="98" t="b">
        <f>IF(M21="3000-4999",4.99%, IF(M21="5000-11999",2.75%,IF(M21="12000-19999",2.75%,IF(M21="20000-39999",2.25%,IF(M21="40000-69999",2.39%,IF(M21="70000-99999",2.25%))))))</f>
        <v>0</v>
      </c>
      <c r="P15" s="99"/>
    </row>
    <row r="16" spans="1:28" ht="24.6" x14ac:dyDescent="0.4">
      <c r="A16" s="11">
        <f>((B7-B8)*3%+10+120)</f>
        <v>130</v>
      </c>
      <c r="B16" s="37" t="s">
        <v>78</v>
      </c>
      <c r="C16" s="20" t="s">
        <v>19</v>
      </c>
      <c r="D16" s="29">
        <f>IF(C16="YES",O16,IF(C16="NO",0))</f>
        <v>6400</v>
      </c>
      <c r="E16" s="47"/>
      <c r="F16" s="47" t="s">
        <v>74</v>
      </c>
      <c r="G16" s="54"/>
      <c r="H16" s="33">
        <f>I7*1.05%</f>
        <v>878.76524295000002</v>
      </c>
      <c r="I16" s="21"/>
      <c r="J16" s="44" t="s">
        <v>16</v>
      </c>
      <c r="K16" s="44">
        <f>(K14*3)-H8</f>
        <v>0</v>
      </c>
      <c r="L16" s="44">
        <f>(L14*12)-H8</f>
        <v>1098.4565536875016</v>
      </c>
      <c r="M16" s="44">
        <f>(M14*24)-H8</f>
        <v>2636.2957288500002</v>
      </c>
      <c r="N16" s="53"/>
      <c r="O16" s="92">
        <f>IF(B16="RMC-10-70KMS",O11,IF(B16="RMC-10-100000KMS",V11,IF(B16="RMC-40-70KMS",U11, IF(B16="RMC-10-40KMS",X11, IF(B16="RMC-10-60KMS",Y11, IF(B16="RMC-40-100000KMS",W11,0))))))</f>
        <v>6400</v>
      </c>
    </row>
    <row r="17" spans="1:28" ht="24.6" x14ac:dyDescent="0.4">
      <c r="A17" s="11">
        <f>A15+A16</f>
        <v>2867</v>
      </c>
      <c r="B17" s="37"/>
      <c r="C17" s="20"/>
      <c r="D17" s="29">
        <f>SUM(D10:D16)</f>
        <v>13049.909875000001</v>
      </c>
      <c r="E17" s="33"/>
      <c r="F17" s="33"/>
      <c r="G17" s="33"/>
      <c r="H17" s="33">
        <f>H7+H12+H15+H16</f>
        <v>22401.747217950004</v>
      </c>
      <c r="I17" s="33"/>
      <c r="J17" s="22"/>
      <c r="K17" s="53"/>
      <c r="L17" s="53"/>
      <c r="M17" s="53"/>
      <c r="N17" s="53"/>
      <c r="O17" s="92">
        <f>IF(B11="FO Ceramic+ Intr&amp;Extr CeramicGold WdwTnt",2700,IF(B11="FO Mirror Camera Sensor",2000))</f>
        <v>2700</v>
      </c>
      <c r="T17" s="86">
        <f>19615-791</f>
        <v>18824</v>
      </c>
    </row>
    <row r="18" spans="1:28" ht="24.6" x14ac:dyDescent="0.4">
      <c r="A18" s="12" t="s">
        <v>29</v>
      </c>
      <c r="B18" s="55" t="s">
        <v>30</v>
      </c>
      <c r="C18" s="56"/>
      <c r="D18" s="57">
        <v>0</v>
      </c>
      <c r="E18" s="38"/>
      <c r="F18" s="22"/>
      <c r="G18" s="22"/>
      <c r="H18" s="21"/>
      <c r="I18" s="21"/>
      <c r="J18" s="21"/>
      <c r="K18" s="21"/>
      <c r="L18" s="21"/>
      <c r="M18" s="21"/>
      <c r="N18" s="21"/>
      <c r="O18" s="92"/>
      <c r="U18" s="100" t="s">
        <v>52</v>
      </c>
      <c r="V18" s="100" t="s">
        <v>52</v>
      </c>
    </row>
    <row r="19" spans="1:28" ht="24.6" x14ac:dyDescent="0.4">
      <c r="A19" s="11">
        <f>B8*3.15%</f>
        <v>2737.35</v>
      </c>
      <c r="B19" s="58" t="s">
        <v>31</v>
      </c>
      <c r="C19" s="59"/>
      <c r="D19" s="60">
        <f>IF(K21="DIB EXPAT",O13,IF(K21="DIB LOCAL GVH",U13,IF(K21="Emirates NBD",O14,IF(K21="ADCB",O15,IF(K21="ADCB PAY IN 2027",O19,IF(K21="Ajman Bank",O18,IF(K21="SIB STL",Z13,IF(K21="SIB NON STL",AA13,))))))))</f>
        <v>2.4900000000000002E-2</v>
      </c>
      <c r="E19" s="22"/>
      <c r="F19" s="61"/>
      <c r="G19" s="141" t="s">
        <v>73</v>
      </c>
      <c r="H19" s="142"/>
      <c r="I19" s="143"/>
      <c r="J19" s="109">
        <f>H7/365</f>
        <v>57.323238287671238</v>
      </c>
      <c r="K19" s="21"/>
      <c r="L19" s="21"/>
      <c r="M19" s="21"/>
      <c r="N19" s="23">
        <f>D7</f>
        <v>91245</v>
      </c>
      <c r="O19" s="98" t="b">
        <f>IF(M21="5000-11999",3.35%,IF(M21="12000-19999",3.35%,IF(M21="20000-39999",2.85%,IF(M21="40000-69999",2.85%,IF(M21="70000-99999",2.85%)))))</f>
        <v>0</v>
      </c>
      <c r="P19" s="83">
        <f>81400-2500</f>
        <v>78900</v>
      </c>
      <c r="U19" s="101">
        <f>V19</f>
        <v>97965</v>
      </c>
      <c r="V19" s="102">
        <f>(B7+D10+D11+D12+D13+D16)*1.05</f>
        <v>97965</v>
      </c>
      <c r="X19" s="87">
        <f>G7*3.15*1.05/100</f>
        <v>3460.138144115625</v>
      </c>
      <c r="Y19" s="87">
        <f>G7*3/100+510*1.05</f>
        <v>3673.9472962499999</v>
      </c>
      <c r="Z19" s="87">
        <f>Y19+X19</f>
        <v>7134.0854403656249</v>
      </c>
      <c r="AA19" s="87">
        <f>(Z19)-(D14+D15)</f>
        <v>484.17556536562461</v>
      </c>
      <c r="AB19" s="87">
        <f>AA19*1.25</f>
        <v>605.21945670703076</v>
      </c>
    </row>
    <row r="20" spans="1:28" ht="24.6" x14ac:dyDescent="0.4">
      <c r="A20" s="11"/>
      <c r="B20" s="58" t="s">
        <v>32</v>
      </c>
      <c r="C20" s="62"/>
      <c r="D20" s="63">
        <v>0.2</v>
      </c>
      <c r="E20" s="21"/>
      <c r="F20" s="21"/>
      <c r="G20" s="42"/>
      <c r="H20" s="42"/>
      <c r="I20" s="42"/>
      <c r="J20" s="103"/>
      <c r="K20" s="104" t="s">
        <v>33</v>
      </c>
      <c r="L20" s="104" t="s">
        <v>17</v>
      </c>
      <c r="M20" s="104">
        <f>IF(L20="YES",O12,IF(L20="NO",0))</f>
        <v>0</v>
      </c>
      <c r="N20" s="23">
        <f>B8-M20</f>
        <v>86900</v>
      </c>
      <c r="O20" s="92"/>
      <c r="P20" s="99"/>
      <c r="T20" s="86">
        <f>1992+1084</f>
        <v>3076</v>
      </c>
      <c r="V20" s="83"/>
      <c r="X20" s="87">
        <f>X19-D14</f>
        <v>219.9457691156249</v>
      </c>
      <c r="Y20" s="87">
        <f>Y19-D15</f>
        <v>264.22979624999971</v>
      </c>
      <c r="AA20" s="87">
        <f>X20+Y20</f>
        <v>484.17556536562461</v>
      </c>
    </row>
    <row r="21" spans="1:28" ht="24.6" x14ac:dyDescent="0.4">
      <c r="A21" s="13">
        <f>A19+A20</f>
        <v>2737.35</v>
      </c>
      <c r="B21" s="21"/>
      <c r="C21" s="22"/>
      <c r="D21" s="21"/>
      <c r="E21" s="21"/>
      <c r="F21" s="21"/>
      <c r="G21" s="21"/>
      <c r="H21" s="21"/>
      <c r="I21" s="21"/>
      <c r="J21" s="37" t="s">
        <v>34</v>
      </c>
      <c r="K21" s="16" t="s">
        <v>83</v>
      </c>
      <c r="L21" s="105" t="s">
        <v>35</v>
      </c>
      <c r="M21" s="106" t="s">
        <v>80</v>
      </c>
      <c r="N21" s="111"/>
      <c r="O21" s="92"/>
      <c r="T21" s="86">
        <f>25973-12973</f>
        <v>13000</v>
      </c>
    </row>
    <row r="22" spans="1:28" ht="24.6" x14ac:dyDescent="0.4">
      <c r="A22" s="13"/>
      <c r="B22" s="130" t="s">
        <v>51</v>
      </c>
      <c r="C22" s="131"/>
      <c r="D22" s="131"/>
      <c r="E22" s="131"/>
      <c r="F22" s="131"/>
      <c r="G22" s="131"/>
      <c r="H22" s="131"/>
      <c r="I22" s="131"/>
      <c r="J22" s="131"/>
      <c r="K22" s="131"/>
      <c r="L22" s="131"/>
      <c r="M22" s="131"/>
      <c r="N22" s="132"/>
      <c r="O22" s="92"/>
    </row>
    <row r="23" spans="1:28" ht="25.2" x14ac:dyDescent="0.45">
      <c r="A23" s="14" t="s">
        <v>36</v>
      </c>
      <c r="B23" s="64" t="s">
        <v>57</v>
      </c>
      <c r="C23" s="65"/>
      <c r="D23" s="65"/>
      <c r="E23" s="65"/>
      <c r="F23" s="65"/>
      <c r="G23" s="65"/>
      <c r="H23" s="66"/>
      <c r="I23" s="66"/>
      <c r="J23" s="65"/>
      <c r="K23" s="65"/>
      <c r="L23" s="65"/>
      <c r="M23" s="65"/>
      <c r="N23" s="67"/>
      <c r="O23" s="92">
        <f>N7+K14</f>
        <v>8542.8535403924998</v>
      </c>
    </row>
    <row r="24" spans="1:28" ht="25.2" x14ac:dyDescent="0.45">
      <c r="A24" s="14" t="s">
        <v>36</v>
      </c>
      <c r="B24" s="64" t="s">
        <v>58</v>
      </c>
      <c r="C24" s="65"/>
      <c r="D24" s="65"/>
      <c r="E24" s="65"/>
      <c r="F24" s="65"/>
      <c r="G24" s="65"/>
      <c r="H24" s="85">
        <f>H7/365</f>
        <v>57.323238287671238</v>
      </c>
      <c r="I24" s="85">
        <f>H7/365</f>
        <v>57.323238287671238</v>
      </c>
      <c r="J24" s="65"/>
      <c r="K24" s="65"/>
      <c r="L24" s="65"/>
      <c r="M24" s="65"/>
      <c r="N24" s="68"/>
      <c r="O24" s="92"/>
      <c r="P24" s="83">
        <f>1232+480</f>
        <v>1712</v>
      </c>
      <c r="T24" s="86">
        <f>88704/1.05</f>
        <v>84480</v>
      </c>
    </row>
    <row r="25" spans="1:28" ht="25.2" x14ac:dyDescent="0.45">
      <c r="A25" s="14" t="s">
        <v>36</v>
      </c>
      <c r="B25" s="64" t="s">
        <v>59</v>
      </c>
      <c r="C25" s="65"/>
      <c r="D25" s="65"/>
      <c r="E25" s="65"/>
      <c r="F25" s="65"/>
      <c r="G25" s="65"/>
      <c r="H25" s="66"/>
      <c r="I25" s="85">
        <f>I24*365*3</f>
        <v>62768.945925000007</v>
      </c>
      <c r="J25" s="65"/>
      <c r="K25" s="65"/>
      <c r="L25" s="65"/>
      <c r="M25" s="65"/>
      <c r="N25" s="68"/>
      <c r="O25" s="92"/>
      <c r="Q25" s="86">
        <f>79400-5233.33</f>
        <v>74166.67</v>
      </c>
      <c r="R25" s="86">
        <f>Q25*1.05</f>
        <v>77875.003500000006</v>
      </c>
    </row>
    <row r="26" spans="1:28" ht="25.2" x14ac:dyDescent="0.45">
      <c r="A26" s="14" t="s">
        <v>36</v>
      </c>
      <c r="B26" s="64" t="s">
        <v>60</v>
      </c>
      <c r="C26" s="65"/>
      <c r="D26" s="65"/>
      <c r="E26" s="65"/>
      <c r="F26" s="65"/>
      <c r="G26" s="65"/>
      <c r="H26" s="65"/>
      <c r="I26" s="65"/>
      <c r="J26" s="65"/>
      <c r="K26" s="65"/>
      <c r="L26" s="65"/>
      <c r="M26" s="65"/>
      <c r="N26" s="68"/>
      <c r="O26" s="92" t="s">
        <v>37</v>
      </c>
      <c r="R26" s="86">
        <f>R25+2469</f>
        <v>80344.003500000006</v>
      </c>
    </row>
    <row r="27" spans="1:28" ht="25.2" x14ac:dyDescent="0.45">
      <c r="A27" s="14" t="s">
        <v>36</v>
      </c>
      <c r="B27" s="64" t="s">
        <v>61</v>
      </c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8"/>
      <c r="O27" s="92">
        <f>129500-110900</f>
        <v>18600</v>
      </c>
    </row>
    <row r="28" spans="1:28" ht="25.2" x14ac:dyDescent="0.45">
      <c r="B28" s="64" t="s">
        <v>62</v>
      </c>
      <c r="C28" s="65"/>
      <c r="D28" s="65"/>
      <c r="E28" s="65"/>
      <c r="F28" s="65"/>
      <c r="G28" s="65"/>
      <c r="H28" s="65"/>
      <c r="I28" s="65"/>
      <c r="J28" s="65"/>
      <c r="K28" s="65"/>
      <c r="L28" s="65"/>
      <c r="M28" s="65"/>
      <c r="N28" s="68"/>
      <c r="O28" s="92"/>
    </row>
    <row r="29" spans="1:28" ht="25.2" x14ac:dyDescent="0.45">
      <c r="B29" s="64" t="s">
        <v>63</v>
      </c>
      <c r="C29" s="65"/>
      <c r="D29" s="65"/>
      <c r="E29" s="65"/>
      <c r="F29" s="65"/>
      <c r="G29" s="65"/>
      <c r="H29" s="65"/>
      <c r="I29" s="65"/>
      <c r="J29" s="65"/>
      <c r="K29" s="65"/>
      <c r="L29" s="65"/>
      <c r="M29" s="65"/>
      <c r="N29" s="69"/>
      <c r="O29" s="92"/>
    </row>
    <row r="30" spans="1:28" ht="24.6" x14ac:dyDescent="0.4">
      <c r="B30" s="133" t="s">
        <v>38</v>
      </c>
      <c r="C30" s="134"/>
      <c r="D30" s="134"/>
      <c r="E30" s="134"/>
      <c r="F30" s="134"/>
      <c r="G30" s="134"/>
      <c r="H30" s="134"/>
      <c r="I30" s="134"/>
      <c r="J30" s="134"/>
      <c r="K30" s="134"/>
      <c r="L30" s="134"/>
      <c r="M30" s="134"/>
      <c r="N30" s="135"/>
      <c r="O30" s="92"/>
    </row>
    <row r="31" spans="1:28" ht="24.6" x14ac:dyDescent="0.4">
      <c r="B31" s="136"/>
      <c r="C31" s="137"/>
      <c r="D31" s="137"/>
      <c r="E31" s="137"/>
      <c r="F31" s="137"/>
      <c r="G31" s="137"/>
      <c r="H31" s="137"/>
      <c r="I31" s="137"/>
      <c r="J31" s="137"/>
      <c r="K31" s="137"/>
      <c r="L31" s="137"/>
      <c r="M31" s="137"/>
      <c r="N31" s="138"/>
      <c r="O31" s="92"/>
    </row>
    <row r="32" spans="1:28" ht="24.6" x14ac:dyDescent="0.4">
      <c r="B32" s="136" t="s">
        <v>39</v>
      </c>
      <c r="C32" s="137"/>
      <c r="D32" s="137"/>
      <c r="E32" s="137"/>
      <c r="F32" s="137"/>
      <c r="G32" s="137"/>
      <c r="H32" s="137"/>
      <c r="I32" s="137"/>
      <c r="J32" s="137"/>
      <c r="K32" s="137"/>
      <c r="L32" s="137"/>
      <c r="M32" s="137"/>
      <c r="N32" s="138"/>
      <c r="O32" s="92"/>
    </row>
    <row r="33" spans="2:16" ht="24.6" x14ac:dyDescent="0.4">
      <c r="B33" s="136" t="s">
        <v>40</v>
      </c>
      <c r="C33" s="137"/>
      <c r="D33" s="137"/>
      <c r="E33" s="137"/>
      <c r="F33" s="137"/>
      <c r="G33" s="137"/>
      <c r="H33" s="137"/>
      <c r="I33" s="137"/>
      <c r="J33" s="137"/>
      <c r="K33" s="137"/>
      <c r="L33" s="137"/>
      <c r="M33" s="137"/>
      <c r="N33" s="138"/>
      <c r="O33" s="92"/>
    </row>
    <row r="34" spans="2:16" s="112" customFormat="1" ht="24.6" x14ac:dyDescent="0.4">
      <c r="B34" s="107" t="s">
        <v>81</v>
      </c>
      <c r="C34" s="108"/>
      <c r="D34" s="108"/>
      <c r="E34" s="108"/>
      <c r="F34" s="108"/>
      <c r="G34" s="113"/>
      <c r="H34" s="113"/>
      <c r="I34" s="108"/>
      <c r="J34" s="108"/>
      <c r="K34" s="108"/>
      <c r="L34" s="108"/>
      <c r="M34" s="114" t="s">
        <v>82</v>
      </c>
      <c r="N34" s="116" t="b">
        <f>IF(M34="ALAA",507963328, IF(M34="BACHIR",525246969,IF(M34="JIHAN",566201266, IF(M34="RAMY",505277871, IF(M34="SIMON",505140337,IF(M34="SUJITH",551079817, IF(M34="PRAVEEN",506367792,IF(M34="MHAREN",529224059, IF(M34="MOSSALLEM",505185577,IF(M34="RANJITH",554989288, IF(M34="KHALED",552319494)))))))))))</f>
        <v>0</v>
      </c>
      <c r="O34" s="115"/>
      <c r="P34" s="115"/>
    </row>
    <row r="35" spans="2:16" x14ac:dyDescent="0.35">
      <c r="B35" s="70"/>
      <c r="C35" s="71"/>
      <c r="D35" s="71"/>
      <c r="E35" s="71"/>
      <c r="F35" s="71"/>
      <c r="G35" s="71"/>
      <c r="H35" s="71"/>
      <c r="I35" s="71"/>
      <c r="J35" s="71"/>
      <c r="K35" s="71"/>
      <c r="L35" s="71"/>
      <c r="M35" s="71"/>
      <c r="N35" s="72"/>
    </row>
    <row r="36" spans="2:16" x14ac:dyDescent="0.35">
      <c r="B36" s="70"/>
      <c r="C36" s="71"/>
      <c r="D36" s="71"/>
      <c r="E36" s="71"/>
      <c r="F36" s="71"/>
      <c r="G36" s="71"/>
      <c r="H36" s="71"/>
      <c r="I36" s="71"/>
      <c r="J36" s="71"/>
      <c r="K36" s="71"/>
      <c r="L36" s="71"/>
      <c r="M36" s="71"/>
      <c r="N36" s="72"/>
    </row>
    <row r="37" spans="2:16" x14ac:dyDescent="0.35">
      <c r="B37" s="70"/>
      <c r="C37" s="71"/>
      <c r="D37" s="71"/>
      <c r="E37" s="71"/>
      <c r="F37" s="71"/>
      <c r="G37" s="71"/>
      <c r="H37" s="71"/>
      <c r="I37" s="71"/>
      <c r="J37" s="71"/>
      <c r="K37" s="71"/>
      <c r="L37" s="71"/>
      <c r="M37" s="71"/>
      <c r="N37" s="72"/>
    </row>
    <row r="38" spans="2:16" ht="21" x14ac:dyDescent="0.4">
      <c r="B38" s="73" t="s">
        <v>64</v>
      </c>
      <c r="C38" s="74"/>
      <c r="D38" s="75"/>
      <c r="E38" s="76"/>
      <c r="F38" s="76"/>
      <c r="G38" s="76"/>
      <c r="H38" s="76"/>
      <c r="I38" s="76"/>
      <c r="J38" s="77"/>
      <c r="K38" s="76"/>
      <c r="L38" s="76"/>
      <c r="M38" s="76"/>
      <c r="N38" s="78"/>
    </row>
    <row r="39" spans="2:16" ht="21" x14ac:dyDescent="0.4">
      <c r="B39" s="73" t="s">
        <v>65</v>
      </c>
      <c r="C39" s="79"/>
      <c r="D39" s="75"/>
      <c r="E39" s="76"/>
      <c r="F39" s="76"/>
      <c r="G39" s="76"/>
      <c r="H39" s="76"/>
      <c r="I39" s="76"/>
      <c r="J39" s="77"/>
      <c r="K39" s="76"/>
      <c r="L39" s="76"/>
      <c r="M39" s="76"/>
      <c r="N39" s="80"/>
    </row>
    <row r="40" spans="2:16" ht="21" x14ac:dyDescent="0.35">
      <c r="B40" s="73" t="s">
        <v>66</v>
      </c>
      <c r="C40" s="81"/>
      <c r="D40" s="76"/>
      <c r="E40" s="76"/>
      <c r="F40" s="76"/>
      <c r="G40" s="76"/>
      <c r="H40" s="76"/>
      <c r="I40" s="76"/>
      <c r="J40" s="77"/>
      <c r="K40" s="76"/>
      <c r="L40" s="76"/>
      <c r="M40" s="76"/>
      <c r="N40" s="80"/>
    </row>
    <row r="41" spans="2:16" ht="21" x14ac:dyDescent="0.35">
      <c r="B41" s="73" t="s">
        <v>67</v>
      </c>
      <c r="C41" s="82"/>
      <c r="D41" s="83"/>
      <c r="E41" s="83"/>
      <c r="F41" s="83"/>
      <c r="G41" s="83"/>
      <c r="H41" s="83"/>
      <c r="I41" s="83"/>
      <c r="J41" s="83"/>
      <c r="K41" s="83"/>
      <c r="L41" s="83"/>
      <c r="M41" s="83"/>
      <c r="N41" s="84"/>
    </row>
    <row r="42" spans="2:16" ht="21" x14ac:dyDescent="0.35">
      <c r="B42" s="73" t="s">
        <v>77</v>
      </c>
      <c r="C42" s="82"/>
      <c r="D42" s="83"/>
      <c r="E42" s="83"/>
      <c r="F42" s="83"/>
      <c r="G42" s="83"/>
      <c r="H42" s="83"/>
      <c r="I42" s="83"/>
      <c r="J42" s="83"/>
      <c r="K42" s="83"/>
      <c r="L42" s="83"/>
      <c r="M42" s="83"/>
      <c r="N42" s="84"/>
    </row>
    <row r="43" spans="2:16" ht="21" x14ac:dyDescent="0.35">
      <c r="B43" s="73" t="s">
        <v>68</v>
      </c>
      <c r="C43" s="82"/>
      <c r="D43" s="83"/>
      <c r="E43" s="83"/>
      <c r="F43" s="83"/>
      <c r="G43" s="83"/>
      <c r="H43" s="83"/>
      <c r="I43" s="83"/>
      <c r="J43" s="83"/>
      <c r="K43" s="83"/>
      <c r="L43" s="83"/>
      <c r="M43" s="83"/>
      <c r="N43" s="84"/>
    </row>
    <row r="44" spans="2:16" ht="21" x14ac:dyDescent="0.35">
      <c r="B44" s="73" t="s">
        <v>69</v>
      </c>
      <c r="C44" s="82"/>
      <c r="D44" s="83"/>
      <c r="E44" s="83"/>
      <c r="F44" s="83"/>
      <c r="G44" s="83"/>
      <c r="H44" s="83"/>
      <c r="I44" s="83"/>
      <c r="J44" s="83"/>
      <c r="K44" s="83"/>
      <c r="L44" s="83"/>
      <c r="M44" s="83"/>
      <c r="N44" s="84"/>
    </row>
    <row r="45" spans="2:16" ht="21" x14ac:dyDescent="0.35">
      <c r="B45" s="73" t="s">
        <v>70</v>
      </c>
      <c r="C45" s="82"/>
      <c r="D45" s="83"/>
      <c r="E45" s="83"/>
      <c r="F45" s="83"/>
      <c r="G45" s="83"/>
      <c r="H45" s="83"/>
      <c r="I45" s="83"/>
      <c r="J45" s="83"/>
      <c r="K45" s="83"/>
      <c r="L45" s="83"/>
      <c r="M45" s="83"/>
      <c r="N45" s="84"/>
    </row>
    <row r="46" spans="2:16" ht="21" x14ac:dyDescent="0.35">
      <c r="B46" s="73" t="s">
        <v>71</v>
      </c>
      <c r="C46" s="82"/>
      <c r="D46" s="83"/>
      <c r="E46" s="83"/>
      <c r="F46" s="83"/>
      <c r="G46" s="83"/>
      <c r="H46" s="83"/>
      <c r="I46" s="83"/>
      <c r="J46" s="83"/>
      <c r="K46" s="83"/>
      <c r="L46" s="83"/>
      <c r="M46" s="83"/>
      <c r="N46" s="84"/>
    </row>
    <row r="47" spans="2:16" x14ac:dyDescent="0.35">
      <c r="B47" s="118" t="s">
        <v>39</v>
      </c>
      <c r="C47" s="119"/>
      <c r="D47" s="119"/>
      <c r="E47" s="119"/>
      <c r="F47" s="119"/>
      <c r="G47" s="119"/>
      <c r="H47" s="119"/>
      <c r="I47" s="119"/>
      <c r="J47" s="119"/>
      <c r="K47" s="119"/>
      <c r="L47" s="119"/>
      <c r="M47" s="119"/>
      <c r="N47" s="120"/>
      <c r="O47" s="92"/>
    </row>
    <row r="48" spans="2:16" x14ac:dyDescent="0.35">
      <c r="B48" s="118" t="s">
        <v>40</v>
      </c>
      <c r="C48" s="119"/>
      <c r="D48" s="119"/>
      <c r="E48" s="119"/>
      <c r="F48" s="119"/>
      <c r="G48" s="119"/>
      <c r="H48" s="119"/>
      <c r="I48" s="119"/>
      <c r="J48" s="119"/>
      <c r="K48" s="119"/>
      <c r="L48" s="119"/>
      <c r="M48" s="119"/>
      <c r="N48" s="120"/>
      <c r="O48" s="92"/>
    </row>
    <row r="49" spans="2:14" x14ac:dyDescent="0.35">
      <c r="B49" s="118" t="s">
        <v>72</v>
      </c>
      <c r="C49" s="119"/>
      <c r="D49" s="119"/>
      <c r="E49" s="119"/>
      <c r="F49" s="119"/>
      <c r="G49" s="119"/>
      <c r="H49" s="119"/>
      <c r="I49" s="119"/>
      <c r="J49" s="119"/>
      <c r="K49" s="119"/>
      <c r="L49" s="119"/>
      <c r="M49" s="119"/>
      <c r="N49" s="120"/>
    </row>
    <row r="50" spans="2:14" ht="25.8" x14ac:dyDescent="0.35">
      <c r="C50" s="15" t="s">
        <v>41</v>
      </c>
    </row>
    <row r="51" spans="2:14" ht="25.8" x14ac:dyDescent="0.35">
      <c r="C51" s="15" t="s">
        <v>42</v>
      </c>
    </row>
    <row r="52" spans="2:14" ht="25.8" x14ac:dyDescent="0.35">
      <c r="C52" s="15" t="s">
        <v>43</v>
      </c>
    </row>
    <row r="53" spans="2:14" ht="25.8" x14ac:dyDescent="0.35">
      <c r="C53" s="15" t="s">
        <v>44</v>
      </c>
    </row>
    <row r="54" spans="2:14" ht="25.8" x14ac:dyDescent="0.35">
      <c r="C54" s="15" t="s">
        <v>45</v>
      </c>
    </row>
  </sheetData>
  <mergeCells count="12">
    <mergeCell ref="B49:N49"/>
    <mergeCell ref="B1:N4"/>
    <mergeCell ref="F8:G8"/>
    <mergeCell ref="F9:G9"/>
    <mergeCell ref="G19:I19"/>
    <mergeCell ref="B22:N22"/>
    <mergeCell ref="B30:N30"/>
    <mergeCell ref="B31:N31"/>
    <mergeCell ref="B32:N32"/>
    <mergeCell ref="B33:N33"/>
    <mergeCell ref="B47:N47"/>
    <mergeCell ref="B48:N48"/>
  </mergeCells>
  <dataValidations count="11">
    <dataValidation type="list" allowBlank="1" showInputMessage="1" showErrorMessage="1" sqref="K21" xr:uid="{4E9B378D-B8C4-4220-8E56-8AD194A553BE}">
      <formula1>"ADCB,ADCB PAY IN 2027,Ajman Bank,ADIB,DIB EXPAT,DIB LOCAL GVH,Emirates NBD,EIB,FAB,RAK,SIB STL,SIB NON STL"</formula1>
    </dataValidation>
    <dataValidation type="list" allowBlank="1" showInputMessage="1" showErrorMessage="1" sqref="D5" xr:uid="{CD509C4F-E59D-45BB-BAF5-75D7F0341244}">
      <formula1>"MIG09,MIG10,ATG16,ATP16,ATG17,ASG48,ASG43,ASG40,ASG42,ASG44,ASG45,ECG38,ECG37,ECG40,ECG43,XPML,XPHL,XPMLP, XPMLP-01, XC,OTF03,OTP03,OTF06,OTP06, OTP06-01,OTF08, OTP08,MOP57,MOG64,MOG59,MOG59P,MOG61,MOP61"</formula1>
    </dataValidation>
    <dataValidation type="list" allowBlank="1" showInputMessage="1" showErrorMessage="1" sqref="M21" xr:uid="{E6090EB8-29EC-4B34-AFCD-734CDFDE4C85}">
      <formula1>"3000-4999,5000-9999,10000-14999,15000-24999,25000-34999,35000-99999,5000-11999,12000-19999,20000-39999,40000-69999,70000-99999"</formula1>
    </dataValidation>
    <dataValidation type="list" allowBlank="1" showInputMessage="1" showErrorMessage="1" sqref="K20" xr:uid="{65EFC87E-CACA-47C0-9B1A-C4CF01622756}">
      <formula1>"Esaad,Emirates Platinum,Fazaa,Humat Alwatan,Permissible,ASX,XPMLP,XP,MON,MON G57,OUT,F08,P08,F06,P06,F03,P03,EC,G37,G38,G40,G43"</formula1>
    </dataValidation>
    <dataValidation type="list" allowBlank="1" showInputMessage="1" showErrorMessage="1" sqref="L19:L20 L24:L25 G14:G15 C10:C16 L10 J10" xr:uid="{C80A9931-8673-43CB-BF01-259C02B7E0B3}">
      <formula1>"YES,NO"</formula1>
    </dataValidation>
    <dataValidation type="list" allowBlank="1" showInputMessage="1" showErrorMessage="1" sqref="K24" xr:uid="{92821129-D88E-4C16-8FFA-4F5E9C621E28}">
      <formula1>"RMC-10-70K,RMC-10-100000K,RMC-40-70K"</formula1>
    </dataValidation>
    <dataValidation type="list" allowBlank="1" showInputMessage="1" showErrorMessage="1" sqref="B16" xr:uid="{A8B7C1D4-113C-49CC-839A-11BEF241C546}">
      <formula1>"RMC-10-40KMS,RMC-10-60KMS,RMC-10-70KMS,RMC-10-100000KMS,RMC-40-70KMS,RMC-40-100000KMS"</formula1>
    </dataValidation>
    <dataValidation type="list" allowBlank="1" showInputMessage="1" showErrorMessage="1" sqref="B12" xr:uid="{32B29E5A-4610-4004-8909-A9AC110CA4FE}">
      <formula1>"FO Exterior ceramic All Cars SCOTCHGUARD,FO Mirror Camera Sensor,FO PPF Gold Package "</formula1>
    </dataValidation>
    <dataValidation type="list" allowBlank="1" showInputMessage="1" showErrorMessage="1" sqref="B11" xr:uid="{8F472D8C-A7E0-4D16-868A-9479AD1D4E25}">
      <formula1>"FO Ceramic+ Intr&amp;Extr CeramicGold WdwTnt,FO Mirror Camera Sensor"</formula1>
    </dataValidation>
    <dataValidation type="list" allowBlank="1" showInputMessage="1" showErrorMessage="1" sqref="M34" xr:uid="{C2B4565C-11D8-4E8F-A40C-92F3E2E6B1CD}">
      <formula1>"Alaa,Bachir ,Khaled,Ramy,Simon,Mharen,Ranjith,Jihan,Praveen,Sujith,Mossallem"</formula1>
    </dataValidation>
    <dataValidation type="list" allowBlank="1" showInputMessage="1" showErrorMessage="1" sqref="H34" xr:uid="{7308359E-C2F6-4A23-849A-95931FF67583}">
      <formula1>"ALAA HAMMAD,KHALED QASSEM,RAMY RAOUF,SIMON LOBO,MHAREN CLEMENTE GARADO"</formula1>
    </dataValidation>
  </dataValidations>
  <pageMargins left="0.23622047244094491" right="0.23622047244094491" top="0.74803149606299213" bottom="0.74803149606299213" header="0.31496062992125984" footer="0.31496062992125984"/>
  <pageSetup paperSize="9" scale="37" orientation="landscape" horizontalDpi="4294967295" verticalDpi="4294967295"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133AE4-E009-4F51-89E7-FEF42389F262}">
  <sheetPr>
    <pageSetUpPr fitToPage="1"/>
  </sheetPr>
  <dimension ref="A1:AB54"/>
  <sheetViews>
    <sheetView topLeftCell="B1" zoomScaleNormal="100" workbookViewId="0">
      <selection activeCell="D5" sqref="D5"/>
    </sheetView>
  </sheetViews>
  <sheetFormatPr defaultColWidth="9.109375" defaultRowHeight="20.399999999999999" x14ac:dyDescent="0.35"/>
  <cols>
    <col min="1" max="1" width="16" style="1" hidden="1" customWidth="1"/>
    <col min="2" max="2" width="75.5546875" style="2" customWidth="1"/>
    <col min="3" max="3" width="25.5546875" style="3" customWidth="1"/>
    <col min="4" max="4" width="25.33203125" style="2" customWidth="1"/>
    <col min="5" max="5" width="22.6640625" style="2" customWidth="1"/>
    <col min="6" max="6" width="21" style="2" customWidth="1"/>
    <col min="7" max="7" width="25" style="2" customWidth="1"/>
    <col min="8" max="8" width="29.44140625" style="2" bestFit="1" customWidth="1"/>
    <col min="9" max="9" width="32.109375" style="2" bestFit="1" customWidth="1"/>
    <col min="10" max="10" width="22" style="2" customWidth="1"/>
    <col min="11" max="11" width="23.33203125" style="2" customWidth="1"/>
    <col min="12" max="12" width="31" style="2" customWidth="1"/>
    <col min="13" max="13" width="23.5546875" style="2" customWidth="1"/>
    <col min="14" max="14" width="21.109375" style="2" customWidth="1"/>
    <col min="15" max="15" width="14.44140625" style="83" bestFit="1" customWidth="1"/>
    <col min="16" max="16" width="21.6640625" style="83" hidden="1" customWidth="1"/>
    <col min="17" max="17" width="14.33203125" style="86" hidden="1" customWidth="1"/>
    <col min="18" max="18" width="12.88671875" style="86" hidden="1" customWidth="1"/>
    <col min="19" max="19" width="13" style="86" hidden="1" customWidth="1"/>
    <col min="20" max="20" width="17.109375" style="86" hidden="1" customWidth="1"/>
    <col min="21" max="21" width="21.5546875" style="86" customWidth="1"/>
    <col min="22" max="22" width="22.88671875" style="86" customWidth="1"/>
    <col min="23" max="26" width="17.109375" style="86" bestFit="1" customWidth="1"/>
    <col min="27" max="27" width="15" style="86" customWidth="1"/>
    <col min="28" max="28" width="14.33203125" style="86" bestFit="1" customWidth="1"/>
    <col min="29" max="16384" width="9.109375" style="1"/>
  </cols>
  <sheetData>
    <row r="1" spans="1:28" ht="15.75" customHeight="1" x14ac:dyDescent="0.35">
      <c r="B1" s="121" t="s">
        <v>46</v>
      </c>
      <c r="C1" s="122"/>
      <c r="D1" s="122"/>
      <c r="E1" s="122"/>
      <c r="F1" s="122"/>
      <c r="G1" s="122"/>
      <c r="H1" s="122"/>
      <c r="I1" s="122"/>
      <c r="J1" s="122"/>
      <c r="K1" s="122"/>
      <c r="L1" s="122"/>
      <c r="M1" s="122"/>
      <c r="N1" s="123"/>
    </row>
    <row r="2" spans="1:28" ht="15.75" customHeight="1" x14ac:dyDescent="0.35">
      <c r="B2" s="124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6"/>
      <c r="Q2" s="83"/>
      <c r="S2" s="87"/>
    </row>
    <row r="3" spans="1:28" ht="15.75" customHeight="1" x14ac:dyDescent="0.35">
      <c r="B3" s="124"/>
      <c r="C3" s="125"/>
      <c r="D3" s="125"/>
      <c r="E3" s="125"/>
      <c r="F3" s="125"/>
      <c r="G3" s="125"/>
      <c r="H3" s="125"/>
      <c r="I3" s="125"/>
      <c r="J3" s="125"/>
      <c r="K3" s="125"/>
      <c r="L3" s="125"/>
      <c r="M3" s="125"/>
      <c r="N3" s="126"/>
      <c r="O3" s="82"/>
      <c r="P3" s="82"/>
      <c r="Q3" s="81"/>
      <c r="R3" s="81"/>
      <c r="S3" s="88" t="e">
        <f>N7+J14</f>
        <v>#VALUE!</v>
      </c>
      <c r="T3" s="88"/>
      <c r="U3" s="81"/>
      <c r="V3" s="81"/>
      <c r="W3" s="81"/>
      <c r="AA3" s="86">
        <f>273000/5</f>
        <v>54600</v>
      </c>
    </row>
    <row r="4" spans="1:28" ht="15.75" customHeight="1" x14ac:dyDescent="0.4">
      <c r="B4" s="127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9"/>
      <c r="O4" s="89" t="s">
        <v>0</v>
      </c>
      <c r="P4" s="89"/>
      <c r="Q4" s="90"/>
      <c r="R4" s="90"/>
      <c r="S4" s="91"/>
      <c r="T4" s="91"/>
      <c r="U4" s="90" t="s">
        <v>1</v>
      </c>
      <c r="V4" s="90" t="s">
        <v>2</v>
      </c>
      <c r="W4" s="90" t="s">
        <v>3</v>
      </c>
    </row>
    <row r="5" spans="1:28" ht="25.2" thickBot="1" x14ac:dyDescent="0.45">
      <c r="B5" s="17">
        <f ca="1">TODAY()</f>
        <v>46215</v>
      </c>
      <c r="C5" s="18" t="str">
        <f>IF(D5="MIG09","Mirage G09",IF(D5="MIG10","MirageG10",IF(D5="ATG16","Attrage G16",IF(D5="ATP16","Attrage P16",IF(D5="ATG17","Attrage G17",IF(D5="ASG48","ASX G48",IF(D5="ASG43","ASX G43", IF(D5="ASG40","ASXG40",IF(D5="ASG42","ASX G42",IF(D5="ASG44","ASX G44",IF(D5="ASG45","ASX G45",IF(D5="ECG38","Eclipse G38",IF(D5="ECG37","Eclipse G37",IF(D5="ECG40","Eclipse G40",IF(D5="ECG43","Eclipse G43",IF(D5="XPML","Xpander ML",IF(D5="XPHL","Xpander HL",IF(D5="XPMLP","Xpander ML P",IF(D5="XPMLP-01","Xpander ML P-01",IF(D5="XC","Xpander Cross", IF(D5="OTF03","Outlander F03",IF(D5="OTP03","Outlander P03",IF(D5="OTF06","Outlander F06",IF(D5="OTP06","Outlander P06",IF(D5="OTP06-01","Outlander P06-01",IF(D5="OTF08","Outlander F08",IF(D5="OTP08","Outlander P08P", IF(D5="MOP57","Montero P57",IF(D5="MOG64","Montero G64",IF(D5="MOG59","Montero G59",IF(D5="MOG59P","Montero G59 P",IF(D5="MOG61","Montero G61",IF(D5="MOP61","Montero P61")))))))))))))))))))))))))))))))))</f>
        <v>Eclipse G37</v>
      </c>
      <c r="D5" s="19" t="s">
        <v>98</v>
      </c>
      <c r="E5" s="20" t="s">
        <v>47</v>
      </c>
      <c r="F5" s="21"/>
      <c r="G5" s="21"/>
      <c r="H5" s="21"/>
      <c r="I5" s="22"/>
      <c r="J5" s="23"/>
      <c r="K5" s="24">
        <v>0</v>
      </c>
      <c r="L5" s="25">
        <v>3.39E-2</v>
      </c>
      <c r="M5" s="25">
        <v>6.7799999999999999E-2</v>
      </c>
      <c r="N5" s="25">
        <v>0.1017</v>
      </c>
      <c r="O5" s="92">
        <f>K7+K14</f>
        <v>8892.6609612425</v>
      </c>
      <c r="S5" s="87"/>
      <c r="U5" s="87">
        <f>L7+L14</f>
        <v>3623.535309709514</v>
      </c>
      <c r="V5" s="87">
        <f>M7+M14</f>
        <v>2423.9192921112499</v>
      </c>
      <c r="W5" s="87">
        <f>N7+N14</f>
        <v>1679.656812487292</v>
      </c>
    </row>
    <row r="6" spans="1:28" s="5" customFormat="1" ht="128.25" customHeight="1" thickBot="1" x14ac:dyDescent="0.35">
      <c r="A6" s="4" t="s">
        <v>4</v>
      </c>
      <c r="B6" s="26" t="s">
        <v>5</v>
      </c>
      <c r="C6" s="27" t="s">
        <v>6</v>
      </c>
      <c r="D6" s="27" t="s">
        <v>48</v>
      </c>
      <c r="E6" s="27" t="s">
        <v>7</v>
      </c>
      <c r="F6" s="27" t="s">
        <v>8</v>
      </c>
      <c r="G6" s="28" t="s">
        <v>9</v>
      </c>
      <c r="H6" s="28" t="s">
        <v>49</v>
      </c>
      <c r="I6" s="28" t="s">
        <v>10</v>
      </c>
      <c r="J6" s="28" t="s">
        <v>56</v>
      </c>
      <c r="K6" s="28" t="s">
        <v>11</v>
      </c>
      <c r="L6" s="28" t="s">
        <v>12</v>
      </c>
      <c r="M6" s="28" t="s">
        <v>13</v>
      </c>
      <c r="N6" s="28" t="s">
        <v>14</v>
      </c>
      <c r="O6" s="93"/>
      <c r="P6" s="94"/>
      <c r="Q6" s="95"/>
      <c r="R6" s="95"/>
      <c r="S6" s="95"/>
      <c r="T6" s="96"/>
      <c r="U6" s="96">
        <f>N7+L14</f>
        <v>2845.9839108206252</v>
      </c>
      <c r="V6" s="96">
        <f>N7+K14</f>
        <v>7143.1703137425002</v>
      </c>
      <c r="W6" s="96"/>
      <c r="X6" s="95"/>
      <c r="Y6" s="95"/>
      <c r="Z6" s="95"/>
      <c r="AA6" s="95"/>
      <c r="AB6" s="95"/>
    </row>
    <row r="7" spans="1:28" ht="25.2" thickBot="1" x14ac:dyDescent="0.45">
      <c r="A7" s="6">
        <f>B8</f>
        <v>70900</v>
      </c>
      <c r="B7" s="29">
        <f>IF(L20="YES",C8*1,IF(L20="NO",B8*1))</f>
        <v>70900</v>
      </c>
      <c r="C7" s="29">
        <f>B7*5/100</f>
        <v>3545</v>
      </c>
      <c r="D7" s="29">
        <f>B7+C7</f>
        <v>74445</v>
      </c>
      <c r="E7" s="29">
        <f>D17</f>
        <v>12709.532374999999</v>
      </c>
      <c r="F7" s="29">
        <f>(C7)+(D10+D11+D12+D13+D16)*5/100</f>
        <v>3865</v>
      </c>
      <c r="G7" s="30">
        <f>B7+E7+F7</f>
        <v>87474.532374999995</v>
      </c>
      <c r="H7" s="29">
        <f>G7*D20</f>
        <v>17494.906475</v>
      </c>
      <c r="I7" s="29">
        <f>(G7-H7)</f>
        <v>69979.625899999999</v>
      </c>
      <c r="J7" s="30">
        <f>(((I7*D19)*1)+I7)/12</f>
        <v>5976.843215409167</v>
      </c>
      <c r="K7" s="30">
        <f>(((I7*D19)*2)+I7)/24</f>
        <v>3061.0254695758335</v>
      </c>
      <c r="L7" s="30">
        <f>(((I7*D19)*3)+I7)/36</f>
        <v>2089.0862209647221</v>
      </c>
      <c r="M7" s="30">
        <f>(((I7*D19)*4)+I7)/48</f>
        <v>1603.1165966591668</v>
      </c>
      <c r="N7" s="30">
        <f>((((I7*D19)*5)+I7)/60)</f>
        <v>1311.5348220758335</v>
      </c>
      <c r="O7" s="92"/>
      <c r="P7" s="83">
        <f>H7+H16</f>
        <v>18229.692546949998</v>
      </c>
      <c r="T7" s="87">
        <f>25973/2</f>
        <v>12986.5</v>
      </c>
    </row>
    <row r="8" spans="1:28" ht="24.6" x14ac:dyDescent="0.4">
      <c r="A8" s="7">
        <v>0.2</v>
      </c>
      <c r="B8" s="31">
        <f>IF(D5="MIG09",39900,IF(D5="MIG10",40400,IF(D5="ATG16",40400,IF(D5="ATP16",49900,IF(D5="ATG17",41900,IF(D5="ASG48",63900,IF(D5="ASG43",62900,IF(D5="ASG40",63900,IF(D5="ASG42",68900,IF(D5="ASG44",89900,IF(D5="ASG45",95900,IF(D5="ECG38",73900,IF(D5="ECG37",70900,IF(D5="ECG40",86900,IF(D5="ECG43",91900,IF(D5="XPML",62900,IF(D5="XPHL",62900,IF(D5="XPMLP",69900,IF(D5="XPMLP-01",77800,IF(D5="XC",77900,IF(D5="OTF03",96900,IF(D5="OTP03",79900,IF(D5="OTF06",92900,IF(D5="OTP06",111900,IF(D5="OTP06-01",118900,IF(D5="OTF08",122900,IF(D5="OTP08",109900,IF(D5="MOP57",99900,IF(D5="MOG64",108900,IF(D5="MOG59",116900,IF(D5="MOG59P",110900,IF(D5="MOG61",127900,IF(D5="MOP61",125900)))))))))))))))))))))))))))))))))</f>
        <v>70900</v>
      </c>
      <c r="C8" s="32">
        <f>IF(L20="YES",N20,IF(L20="NO",N20))</f>
        <v>70900</v>
      </c>
      <c r="D8" s="29">
        <v>0</v>
      </c>
      <c r="E8" s="33"/>
      <c r="F8" s="139"/>
      <c r="G8" s="140"/>
      <c r="H8" s="110">
        <f>G7*20/100</f>
        <v>17494.906475</v>
      </c>
      <c r="I8" s="21"/>
      <c r="J8" s="34" t="s">
        <v>15</v>
      </c>
      <c r="K8" s="23">
        <f>(J7*K5+J7)/24</f>
        <v>249.03513397538197</v>
      </c>
      <c r="L8" s="23">
        <f>(J7*L5+J7)/36</f>
        <v>171.65161667809829</v>
      </c>
      <c r="M8" s="23">
        <f>(J7*M5+J7)/48</f>
        <v>132.95985802945643</v>
      </c>
      <c r="N8" s="23">
        <f>(J7*N5+J7)/60</f>
        <v>109.74480284027132</v>
      </c>
      <c r="O8" s="92"/>
      <c r="P8" s="83">
        <f>P7/12</f>
        <v>1519.1410455791665</v>
      </c>
      <c r="T8" s="86">
        <f>25973-12973</f>
        <v>13000</v>
      </c>
    </row>
    <row r="9" spans="1:28" ht="24.6" x14ac:dyDescent="0.4">
      <c r="A9" s="8">
        <f>B8/(100%-A8)</f>
        <v>88625</v>
      </c>
      <c r="B9" s="109">
        <f>B7-B8</f>
        <v>0</v>
      </c>
      <c r="C9" s="35"/>
      <c r="D9" s="36"/>
      <c r="E9" s="33"/>
      <c r="F9" s="139"/>
      <c r="G9" s="140"/>
      <c r="H9" s="33"/>
      <c r="I9" s="37" t="s">
        <v>16</v>
      </c>
      <c r="J9" s="38">
        <f>(J7*12)-(I7)</f>
        <v>1742.4926849100011</v>
      </c>
      <c r="K9" s="38">
        <f>(K7*24)-I7</f>
        <v>3484.9853698200022</v>
      </c>
      <c r="L9" s="38">
        <f>(L7*36)-I7</f>
        <v>5227.4780547300034</v>
      </c>
      <c r="M9" s="38">
        <f>(M7*48)-I7</f>
        <v>6969.9707396400045</v>
      </c>
      <c r="N9" s="38">
        <f>(N7*60)-I7</f>
        <v>8712.4634245500056</v>
      </c>
      <c r="O9" s="92"/>
      <c r="T9" s="86">
        <f>T8/12</f>
        <v>1083.3333333333333</v>
      </c>
      <c r="Z9" s="86" t="s">
        <v>86</v>
      </c>
    </row>
    <row r="10" spans="1:28" ht="24.6" x14ac:dyDescent="0.4">
      <c r="A10" s="8"/>
      <c r="B10" s="37" t="s">
        <v>50</v>
      </c>
      <c r="C10" s="20" t="s">
        <v>17</v>
      </c>
      <c r="D10" s="36">
        <f>IF(C10="YES",800,IF(C10="NO",0))</f>
        <v>0</v>
      </c>
      <c r="E10" s="39"/>
      <c r="F10" s="40"/>
      <c r="G10" s="40"/>
      <c r="H10" s="33"/>
      <c r="I10" s="44" t="s">
        <v>85</v>
      </c>
      <c r="J10" s="117" t="s">
        <v>19</v>
      </c>
      <c r="K10" s="117">
        <f>IF(J10="YES",Z10,IF(J10="NO",0))</f>
        <v>1000</v>
      </c>
      <c r="L10" s="117"/>
      <c r="M10" s="117"/>
      <c r="N10" s="41">
        <f>(N8*60)-J7</f>
        <v>607.84495500711182</v>
      </c>
      <c r="O10" s="92">
        <f>IF(D5="XC",3690,IF(D5="XPML",3690,IF(D5="XPHL",3690,IF(D5="XPMLP",3690,IF(D5="XPMLP-01",3690,IF(D5="Xpander P",3690,IF(D5="MOP57",(U19*2.75/100+510)*1.05,IF(D5="MOG64",(U19*2.75/100+510)*1.05,IF(D5="MOG59",(U19*2.75/100+510)*1.05,IF(D5="MOG59P",(U19*2.75/100+510)*1.05,IF(D5="MOG61",(U19*2.75/100+510)*1.05,IF(D5="MOP61",(U19*2.75/100+510)*1.05,IF(D5="OTF03",(D7*3/100+510)*1.05,IF(D5="OTP03",(U19*3/100+510)*1.05,IF(D5="OTF06",(U19*3/100+510)*1.05,IF(D5="OTP06",(U19*3/100+510)*1.05,IF(D5="OTP06-01",(U19*3/100+510)*1.05,IF(D5="OTF08",(U19*3/100+510)*1.05,IF(D5="OTP08",(U19*3/100+510)*1.05,IF(D5="ECG38",3625,IF(D5="ECG37",3625,IF(D5="ECG40",(D7*3/100+510)*1.05,IF(D5="ECG43",(D7*3/100+510)*1.05,IF(D5="ASG48",3625,IF(D5="ASG43",3625,IF(D5="ASG40",3625,IF(D5="ASG42",3625,IF(D5="ASG44",3625,IF(D5="ASG45",3625,IF(D5="ASX HL 4WD",3625,IF(D5="ATG16",3625,IF(D5="ATG17",3625,IF(D5="ATP16",3625,IF(D5="Attrage S",3625,IF(D5="MIG09",3625,IF(D5="MIG10",3625,IF(D5="Xpander HL",3690)))))))))))))))))))))))))))))))))))))</f>
        <v>3625</v>
      </c>
      <c r="P10" s="97"/>
      <c r="Q10" s="97">
        <f>5.25*3</f>
        <v>15.75</v>
      </c>
      <c r="Z10" s="86">
        <f>IF(D5="MIG09",500,IF(D5="MIG10",500,IF(D5="ATG16",500,IF(D5="ATP16",500,IF(D5="ATG17",500,IF(D5="ASG48",1000,IF(D5="ASG43",1000,IF(D5="ASG40",1000,IF(D5="ASG42",1000,IF(D5="ASG44",1000,IF(D5="ASG45",1000,IF(D5="ECG38",1000,IF(D5="ECG37",1000,IF(D5="ECG40",1000,IF(D5="ECG43",1000,IF(D5="XPML",1000,IF(D5="XPHL",1000,IF(D5="XPMLP",1000,IF(D5="XPMLP-01",1000,IF(D5="XC",1000,IF(D5="OTF03",1000,IF(D5="OTP03",1000,IF(D5="OTF06",1000,IF(D5="OTP06",1000,IF(D5="OTP06-01",1000,IF(D5="OTF08",1000,IF(D5="OTP08",1000,IF(D5="MOP57",1000,IF(D5="MOG64",1000,IF(D5="MOG59",1000,IF(D5="MOG59P",1000,IF(D5="MOG61",1000,IF(D5="MOP61",1000)))))))))))))))))))))))))))))))))</f>
        <v>1000</v>
      </c>
    </row>
    <row r="11" spans="1:28" ht="24.6" x14ac:dyDescent="0.4">
      <c r="A11" s="8"/>
      <c r="B11" s="37" t="s">
        <v>18</v>
      </c>
      <c r="C11" s="20" t="s">
        <v>17</v>
      </c>
      <c r="D11" s="36">
        <f>IF(C11="YES",O17,IF(C11="NO",0))</f>
        <v>0</v>
      </c>
      <c r="E11" s="33"/>
      <c r="F11" s="40"/>
      <c r="G11" s="40"/>
      <c r="H11" s="33"/>
      <c r="I11" s="21"/>
      <c r="J11" s="44" t="s">
        <v>76</v>
      </c>
      <c r="K11" s="44">
        <f>H8-K10</f>
        <v>16494.906475</v>
      </c>
      <c r="L11" s="37"/>
      <c r="M11" s="37"/>
      <c r="N11" s="42"/>
      <c r="O11" s="92">
        <f>IF(D5="XC",6100,IF(D5="XPML",6100,IF(D5="XPHL",6100,IF(D5="XPMLP",6100,IF(D5="XPMLP-01",6100,IF(D5="Xpander P",6100,IF(D5="MOP57",5900,IF(D5="MOG64",5900,IF(D5="MOG59",5900,IF(D5="MOG59P",5900,IF(D5="MOG61",5900,IF(D5="MOP61",5900,IF(D5="OTF03",6700,IF(D5="OTP03",6700,IF(D5="OTF06",6700,IF(D5="OTP06",6700,IF(D5="OTP06-01",6700,IF(D5="OTF08",6700,IF(D5="OTP08",6700,IF(D5="ECG37",6400,IF(D5="ECG38",6400,IF(D5="ECG40",6400,IF(D5="ECG43",6400,IF(D5="ASG48",6600,IF(D5="ASG43",6600,IF(D5="ASG40",6600,IF(D5="ASG42",6600,IF(D5="ASG44",6600,IF(D5="ASG45",6600,IF(D5="ASX HL 4WD",6600,IF(D5="ATG16",5400,IF(D5="ATG17",5400,IF(D5="ATP16",5400,IF(D5="Attrage S",5400,IF(D5="MIG09",5400,IF(D5="MIG10",5400,IF(D5="Xpander HL",6000)))))))))))))))))))))))))))))))))))))</f>
        <v>6400</v>
      </c>
      <c r="P11" s="92"/>
      <c r="Q11" s="92"/>
      <c r="R11" s="92"/>
      <c r="S11" s="92"/>
      <c r="T11" s="92"/>
      <c r="U11" s="92">
        <f>IF(D5="XC",4900,IF(D5="XPML",4900,IF(D5="XPHL",4900,IF(D5="XPMLP",4900,IF(D5="XPMLP-01",4900,IF(D5="Xpander P",4900,IF(D5="MOP57",4600,IF(D5="MOG64",4600,IF(D5="MOG59",4600,IF(D5="MOG59P",4600,IF(D5="MOG61",4600,IF(D5="MOP61",4600,IF(D5="OTF03",5500,IF(D5="OTP03",5500,IF(D5="OTF06",5500,IF(D5="OTP06",5500,IF(D5="OTP06-01",5500,IF(D5="OTF08",5500,IF(D5="OTP08",5500,IF(D5="ECG38",5200,IF(D5="ECG37",5200,IF(D5="ECG40",5200,IF(D5="ECG43",5200,IF(D5="ASG48",5300,IF(D5="ASG43",5300,IF(D5="ASG40",5300,IF(D5="ASG42",5300,IF(D5="ASG44",5300,IF(D5="ASG45",5300,IF(D5="ASX HL",5300,IF(D5="ASX P",5300,IF(D5="ASX HL 4WD",5300,IF(D5="ATG16",4200,IF(D5="ATG17",4200,IF(D5="ATP16",4200,IF(D5="Attrage S",4200,IF(D5="MIG09",4200,IF(D5="MIG10",4200,IF(D5="Xpander HL",4900)))))))))))))))))))))))))))))))))))))))</f>
        <v>5200</v>
      </c>
      <c r="V11" s="92">
        <f>IF(D5="XC",9700,IF(D5="XPML",9700,IF(D5="XPHL",9700,IF(D5="XPMLP",9700,IF(D5="XPMLP-01",9700,IF(D5="XPMLP-01",9700,IF(D5="Xpander P",9700,IF(D5="MOP57",9300,IF(D5="MG64",9300,IF(D5="MOG59",9300,IF(D5="MOG59P",9300,IF(D5="MOG61",9300,IF(D5="MOP61",9300,IF(D5="OTF03",11000,IF(D5="OTP03",11000,IF(D5="OTF06",11000,IF(D5="OTP06",11000,IF(D5="OTP06-01",11000,IF(D5="OTF08",11000,IF(D5="OTP08",11000,IF(D5="ECG38",10400,IF(D5="ECG37",10400,IF(D5="ECG40",10400,IF(D5="ECG43",10400,IF(D5="ASG48",10700,IF(D5="ASG43",10700,IF(D5="ASG40",10700,IF(D5="ASG42",10700,IF(D5="ASG44",10800,IF(D5="ASG45",10800,IF(D5="ASX HL",12200,IF(D5="ASX P",12200,IF(D5="ASX HL 4WD",12200,IF(D5="ATG16",8500,IF(D5="ATG17",8500,IF(D5="ATP16",8500,IF(D5="Attrage S",9600,IF(D5="MIG09",8500,IF(D5="MIG10",8500,IF(D5="Xpander HL",11300))))))))))))))))))))))))))))))))))))))))</f>
        <v>10400</v>
      </c>
      <c r="W11" s="92">
        <f>IF(D5="XC",9200,IF(D5="XPML",9200,IF(D5="XPHL",9200,IF(D5="XPMLP",9200,IF(D5="XPMLP-01",9200,IF(D5="Xpander P",9200,IF(D5="MOP57",8700,IF(D5="MOG64",8700,IF(D5="MOG59",8700,IF(D5="MOG59P",8700,IF(D5="MOG61",8700,IF(D5="MOP61",8700,IF(D5="OTF03",10400,IF(D5="OTP03",10400,IF(D5="OTF06",10400,IF(D5="OTP06",10400,IF(D5="OTP06-01",10400,IF(D5="OTF08",10400,IF(D5="OTP08",10400,IF(D5="ECG38",9800,IF(D5="ECG37",9800,IF(D5="ECG40",9800,IF(D5="ECG43",9800,IF(D5="ASG48",10100,IF(D5="ASG43",10100,IF(D5="ASG40",10100,IF(D5="ASG42",10100,IF(D5="ASG44",10100,IF(D5="ASG45",10100,IF(D5="ASX HL",10100,IF(D5="ASX P",10100,IF(D5="ASX HL 4WD",10100,IF(D5="ATG16",7900,IF(D5="ATG17",7900,IF(D5="ATP16",7900,IF(D5="Attrage S",7900,IF(D5="MIG09",7900,IF(D5="MIG10",7900,IF(D5="Xpander HL",9200)))))))))))))))))))))))))))))))))))))))</f>
        <v>9800</v>
      </c>
      <c r="X11" s="92">
        <f>IF(D5="XC",4500,IF(D5="XPML",4500,IF(D5="XPHL",4500,IF(D5="XPMLP",4500,IF(D5="XPMLP-01",4500,IF(D5="Xpander P",4500,IF(D5="MOP57",4300,IF(D5="MOG64",4300,IF(D5="MOG59",4300,IF(D5="MOG59P",4300,IF(D5="MOG61",4300,IF(D5="MOP61",4300,IF(D5="OTF03",5000,IF(D5="OTP03",5000,IF(D5="OTF06",5000,IF(D5="OTP06",5000,IF(D5="OTP06-01",5000,IF(D5="OTF08",5000,IF(D5="OTP08",5000,IF(D5="ECG38",4900,IF(D5="ECG37",4900,IF(D5="ECG40",4900,IF(D5="ECG43",4900,IF(D5="ASG48",4900,IF(D5="ASG43",4900,IF(D5="ASG40",4900,IF(D5="ASG42",4900,IF(D5="ASG44",4900,IF(D5="ASG45",4900,IF(D5="ASX HL",4900,IF(D5="ASX P",4900,IF(D5="ASX HL 4WD",4900,IF(D5="ATG16",3700,IF(D5="ATG17",3700,IF(D5="ATP16",3700,IF(D5="Attrage S",3700,IF(D5="MIG09",3700,IF(D5="MIG10",3700,IF(D5="Xpander HL",4500)))))))))))))))))))))))))))))))))))))))</f>
        <v>4900</v>
      </c>
      <c r="Y11" s="92">
        <f>IF(D5="XC",5400,IF(D5="XPML ",5400,IF(D5="XPHL",5400,IF(D5="XPMLP",5400,IF(D5="XPMLP-01",5400,IF(D5="Xpander P",5400,IF(D5="MOP57",5200,IF(D5="MOG64",5200,IF(D5="MOG59",5200,IF(D5="MOG59P",5200,IF(D5="MOG61",5200,IF(D5="MOP61",5200,IF(D5="OTF03",6000,IF(D5="OTP03",6000,IF(D5="OTF06",6000,IF(D5="OTP06",6000,IF(D5="OTP06-01",6000,IF(D5="OTF08",6000,IF(D5="OTP08",6000,IF(D5="ECG38",5700,IF(D5="ECG37",5700,IF(D5="ECG40",5700,IF(D5="ECG43",5700,IF(D5="ASG48",5900,IF(D5="ASG43",5900,IF(D5="ASG40",5900,IF(D5="ASG42",5900,IF(D5="ASG44",5900,IF(D5="ASG45",5900,IF(D5="ASX HL",5900,IF(D5="ASX P",5900,IF(D5="ASX HL 4WD",5900,IF(D5="ATG16",4500,IF(D5="ATG17",4500,IF(D5="ATP16",4500,IF(D5="Attrage S",4500,IF(D5="MIG09",4500,IF(D5="MIG10",4500,IF(D5="Xpander HL",5400)))))))))))))))))))))))))))))))))))))))</f>
        <v>5700</v>
      </c>
    </row>
    <row r="12" spans="1:28" ht="24.75" customHeight="1" x14ac:dyDescent="0.4">
      <c r="A12" s="8"/>
      <c r="B12" s="37" t="s">
        <v>20</v>
      </c>
      <c r="C12" s="20" t="s">
        <v>17</v>
      </c>
      <c r="D12" s="36">
        <f>IF(C12="YES",2000,IF(C12="NO",0))</f>
        <v>0</v>
      </c>
      <c r="E12" s="43"/>
      <c r="F12" s="43" t="s">
        <v>21</v>
      </c>
      <c r="G12" s="40"/>
      <c r="H12" s="33">
        <v>600</v>
      </c>
      <c r="I12" s="21"/>
      <c r="J12" s="44" t="s">
        <v>22</v>
      </c>
      <c r="K12" s="45">
        <v>0</v>
      </c>
      <c r="L12" s="45">
        <v>5.2499999999999998E-2</v>
      </c>
      <c r="M12" s="45">
        <v>0.126</v>
      </c>
      <c r="N12" s="46">
        <v>0.26250000000000001</v>
      </c>
      <c r="O12" s="92">
        <f>IF(K20="Esaad",B8*3/100,IF(K20="Emirates Platinum",B8*3/100,IF(K20="Fazaa",B8*3/100,IF(K20="Humat Alwatan",B8*3/100,IF(K20="Permissible",2000,IF(K20="ASX",8400,IF(K20="XPMLP",4000,IF(K20="XP",14100,IF(K20="G43",11000,IF(K20="EC",7000,IF(K20="G37",14000,IF(K20="G38",15000,IF(K20="G40",11000,IF(K20="OUT",9600,IF(K20="F08",15400,IF(K20="P08",11100,IF(K20="F06",14100,IF(K20="P06",17100,IF(K20="F03",17000,IF(K20="P03",19100,IF(K20="MON",10000,IF(K20="MON G57",10000,0))))))))))))))))))))))</f>
        <v>2000</v>
      </c>
      <c r="P12" s="92"/>
      <c r="Q12" s="92"/>
      <c r="R12" s="92"/>
      <c r="S12" s="92"/>
      <c r="T12" s="92"/>
      <c r="U12" s="92"/>
      <c r="V12" s="92"/>
      <c r="W12" s="92"/>
      <c r="X12" s="92"/>
      <c r="Y12" s="92"/>
      <c r="Z12" s="86" t="s">
        <v>83</v>
      </c>
      <c r="AA12" s="86" t="s">
        <v>84</v>
      </c>
    </row>
    <row r="13" spans="1:28" ht="24.6" x14ac:dyDescent="0.4">
      <c r="A13" s="8">
        <f>B8*1.26582</f>
        <v>89746.637999999992</v>
      </c>
      <c r="B13" s="37" t="s">
        <v>23</v>
      </c>
      <c r="C13" s="20" t="s">
        <v>17</v>
      </c>
      <c r="D13" s="36">
        <f>IF(C13="YES",2000,IF(C13="NO",0))</f>
        <v>0</v>
      </c>
      <c r="E13" s="47"/>
      <c r="F13" s="47" t="s">
        <v>75</v>
      </c>
      <c r="G13" s="40"/>
      <c r="H13" s="33">
        <v>315</v>
      </c>
      <c r="I13" s="21"/>
      <c r="J13" s="44" t="s">
        <v>54</v>
      </c>
      <c r="K13" s="29" t="s">
        <v>79</v>
      </c>
      <c r="L13" s="29" t="s">
        <v>25</v>
      </c>
      <c r="M13" s="29" t="s">
        <v>0</v>
      </c>
      <c r="N13" s="49" t="s">
        <v>26</v>
      </c>
      <c r="O13" s="98">
        <f>IF(M21="3000-4999",6%,IF(M21="5000-9999",4.75%,IF(M21="10000-14999",3.15%,IF(M21="15000-24999",2.5%,IF(M21="25000-34999",2.25%,IF(M21="35000-99999",2.25%))))))</f>
        <v>4.7500000000000001E-2</v>
      </c>
      <c r="Q13" s="83">
        <f>H7/12</f>
        <v>1457.9088729166667</v>
      </c>
      <c r="U13" s="9">
        <f>IF(M21="3000-4999",6%,IF(M21="5000-9999",3.25%,IF(M21="10000-14999",3%,IF(M21="15000-24999",2.25%,IF(M21="25000-34999",2.15%,IF(M21="35000-99999",1.99%))))))</f>
        <v>3.2500000000000001E-2</v>
      </c>
      <c r="Z13" s="99">
        <f>IF(M21="5000-9999",2.49%,IF(M21="10000-19999",2.19%,IF(M21="20000-34999",2.09%,IF(M21="35000-49999",1.89%,IF(M21="50000-99999",1.79%)))))</f>
        <v>2.4900000000000002E-2</v>
      </c>
      <c r="AA13" s="99">
        <f>IF(M21="5000-9999",2.59%,IF(M21="10000-19999",2.29%,IF(M21="20000-34999",2.19%,IF(M21="35000-49999",1.99%,IF(M21="50000-99999",1.89%)))))</f>
        <v>2.5899999999999999E-2</v>
      </c>
    </row>
    <row r="14" spans="1:28" ht="24.6" x14ac:dyDescent="0.4">
      <c r="A14" s="10" t="s">
        <v>27</v>
      </c>
      <c r="B14" s="37" t="s">
        <v>24</v>
      </c>
      <c r="C14" s="20" t="s">
        <v>19</v>
      </c>
      <c r="D14" s="50">
        <f>IF(C14="YES",U19*3.15*1.05/100,IF(C14="NO",U19*0/100))</f>
        <v>2684.5323749999998</v>
      </c>
      <c r="E14" s="48"/>
      <c r="F14" s="48" t="s">
        <v>24</v>
      </c>
      <c r="G14" s="51" t="s">
        <v>17</v>
      </c>
      <c r="H14" s="39">
        <f>IF(G14="YES",U19*3.15*1.05/100,IF(G14="NO",U19*0/100))</f>
        <v>0</v>
      </c>
      <c r="I14" s="21"/>
      <c r="J14" s="44" t="s">
        <v>55</v>
      </c>
      <c r="K14" s="44">
        <f>(H8*K12+H8)/3</f>
        <v>5831.6354916666669</v>
      </c>
      <c r="L14" s="44">
        <f>(H8*L12+H8)/12</f>
        <v>1534.4490887447917</v>
      </c>
      <c r="M14" s="44">
        <f>(H8*M12+H8)/24</f>
        <v>820.8026954520833</v>
      </c>
      <c r="N14" s="52">
        <f>(H7*N12+H7)/60</f>
        <v>368.12199041145834</v>
      </c>
      <c r="O14" s="98">
        <f>IF(M21="3000-4999",3.89%,IF(M21="5000-9999",3.89%,IF(M21="10000-14999",3.89%,IF(M21="15000-24999",2.69%,IF(M21="25000-34999",2.69%,IF(M21="35000-99999",2.39%,IF(M21="76000-99999",2.19%)))))))</f>
        <v>3.8900000000000004E-2</v>
      </c>
    </row>
    <row r="15" spans="1:28" ht="24.6" x14ac:dyDescent="0.4">
      <c r="A15" s="11">
        <f>(B7*3%)+10+120</f>
        <v>2257</v>
      </c>
      <c r="B15" s="37" t="s">
        <v>28</v>
      </c>
      <c r="C15" s="20" t="s">
        <v>19</v>
      </c>
      <c r="D15" s="29">
        <f>IF(C15="YES",O10,IF(C15="NO",0))</f>
        <v>3625</v>
      </c>
      <c r="E15" s="48"/>
      <c r="F15" s="48" t="s">
        <v>53</v>
      </c>
      <c r="G15" s="51" t="s">
        <v>17</v>
      </c>
      <c r="H15" s="39">
        <f>IF(G15="YES",O10,IF(G15="NO",0))</f>
        <v>0</v>
      </c>
      <c r="I15" s="21"/>
      <c r="J15" s="44"/>
      <c r="K15" s="44"/>
      <c r="L15" s="44"/>
      <c r="M15" s="44"/>
      <c r="N15" s="53"/>
      <c r="O15" s="98" t="b">
        <f>IF(M21="3000-4999",4.99%, IF(M21="5000-11999",2.75%,IF(M21="12000-19999",2.75%,IF(M21="20000-39999",2.25%,IF(M21="40000-69999",2.39%,IF(M21="70000-99999",2.25%))))))</f>
        <v>0</v>
      </c>
      <c r="P15" s="99"/>
    </row>
    <row r="16" spans="1:28" ht="24.6" x14ac:dyDescent="0.4">
      <c r="A16" s="11">
        <f>((B7-B8)*3%+10+120)</f>
        <v>130</v>
      </c>
      <c r="B16" s="37" t="s">
        <v>78</v>
      </c>
      <c r="C16" s="20" t="s">
        <v>19</v>
      </c>
      <c r="D16" s="29">
        <f>IF(C16="YES",O16,IF(C16="NO",0))</f>
        <v>6400</v>
      </c>
      <c r="E16" s="47"/>
      <c r="F16" s="47" t="s">
        <v>74</v>
      </c>
      <c r="G16" s="54"/>
      <c r="H16" s="33">
        <f>I7*1.05%</f>
        <v>734.78607195000006</v>
      </c>
      <c r="I16" s="21"/>
      <c r="J16" s="44" t="s">
        <v>16</v>
      </c>
      <c r="K16" s="44">
        <f>(K14*3)-H8</f>
        <v>0</v>
      </c>
      <c r="L16" s="44">
        <f>(L14*12)-H8</f>
        <v>918.48258993749914</v>
      </c>
      <c r="M16" s="44">
        <f>(M14*24)-H8</f>
        <v>2204.3582158499994</v>
      </c>
      <c r="N16" s="53"/>
      <c r="O16" s="92">
        <f>IF(B16="RMC-10-70KMS",O11,IF(B16="RMC-10-100000KMS",V11,IF(B16="RMC-40-70KMS",U11, IF(B16="RMC-10-40KMS",X11, IF(B16="RMC-10-60KMS",Y11, IF(B16="RMC-40-100000KMS",W11,0))))))</f>
        <v>6400</v>
      </c>
    </row>
    <row r="17" spans="1:28" ht="24.6" x14ac:dyDescent="0.4">
      <c r="A17" s="11">
        <f>A15+A16</f>
        <v>2387</v>
      </c>
      <c r="B17" s="37"/>
      <c r="C17" s="20"/>
      <c r="D17" s="29">
        <f>SUM(D10:D16)</f>
        <v>12709.532374999999</v>
      </c>
      <c r="E17" s="33"/>
      <c r="F17" s="33"/>
      <c r="G17" s="33"/>
      <c r="H17" s="33">
        <f>H7+H12+H15+H16</f>
        <v>18829.692546949998</v>
      </c>
      <c r="I17" s="33"/>
      <c r="J17" s="22"/>
      <c r="K17" s="53"/>
      <c r="L17" s="53"/>
      <c r="M17" s="53"/>
      <c r="N17" s="53"/>
      <c r="O17" s="92">
        <f>IF(B11="FO Ceramic+ Intr&amp;Extr CeramicGold WdwTnt",2700,IF(B11="FO Mirror Camera Sensor",2000))</f>
        <v>2700</v>
      </c>
      <c r="T17" s="86">
        <f>19615-791</f>
        <v>18824</v>
      </c>
    </row>
    <row r="18" spans="1:28" ht="24.6" x14ac:dyDescent="0.4">
      <c r="A18" s="12" t="s">
        <v>29</v>
      </c>
      <c r="B18" s="55" t="s">
        <v>30</v>
      </c>
      <c r="C18" s="56"/>
      <c r="D18" s="57">
        <v>0</v>
      </c>
      <c r="E18" s="38"/>
      <c r="F18" s="22"/>
      <c r="G18" s="22"/>
      <c r="H18" s="21"/>
      <c r="I18" s="21"/>
      <c r="J18" s="21"/>
      <c r="K18" s="21"/>
      <c r="L18" s="21"/>
      <c r="M18" s="21"/>
      <c r="N18" s="21"/>
      <c r="O18" s="92"/>
      <c r="U18" s="100" t="s">
        <v>52</v>
      </c>
      <c r="V18" s="100" t="s">
        <v>52</v>
      </c>
    </row>
    <row r="19" spans="1:28" ht="24.6" x14ac:dyDescent="0.4">
      <c r="A19" s="11">
        <f>B8*3.15%</f>
        <v>2233.35</v>
      </c>
      <c r="B19" s="58" t="s">
        <v>31</v>
      </c>
      <c r="C19" s="59"/>
      <c r="D19" s="60">
        <f>IF(K21="DIB EXPAT",O13,IF(K21="DIB LOCAL GVH",U13,IF(K21="Emirates NBD",O14,IF(K21="ADCB",O15,IF(K21="ADCB PAY IN 2027",O19,IF(K21="Ajman Bank",O18,IF(K21="SIB STL",Z13,IF(K21="SIB NON STL",AA13,))))))))</f>
        <v>2.4900000000000002E-2</v>
      </c>
      <c r="E19" s="22"/>
      <c r="F19" s="61"/>
      <c r="G19" s="141" t="s">
        <v>73</v>
      </c>
      <c r="H19" s="142"/>
      <c r="I19" s="143"/>
      <c r="J19" s="109">
        <f>H7/365</f>
        <v>47.931250616438355</v>
      </c>
      <c r="K19" s="21"/>
      <c r="L19" s="21"/>
      <c r="M19" s="21"/>
      <c r="N19" s="23">
        <f>D7</f>
        <v>74445</v>
      </c>
      <c r="O19" s="98" t="b">
        <f>IF(M21="5000-11999",3.35%,IF(M21="12000-19999",3.35%,IF(M21="20000-39999",2.85%,IF(M21="40000-69999",2.85%,IF(M21="70000-99999",2.85%)))))</f>
        <v>0</v>
      </c>
      <c r="P19" s="83">
        <f>81400-2500</f>
        <v>78900</v>
      </c>
      <c r="U19" s="101">
        <f>V19</f>
        <v>81165</v>
      </c>
      <c r="V19" s="102">
        <f>(B7+D10+D11+D12+D13+D16)*1.05</f>
        <v>81165</v>
      </c>
      <c r="X19" s="87">
        <f>G7*3.15*1.05/100</f>
        <v>2893.2201583031251</v>
      </c>
      <c r="Y19" s="87">
        <f>G7*3/100+510*1.05</f>
        <v>3159.7359712499997</v>
      </c>
      <c r="Z19" s="87">
        <f>Y19+X19</f>
        <v>6052.9561295531248</v>
      </c>
      <c r="AA19" s="87">
        <f>(Z19)-(D14+D15)</f>
        <v>-256.57624544687496</v>
      </c>
      <c r="AB19" s="87">
        <f>AA19*1.25</f>
        <v>-320.7203068085937</v>
      </c>
    </row>
    <row r="20" spans="1:28" ht="24.6" x14ac:dyDescent="0.4">
      <c r="A20" s="11"/>
      <c r="B20" s="58" t="s">
        <v>32</v>
      </c>
      <c r="C20" s="62"/>
      <c r="D20" s="63">
        <v>0.2</v>
      </c>
      <c r="E20" s="21"/>
      <c r="F20" s="21"/>
      <c r="G20" s="42"/>
      <c r="H20" s="42"/>
      <c r="I20" s="42"/>
      <c r="J20" s="103"/>
      <c r="K20" s="104" t="s">
        <v>33</v>
      </c>
      <c r="L20" s="104" t="s">
        <v>17</v>
      </c>
      <c r="M20" s="104">
        <f>IF(L20="YES",O12,IF(L20="NO",0))</f>
        <v>0</v>
      </c>
      <c r="N20" s="23">
        <f>B8-M20</f>
        <v>70900</v>
      </c>
      <c r="O20" s="92"/>
      <c r="P20" s="99"/>
      <c r="T20" s="86">
        <f>1992+1084</f>
        <v>3076</v>
      </c>
      <c r="V20" s="83"/>
      <c r="X20" s="87">
        <f>X19-D14</f>
        <v>208.68778330312534</v>
      </c>
      <c r="Y20" s="87">
        <f>Y19-D15</f>
        <v>-465.26402875000031</v>
      </c>
      <c r="AA20" s="87">
        <f>X20+Y20</f>
        <v>-256.57624544687496</v>
      </c>
    </row>
    <row r="21" spans="1:28" ht="24.6" x14ac:dyDescent="0.4">
      <c r="A21" s="13">
        <f>A19+A20</f>
        <v>2233.35</v>
      </c>
      <c r="B21" s="21"/>
      <c r="C21" s="22"/>
      <c r="D21" s="21"/>
      <c r="E21" s="21"/>
      <c r="F21" s="21"/>
      <c r="G21" s="21"/>
      <c r="H21" s="21"/>
      <c r="I21" s="21"/>
      <c r="J21" s="37" t="s">
        <v>34</v>
      </c>
      <c r="K21" s="16" t="s">
        <v>83</v>
      </c>
      <c r="L21" s="105" t="s">
        <v>35</v>
      </c>
      <c r="M21" s="106" t="s">
        <v>80</v>
      </c>
      <c r="N21" s="111"/>
      <c r="O21" s="92"/>
      <c r="T21" s="86">
        <f>25973-12973</f>
        <v>13000</v>
      </c>
    </row>
    <row r="22" spans="1:28" ht="24.6" x14ac:dyDescent="0.4">
      <c r="A22" s="13"/>
      <c r="B22" s="130" t="s">
        <v>51</v>
      </c>
      <c r="C22" s="131"/>
      <c r="D22" s="131"/>
      <c r="E22" s="131"/>
      <c r="F22" s="131"/>
      <c r="G22" s="131"/>
      <c r="H22" s="131"/>
      <c r="I22" s="131"/>
      <c r="J22" s="131"/>
      <c r="K22" s="131"/>
      <c r="L22" s="131"/>
      <c r="M22" s="131"/>
      <c r="N22" s="132"/>
      <c r="O22" s="92"/>
    </row>
    <row r="23" spans="1:28" ht="25.2" x14ac:dyDescent="0.45">
      <c r="A23" s="14" t="s">
        <v>36</v>
      </c>
      <c r="B23" s="64" t="s">
        <v>57</v>
      </c>
      <c r="C23" s="65"/>
      <c r="D23" s="65"/>
      <c r="E23" s="65"/>
      <c r="F23" s="65"/>
      <c r="G23" s="65"/>
      <c r="H23" s="66"/>
      <c r="I23" s="66"/>
      <c r="J23" s="65"/>
      <c r="K23" s="65"/>
      <c r="L23" s="65"/>
      <c r="M23" s="65"/>
      <c r="N23" s="67"/>
      <c r="O23" s="92">
        <f>N7+K14</f>
        <v>7143.1703137425002</v>
      </c>
    </row>
    <row r="24" spans="1:28" ht="25.2" x14ac:dyDescent="0.45">
      <c r="A24" s="14" t="s">
        <v>36</v>
      </c>
      <c r="B24" s="64" t="s">
        <v>58</v>
      </c>
      <c r="C24" s="65"/>
      <c r="D24" s="65"/>
      <c r="E24" s="65"/>
      <c r="F24" s="65"/>
      <c r="G24" s="65"/>
      <c r="H24" s="85">
        <f>H7/365</f>
        <v>47.931250616438355</v>
      </c>
      <c r="I24" s="85">
        <f>H7/365</f>
        <v>47.931250616438355</v>
      </c>
      <c r="J24" s="65"/>
      <c r="K24" s="65"/>
      <c r="L24" s="65"/>
      <c r="M24" s="65"/>
      <c r="N24" s="68"/>
      <c r="O24" s="92"/>
      <c r="P24" s="83">
        <f>1232+480</f>
        <v>1712</v>
      </c>
      <c r="T24" s="86">
        <f>88704/1.05</f>
        <v>84480</v>
      </c>
    </row>
    <row r="25" spans="1:28" ht="25.2" x14ac:dyDescent="0.45">
      <c r="A25" s="14" t="s">
        <v>36</v>
      </c>
      <c r="B25" s="64" t="s">
        <v>59</v>
      </c>
      <c r="C25" s="65"/>
      <c r="D25" s="65"/>
      <c r="E25" s="65"/>
      <c r="F25" s="65"/>
      <c r="G25" s="65"/>
      <c r="H25" s="66"/>
      <c r="I25" s="85">
        <f>I24*365*3</f>
        <v>52484.719425000003</v>
      </c>
      <c r="J25" s="65"/>
      <c r="K25" s="65"/>
      <c r="L25" s="65"/>
      <c r="M25" s="65"/>
      <c r="N25" s="68"/>
      <c r="O25" s="92"/>
      <c r="Q25" s="86">
        <f>79400-5233.33</f>
        <v>74166.67</v>
      </c>
      <c r="R25" s="86">
        <f>Q25*1.05</f>
        <v>77875.003500000006</v>
      </c>
    </row>
    <row r="26" spans="1:28" ht="25.2" x14ac:dyDescent="0.45">
      <c r="A26" s="14" t="s">
        <v>36</v>
      </c>
      <c r="B26" s="64" t="s">
        <v>60</v>
      </c>
      <c r="C26" s="65"/>
      <c r="D26" s="65"/>
      <c r="E26" s="65"/>
      <c r="F26" s="65"/>
      <c r="G26" s="65"/>
      <c r="H26" s="65"/>
      <c r="I26" s="65"/>
      <c r="J26" s="65"/>
      <c r="K26" s="65"/>
      <c r="L26" s="65"/>
      <c r="M26" s="65"/>
      <c r="N26" s="68"/>
      <c r="O26" s="92" t="s">
        <v>37</v>
      </c>
      <c r="R26" s="86">
        <f>R25+2469</f>
        <v>80344.003500000006</v>
      </c>
    </row>
    <row r="27" spans="1:28" ht="25.2" x14ac:dyDescent="0.45">
      <c r="A27" s="14" t="s">
        <v>36</v>
      </c>
      <c r="B27" s="64" t="s">
        <v>61</v>
      </c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8"/>
      <c r="O27" s="92">
        <f>129500-110900</f>
        <v>18600</v>
      </c>
    </row>
    <row r="28" spans="1:28" ht="25.2" x14ac:dyDescent="0.45">
      <c r="B28" s="64" t="s">
        <v>62</v>
      </c>
      <c r="C28" s="65"/>
      <c r="D28" s="65"/>
      <c r="E28" s="65"/>
      <c r="F28" s="65"/>
      <c r="G28" s="65"/>
      <c r="H28" s="65"/>
      <c r="I28" s="65"/>
      <c r="J28" s="65"/>
      <c r="K28" s="65"/>
      <c r="L28" s="65"/>
      <c r="M28" s="65"/>
      <c r="N28" s="68"/>
      <c r="O28" s="92"/>
    </row>
    <row r="29" spans="1:28" ht="25.2" x14ac:dyDescent="0.45">
      <c r="B29" s="64" t="s">
        <v>63</v>
      </c>
      <c r="C29" s="65"/>
      <c r="D29" s="65"/>
      <c r="E29" s="65"/>
      <c r="F29" s="65"/>
      <c r="G29" s="65"/>
      <c r="H29" s="65"/>
      <c r="I29" s="65"/>
      <c r="J29" s="65"/>
      <c r="K29" s="65"/>
      <c r="L29" s="65"/>
      <c r="M29" s="65"/>
      <c r="N29" s="69"/>
      <c r="O29" s="92"/>
    </row>
    <row r="30" spans="1:28" ht="24.6" x14ac:dyDescent="0.4">
      <c r="B30" s="133" t="s">
        <v>38</v>
      </c>
      <c r="C30" s="134"/>
      <c r="D30" s="134"/>
      <c r="E30" s="134"/>
      <c r="F30" s="134"/>
      <c r="G30" s="134"/>
      <c r="H30" s="134"/>
      <c r="I30" s="134"/>
      <c r="J30" s="134"/>
      <c r="K30" s="134"/>
      <c r="L30" s="134"/>
      <c r="M30" s="134"/>
      <c r="N30" s="135"/>
      <c r="O30" s="92"/>
    </row>
    <row r="31" spans="1:28" ht="24.6" x14ac:dyDescent="0.4">
      <c r="B31" s="136"/>
      <c r="C31" s="137"/>
      <c r="D31" s="137"/>
      <c r="E31" s="137"/>
      <c r="F31" s="137"/>
      <c r="G31" s="137"/>
      <c r="H31" s="137"/>
      <c r="I31" s="137"/>
      <c r="J31" s="137"/>
      <c r="K31" s="137"/>
      <c r="L31" s="137"/>
      <c r="M31" s="137"/>
      <c r="N31" s="138"/>
      <c r="O31" s="92"/>
    </row>
    <row r="32" spans="1:28" ht="24.6" x14ac:dyDescent="0.4">
      <c r="B32" s="136" t="s">
        <v>39</v>
      </c>
      <c r="C32" s="137"/>
      <c r="D32" s="137"/>
      <c r="E32" s="137"/>
      <c r="F32" s="137"/>
      <c r="G32" s="137"/>
      <c r="H32" s="137"/>
      <c r="I32" s="137"/>
      <c r="J32" s="137"/>
      <c r="K32" s="137"/>
      <c r="L32" s="137"/>
      <c r="M32" s="137"/>
      <c r="N32" s="138"/>
      <c r="O32" s="92"/>
    </row>
    <row r="33" spans="2:16" ht="24.6" x14ac:dyDescent="0.4">
      <c r="B33" s="136" t="s">
        <v>40</v>
      </c>
      <c r="C33" s="137"/>
      <c r="D33" s="137"/>
      <c r="E33" s="137"/>
      <c r="F33" s="137"/>
      <c r="G33" s="137"/>
      <c r="H33" s="137"/>
      <c r="I33" s="137"/>
      <c r="J33" s="137"/>
      <c r="K33" s="137"/>
      <c r="L33" s="137"/>
      <c r="M33" s="137"/>
      <c r="N33" s="138"/>
      <c r="O33" s="92"/>
    </row>
    <row r="34" spans="2:16" s="112" customFormat="1" ht="24.6" x14ac:dyDescent="0.4">
      <c r="B34" s="107" t="s">
        <v>81</v>
      </c>
      <c r="C34" s="108"/>
      <c r="D34" s="108"/>
      <c r="E34" s="108"/>
      <c r="F34" s="108"/>
      <c r="G34" s="113"/>
      <c r="H34" s="113"/>
      <c r="I34" s="108"/>
      <c r="J34" s="108"/>
      <c r="K34" s="108"/>
      <c r="L34" s="108"/>
      <c r="M34" s="114" t="s">
        <v>82</v>
      </c>
      <c r="N34" s="116" t="b">
        <f>IF(M34="ALAA",507963328, IF(M34="BACHIR",525246969,IF(M34="JIHAN",566201266, IF(M34="RAMY",505277871, IF(M34="SIMON",505140337,IF(M34="SUJITH",551079817, IF(M34="PRAVEEN",506367792,IF(M34="MHAREN",529224059, IF(M34="MOSSALLEM",505185577,IF(M34="RANJITH",554989288, IF(M34="KHALED",552319494)))))))))))</f>
        <v>0</v>
      </c>
      <c r="O34" s="115"/>
      <c r="P34" s="115"/>
    </row>
    <row r="35" spans="2:16" x14ac:dyDescent="0.35">
      <c r="B35" s="70"/>
      <c r="C35" s="71"/>
      <c r="D35" s="71"/>
      <c r="E35" s="71"/>
      <c r="F35" s="71"/>
      <c r="G35" s="71"/>
      <c r="H35" s="71"/>
      <c r="I35" s="71"/>
      <c r="J35" s="71"/>
      <c r="K35" s="71"/>
      <c r="L35" s="71"/>
      <c r="M35" s="71"/>
      <c r="N35" s="72"/>
    </row>
    <row r="36" spans="2:16" x14ac:dyDescent="0.35">
      <c r="B36" s="70"/>
      <c r="C36" s="71"/>
      <c r="D36" s="71"/>
      <c r="E36" s="71"/>
      <c r="F36" s="71"/>
      <c r="G36" s="71"/>
      <c r="H36" s="71"/>
      <c r="I36" s="71"/>
      <c r="J36" s="71"/>
      <c r="K36" s="71"/>
      <c r="L36" s="71"/>
      <c r="M36" s="71"/>
      <c r="N36" s="72"/>
    </row>
    <row r="37" spans="2:16" x14ac:dyDescent="0.35">
      <c r="B37" s="70"/>
      <c r="C37" s="71"/>
      <c r="D37" s="71"/>
      <c r="E37" s="71"/>
      <c r="F37" s="71"/>
      <c r="G37" s="71"/>
      <c r="H37" s="71"/>
      <c r="I37" s="71"/>
      <c r="J37" s="71"/>
      <c r="K37" s="71"/>
      <c r="L37" s="71"/>
      <c r="M37" s="71"/>
      <c r="N37" s="72"/>
    </row>
    <row r="38" spans="2:16" ht="21" x14ac:dyDescent="0.4">
      <c r="B38" s="73" t="s">
        <v>64</v>
      </c>
      <c r="C38" s="74"/>
      <c r="D38" s="75"/>
      <c r="E38" s="76"/>
      <c r="F38" s="76"/>
      <c r="G38" s="76"/>
      <c r="H38" s="76"/>
      <c r="I38" s="76"/>
      <c r="J38" s="77"/>
      <c r="K38" s="76"/>
      <c r="L38" s="76"/>
      <c r="M38" s="76"/>
      <c r="N38" s="78"/>
    </row>
    <row r="39" spans="2:16" ht="21" x14ac:dyDescent="0.4">
      <c r="B39" s="73" t="s">
        <v>65</v>
      </c>
      <c r="C39" s="79"/>
      <c r="D39" s="75"/>
      <c r="E39" s="76"/>
      <c r="F39" s="76"/>
      <c r="G39" s="76"/>
      <c r="H39" s="76"/>
      <c r="I39" s="76"/>
      <c r="J39" s="77"/>
      <c r="K39" s="76"/>
      <c r="L39" s="76"/>
      <c r="M39" s="76"/>
      <c r="N39" s="80"/>
    </row>
    <row r="40" spans="2:16" ht="21" x14ac:dyDescent="0.35">
      <c r="B40" s="73" t="s">
        <v>66</v>
      </c>
      <c r="C40" s="81"/>
      <c r="D40" s="76"/>
      <c r="E40" s="76"/>
      <c r="F40" s="76"/>
      <c r="G40" s="76"/>
      <c r="H40" s="76"/>
      <c r="I40" s="76"/>
      <c r="J40" s="77"/>
      <c r="K40" s="76"/>
      <c r="L40" s="76"/>
      <c r="M40" s="76"/>
      <c r="N40" s="80"/>
    </row>
    <row r="41" spans="2:16" ht="21" x14ac:dyDescent="0.35">
      <c r="B41" s="73" t="s">
        <v>67</v>
      </c>
      <c r="C41" s="82"/>
      <c r="D41" s="83"/>
      <c r="E41" s="83"/>
      <c r="F41" s="83"/>
      <c r="G41" s="83"/>
      <c r="H41" s="83"/>
      <c r="I41" s="83"/>
      <c r="J41" s="83"/>
      <c r="K41" s="83"/>
      <c r="L41" s="83"/>
      <c r="M41" s="83"/>
      <c r="N41" s="84"/>
    </row>
    <row r="42" spans="2:16" ht="21" x14ac:dyDescent="0.35">
      <c r="B42" s="73" t="s">
        <v>77</v>
      </c>
      <c r="C42" s="82"/>
      <c r="D42" s="83"/>
      <c r="E42" s="83"/>
      <c r="F42" s="83"/>
      <c r="G42" s="83"/>
      <c r="H42" s="83"/>
      <c r="I42" s="83"/>
      <c r="J42" s="83"/>
      <c r="K42" s="83"/>
      <c r="L42" s="83"/>
      <c r="M42" s="83"/>
      <c r="N42" s="84"/>
    </row>
    <row r="43" spans="2:16" ht="21" x14ac:dyDescent="0.35">
      <c r="B43" s="73" t="s">
        <v>68</v>
      </c>
      <c r="C43" s="82"/>
      <c r="D43" s="83"/>
      <c r="E43" s="83"/>
      <c r="F43" s="83"/>
      <c r="G43" s="83"/>
      <c r="H43" s="83"/>
      <c r="I43" s="83"/>
      <c r="J43" s="83"/>
      <c r="K43" s="83"/>
      <c r="L43" s="83"/>
      <c r="M43" s="83"/>
      <c r="N43" s="84"/>
    </row>
    <row r="44" spans="2:16" ht="21" x14ac:dyDescent="0.35">
      <c r="B44" s="73" t="s">
        <v>69</v>
      </c>
      <c r="C44" s="82"/>
      <c r="D44" s="83"/>
      <c r="E44" s="83"/>
      <c r="F44" s="83"/>
      <c r="G44" s="83"/>
      <c r="H44" s="83"/>
      <c r="I44" s="83"/>
      <c r="J44" s="83"/>
      <c r="K44" s="83"/>
      <c r="L44" s="83"/>
      <c r="M44" s="83"/>
      <c r="N44" s="84"/>
    </row>
    <row r="45" spans="2:16" ht="21" x14ac:dyDescent="0.35">
      <c r="B45" s="73" t="s">
        <v>70</v>
      </c>
      <c r="C45" s="82"/>
      <c r="D45" s="83"/>
      <c r="E45" s="83"/>
      <c r="F45" s="83"/>
      <c r="G45" s="83"/>
      <c r="H45" s="83"/>
      <c r="I45" s="83"/>
      <c r="J45" s="83"/>
      <c r="K45" s="83"/>
      <c r="L45" s="83"/>
      <c r="M45" s="83"/>
      <c r="N45" s="84"/>
    </row>
    <row r="46" spans="2:16" ht="21" x14ac:dyDescent="0.35">
      <c r="B46" s="73" t="s">
        <v>71</v>
      </c>
      <c r="C46" s="82"/>
      <c r="D46" s="83"/>
      <c r="E46" s="83"/>
      <c r="F46" s="83"/>
      <c r="G46" s="83"/>
      <c r="H46" s="83"/>
      <c r="I46" s="83"/>
      <c r="J46" s="83"/>
      <c r="K46" s="83"/>
      <c r="L46" s="83"/>
      <c r="M46" s="83"/>
      <c r="N46" s="84"/>
    </row>
    <row r="47" spans="2:16" x14ac:dyDescent="0.35">
      <c r="B47" s="118" t="s">
        <v>39</v>
      </c>
      <c r="C47" s="119"/>
      <c r="D47" s="119"/>
      <c r="E47" s="119"/>
      <c r="F47" s="119"/>
      <c r="G47" s="119"/>
      <c r="H47" s="119"/>
      <c r="I47" s="119"/>
      <c r="J47" s="119"/>
      <c r="K47" s="119"/>
      <c r="L47" s="119"/>
      <c r="M47" s="119"/>
      <c r="N47" s="120"/>
      <c r="O47" s="92"/>
    </row>
    <row r="48" spans="2:16" x14ac:dyDescent="0.35">
      <c r="B48" s="118" t="s">
        <v>40</v>
      </c>
      <c r="C48" s="119"/>
      <c r="D48" s="119"/>
      <c r="E48" s="119"/>
      <c r="F48" s="119"/>
      <c r="G48" s="119"/>
      <c r="H48" s="119"/>
      <c r="I48" s="119"/>
      <c r="J48" s="119"/>
      <c r="K48" s="119"/>
      <c r="L48" s="119"/>
      <c r="M48" s="119"/>
      <c r="N48" s="120"/>
      <c r="O48" s="92"/>
    </row>
    <row r="49" spans="2:14" x14ac:dyDescent="0.35">
      <c r="B49" s="118" t="s">
        <v>72</v>
      </c>
      <c r="C49" s="119"/>
      <c r="D49" s="119"/>
      <c r="E49" s="119"/>
      <c r="F49" s="119"/>
      <c r="G49" s="119"/>
      <c r="H49" s="119"/>
      <c r="I49" s="119"/>
      <c r="J49" s="119"/>
      <c r="K49" s="119"/>
      <c r="L49" s="119"/>
      <c r="M49" s="119"/>
      <c r="N49" s="120"/>
    </row>
    <row r="50" spans="2:14" ht="25.8" x14ac:dyDescent="0.35">
      <c r="C50" s="15" t="s">
        <v>41</v>
      </c>
    </row>
    <row r="51" spans="2:14" ht="25.8" x14ac:dyDescent="0.35">
      <c r="C51" s="15" t="s">
        <v>42</v>
      </c>
    </row>
    <row r="52" spans="2:14" ht="25.8" x14ac:dyDescent="0.35">
      <c r="C52" s="15" t="s">
        <v>43</v>
      </c>
    </row>
    <row r="53" spans="2:14" ht="25.8" x14ac:dyDescent="0.35">
      <c r="C53" s="15" t="s">
        <v>44</v>
      </c>
    </row>
    <row r="54" spans="2:14" ht="25.8" x14ac:dyDescent="0.35">
      <c r="C54" s="15" t="s">
        <v>45</v>
      </c>
    </row>
  </sheetData>
  <mergeCells count="12">
    <mergeCell ref="B49:N49"/>
    <mergeCell ref="B1:N4"/>
    <mergeCell ref="F8:G8"/>
    <mergeCell ref="F9:G9"/>
    <mergeCell ref="G19:I19"/>
    <mergeCell ref="B22:N22"/>
    <mergeCell ref="B30:N30"/>
    <mergeCell ref="B31:N31"/>
    <mergeCell ref="B32:N32"/>
    <mergeCell ref="B33:N33"/>
    <mergeCell ref="B47:N47"/>
    <mergeCell ref="B48:N48"/>
  </mergeCells>
  <dataValidations count="11">
    <dataValidation type="list" allowBlank="1" showInputMessage="1" showErrorMessage="1" sqref="K21" xr:uid="{8CD8A721-C59D-4F1E-B1D7-9038AB5EFF4A}">
      <formula1>"ADCB,ADCB PAY IN 2027,Ajman Bank,ADIB,DIB EXPAT,DIB LOCAL GVH,Emirates NBD,EIB,FAB,RAK,SIB STL,SIB NON STL"</formula1>
    </dataValidation>
    <dataValidation type="list" allowBlank="1" showInputMessage="1" showErrorMessage="1" sqref="D5" xr:uid="{C67FA18C-66E5-4ACA-B701-8D5FA7E6D9C3}">
      <formula1>"MIG09,MIG10,ATG16,ATP16,ATG17,ASG48,ASG43,ASG40,ASG42,ASG44,ASG45,ECG38,ECG37,ECG40,ECG43,XPML,XPHL,XPMLP, XPMLP-01, XC,OTF03,OTP03,OTF06,OTP06, OTP06-01,OTF08, OTP08,MOP57,MOG64,MOG59,MOG59P,MOG61,MOP61"</formula1>
    </dataValidation>
    <dataValidation type="list" allowBlank="1" showInputMessage="1" showErrorMessage="1" sqref="M21" xr:uid="{FF3DEAF9-6A1F-41C2-8957-D3192236D6FD}">
      <formula1>"3000-4999,5000-9999,10000-14999,15000-24999,25000-34999,35000-99999,5000-11999,12000-19999,20000-39999,40000-69999,70000-99999"</formula1>
    </dataValidation>
    <dataValidation type="list" allowBlank="1" showInputMessage="1" showErrorMessage="1" sqref="K20" xr:uid="{CB84640C-8521-4736-B9F9-6B7550FA031B}">
      <formula1>"Esaad,Emirates Platinum,Fazaa,Humat Alwatan,Permissible,ASX,XPMLP,XP,MON,MON G57,OUT,F08,P08,F06,P06,F03,P03,EC,G37,G38,G40,G43"</formula1>
    </dataValidation>
    <dataValidation type="list" allowBlank="1" showInputMessage="1" showErrorMessage="1" sqref="L19:L20 L24:L25 G14:G15 C10:C16 L10 J10" xr:uid="{8CC7EB69-E6F5-40B9-9744-013A5F93A79F}">
      <formula1>"YES,NO"</formula1>
    </dataValidation>
    <dataValidation type="list" allowBlank="1" showInputMessage="1" showErrorMessage="1" sqref="K24" xr:uid="{2E36A893-B59E-4B38-9C27-2E2E56663E75}">
      <formula1>"RMC-10-70K,RMC-10-100000K,RMC-40-70K"</formula1>
    </dataValidation>
    <dataValidation type="list" allowBlank="1" showInputMessage="1" showErrorMessage="1" sqref="B16" xr:uid="{90B88DBA-7B77-4F55-8702-B785FAA1212C}">
      <formula1>"RMC-10-40KMS,RMC-10-60KMS,RMC-10-70KMS,RMC-10-100000KMS,RMC-40-70KMS,RMC-40-100000KMS"</formula1>
    </dataValidation>
    <dataValidation type="list" allowBlank="1" showInputMessage="1" showErrorMessage="1" sqref="B12" xr:uid="{BA852166-D0AB-44A4-B39F-6462827DAAC9}">
      <formula1>"FO Exterior ceramic All Cars SCOTCHGUARD,FO Mirror Camera Sensor,FO PPF Gold Package "</formula1>
    </dataValidation>
    <dataValidation type="list" allowBlank="1" showInputMessage="1" showErrorMessage="1" sqref="B11" xr:uid="{AF4CC02C-71E0-4A34-BD5F-90D244AF3B4E}">
      <formula1>"FO Ceramic+ Intr&amp;Extr CeramicGold WdwTnt,FO Mirror Camera Sensor"</formula1>
    </dataValidation>
    <dataValidation type="list" allowBlank="1" showInputMessage="1" showErrorMessage="1" sqref="M34" xr:uid="{837B0F90-5782-4FBA-93D1-15FC36506EB4}">
      <formula1>"Alaa,Bachir ,Khaled,Ramy,Simon,Mharen,Ranjith,Jihan,Praveen,Sujith,Mossallem"</formula1>
    </dataValidation>
    <dataValidation type="list" allowBlank="1" showInputMessage="1" showErrorMessage="1" sqref="H34" xr:uid="{82ACDBFD-076E-45F9-9FA3-375CFD74A76A}">
      <formula1>"ALAA HAMMAD,KHALED QASSEM,RAMY RAOUF,SIMON LOBO,MHAREN CLEMENTE GARADO"</formula1>
    </dataValidation>
  </dataValidations>
  <pageMargins left="0.23622047244094491" right="0.23622047244094491" top="0.74803149606299213" bottom="0.74803149606299213" header="0.31496062992125984" footer="0.31496062992125984"/>
  <pageSetup paperSize="9" scale="37" orientation="landscape" horizontalDpi="4294967295" verticalDpi="4294967295"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C8895-037C-4906-8771-ABE8DCD0845A}">
  <sheetPr>
    <pageSetUpPr fitToPage="1"/>
  </sheetPr>
  <dimension ref="A1:AB54"/>
  <sheetViews>
    <sheetView topLeftCell="B1" zoomScaleNormal="100" workbookViewId="0">
      <selection activeCell="D5" sqref="D5"/>
    </sheetView>
  </sheetViews>
  <sheetFormatPr defaultColWidth="9.109375" defaultRowHeight="20.399999999999999" x14ac:dyDescent="0.35"/>
  <cols>
    <col min="1" max="1" width="16" style="1" hidden="1" customWidth="1"/>
    <col min="2" max="2" width="75.5546875" style="2" customWidth="1"/>
    <col min="3" max="3" width="25.5546875" style="3" customWidth="1"/>
    <col min="4" max="4" width="25.33203125" style="2" customWidth="1"/>
    <col min="5" max="5" width="22.6640625" style="2" customWidth="1"/>
    <col min="6" max="6" width="21" style="2" customWidth="1"/>
    <col min="7" max="7" width="25" style="2" customWidth="1"/>
    <col min="8" max="8" width="29.44140625" style="2" bestFit="1" customWidth="1"/>
    <col min="9" max="9" width="32.109375" style="2" bestFit="1" customWidth="1"/>
    <col min="10" max="10" width="22" style="2" customWidth="1"/>
    <col min="11" max="11" width="23.33203125" style="2" customWidth="1"/>
    <col min="12" max="12" width="31" style="2" customWidth="1"/>
    <col min="13" max="13" width="23.5546875" style="2" customWidth="1"/>
    <col min="14" max="14" width="21.109375" style="2" customWidth="1"/>
    <col min="15" max="15" width="14.44140625" style="83" bestFit="1" customWidth="1"/>
    <col min="16" max="16" width="21.6640625" style="83" hidden="1" customWidth="1"/>
    <col min="17" max="17" width="14.33203125" style="86" hidden="1" customWidth="1"/>
    <col min="18" max="18" width="12.88671875" style="86" hidden="1" customWidth="1"/>
    <col min="19" max="19" width="13" style="86" hidden="1" customWidth="1"/>
    <col min="20" max="20" width="17.109375" style="86" hidden="1" customWidth="1"/>
    <col min="21" max="21" width="21.5546875" style="86" customWidth="1"/>
    <col min="22" max="22" width="22.88671875" style="86" customWidth="1"/>
    <col min="23" max="26" width="17.109375" style="86" bestFit="1" customWidth="1"/>
    <col min="27" max="27" width="15" style="86" customWidth="1"/>
    <col min="28" max="28" width="14.33203125" style="86" bestFit="1" customWidth="1"/>
    <col min="29" max="16384" width="9.109375" style="1"/>
  </cols>
  <sheetData>
    <row r="1" spans="1:28" ht="15.75" customHeight="1" x14ac:dyDescent="0.35">
      <c r="B1" s="121" t="s">
        <v>46</v>
      </c>
      <c r="C1" s="122"/>
      <c r="D1" s="122"/>
      <c r="E1" s="122"/>
      <c r="F1" s="122"/>
      <c r="G1" s="122"/>
      <c r="H1" s="122"/>
      <c r="I1" s="122"/>
      <c r="J1" s="122"/>
      <c r="K1" s="122"/>
      <c r="L1" s="122"/>
      <c r="M1" s="122"/>
      <c r="N1" s="123"/>
    </row>
    <row r="2" spans="1:28" ht="15.75" customHeight="1" x14ac:dyDescent="0.35">
      <c r="B2" s="124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6"/>
      <c r="Q2" s="83"/>
      <c r="S2" s="87"/>
    </row>
    <row r="3" spans="1:28" ht="15.75" customHeight="1" x14ac:dyDescent="0.35">
      <c r="B3" s="124"/>
      <c r="C3" s="125"/>
      <c r="D3" s="125"/>
      <c r="E3" s="125"/>
      <c r="F3" s="125"/>
      <c r="G3" s="125"/>
      <c r="H3" s="125"/>
      <c r="I3" s="125"/>
      <c r="J3" s="125"/>
      <c r="K3" s="125"/>
      <c r="L3" s="125"/>
      <c r="M3" s="125"/>
      <c r="N3" s="126"/>
      <c r="O3" s="82"/>
      <c r="P3" s="82"/>
      <c r="Q3" s="81"/>
      <c r="R3" s="81"/>
      <c r="S3" s="88" t="e">
        <f>N7+J14</f>
        <v>#VALUE!</v>
      </c>
      <c r="T3" s="88"/>
      <c r="U3" s="81"/>
      <c r="V3" s="81"/>
      <c r="W3" s="81"/>
      <c r="AA3" s="86">
        <f>273000/5</f>
        <v>54600</v>
      </c>
    </row>
    <row r="4" spans="1:28" ht="15.75" customHeight="1" x14ac:dyDescent="0.4">
      <c r="B4" s="127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9"/>
      <c r="O4" s="89" t="s">
        <v>0</v>
      </c>
      <c r="P4" s="89"/>
      <c r="Q4" s="90"/>
      <c r="R4" s="90"/>
      <c r="S4" s="91"/>
      <c r="T4" s="91"/>
      <c r="U4" s="90" t="s">
        <v>1</v>
      </c>
      <c r="V4" s="90" t="s">
        <v>2</v>
      </c>
      <c r="W4" s="90" t="s">
        <v>3</v>
      </c>
    </row>
    <row r="5" spans="1:28" ht="25.2" thickBot="1" x14ac:dyDescent="0.45">
      <c r="B5" s="17">
        <f ca="1">TODAY()</f>
        <v>46215</v>
      </c>
      <c r="C5" s="18" t="str">
        <f>IF(D5="MIG09","Mirage G09",IF(D5="MIG10","MirageG10",IF(D5="ATG16","Attrage G16",IF(D5="ATP16","Attrage P16",IF(D5="ATG17","Attrage G17",IF(D5="ASG48","ASX G48",IF(D5="ASG43","ASX G43", IF(D5="ASG40","ASXG40",IF(D5="ASG42","ASX G42",IF(D5="ASG44","ASX G44",IF(D5="ASG45","ASX G45",IF(D5="ECG38","Eclipse G38",IF(D5="ECG37","Eclipse G37",IF(D5="ECG40","Eclipse G40",IF(D5="ECG43","Eclipse G43",IF(D5="XPML","Xpander ML",IF(D5="XPHL","Xpander HL",IF(D5="XPMLP","Xpander ML P",IF(D5="XPMLP-01","Xpander ML P-01",IF(D5="XC","Xpander Cross", IF(D5="OTF03","Outlander F03",IF(D5="OTP03","Outlander P03",IF(D5="OTF06","Outlander F06",IF(D5="OTP06","Outlander P06",IF(D5="OTP06-01","Outlander P06-01",IF(D5="OTF08","Outlander F08",IF(D5="OTP08","Outlander P08P", IF(D5="MOP57","Montero P57",IF(D5="MOG64","Montero G64",IF(D5="MOG59","Montero G59",IF(D5="MOG59P","Montero G59 P",IF(D5="MOG61","Montero G61",IF(D5="MOP61","Montero P61")))))))))))))))))))))))))))))))))</f>
        <v>Eclipse G38</v>
      </c>
      <c r="D5" s="19" t="s">
        <v>97</v>
      </c>
      <c r="E5" s="20" t="s">
        <v>47</v>
      </c>
      <c r="F5" s="21"/>
      <c r="G5" s="21"/>
      <c r="H5" s="21"/>
      <c r="I5" s="22"/>
      <c r="J5" s="23"/>
      <c r="K5" s="24">
        <v>0</v>
      </c>
      <c r="L5" s="25">
        <v>3.39E-2</v>
      </c>
      <c r="M5" s="25">
        <v>6.7799999999999999E-2</v>
      </c>
      <c r="N5" s="25">
        <v>0.1017</v>
      </c>
      <c r="O5" s="92">
        <f>K7+K14</f>
        <v>9223.4815354174989</v>
      </c>
      <c r="S5" s="87"/>
      <c r="U5" s="87">
        <f>L7+L14</f>
        <v>3758.336359353264</v>
      </c>
      <c r="V5" s="87">
        <f>M7+M14</f>
        <v>2514.09279309875</v>
      </c>
      <c r="W5" s="87">
        <f>N7+N14</f>
        <v>1742.1426121310419</v>
      </c>
    </row>
    <row r="6" spans="1:28" s="5" customFormat="1" ht="128.25" customHeight="1" thickBot="1" x14ac:dyDescent="0.35">
      <c r="A6" s="4" t="s">
        <v>4</v>
      </c>
      <c r="B6" s="26" t="s">
        <v>5</v>
      </c>
      <c r="C6" s="27" t="s">
        <v>6</v>
      </c>
      <c r="D6" s="27" t="s">
        <v>48</v>
      </c>
      <c r="E6" s="27" t="s">
        <v>7</v>
      </c>
      <c r="F6" s="27" t="s">
        <v>8</v>
      </c>
      <c r="G6" s="28" t="s">
        <v>9</v>
      </c>
      <c r="H6" s="28" t="s">
        <v>49</v>
      </c>
      <c r="I6" s="28" t="s">
        <v>10</v>
      </c>
      <c r="J6" s="28" t="s">
        <v>56</v>
      </c>
      <c r="K6" s="28" t="s">
        <v>11</v>
      </c>
      <c r="L6" s="28" t="s">
        <v>12</v>
      </c>
      <c r="M6" s="28" t="s">
        <v>13</v>
      </c>
      <c r="N6" s="28" t="s">
        <v>14</v>
      </c>
      <c r="O6" s="93"/>
      <c r="P6" s="94"/>
      <c r="Q6" s="95"/>
      <c r="R6" s="95"/>
      <c r="S6" s="95"/>
      <c r="T6" s="96"/>
      <c r="U6" s="96">
        <f>N7+L14</f>
        <v>2951.8588604643751</v>
      </c>
      <c r="V6" s="96">
        <f>N7+K14</f>
        <v>7408.9071629174996</v>
      </c>
      <c r="W6" s="96"/>
      <c r="X6" s="95"/>
      <c r="Y6" s="95"/>
      <c r="Z6" s="95"/>
      <c r="AA6" s="95"/>
      <c r="AB6" s="95"/>
    </row>
    <row r="7" spans="1:28" ht="25.2" thickBot="1" x14ac:dyDescent="0.45">
      <c r="A7" s="6">
        <f>B8</f>
        <v>73900</v>
      </c>
      <c r="B7" s="29">
        <f>IF(L20="YES",C8*1,IF(L20="NO",B8*1))</f>
        <v>73900</v>
      </c>
      <c r="C7" s="29">
        <f>B7*5/100</f>
        <v>3695</v>
      </c>
      <c r="D7" s="29">
        <f>B7+C7</f>
        <v>77595</v>
      </c>
      <c r="E7" s="29">
        <f>D17</f>
        <v>12813.718625</v>
      </c>
      <c r="F7" s="29">
        <f>(C7)+(D10+D11+D12+D13+D16)*5/100</f>
        <v>4015</v>
      </c>
      <c r="G7" s="30">
        <f>B7+E7+F7</f>
        <v>90728.718624999994</v>
      </c>
      <c r="H7" s="29">
        <f>G7*D20</f>
        <v>18145.743725</v>
      </c>
      <c r="I7" s="29">
        <f>(G7-H7)</f>
        <v>72582.974900000001</v>
      </c>
      <c r="J7" s="30">
        <f>(((I7*D19)*1)+I7)/12</f>
        <v>6199.1909145841673</v>
      </c>
      <c r="K7" s="30">
        <f>(((I7*D19)*2)+I7)/24</f>
        <v>3174.9002937508335</v>
      </c>
      <c r="L7" s="30">
        <f>(((I7*D19)*3)+I7)/36</f>
        <v>2166.8034201397222</v>
      </c>
      <c r="M7" s="30">
        <f>(((I7*D19)*4)+I7)/48</f>
        <v>1662.7549833341666</v>
      </c>
      <c r="N7" s="30">
        <f>((((I7*D19)*5)+I7)/60)</f>
        <v>1360.3259212508335</v>
      </c>
      <c r="O7" s="92"/>
      <c r="P7" s="83">
        <f>H7+H16</f>
        <v>18907.864961449999</v>
      </c>
      <c r="T7" s="87">
        <f>25973/2</f>
        <v>12986.5</v>
      </c>
    </row>
    <row r="8" spans="1:28" ht="24.6" x14ac:dyDescent="0.4">
      <c r="A8" s="7">
        <v>0.2</v>
      </c>
      <c r="B8" s="31">
        <f>IF(D5="MIG09",39900,IF(D5="MIG10",40400,IF(D5="ATG16",40400,IF(D5="ATP16",49900,IF(D5="ATG17",41900,IF(D5="ASG48",63900,IF(D5="ASG43",62900,IF(D5="ASG40",63900,IF(D5="ASG42",68900,IF(D5="ASG44",89900,IF(D5="ASG45",95900,IF(D5="ECG38",73900,IF(D5="ECG37",70900,IF(D5="ECG40",86900,IF(D5="ECG43",91900,IF(D5="XPML",62900,IF(D5="XPHL",62900,IF(D5="XPMLP",69900,IF(D5="XPMLP-01",77800,IF(D5="XC",77900,IF(D5="OTF03",96900,IF(D5="OTP03",79900,IF(D5="OTF06",92900,IF(D5="OTP06",111900,IF(D5="OTP06-01",118900,IF(D5="OTF08",122900,IF(D5="OTP08",109900,IF(D5="MOP57",99900,IF(D5="MOG64",108900,IF(D5="MOG59",116900,IF(D5="MOG59P",110900,IF(D5="MOG61",127900,IF(D5="MOP61",125900)))))))))))))))))))))))))))))))))</f>
        <v>73900</v>
      </c>
      <c r="C8" s="32">
        <f>IF(L20="YES",N20,IF(L20="NO",N20))</f>
        <v>73900</v>
      </c>
      <c r="D8" s="29">
        <v>0</v>
      </c>
      <c r="E8" s="33"/>
      <c r="F8" s="139"/>
      <c r="G8" s="140"/>
      <c r="H8" s="110">
        <f>G7*20/100</f>
        <v>18145.743724999997</v>
      </c>
      <c r="I8" s="21"/>
      <c r="J8" s="34" t="s">
        <v>15</v>
      </c>
      <c r="K8" s="23">
        <f>(J7*K5+J7)/24</f>
        <v>258.29962144100699</v>
      </c>
      <c r="L8" s="23">
        <f>(J7*L5+J7)/36</f>
        <v>178.03731907190473</v>
      </c>
      <c r="M8" s="23">
        <f>(J7*M5+J7)/48</f>
        <v>137.90616788735363</v>
      </c>
      <c r="N8" s="23">
        <f>(J7*N5+J7)/60</f>
        <v>113.82747717662296</v>
      </c>
      <c r="O8" s="92"/>
      <c r="P8" s="83">
        <f>P7/12</f>
        <v>1575.6554134541666</v>
      </c>
      <c r="T8" s="86">
        <f>25973-12973</f>
        <v>13000</v>
      </c>
    </row>
    <row r="9" spans="1:28" ht="24.6" x14ac:dyDescent="0.4">
      <c r="A9" s="8">
        <f>B8/(100%-A8)</f>
        <v>92375</v>
      </c>
      <c r="B9" s="109">
        <f>B7-B8</f>
        <v>0</v>
      </c>
      <c r="C9" s="35"/>
      <c r="D9" s="36"/>
      <c r="E9" s="33"/>
      <c r="F9" s="139"/>
      <c r="G9" s="140"/>
      <c r="H9" s="33"/>
      <c r="I9" s="37" t="s">
        <v>16</v>
      </c>
      <c r="J9" s="38">
        <f>(J7*12)-(I7)</f>
        <v>1807.3160750100069</v>
      </c>
      <c r="K9" s="38">
        <f>(K7*24)-I7</f>
        <v>3614.6321500199992</v>
      </c>
      <c r="L9" s="38">
        <f>(L7*36)-I7</f>
        <v>5421.9482250300061</v>
      </c>
      <c r="M9" s="38">
        <f>(M7*48)-I7</f>
        <v>7229.2643000399985</v>
      </c>
      <c r="N9" s="38">
        <f>(N7*60)-I7</f>
        <v>9036.5803750500054</v>
      </c>
      <c r="O9" s="92"/>
      <c r="T9" s="86">
        <f>T8/12</f>
        <v>1083.3333333333333</v>
      </c>
      <c r="Z9" s="86" t="s">
        <v>86</v>
      </c>
    </row>
    <row r="10" spans="1:28" ht="24.6" x14ac:dyDescent="0.4">
      <c r="A10" s="8"/>
      <c r="B10" s="37" t="s">
        <v>50</v>
      </c>
      <c r="C10" s="20" t="s">
        <v>17</v>
      </c>
      <c r="D10" s="36">
        <f>IF(C10="YES",800,IF(C10="NO",0))</f>
        <v>0</v>
      </c>
      <c r="E10" s="39"/>
      <c r="F10" s="40"/>
      <c r="G10" s="40"/>
      <c r="H10" s="33"/>
      <c r="I10" s="44" t="s">
        <v>85</v>
      </c>
      <c r="J10" s="117" t="s">
        <v>19</v>
      </c>
      <c r="K10" s="117">
        <f>IF(J10="YES",Z10,IF(J10="NO",0))</f>
        <v>1000</v>
      </c>
      <c r="L10" s="117"/>
      <c r="M10" s="117"/>
      <c r="N10" s="41">
        <f>(N8*60)-J7</f>
        <v>630.4577160132103</v>
      </c>
      <c r="O10" s="92">
        <f>IF(D5="XC",3690,IF(D5="XPML",3690,IF(D5="XPHL",3690,IF(D5="XPMLP",3690,IF(D5="XPMLP-01",3690,IF(D5="Xpander P",3690,IF(D5="MOP57",(U19*2.75/100+510)*1.05,IF(D5="MOG64",(U19*2.75/100+510)*1.05,IF(D5="MOG59",(U19*2.75/100+510)*1.05,IF(D5="MOG59P",(U19*2.75/100+510)*1.05,IF(D5="MOG61",(U19*2.75/100+510)*1.05,IF(D5="MOP61",(U19*2.75/100+510)*1.05,IF(D5="OTF03",(D7*3/100+510)*1.05,IF(D5="OTP03",(U19*3/100+510)*1.05,IF(D5="OTF06",(U19*3/100+510)*1.05,IF(D5="OTP06",(U19*3/100+510)*1.05,IF(D5="OTP06-01",(U19*3/100+510)*1.05,IF(D5="OTF08",(U19*3/100+510)*1.05,IF(D5="OTP08",(U19*3/100+510)*1.05,IF(D5="ECG38",3625,IF(D5="ECG37",3625,IF(D5="ECG40",(D7*3/100+510)*1.05,IF(D5="ECG43",(D7*3/100+510)*1.05,IF(D5="ASG48",3625,IF(D5="ASG43",3625,IF(D5="ASG40",3625,IF(D5="ASG42",3625,IF(D5="ASG44",3625,IF(D5="ASG45",3625,IF(D5="ASX HL 4WD",3625,IF(D5="ATG16",3625,IF(D5="ATG17",3625,IF(D5="ATP16",3625,IF(D5="Attrage S",3625,IF(D5="MIG09",3625,IF(D5="MIG10",3625,IF(D5="Xpander HL",3690)))))))))))))))))))))))))))))))))))))</f>
        <v>3625</v>
      </c>
      <c r="P10" s="97"/>
      <c r="Q10" s="97">
        <f>5.25*3</f>
        <v>15.75</v>
      </c>
      <c r="Z10" s="86">
        <f>IF(D5="MIG09",500,IF(D5="MIG10",500,IF(D5="ATG16",500,IF(D5="ATP16",500,IF(D5="ATG17",500,IF(D5="ASG48",1000,IF(D5="ASG43",1000,IF(D5="ASG40",1000,IF(D5="ASG42",1000,IF(D5="ASG44",1000,IF(D5="ASG45",1000,IF(D5="ECG38",1000,IF(D5="ECG37",1000,IF(D5="ECG40",1000,IF(D5="ECG43",1000,IF(D5="XPML",1000,IF(D5="XPHL",1000,IF(D5="XPMLP",1000,IF(D5="XPMLP-01",1000,IF(D5="XC",1000,IF(D5="OTF03",1000,IF(D5="OTP03",1000,IF(D5="OTF06",1000,IF(D5="OTP06",1000,IF(D5="OTP06-01",1000,IF(D5="OTF08",1000,IF(D5="OTP08",1000,IF(D5="MOP57",1000,IF(D5="MOG64",1000,IF(D5="MOG59",1000,IF(D5="MOG59P",1000,IF(D5="MOG61",1000,IF(D5="MOP61",1000)))))))))))))))))))))))))))))))))</f>
        <v>1000</v>
      </c>
    </row>
    <row r="11" spans="1:28" ht="24.6" x14ac:dyDescent="0.4">
      <c r="A11" s="8"/>
      <c r="B11" s="37" t="s">
        <v>18</v>
      </c>
      <c r="C11" s="20" t="s">
        <v>17</v>
      </c>
      <c r="D11" s="36">
        <f>IF(C11="YES",O17,IF(C11="NO",0))</f>
        <v>0</v>
      </c>
      <c r="E11" s="33"/>
      <c r="F11" s="40"/>
      <c r="G11" s="40"/>
      <c r="H11" s="33"/>
      <c r="I11" s="21"/>
      <c r="J11" s="44" t="s">
        <v>76</v>
      </c>
      <c r="K11" s="44">
        <f>H8-K10</f>
        <v>17145.743724999997</v>
      </c>
      <c r="L11" s="37"/>
      <c r="M11" s="37"/>
      <c r="N11" s="42"/>
      <c r="O11" s="92">
        <f>IF(D5="XC",6100,IF(D5="XPML",6100,IF(D5="XPHL",6100,IF(D5="XPMLP",6100,IF(D5="XPMLP-01",6100,IF(D5="Xpander P",6100,IF(D5="MOP57",5900,IF(D5="MOG64",5900,IF(D5="MOG59",5900,IF(D5="MOG59P",5900,IF(D5="MOG61",5900,IF(D5="MOP61",5900,IF(D5="OTF03",6700,IF(D5="OTP03",6700,IF(D5="OTF06",6700,IF(D5="OTP06",6700,IF(D5="OTP06-01",6700,IF(D5="OTF08",6700,IF(D5="OTP08",6700,IF(D5="ECG37",6400,IF(D5="ECG38",6400,IF(D5="ECG40",6400,IF(D5="ECG43",6400,IF(D5="ASG48",6600,IF(D5="ASG43",6600,IF(D5="ASG40",6600,IF(D5="ASG42",6600,IF(D5="ASG44",6600,IF(D5="ASG45",6600,IF(D5="ASX HL 4WD",6600,IF(D5="ATG16",5400,IF(D5="ATG17",5400,IF(D5="ATP16",5400,IF(D5="Attrage S",5400,IF(D5="MIG09",5400,IF(D5="MIG10",5400,IF(D5="Xpander HL",6000)))))))))))))))))))))))))))))))))))))</f>
        <v>6400</v>
      </c>
      <c r="P11" s="92"/>
      <c r="Q11" s="92"/>
      <c r="R11" s="92"/>
      <c r="S11" s="92"/>
      <c r="T11" s="92"/>
      <c r="U11" s="92">
        <f>IF(D5="XC",4900,IF(D5="XPML",4900,IF(D5="XPHL",4900,IF(D5="XPMLP",4900,IF(D5="XPMLP-01",4900,IF(D5="Xpander P",4900,IF(D5="MOP57",4600,IF(D5="MOG64",4600,IF(D5="MOG59",4600,IF(D5="MOG59P",4600,IF(D5="MOG61",4600,IF(D5="MOP61",4600,IF(D5="OTF03",5500,IF(D5="OTP03",5500,IF(D5="OTF06",5500,IF(D5="OTP06",5500,IF(D5="OTP06-01",5500,IF(D5="OTF08",5500,IF(D5="OTP08",5500,IF(D5="ECG38",5200,IF(D5="ECG37",5200,IF(D5="ECG40",5200,IF(D5="ECG43",5200,IF(D5="ASG48",5300,IF(D5="ASG43",5300,IF(D5="ASG40",5300,IF(D5="ASG42",5300,IF(D5="ASG44",5300,IF(D5="ASG45",5300,IF(D5="ASX HL",5300,IF(D5="ASX P",5300,IF(D5="ASX HL 4WD",5300,IF(D5="ATG16",4200,IF(D5="ATG17",4200,IF(D5="ATP16",4200,IF(D5="Attrage S",4200,IF(D5="MIG09",4200,IF(D5="MIG10",4200,IF(D5="Xpander HL",4900)))))))))))))))))))))))))))))))))))))))</f>
        <v>5200</v>
      </c>
      <c r="V11" s="92">
        <f>IF(D5="XC",9700,IF(D5="XPML",9700,IF(D5="XPHL",9700,IF(D5="XPMLP",9700,IF(D5="XPMLP-01",9700,IF(D5="XPMLP-01",9700,IF(D5="Xpander P",9700,IF(D5="MOP57",9300,IF(D5="MG64",9300,IF(D5="MOG59",9300,IF(D5="MOG59P",9300,IF(D5="MOG61",9300,IF(D5="MOP61",9300,IF(D5="OTF03",11000,IF(D5="OTP03",11000,IF(D5="OTF06",11000,IF(D5="OTP06",11000,IF(D5="OTP06-01",11000,IF(D5="OTF08",11000,IF(D5="OTP08",11000,IF(D5="ECG38",10400,IF(D5="ECG37",10400,IF(D5="ECG40",10400,IF(D5="ECG43",10400,IF(D5="ASG48",10700,IF(D5="ASG43",10700,IF(D5="ASG40",10700,IF(D5="ASG42",10700,IF(D5="ASG44",10800,IF(D5="ASG45",10800,IF(D5="ASX HL",12200,IF(D5="ASX P",12200,IF(D5="ASX HL 4WD",12200,IF(D5="ATG16",8500,IF(D5="ATG17",8500,IF(D5="ATP16",8500,IF(D5="Attrage S",9600,IF(D5="MIG09",8500,IF(D5="MIG10",8500,IF(D5="Xpander HL",11300))))))))))))))))))))))))))))))))))))))))</f>
        <v>10400</v>
      </c>
      <c r="W11" s="92">
        <f>IF(D5="XC",9200,IF(D5="XPML",9200,IF(D5="XPHL",9200,IF(D5="XPMLP",9200,IF(D5="XPMLP-01",9200,IF(D5="Xpander P",9200,IF(D5="MOP57",8700,IF(D5="MOG64",8700,IF(D5="MOG59",8700,IF(D5="MOG59P",8700,IF(D5="MOG61",8700,IF(D5="MOP61",8700,IF(D5="OTF03",10400,IF(D5="OTP03",10400,IF(D5="OTF06",10400,IF(D5="OTP06",10400,IF(D5="OTP06-01",10400,IF(D5="OTF08",10400,IF(D5="OTP08",10400,IF(D5="ECG38",9800,IF(D5="ECG37",9800,IF(D5="ECG40",9800,IF(D5="ECG43",9800,IF(D5="ASG48",10100,IF(D5="ASG43",10100,IF(D5="ASG40",10100,IF(D5="ASG42",10100,IF(D5="ASG44",10100,IF(D5="ASG45",10100,IF(D5="ASX HL",10100,IF(D5="ASX P",10100,IF(D5="ASX HL 4WD",10100,IF(D5="ATG16",7900,IF(D5="ATG17",7900,IF(D5="ATP16",7900,IF(D5="Attrage S",7900,IF(D5="MIG09",7900,IF(D5="MIG10",7900,IF(D5="Xpander HL",9200)))))))))))))))))))))))))))))))))))))))</f>
        <v>9800</v>
      </c>
      <c r="X11" s="92">
        <f>IF(D5="XC",4500,IF(D5="XPML",4500,IF(D5="XPHL",4500,IF(D5="XPMLP",4500,IF(D5="XPMLP-01",4500,IF(D5="Xpander P",4500,IF(D5="MOP57",4300,IF(D5="MOG64",4300,IF(D5="MOG59",4300,IF(D5="MOG59P",4300,IF(D5="MOG61",4300,IF(D5="MOP61",4300,IF(D5="OTF03",5000,IF(D5="OTP03",5000,IF(D5="OTF06",5000,IF(D5="OTP06",5000,IF(D5="OTP06-01",5000,IF(D5="OTF08",5000,IF(D5="OTP08",5000,IF(D5="ECG38",4900,IF(D5="ECG37",4900,IF(D5="ECG40",4900,IF(D5="ECG43",4900,IF(D5="ASG48",4900,IF(D5="ASG43",4900,IF(D5="ASG40",4900,IF(D5="ASG42",4900,IF(D5="ASG44",4900,IF(D5="ASG45",4900,IF(D5="ASX HL",4900,IF(D5="ASX P",4900,IF(D5="ASX HL 4WD",4900,IF(D5="ATG16",3700,IF(D5="ATG17",3700,IF(D5="ATP16",3700,IF(D5="Attrage S",3700,IF(D5="MIG09",3700,IF(D5="MIG10",3700,IF(D5="Xpander HL",4500)))))))))))))))))))))))))))))))))))))))</f>
        <v>4900</v>
      </c>
      <c r="Y11" s="92">
        <f>IF(D5="XC",5400,IF(D5="XPML ",5400,IF(D5="XPHL",5400,IF(D5="XPMLP",5400,IF(D5="XPMLP-01",5400,IF(D5="Xpander P",5400,IF(D5="MOP57",5200,IF(D5="MOG64",5200,IF(D5="MOG59",5200,IF(D5="MOG59P",5200,IF(D5="MOG61",5200,IF(D5="MOP61",5200,IF(D5="OTF03",6000,IF(D5="OTP03",6000,IF(D5="OTF06",6000,IF(D5="OTP06",6000,IF(D5="OTP06-01",6000,IF(D5="OTF08",6000,IF(D5="OTP08",6000,IF(D5="ECG38",5700,IF(D5="ECG37",5700,IF(D5="ECG40",5700,IF(D5="ECG43",5700,IF(D5="ASG48",5900,IF(D5="ASG43",5900,IF(D5="ASG40",5900,IF(D5="ASG42",5900,IF(D5="ASG44",5900,IF(D5="ASG45",5900,IF(D5="ASX HL",5900,IF(D5="ASX P",5900,IF(D5="ASX HL 4WD",5900,IF(D5="ATG16",4500,IF(D5="ATG17",4500,IF(D5="ATP16",4500,IF(D5="Attrage S",4500,IF(D5="MIG09",4500,IF(D5="MIG10",4500,IF(D5="Xpander HL",5400)))))))))))))))))))))))))))))))))))))))</f>
        <v>5700</v>
      </c>
    </row>
    <row r="12" spans="1:28" ht="24.75" customHeight="1" x14ac:dyDescent="0.4">
      <c r="A12" s="8"/>
      <c r="B12" s="37" t="s">
        <v>20</v>
      </c>
      <c r="C12" s="20" t="s">
        <v>17</v>
      </c>
      <c r="D12" s="36">
        <f>IF(C12="YES",2000,IF(C12="NO",0))</f>
        <v>0</v>
      </c>
      <c r="E12" s="43"/>
      <c r="F12" s="43" t="s">
        <v>21</v>
      </c>
      <c r="G12" s="40"/>
      <c r="H12" s="33">
        <v>600</v>
      </c>
      <c r="I12" s="21"/>
      <c r="J12" s="44" t="s">
        <v>22</v>
      </c>
      <c r="K12" s="45">
        <v>0</v>
      </c>
      <c r="L12" s="45">
        <v>5.2499999999999998E-2</v>
      </c>
      <c r="M12" s="45">
        <v>0.126</v>
      </c>
      <c r="N12" s="46">
        <v>0.26250000000000001</v>
      </c>
      <c r="O12" s="92">
        <f>IF(K20="Esaad",B8*3/100,IF(K20="Emirates Platinum",B8*3/100,IF(K20="Fazaa",B8*3/100,IF(K20="Humat Alwatan",B8*3/100,IF(K20="Permissible",2000,IF(K20="ASX",8400,IF(K20="XPMLP",4000,IF(K20="XP",14100,IF(K20="G43",11000,IF(K20="EC",7000,IF(K20="G37",14000,IF(K20="G38",15000,IF(K20="G40",11000,IF(K20="OUT",9600,IF(K20="F08",15400,IF(K20="P08",11100,IF(K20="F06",14100,IF(K20="P06",17100,IF(K20="F03",17000,IF(K20="P03",19100,IF(K20="MON",10000,IF(K20="MON G57",10000,0))))))))))))))))))))))</f>
        <v>2000</v>
      </c>
      <c r="P12" s="92"/>
      <c r="Q12" s="92"/>
      <c r="R12" s="92"/>
      <c r="S12" s="92"/>
      <c r="T12" s="92"/>
      <c r="U12" s="92"/>
      <c r="V12" s="92"/>
      <c r="W12" s="92"/>
      <c r="X12" s="92"/>
      <c r="Y12" s="92"/>
      <c r="Z12" s="86" t="s">
        <v>83</v>
      </c>
      <c r="AA12" s="86" t="s">
        <v>84</v>
      </c>
    </row>
    <row r="13" spans="1:28" ht="24.6" x14ac:dyDescent="0.4">
      <c r="A13" s="8">
        <f>B8*1.26582</f>
        <v>93544.097999999998</v>
      </c>
      <c r="B13" s="37" t="s">
        <v>23</v>
      </c>
      <c r="C13" s="20" t="s">
        <v>17</v>
      </c>
      <c r="D13" s="36">
        <f>IF(C13="YES",2000,IF(C13="NO",0))</f>
        <v>0</v>
      </c>
      <c r="E13" s="47"/>
      <c r="F13" s="47" t="s">
        <v>75</v>
      </c>
      <c r="G13" s="40"/>
      <c r="H13" s="33">
        <v>315</v>
      </c>
      <c r="I13" s="21"/>
      <c r="J13" s="44" t="s">
        <v>54</v>
      </c>
      <c r="K13" s="29" t="s">
        <v>79</v>
      </c>
      <c r="L13" s="29" t="s">
        <v>25</v>
      </c>
      <c r="M13" s="29" t="s">
        <v>0</v>
      </c>
      <c r="N13" s="49" t="s">
        <v>26</v>
      </c>
      <c r="O13" s="98">
        <f>IF(M21="3000-4999",6%,IF(M21="5000-9999",4.75%,IF(M21="10000-14999",3.15%,IF(M21="15000-24999",2.5%,IF(M21="25000-34999",2.25%,IF(M21="35000-99999",2.25%))))))</f>
        <v>4.7500000000000001E-2</v>
      </c>
      <c r="Q13" s="83">
        <f>H7/12</f>
        <v>1512.1453104166667</v>
      </c>
      <c r="U13" s="9">
        <f>IF(M21="3000-4999",6%,IF(M21="5000-9999",3.25%,IF(M21="10000-14999",3%,IF(M21="15000-24999",2.25%,IF(M21="25000-34999",2.15%,IF(M21="35000-99999",1.99%))))))</f>
        <v>3.2500000000000001E-2</v>
      </c>
      <c r="Z13" s="99">
        <f>IF(M21="5000-9999",2.49%,IF(M21="10000-19999",2.19%,IF(M21="20000-34999",2.09%,IF(M21="35000-49999",1.89%,IF(M21="50000-99999",1.79%)))))</f>
        <v>2.4900000000000002E-2</v>
      </c>
      <c r="AA13" s="99">
        <f>IF(M21="5000-9999",2.59%,IF(M21="10000-19999",2.29%,IF(M21="20000-34999",2.19%,IF(M21="35000-49999",1.99%,IF(M21="50000-99999",1.89%)))))</f>
        <v>2.5899999999999999E-2</v>
      </c>
    </row>
    <row r="14" spans="1:28" ht="24.6" x14ac:dyDescent="0.4">
      <c r="A14" s="10" t="s">
        <v>27</v>
      </c>
      <c r="B14" s="37" t="s">
        <v>24</v>
      </c>
      <c r="C14" s="20" t="s">
        <v>19</v>
      </c>
      <c r="D14" s="50">
        <f>IF(C14="YES",U19*3.15*1.05/100,IF(C14="NO",U19*0/100))</f>
        <v>2788.718625</v>
      </c>
      <c r="E14" s="48"/>
      <c r="F14" s="48" t="s">
        <v>24</v>
      </c>
      <c r="G14" s="51" t="s">
        <v>17</v>
      </c>
      <c r="H14" s="39">
        <f>IF(G14="YES",U19*3.15*1.05/100,IF(G14="NO",U19*0/100))</f>
        <v>0</v>
      </c>
      <c r="I14" s="21"/>
      <c r="J14" s="44" t="s">
        <v>55</v>
      </c>
      <c r="K14" s="44">
        <f>(H8*K12+H8)/3</f>
        <v>6048.5812416666658</v>
      </c>
      <c r="L14" s="44">
        <f>(H8*L12+H8)/12</f>
        <v>1591.5329392135416</v>
      </c>
      <c r="M14" s="44">
        <f>(H8*M12+H8)/24</f>
        <v>851.3378097645832</v>
      </c>
      <c r="N14" s="52">
        <f>(H7*N12+H7)/60</f>
        <v>381.81669088020834</v>
      </c>
      <c r="O14" s="98">
        <f>IF(M21="3000-4999",3.89%,IF(M21="5000-9999",3.89%,IF(M21="10000-14999",3.89%,IF(M21="15000-24999",2.69%,IF(M21="25000-34999",2.69%,IF(M21="35000-99999",2.39%,IF(M21="76000-99999",2.19%)))))))</f>
        <v>3.8900000000000004E-2</v>
      </c>
    </row>
    <row r="15" spans="1:28" ht="24.6" x14ac:dyDescent="0.4">
      <c r="A15" s="11">
        <f>(B7*3%)+10+120</f>
        <v>2347</v>
      </c>
      <c r="B15" s="37" t="s">
        <v>28</v>
      </c>
      <c r="C15" s="20" t="s">
        <v>19</v>
      </c>
      <c r="D15" s="29">
        <f>IF(C15="YES",O10,IF(C15="NO",0))</f>
        <v>3625</v>
      </c>
      <c r="E15" s="48"/>
      <c r="F15" s="48" t="s">
        <v>53</v>
      </c>
      <c r="G15" s="51" t="s">
        <v>17</v>
      </c>
      <c r="H15" s="39">
        <f>IF(G15="YES",O10,IF(G15="NO",0))</f>
        <v>0</v>
      </c>
      <c r="I15" s="21"/>
      <c r="J15" s="44"/>
      <c r="K15" s="44"/>
      <c r="L15" s="44"/>
      <c r="M15" s="44"/>
      <c r="N15" s="53"/>
      <c r="O15" s="98" t="b">
        <f>IF(M21="3000-4999",4.99%, IF(M21="5000-11999",2.75%,IF(M21="12000-19999",2.75%,IF(M21="20000-39999",2.25%,IF(M21="40000-69999",2.39%,IF(M21="70000-99999",2.25%))))))</f>
        <v>0</v>
      </c>
      <c r="P15" s="99"/>
    </row>
    <row r="16" spans="1:28" ht="24.6" x14ac:dyDescent="0.4">
      <c r="A16" s="11">
        <f>((B7-B8)*3%+10+120)</f>
        <v>130</v>
      </c>
      <c r="B16" s="37" t="s">
        <v>78</v>
      </c>
      <c r="C16" s="20" t="s">
        <v>19</v>
      </c>
      <c r="D16" s="29">
        <f>IF(C16="YES",O16,IF(C16="NO",0))</f>
        <v>6400</v>
      </c>
      <c r="E16" s="47"/>
      <c r="F16" s="47" t="s">
        <v>74</v>
      </c>
      <c r="G16" s="54"/>
      <c r="H16" s="33">
        <f>I7*1.05%</f>
        <v>762.12123645000008</v>
      </c>
      <c r="I16" s="21"/>
      <c r="J16" s="44" t="s">
        <v>16</v>
      </c>
      <c r="K16" s="44">
        <f>(K14*3)-H8</f>
        <v>0</v>
      </c>
      <c r="L16" s="44">
        <f>(L14*12)-H8</f>
        <v>952.65154556250127</v>
      </c>
      <c r="M16" s="44">
        <f>(M14*24)-H8</f>
        <v>2286.3637093500001</v>
      </c>
      <c r="N16" s="53"/>
      <c r="O16" s="92">
        <f>IF(B16="RMC-10-70KMS",O11,IF(B16="RMC-10-100000KMS",V11,IF(B16="RMC-40-70KMS",U11, IF(B16="RMC-10-40KMS",X11, IF(B16="RMC-10-60KMS",Y11, IF(B16="RMC-40-100000KMS",W11,0))))))</f>
        <v>6400</v>
      </c>
    </row>
    <row r="17" spans="1:28" ht="24.6" x14ac:dyDescent="0.4">
      <c r="A17" s="11">
        <f>A15+A16</f>
        <v>2477</v>
      </c>
      <c r="B17" s="37"/>
      <c r="C17" s="20"/>
      <c r="D17" s="29">
        <f>SUM(D10:D16)</f>
        <v>12813.718625</v>
      </c>
      <c r="E17" s="33"/>
      <c r="F17" s="33"/>
      <c r="G17" s="33"/>
      <c r="H17" s="33">
        <f>H7+H12+H15+H16</f>
        <v>19507.864961449999</v>
      </c>
      <c r="I17" s="33"/>
      <c r="J17" s="22"/>
      <c r="K17" s="53"/>
      <c r="L17" s="53"/>
      <c r="M17" s="53"/>
      <c r="N17" s="53"/>
      <c r="O17" s="92">
        <f>IF(B11="FO Ceramic+ Intr&amp;Extr CeramicGold WdwTnt",2700,IF(B11="FO Mirror Camera Sensor",2000))</f>
        <v>2700</v>
      </c>
      <c r="T17" s="86">
        <f>19615-791</f>
        <v>18824</v>
      </c>
    </row>
    <row r="18" spans="1:28" ht="24.6" x14ac:dyDescent="0.4">
      <c r="A18" s="12" t="s">
        <v>29</v>
      </c>
      <c r="B18" s="55" t="s">
        <v>30</v>
      </c>
      <c r="C18" s="56"/>
      <c r="D18" s="57">
        <v>0</v>
      </c>
      <c r="E18" s="38"/>
      <c r="F18" s="22"/>
      <c r="G18" s="22"/>
      <c r="H18" s="21"/>
      <c r="I18" s="21"/>
      <c r="J18" s="21"/>
      <c r="K18" s="21"/>
      <c r="L18" s="21"/>
      <c r="M18" s="21"/>
      <c r="N18" s="21"/>
      <c r="O18" s="92"/>
      <c r="U18" s="100" t="s">
        <v>52</v>
      </c>
      <c r="V18" s="100" t="s">
        <v>52</v>
      </c>
    </row>
    <row r="19" spans="1:28" ht="24.6" x14ac:dyDescent="0.4">
      <c r="A19" s="11">
        <f>B8*3.15%</f>
        <v>2327.85</v>
      </c>
      <c r="B19" s="58" t="s">
        <v>31</v>
      </c>
      <c r="C19" s="59"/>
      <c r="D19" s="60">
        <f>IF(K21="DIB EXPAT",O13,IF(K21="DIB LOCAL GVH",U13,IF(K21="Emirates NBD",O14,IF(K21="ADCB",O15,IF(K21="ADCB PAY IN 2027",O19,IF(K21="Ajman Bank",O18,IF(K21="SIB STL",Z13,IF(K21="SIB NON STL",AA13,))))))))</f>
        <v>2.4900000000000002E-2</v>
      </c>
      <c r="E19" s="22"/>
      <c r="F19" s="61"/>
      <c r="G19" s="141" t="s">
        <v>73</v>
      </c>
      <c r="H19" s="142"/>
      <c r="I19" s="143"/>
      <c r="J19" s="109">
        <f>H7/365</f>
        <v>49.714366369863015</v>
      </c>
      <c r="K19" s="21"/>
      <c r="L19" s="21"/>
      <c r="M19" s="21"/>
      <c r="N19" s="23">
        <f>D7</f>
        <v>77595</v>
      </c>
      <c r="O19" s="98" t="b">
        <f>IF(M21="5000-11999",3.35%,IF(M21="12000-19999",3.35%,IF(M21="20000-39999",2.85%,IF(M21="40000-69999",2.85%,IF(M21="70000-99999",2.85%)))))</f>
        <v>0</v>
      </c>
      <c r="P19" s="83">
        <f>81400-2500</f>
        <v>78900</v>
      </c>
      <c r="U19" s="101">
        <f>V19</f>
        <v>84315</v>
      </c>
      <c r="V19" s="102">
        <f>(B7+D10+D11+D12+D13+D16)*1.05</f>
        <v>84315</v>
      </c>
      <c r="X19" s="87">
        <f>G7*3.15*1.05/100</f>
        <v>3000.8523685218747</v>
      </c>
      <c r="Y19" s="87">
        <f>G7*3/100+510*1.05</f>
        <v>3257.3615587499999</v>
      </c>
      <c r="Z19" s="87">
        <f>Y19+X19</f>
        <v>6258.2139272718741</v>
      </c>
      <c r="AA19" s="87">
        <f>(Z19)-(D14+D15)</f>
        <v>-155.50469772812539</v>
      </c>
      <c r="AB19" s="87">
        <f>AA19*1.25</f>
        <v>-194.38087216015674</v>
      </c>
    </row>
    <row r="20" spans="1:28" ht="24.6" x14ac:dyDescent="0.4">
      <c r="A20" s="11"/>
      <c r="B20" s="58" t="s">
        <v>32</v>
      </c>
      <c r="C20" s="62"/>
      <c r="D20" s="63">
        <v>0.2</v>
      </c>
      <c r="E20" s="21"/>
      <c r="F20" s="21"/>
      <c r="G20" s="42"/>
      <c r="H20" s="42"/>
      <c r="I20" s="42"/>
      <c r="J20" s="103"/>
      <c r="K20" s="104" t="s">
        <v>33</v>
      </c>
      <c r="L20" s="104" t="s">
        <v>17</v>
      </c>
      <c r="M20" s="104">
        <f>IF(L20="YES",O12,IF(L20="NO",0))</f>
        <v>0</v>
      </c>
      <c r="N20" s="23">
        <f>B8-M20</f>
        <v>73900</v>
      </c>
      <c r="O20" s="92"/>
      <c r="P20" s="99"/>
      <c r="T20" s="86">
        <f>1992+1084</f>
        <v>3076</v>
      </c>
      <c r="V20" s="83"/>
      <c r="X20" s="87">
        <f>X19-D14</f>
        <v>212.13374352187475</v>
      </c>
      <c r="Y20" s="87">
        <f>Y19-D15</f>
        <v>-367.63844125000014</v>
      </c>
      <c r="AA20" s="87">
        <f>X20+Y20</f>
        <v>-155.50469772812539</v>
      </c>
    </row>
    <row r="21" spans="1:28" ht="24.6" x14ac:dyDescent="0.4">
      <c r="A21" s="13">
        <f>A19+A20</f>
        <v>2327.85</v>
      </c>
      <c r="B21" s="21"/>
      <c r="C21" s="22"/>
      <c r="D21" s="21"/>
      <c r="E21" s="21"/>
      <c r="F21" s="21"/>
      <c r="G21" s="21"/>
      <c r="H21" s="21"/>
      <c r="I21" s="21"/>
      <c r="J21" s="37" t="s">
        <v>34</v>
      </c>
      <c r="K21" s="16" t="s">
        <v>83</v>
      </c>
      <c r="L21" s="105" t="s">
        <v>35</v>
      </c>
      <c r="M21" s="106" t="s">
        <v>80</v>
      </c>
      <c r="N21" s="111"/>
      <c r="O21" s="92"/>
      <c r="T21" s="86">
        <f>25973-12973</f>
        <v>13000</v>
      </c>
    </row>
    <row r="22" spans="1:28" ht="24.6" x14ac:dyDescent="0.4">
      <c r="A22" s="13"/>
      <c r="B22" s="130" t="s">
        <v>51</v>
      </c>
      <c r="C22" s="131"/>
      <c r="D22" s="131"/>
      <c r="E22" s="131"/>
      <c r="F22" s="131"/>
      <c r="G22" s="131"/>
      <c r="H22" s="131"/>
      <c r="I22" s="131"/>
      <c r="J22" s="131"/>
      <c r="K22" s="131"/>
      <c r="L22" s="131"/>
      <c r="M22" s="131"/>
      <c r="N22" s="132"/>
      <c r="O22" s="92"/>
    </row>
    <row r="23" spans="1:28" ht="25.2" x14ac:dyDescent="0.45">
      <c r="A23" s="14" t="s">
        <v>36</v>
      </c>
      <c r="B23" s="64" t="s">
        <v>57</v>
      </c>
      <c r="C23" s="65"/>
      <c r="D23" s="65"/>
      <c r="E23" s="65"/>
      <c r="F23" s="65"/>
      <c r="G23" s="65"/>
      <c r="H23" s="66"/>
      <c r="I23" s="66"/>
      <c r="J23" s="65"/>
      <c r="K23" s="65"/>
      <c r="L23" s="65"/>
      <c r="M23" s="65"/>
      <c r="N23" s="67"/>
      <c r="O23" s="92">
        <f>N7+K14</f>
        <v>7408.9071629174996</v>
      </c>
    </row>
    <row r="24" spans="1:28" ht="25.2" x14ac:dyDescent="0.45">
      <c r="A24" s="14" t="s">
        <v>36</v>
      </c>
      <c r="B24" s="64" t="s">
        <v>58</v>
      </c>
      <c r="C24" s="65"/>
      <c r="D24" s="65"/>
      <c r="E24" s="65"/>
      <c r="F24" s="65"/>
      <c r="G24" s="65"/>
      <c r="H24" s="85">
        <f>H7/365</f>
        <v>49.714366369863015</v>
      </c>
      <c r="I24" s="85">
        <f>H7/365</f>
        <v>49.714366369863015</v>
      </c>
      <c r="J24" s="65"/>
      <c r="K24" s="65"/>
      <c r="L24" s="65"/>
      <c r="M24" s="65"/>
      <c r="N24" s="68"/>
      <c r="O24" s="92"/>
      <c r="P24" s="83">
        <f>1232+480</f>
        <v>1712</v>
      </c>
      <c r="T24" s="86">
        <f>88704/1.05</f>
        <v>84480</v>
      </c>
    </row>
    <row r="25" spans="1:28" ht="25.2" x14ac:dyDescent="0.45">
      <c r="A25" s="14" t="s">
        <v>36</v>
      </c>
      <c r="B25" s="64" t="s">
        <v>59</v>
      </c>
      <c r="C25" s="65"/>
      <c r="D25" s="65"/>
      <c r="E25" s="65"/>
      <c r="F25" s="65"/>
      <c r="G25" s="65"/>
      <c r="H25" s="66"/>
      <c r="I25" s="85">
        <f>I24*365*3</f>
        <v>54437.231175000001</v>
      </c>
      <c r="J25" s="65"/>
      <c r="K25" s="65"/>
      <c r="L25" s="65"/>
      <c r="M25" s="65"/>
      <c r="N25" s="68"/>
      <c r="O25" s="92"/>
      <c r="Q25" s="86">
        <f>79400-5233.33</f>
        <v>74166.67</v>
      </c>
      <c r="R25" s="86">
        <f>Q25*1.05</f>
        <v>77875.003500000006</v>
      </c>
    </row>
    <row r="26" spans="1:28" ht="25.2" x14ac:dyDescent="0.45">
      <c r="A26" s="14" t="s">
        <v>36</v>
      </c>
      <c r="B26" s="64" t="s">
        <v>60</v>
      </c>
      <c r="C26" s="65"/>
      <c r="D26" s="65"/>
      <c r="E26" s="65"/>
      <c r="F26" s="65"/>
      <c r="G26" s="65"/>
      <c r="H26" s="65"/>
      <c r="I26" s="65"/>
      <c r="J26" s="65"/>
      <c r="K26" s="65"/>
      <c r="L26" s="65"/>
      <c r="M26" s="65"/>
      <c r="N26" s="68"/>
      <c r="O26" s="92" t="s">
        <v>37</v>
      </c>
      <c r="R26" s="86">
        <f>R25+2469</f>
        <v>80344.003500000006</v>
      </c>
    </row>
    <row r="27" spans="1:28" ht="25.2" x14ac:dyDescent="0.45">
      <c r="A27" s="14" t="s">
        <v>36</v>
      </c>
      <c r="B27" s="64" t="s">
        <v>61</v>
      </c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8"/>
      <c r="O27" s="92">
        <f>129500-110900</f>
        <v>18600</v>
      </c>
    </row>
    <row r="28" spans="1:28" ht="25.2" x14ac:dyDescent="0.45">
      <c r="B28" s="64" t="s">
        <v>62</v>
      </c>
      <c r="C28" s="65"/>
      <c r="D28" s="65"/>
      <c r="E28" s="65"/>
      <c r="F28" s="65"/>
      <c r="G28" s="65"/>
      <c r="H28" s="65"/>
      <c r="I28" s="65"/>
      <c r="J28" s="65"/>
      <c r="K28" s="65"/>
      <c r="L28" s="65"/>
      <c r="M28" s="65"/>
      <c r="N28" s="68"/>
      <c r="O28" s="92"/>
    </row>
    <row r="29" spans="1:28" ht="25.2" x14ac:dyDescent="0.45">
      <c r="B29" s="64" t="s">
        <v>63</v>
      </c>
      <c r="C29" s="65"/>
      <c r="D29" s="65"/>
      <c r="E29" s="65"/>
      <c r="F29" s="65"/>
      <c r="G29" s="65"/>
      <c r="H29" s="65"/>
      <c r="I29" s="65"/>
      <c r="J29" s="65"/>
      <c r="K29" s="65"/>
      <c r="L29" s="65"/>
      <c r="M29" s="65"/>
      <c r="N29" s="69"/>
      <c r="O29" s="92"/>
    </row>
    <row r="30" spans="1:28" ht="24.6" x14ac:dyDescent="0.4">
      <c r="B30" s="133" t="s">
        <v>38</v>
      </c>
      <c r="C30" s="134"/>
      <c r="D30" s="134"/>
      <c r="E30" s="134"/>
      <c r="F30" s="134"/>
      <c r="G30" s="134"/>
      <c r="H30" s="134"/>
      <c r="I30" s="134"/>
      <c r="J30" s="134"/>
      <c r="K30" s="134"/>
      <c r="L30" s="134"/>
      <c r="M30" s="134"/>
      <c r="N30" s="135"/>
      <c r="O30" s="92"/>
    </row>
    <row r="31" spans="1:28" ht="24.6" x14ac:dyDescent="0.4">
      <c r="B31" s="136"/>
      <c r="C31" s="137"/>
      <c r="D31" s="137"/>
      <c r="E31" s="137"/>
      <c r="F31" s="137"/>
      <c r="G31" s="137"/>
      <c r="H31" s="137"/>
      <c r="I31" s="137"/>
      <c r="J31" s="137"/>
      <c r="K31" s="137"/>
      <c r="L31" s="137"/>
      <c r="M31" s="137"/>
      <c r="N31" s="138"/>
      <c r="O31" s="92"/>
    </row>
    <row r="32" spans="1:28" ht="24.6" x14ac:dyDescent="0.4">
      <c r="B32" s="136" t="s">
        <v>39</v>
      </c>
      <c r="C32" s="137"/>
      <c r="D32" s="137"/>
      <c r="E32" s="137"/>
      <c r="F32" s="137"/>
      <c r="G32" s="137"/>
      <c r="H32" s="137"/>
      <c r="I32" s="137"/>
      <c r="J32" s="137"/>
      <c r="K32" s="137"/>
      <c r="L32" s="137"/>
      <c r="M32" s="137"/>
      <c r="N32" s="138"/>
      <c r="O32" s="92"/>
    </row>
    <row r="33" spans="2:16" ht="24.6" x14ac:dyDescent="0.4">
      <c r="B33" s="136" t="s">
        <v>40</v>
      </c>
      <c r="C33" s="137"/>
      <c r="D33" s="137"/>
      <c r="E33" s="137"/>
      <c r="F33" s="137"/>
      <c r="G33" s="137"/>
      <c r="H33" s="137"/>
      <c r="I33" s="137"/>
      <c r="J33" s="137"/>
      <c r="K33" s="137"/>
      <c r="L33" s="137"/>
      <c r="M33" s="137"/>
      <c r="N33" s="138"/>
      <c r="O33" s="92"/>
    </row>
    <row r="34" spans="2:16" s="112" customFormat="1" ht="24.6" x14ac:dyDescent="0.4">
      <c r="B34" s="107" t="s">
        <v>81</v>
      </c>
      <c r="C34" s="108"/>
      <c r="D34" s="108"/>
      <c r="E34" s="108"/>
      <c r="F34" s="108"/>
      <c r="G34" s="113"/>
      <c r="H34" s="113"/>
      <c r="I34" s="108"/>
      <c r="J34" s="108"/>
      <c r="K34" s="108"/>
      <c r="L34" s="108"/>
      <c r="M34" s="114" t="s">
        <v>82</v>
      </c>
      <c r="N34" s="116" t="b">
        <f>IF(M34="ALAA",507963328, IF(M34="BACHIR",525246969,IF(M34="JIHAN",566201266, IF(M34="RAMY",505277871, IF(M34="SIMON",505140337,IF(M34="SUJITH",551079817, IF(M34="PRAVEEN",506367792,IF(M34="MHAREN",529224059, IF(M34="MOSSALLEM",505185577,IF(M34="RANJITH",554989288, IF(M34="KHALED",552319494)))))))))))</f>
        <v>0</v>
      </c>
      <c r="O34" s="115"/>
      <c r="P34" s="115"/>
    </row>
    <row r="35" spans="2:16" x14ac:dyDescent="0.35">
      <c r="B35" s="70"/>
      <c r="C35" s="71"/>
      <c r="D35" s="71"/>
      <c r="E35" s="71"/>
      <c r="F35" s="71"/>
      <c r="G35" s="71"/>
      <c r="H35" s="71"/>
      <c r="I35" s="71"/>
      <c r="J35" s="71"/>
      <c r="K35" s="71"/>
      <c r="L35" s="71"/>
      <c r="M35" s="71"/>
      <c r="N35" s="72"/>
    </row>
    <row r="36" spans="2:16" x14ac:dyDescent="0.35">
      <c r="B36" s="70"/>
      <c r="C36" s="71"/>
      <c r="D36" s="71"/>
      <c r="E36" s="71"/>
      <c r="F36" s="71"/>
      <c r="G36" s="71"/>
      <c r="H36" s="71"/>
      <c r="I36" s="71"/>
      <c r="J36" s="71"/>
      <c r="K36" s="71"/>
      <c r="L36" s="71"/>
      <c r="M36" s="71"/>
      <c r="N36" s="72"/>
    </row>
    <row r="37" spans="2:16" x14ac:dyDescent="0.35">
      <c r="B37" s="70"/>
      <c r="C37" s="71"/>
      <c r="D37" s="71"/>
      <c r="E37" s="71"/>
      <c r="F37" s="71"/>
      <c r="G37" s="71"/>
      <c r="H37" s="71"/>
      <c r="I37" s="71"/>
      <c r="J37" s="71"/>
      <c r="K37" s="71"/>
      <c r="L37" s="71"/>
      <c r="M37" s="71"/>
      <c r="N37" s="72"/>
    </row>
    <row r="38" spans="2:16" ht="21" x14ac:dyDescent="0.4">
      <c r="B38" s="73" t="s">
        <v>64</v>
      </c>
      <c r="C38" s="74"/>
      <c r="D38" s="75"/>
      <c r="E38" s="76"/>
      <c r="F38" s="76"/>
      <c r="G38" s="76"/>
      <c r="H38" s="76"/>
      <c r="I38" s="76"/>
      <c r="J38" s="77"/>
      <c r="K38" s="76"/>
      <c r="L38" s="76"/>
      <c r="M38" s="76"/>
      <c r="N38" s="78"/>
    </row>
    <row r="39" spans="2:16" ht="21" x14ac:dyDescent="0.4">
      <c r="B39" s="73" t="s">
        <v>65</v>
      </c>
      <c r="C39" s="79"/>
      <c r="D39" s="75"/>
      <c r="E39" s="76"/>
      <c r="F39" s="76"/>
      <c r="G39" s="76"/>
      <c r="H39" s="76"/>
      <c r="I39" s="76"/>
      <c r="J39" s="77"/>
      <c r="K39" s="76"/>
      <c r="L39" s="76"/>
      <c r="M39" s="76"/>
      <c r="N39" s="80"/>
    </row>
    <row r="40" spans="2:16" ht="21" x14ac:dyDescent="0.35">
      <c r="B40" s="73" t="s">
        <v>66</v>
      </c>
      <c r="C40" s="81"/>
      <c r="D40" s="76"/>
      <c r="E40" s="76"/>
      <c r="F40" s="76"/>
      <c r="G40" s="76"/>
      <c r="H40" s="76"/>
      <c r="I40" s="76"/>
      <c r="J40" s="77"/>
      <c r="K40" s="76"/>
      <c r="L40" s="76"/>
      <c r="M40" s="76"/>
      <c r="N40" s="80"/>
    </row>
    <row r="41" spans="2:16" ht="21" x14ac:dyDescent="0.35">
      <c r="B41" s="73" t="s">
        <v>67</v>
      </c>
      <c r="C41" s="82"/>
      <c r="D41" s="83"/>
      <c r="E41" s="83"/>
      <c r="F41" s="83"/>
      <c r="G41" s="83"/>
      <c r="H41" s="83"/>
      <c r="I41" s="83"/>
      <c r="J41" s="83"/>
      <c r="K41" s="83"/>
      <c r="L41" s="83"/>
      <c r="M41" s="83"/>
      <c r="N41" s="84"/>
    </row>
    <row r="42" spans="2:16" ht="21" x14ac:dyDescent="0.35">
      <c r="B42" s="73" t="s">
        <v>77</v>
      </c>
      <c r="C42" s="82"/>
      <c r="D42" s="83"/>
      <c r="E42" s="83"/>
      <c r="F42" s="83"/>
      <c r="G42" s="83"/>
      <c r="H42" s="83"/>
      <c r="I42" s="83"/>
      <c r="J42" s="83"/>
      <c r="K42" s="83"/>
      <c r="L42" s="83"/>
      <c r="M42" s="83"/>
      <c r="N42" s="84"/>
    </row>
    <row r="43" spans="2:16" ht="21" x14ac:dyDescent="0.35">
      <c r="B43" s="73" t="s">
        <v>68</v>
      </c>
      <c r="C43" s="82"/>
      <c r="D43" s="83"/>
      <c r="E43" s="83"/>
      <c r="F43" s="83"/>
      <c r="G43" s="83"/>
      <c r="H43" s="83"/>
      <c r="I43" s="83"/>
      <c r="J43" s="83"/>
      <c r="K43" s="83"/>
      <c r="L43" s="83"/>
      <c r="M43" s="83"/>
      <c r="N43" s="84"/>
    </row>
    <row r="44" spans="2:16" ht="21" x14ac:dyDescent="0.35">
      <c r="B44" s="73" t="s">
        <v>69</v>
      </c>
      <c r="C44" s="82"/>
      <c r="D44" s="83"/>
      <c r="E44" s="83"/>
      <c r="F44" s="83"/>
      <c r="G44" s="83"/>
      <c r="H44" s="83"/>
      <c r="I44" s="83"/>
      <c r="J44" s="83"/>
      <c r="K44" s="83"/>
      <c r="L44" s="83"/>
      <c r="M44" s="83"/>
      <c r="N44" s="84"/>
    </row>
    <row r="45" spans="2:16" ht="21" x14ac:dyDescent="0.35">
      <c r="B45" s="73" t="s">
        <v>70</v>
      </c>
      <c r="C45" s="82"/>
      <c r="D45" s="83"/>
      <c r="E45" s="83"/>
      <c r="F45" s="83"/>
      <c r="G45" s="83"/>
      <c r="H45" s="83"/>
      <c r="I45" s="83"/>
      <c r="J45" s="83"/>
      <c r="K45" s="83"/>
      <c r="L45" s="83"/>
      <c r="M45" s="83"/>
      <c r="N45" s="84"/>
    </row>
    <row r="46" spans="2:16" ht="21" x14ac:dyDescent="0.35">
      <c r="B46" s="73" t="s">
        <v>71</v>
      </c>
      <c r="C46" s="82"/>
      <c r="D46" s="83"/>
      <c r="E46" s="83"/>
      <c r="F46" s="83"/>
      <c r="G46" s="83"/>
      <c r="H46" s="83"/>
      <c r="I46" s="83"/>
      <c r="J46" s="83"/>
      <c r="K46" s="83"/>
      <c r="L46" s="83"/>
      <c r="M46" s="83"/>
      <c r="N46" s="84"/>
    </row>
    <row r="47" spans="2:16" x14ac:dyDescent="0.35">
      <c r="B47" s="118" t="s">
        <v>39</v>
      </c>
      <c r="C47" s="119"/>
      <c r="D47" s="119"/>
      <c r="E47" s="119"/>
      <c r="F47" s="119"/>
      <c r="G47" s="119"/>
      <c r="H47" s="119"/>
      <c r="I47" s="119"/>
      <c r="J47" s="119"/>
      <c r="K47" s="119"/>
      <c r="L47" s="119"/>
      <c r="M47" s="119"/>
      <c r="N47" s="120"/>
      <c r="O47" s="92"/>
    </row>
    <row r="48" spans="2:16" x14ac:dyDescent="0.35">
      <c r="B48" s="118" t="s">
        <v>40</v>
      </c>
      <c r="C48" s="119"/>
      <c r="D48" s="119"/>
      <c r="E48" s="119"/>
      <c r="F48" s="119"/>
      <c r="G48" s="119"/>
      <c r="H48" s="119"/>
      <c r="I48" s="119"/>
      <c r="J48" s="119"/>
      <c r="K48" s="119"/>
      <c r="L48" s="119"/>
      <c r="M48" s="119"/>
      <c r="N48" s="120"/>
      <c r="O48" s="92"/>
    </row>
    <row r="49" spans="2:14" x14ac:dyDescent="0.35">
      <c r="B49" s="118" t="s">
        <v>72</v>
      </c>
      <c r="C49" s="119"/>
      <c r="D49" s="119"/>
      <c r="E49" s="119"/>
      <c r="F49" s="119"/>
      <c r="G49" s="119"/>
      <c r="H49" s="119"/>
      <c r="I49" s="119"/>
      <c r="J49" s="119"/>
      <c r="K49" s="119"/>
      <c r="L49" s="119"/>
      <c r="M49" s="119"/>
      <c r="N49" s="120"/>
    </row>
    <row r="50" spans="2:14" ht="25.8" x14ac:dyDescent="0.35">
      <c r="C50" s="15" t="s">
        <v>41</v>
      </c>
    </row>
    <row r="51" spans="2:14" ht="25.8" x14ac:dyDescent="0.35">
      <c r="C51" s="15" t="s">
        <v>42</v>
      </c>
    </row>
    <row r="52" spans="2:14" ht="25.8" x14ac:dyDescent="0.35">
      <c r="C52" s="15" t="s">
        <v>43</v>
      </c>
    </row>
    <row r="53" spans="2:14" ht="25.8" x14ac:dyDescent="0.35">
      <c r="C53" s="15" t="s">
        <v>44</v>
      </c>
    </row>
    <row r="54" spans="2:14" ht="25.8" x14ac:dyDescent="0.35">
      <c r="C54" s="15" t="s">
        <v>45</v>
      </c>
    </row>
  </sheetData>
  <mergeCells count="12">
    <mergeCell ref="B49:N49"/>
    <mergeCell ref="B1:N4"/>
    <mergeCell ref="F8:G8"/>
    <mergeCell ref="F9:G9"/>
    <mergeCell ref="G19:I19"/>
    <mergeCell ref="B22:N22"/>
    <mergeCell ref="B30:N30"/>
    <mergeCell ref="B31:N31"/>
    <mergeCell ref="B32:N32"/>
    <mergeCell ref="B33:N33"/>
    <mergeCell ref="B47:N47"/>
    <mergeCell ref="B48:N48"/>
  </mergeCells>
  <dataValidations count="11">
    <dataValidation type="list" allowBlank="1" showInputMessage="1" showErrorMessage="1" sqref="K21" xr:uid="{6EE76CBE-7D1F-4E4C-996A-20E0144CFE27}">
      <formula1>"ADCB,ADCB PAY IN 2027,Ajman Bank,ADIB,DIB EXPAT,DIB LOCAL GVH,Emirates NBD,EIB,FAB,RAK,SIB STL,SIB NON STL"</formula1>
    </dataValidation>
    <dataValidation type="list" allowBlank="1" showInputMessage="1" showErrorMessage="1" sqref="D5" xr:uid="{55349D58-B317-44EC-8712-FC9B50480156}">
      <formula1>"MIG09,MIG10,ATG16,ATP16,ATG17,ASG48,ASG43,ASG40,ASG42,ASG44,ASG45,ECG38,ECG37,ECG40,ECG43,XPML,XPHL,XPMLP, XPMLP-01, XC,OTF03,OTP03,OTF06,OTP06, OTP06-01,OTF08, OTP08,MOP57,MOG64,MOG59,MOG59P,MOG61,MOP61"</formula1>
    </dataValidation>
    <dataValidation type="list" allowBlank="1" showInputMessage="1" showErrorMessage="1" sqref="M21" xr:uid="{A010214B-498A-494A-9BD5-ED3D2A9B4AC4}">
      <formula1>"3000-4999,5000-9999,10000-14999,15000-24999,25000-34999,35000-99999,5000-11999,12000-19999,20000-39999,40000-69999,70000-99999"</formula1>
    </dataValidation>
    <dataValidation type="list" allowBlank="1" showInputMessage="1" showErrorMessage="1" sqref="K20" xr:uid="{12C53DE7-58DA-4F46-B9EC-01BB1A648551}">
      <formula1>"Esaad,Emirates Platinum,Fazaa,Humat Alwatan,Permissible,ASX,XPMLP,XP,MON,MON G57,OUT,F08,P08,F06,P06,F03,P03,EC,G37,G38,G40,G43"</formula1>
    </dataValidation>
    <dataValidation type="list" allowBlank="1" showInputMessage="1" showErrorMessage="1" sqref="L19:L20 L24:L25 G14:G15 C10:C16 L10 J10" xr:uid="{CE68CC76-79A1-46F8-B400-75FFBE04DB0B}">
      <formula1>"YES,NO"</formula1>
    </dataValidation>
    <dataValidation type="list" allowBlank="1" showInputMessage="1" showErrorMessage="1" sqref="K24" xr:uid="{03FA26E1-5A89-46CC-B67E-C591B60FE1AD}">
      <formula1>"RMC-10-70K,RMC-10-100000K,RMC-40-70K"</formula1>
    </dataValidation>
    <dataValidation type="list" allowBlank="1" showInputMessage="1" showErrorMessage="1" sqref="B16" xr:uid="{A2307866-C4D5-4136-A31B-949167819D3E}">
      <formula1>"RMC-10-40KMS,RMC-10-60KMS,RMC-10-70KMS,RMC-10-100000KMS,RMC-40-70KMS,RMC-40-100000KMS"</formula1>
    </dataValidation>
    <dataValidation type="list" allowBlank="1" showInputMessage="1" showErrorMessage="1" sqref="B12" xr:uid="{69FC2FFF-8410-42A0-9E64-4A2E6E642462}">
      <formula1>"FO Exterior ceramic All Cars SCOTCHGUARD,FO Mirror Camera Sensor,FO PPF Gold Package "</formula1>
    </dataValidation>
    <dataValidation type="list" allowBlank="1" showInputMessage="1" showErrorMessage="1" sqref="B11" xr:uid="{50FDAF41-503C-4F65-9C83-10A389F96570}">
      <formula1>"FO Ceramic+ Intr&amp;Extr CeramicGold WdwTnt,FO Mirror Camera Sensor"</formula1>
    </dataValidation>
    <dataValidation type="list" allowBlank="1" showInputMessage="1" showErrorMessage="1" sqref="M34" xr:uid="{2F37EE7B-1F95-4CAC-8AF7-3E91CE09AE12}">
      <formula1>"Alaa,Bachir ,Khaled,Ramy,Simon,Mharen,Ranjith,Jihan,Praveen,Sujith,Mossallem"</formula1>
    </dataValidation>
    <dataValidation type="list" allowBlank="1" showInputMessage="1" showErrorMessage="1" sqref="H34" xr:uid="{BA15B494-F5E1-46DC-AA41-8AF754A299AA}">
      <formula1>"ALAA HAMMAD,KHALED QASSEM,RAMY RAOUF,SIMON LOBO,MHAREN CLEMENTE GARADO"</formula1>
    </dataValidation>
  </dataValidations>
  <pageMargins left="0.23622047244094491" right="0.23622047244094491" top="0.74803149606299213" bottom="0.74803149606299213" header="0.31496062992125984" footer="0.31496062992125984"/>
  <pageSetup paperSize="9" scale="37" orientation="landscape" horizontalDpi="4294967295" verticalDpi="4294967295"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CAB98-EAF0-4278-82D3-65351BEEEEC7}">
  <sheetPr>
    <pageSetUpPr fitToPage="1"/>
  </sheetPr>
  <dimension ref="A1:AB54"/>
  <sheetViews>
    <sheetView topLeftCell="B1" zoomScaleNormal="100" workbookViewId="0">
      <selection activeCell="D5" sqref="D5"/>
    </sheetView>
  </sheetViews>
  <sheetFormatPr defaultColWidth="9.109375" defaultRowHeight="20.399999999999999" x14ac:dyDescent="0.35"/>
  <cols>
    <col min="1" max="1" width="16" style="1" hidden="1" customWidth="1"/>
    <col min="2" max="2" width="75.5546875" style="2" customWidth="1"/>
    <col min="3" max="3" width="25.5546875" style="3" customWidth="1"/>
    <col min="4" max="4" width="25.33203125" style="2" customWidth="1"/>
    <col min="5" max="5" width="22.6640625" style="2" customWidth="1"/>
    <col min="6" max="6" width="21" style="2" customWidth="1"/>
    <col min="7" max="7" width="25" style="2" customWidth="1"/>
    <col min="8" max="8" width="29.44140625" style="2" bestFit="1" customWidth="1"/>
    <col min="9" max="9" width="32.109375" style="2" bestFit="1" customWidth="1"/>
    <col min="10" max="10" width="22" style="2" customWidth="1"/>
    <col min="11" max="11" width="23.33203125" style="2" customWidth="1"/>
    <col min="12" max="12" width="31" style="2" customWidth="1"/>
    <col min="13" max="13" width="23.5546875" style="2" customWidth="1"/>
    <col min="14" max="14" width="21.109375" style="2" customWidth="1"/>
    <col min="15" max="15" width="14.44140625" style="83" bestFit="1" customWidth="1"/>
    <col min="16" max="16" width="21.6640625" style="83" hidden="1" customWidth="1"/>
    <col min="17" max="17" width="14.33203125" style="86" hidden="1" customWidth="1"/>
    <col min="18" max="18" width="12.88671875" style="86" hidden="1" customWidth="1"/>
    <col min="19" max="19" width="13" style="86" hidden="1" customWidth="1"/>
    <col min="20" max="20" width="17.109375" style="86" hidden="1" customWidth="1"/>
    <col min="21" max="21" width="21.5546875" style="86" customWidth="1"/>
    <col min="22" max="22" width="22.88671875" style="86" customWidth="1"/>
    <col min="23" max="26" width="17.109375" style="86" bestFit="1" customWidth="1"/>
    <col min="27" max="27" width="15" style="86" customWidth="1"/>
    <col min="28" max="28" width="14.33203125" style="86" bestFit="1" customWidth="1"/>
    <col min="29" max="16384" width="9.109375" style="1"/>
  </cols>
  <sheetData>
    <row r="1" spans="1:28" ht="15.75" customHeight="1" x14ac:dyDescent="0.35">
      <c r="B1" s="121" t="s">
        <v>46</v>
      </c>
      <c r="C1" s="122"/>
      <c r="D1" s="122"/>
      <c r="E1" s="122"/>
      <c r="F1" s="122"/>
      <c r="G1" s="122"/>
      <c r="H1" s="122"/>
      <c r="I1" s="122"/>
      <c r="J1" s="122"/>
      <c r="K1" s="122"/>
      <c r="L1" s="122"/>
      <c r="M1" s="122"/>
      <c r="N1" s="123"/>
    </row>
    <row r="2" spans="1:28" ht="15.75" customHeight="1" x14ac:dyDescent="0.35">
      <c r="B2" s="124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6"/>
      <c r="Q2" s="83"/>
      <c r="S2" s="87"/>
    </row>
    <row r="3" spans="1:28" ht="15.75" customHeight="1" x14ac:dyDescent="0.35">
      <c r="B3" s="124"/>
      <c r="C3" s="125"/>
      <c r="D3" s="125"/>
      <c r="E3" s="125"/>
      <c r="F3" s="125"/>
      <c r="G3" s="125"/>
      <c r="H3" s="125"/>
      <c r="I3" s="125"/>
      <c r="J3" s="125"/>
      <c r="K3" s="125"/>
      <c r="L3" s="125"/>
      <c r="M3" s="125"/>
      <c r="N3" s="126"/>
      <c r="O3" s="82"/>
      <c r="P3" s="82"/>
      <c r="Q3" s="81"/>
      <c r="R3" s="81"/>
      <c r="S3" s="88" t="e">
        <f>N7+J14</f>
        <v>#VALUE!</v>
      </c>
      <c r="T3" s="88"/>
      <c r="U3" s="81"/>
      <c r="V3" s="81"/>
      <c r="W3" s="81"/>
      <c r="AA3" s="86">
        <f>273000/5</f>
        <v>54600</v>
      </c>
    </row>
    <row r="4" spans="1:28" ht="15.75" customHeight="1" x14ac:dyDescent="0.4">
      <c r="B4" s="127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9"/>
      <c r="O4" s="89" t="s">
        <v>0</v>
      </c>
      <c r="P4" s="89"/>
      <c r="Q4" s="90"/>
      <c r="R4" s="90"/>
      <c r="S4" s="91"/>
      <c r="T4" s="91"/>
      <c r="U4" s="90" t="s">
        <v>1</v>
      </c>
      <c r="V4" s="90" t="s">
        <v>2</v>
      </c>
      <c r="W4" s="90" t="s">
        <v>3</v>
      </c>
    </row>
    <row r="5" spans="1:28" ht="25.2" thickBot="1" x14ac:dyDescent="0.45">
      <c r="B5" s="17">
        <f ca="1">TODAY()</f>
        <v>46215</v>
      </c>
      <c r="C5" s="18" t="str">
        <f>IF(D5="MIG09","Mirage G09",IF(D5="MIG10","MirageG10",IF(D5="ATG16","Attrage G16",IF(D5="ATP16","Attrage P16",IF(D5="ATG17","Attrage G17",IF(D5="ASG48","ASX G48",IF(D5="ASG43","ASX G43", IF(D5="ASG40","ASXG40",IF(D5="ASG42","ASX G42",IF(D5="ASG44","ASX G44",IF(D5="ASG45","ASX G45",IF(D5="ECG38","Eclipse G38",IF(D5="ECG37","Eclipse G37",IF(D5="ECG40","Eclipse G40",IF(D5="ECG43","Eclipse G43",IF(D5="XPML","Xpander ML",IF(D5="XPHL","Xpander HL",IF(D5="XPMLP","Xpander ML P",IF(D5="XPMLP-01","Xpander ML P-01",IF(D5="XC","Xpander Cross", IF(D5="OTF03","Outlander F03",IF(D5="OTP03","Outlander P03",IF(D5="OTF06","Outlander F06",IF(D5="OTP06","Outlander P06",IF(D5="OTP06-01","Outlander P06-01",IF(D5="OTF08","Outlander F08",IF(D5="OTP08","Outlander P08P", IF(D5="MOP57","Montero P57",IF(D5="MOG64","Montero G64",IF(D5="MOG59","Montero G59",IF(D5="MOG59P","Montero G59 P",IF(D5="MOG61","Montero G61",IF(D5="MOP61","Montero P61")))))))))))))))))))))))))))))))))</f>
        <v>ASX G45</v>
      </c>
      <c r="D5" s="19" t="s">
        <v>96</v>
      </c>
      <c r="E5" s="20" t="s">
        <v>47</v>
      </c>
      <c r="F5" s="21"/>
      <c r="G5" s="21"/>
      <c r="H5" s="21"/>
      <c r="I5" s="22"/>
      <c r="J5" s="23"/>
      <c r="K5" s="24">
        <v>0</v>
      </c>
      <c r="L5" s="25">
        <v>3.39E-2</v>
      </c>
      <c r="M5" s="25">
        <v>6.7799999999999999E-2</v>
      </c>
      <c r="N5" s="25">
        <v>0.1017</v>
      </c>
      <c r="O5" s="92">
        <f>K7+K14</f>
        <v>11671.5537843125</v>
      </c>
      <c r="S5" s="87"/>
      <c r="U5" s="87">
        <f>L7+L14</f>
        <v>4755.8641267170142</v>
      </c>
      <c r="V5" s="87">
        <f>M7+M14</f>
        <v>3181.3767004062502</v>
      </c>
      <c r="W5" s="87">
        <f>N7+N14</f>
        <v>2204.5375294947917</v>
      </c>
    </row>
    <row r="6" spans="1:28" s="5" customFormat="1" ht="128.25" customHeight="1" thickBot="1" x14ac:dyDescent="0.35">
      <c r="A6" s="4" t="s">
        <v>4</v>
      </c>
      <c r="B6" s="26" t="s">
        <v>5</v>
      </c>
      <c r="C6" s="27" t="s">
        <v>6</v>
      </c>
      <c r="D6" s="27" t="s">
        <v>48</v>
      </c>
      <c r="E6" s="27" t="s">
        <v>7</v>
      </c>
      <c r="F6" s="27" t="s">
        <v>8</v>
      </c>
      <c r="G6" s="28" t="s">
        <v>9</v>
      </c>
      <c r="H6" s="28" t="s">
        <v>49</v>
      </c>
      <c r="I6" s="28" t="s">
        <v>10</v>
      </c>
      <c r="J6" s="28" t="s">
        <v>56</v>
      </c>
      <c r="K6" s="28" t="s">
        <v>11</v>
      </c>
      <c r="L6" s="28" t="s">
        <v>12</v>
      </c>
      <c r="M6" s="28" t="s">
        <v>13</v>
      </c>
      <c r="N6" s="28" t="s">
        <v>14</v>
      </c>
      <c r="O6" s="93"/>
      <c r="P6" s="94"/>
      <c r="Q6" s="95"/>
      <c r="R6" s="95"/>
      <c r="S6" s="95"/>
      <c r="T6" s="96"/>
      <c r="U6" s="96">
        <f>N7+L14</f>
        <v>3735.3334878281253</v>
      </c>
      <c r="V6" s="96">
        <f>N7+K14</f>
        <v>9375.3598468125001</v>
      </c>
      <c r="W6" s="96"/>
      <c r="X6" s="95"/>
      <c r="Y6" s="95"/>
      <c r="Z6" s="95"/>
      <c r="AA6" s="95"/>
      <c r="AB6" s="95"/>
    </row>
    <row r="7" spans="1:28" ht="25.2" thickBot="1" x14ac:dyDescent="0.45">
      <c r="A7" s="6">
        <f>B8</f>
        <v>95900</v>
      </c>
      <c r="B7" s="29">
        <f>IF(L20="YES",C8*1,IF(L20="NO",B8*1))</f>
        <v>95900</v>
      </c>
      <c r="C7" s="29">
        <f>B7*5/100</f>
        <v>4795</v>
      </c>
      <c r="D7" s="29">
        <f>B7+C7</f>
        <v>100695</v>
      </c>
      <c r="E7" s="29">
        <f>D17</f>
        <v>13784.696875</v>
      </c>
      <c r="F7" s="29">
        <f>(C7)+(D10+D11+D12+D13+D16)*5/100</f>
        <v>5125</v>
      </c>
      <c r="G7" s="30">
        <f>B7+E7+F7</f>
        <v>114809.69687499999</v>
      </c>
      <c r="H7" s="29">
        <f>G7*D20</f>
        <v>22961.939375000002</v>
      </c>
      <c r="I7" s="29">
        <f>(G7-H7)</f>
        <v>91847.757499999992</v>
      </c>
      <c r="J7" s="30">
        <f>(((I7*D19)*1)+I7)/12</f>
        <v>7844.5638884791661</v>
      </c>
      <c r="K7" s="30">
        <f>(((I7*D19)*2)+I7)/24</f>
        <v>4017.5739926458332</v>
      </c>
      <c r="L7" s="30">
        <f>(((I7*D19)*3)+I7)/36</f>
        <v>2741.9106940347219</v>
      </c>
      <c r="M7" s="30">
        <f>(((I7*D19)*4)+I7)/48</f>
        <v>2104.0790447291665</v>
      </c>
      <c r="N7" s="30">
        <f>((((I7*D19)*5)+I7)/60)</f>
        <v>1721.3800551458332</v>
      </c>
      <c r="O7" s="92"/>
      <c r="P7" s="83">
        <f>H7+H16</f>
        <v>23926.340828750002</v>
      </c>
      <c r="T7" s="87">
        <f>25973/2</f>
        <v>12986.5</v>
      </c>
    </row>
    <row r="8" spans="1:28" ht="24.6" x14ac:dyDescent="0.4">
      <c r="A8" s="7">
        <v>0.2</v>
      </c>
      <c r="B8" s="31">
        <f>IF(D5="MIG09",39900,IF(D5="MIG10",40400,IF(D5="ATG16",40400,IF(D5="ATP16",49900,IF(D5="ATG17",41900,IF(D5="ASG48",63900,IF(D5="ASG43",62900,IF(D5="ASG40",63900,IF(D5="ASG42",68900,IF(D5="ASG44",89900,IF(D5="ASG45",95900,IF(D5="ECG38",73900,IF(D5="ECG37",70900,IF(D5="ECG40",86900,IF(D5="ECG43",91900,IF(D5="XPML",62900,IF(D5="XPHL",62900,IF(D5="XPMLP",69900,IF(D5="XPMLP-01",77800,IF(D5="XC",77900,IF(D5="OTF03",96900,IF(D5="OTP03",79900,IF(D5="OTF06",92900,IF(D5="OTP06",111900,IF(D5="OTP06-01",118900,IF(D5="OTF08",122900,IF(D5="OTP08",109900,IF(D5="MOP57",99900,IF(D5="MOG64",108900,IF(D5="MOG59",116900,IF(D5="MOG59P",110900,IF(D5="MOG61",127900,IF(D5="MOP61",125900)))))))))))))))))))))))))))))))))</f>
        <v>95900</v>
      </c>
      <c r="C8" s="32">
        <f>IF(L20="YES",N20,IF(L20="NO",N20))</f>
        <v>95900</v>
      </c>
      <c r="D8" s="29">
        <v>0</v>
      </c>
      <c r="E8" s="33"/>
      <c r="F8" s="139"/>
      <c r="G8" s="140"/>
      <c r="H8" s="110">
        <f>G7*20/100</f>
        <v>22961.939375000002</v>
      </c>
      <c r="I8" s="21"/>
      <c r="J8" s="34" t="s">
        <v>15</v>
      </c>
      <c r="K8" s="23">
        <f>(J7*K5+J7)/24</f>
        <v>326.8568286866319</v>
      </c>
      <c r="L8" s="23">
        <f>(J7*L5+J7)/36</f>
        <v>225.29151678607249</v>
      </c>
      <c r="M8" s="23">
        <f>(J7*M5+J7)/48</f>
        <v>174.50886083579277</v>
      </c>
      <c r="N8" s="23">
        <f>(J7*N5+J7)/60</f>
        <v>144.03926726562494</v>
      </c>
      <c r="O8" s="92"/>
      <c r="P8" s="83">
        <f>P7/12</f>
        <v>1993.8617357291669</v>
      </c>
      <c r="T8" s="86">
        <f>25973-12973</f>
        <v>13000</v>
      </c>
    </row>
    <row r="9" spans="1:28" ht="24.6" x14ac:dyDescent="0.4">
      <c r="A9" s="8">
        <f>B8/(100%-A8)</f>
        <v>119875</v>
      </c>
      <c r="B9" s="109">
        <f>B7-B8</f>
        <v>0</v>
      </c>
      <c r="C9" s="35"/>
      <c r="D9" s="36"/>
      <c r="E9" s="33"/>
      <c r="F9" s="139"/>
      <c r="G9" s="140"/>
      <c r="H9" s="33"/>
      <c r="I9" s="37" t="s">
        <v>16</v>
      </c>
      <c r="J9" s="38">
        <f>(J7*12)-(I7)</f>
        <v>2287.0091617500002</v>
      </c>
      <c r="K9" s="38">
        <f>(K7*24)-I7</f>
        <v>4574.0183235000004</v>
      </c>
      <c r="L9" s="38">
        <f>(L7*36)-I7</f>
        <v>6861.0274852500006</v>
      </c>
      <c r="M9" s="38">
        <f>(M7*48)-I7</f>
        <v>9148.0366470000008</v>
      </c>
      <c r="N9" s="38">
        <f>(N7*60)-I7</f>
        <v>11435.045808750001</v>
      </c>
      <c r="O9" s="92"/>
      <c r="T9" s="86">
        <f>T8/12</f>
        <v>1083.3333333333333</v>
      </c>
      <c r="Z9" s="86" t="s">
        <v>86</v>
      </c>
    </row>
    <row r="10" spans="1:28" ht="24.6" x14ac:dyDescent="0.4">
      <c r="A10" s="8"/>
      <c r="B10" s="37" t="s">
        <v>50</v>
      </c>
      <c r="C10" s="20" t="s">
        <v>17</v>
      </c>
      <c r="D10" s="36">
        <f>IF(C10="YES",800,IF(C10="NO",0))</f>
        <v>0</v>
      </c>
      <c r="E10" s="39"/>
      <c r="F10" s="40"/>
      <c r="G10" s="40"/>
      <c r="H10" s="33"/>
      <c r="I10" s="44" t="s">
        <v>85</v>
      </c>
      <c r="J10" s="117" t="s">
        <v>19</v>
      </c>
      <c r="K10" s="117">
        <f>IF(J10="YES",Z10,IF(J10="NO",0))</f>
        <v>1000</v>
      </c>
      <c r="L10" s="117"/>
      <c r="M10" s="117"/>
      <c r="N10" s="41">
        <f>(N8*60)-J7</f>
        <v>797.79214745833087</v>
      </c>
      <c r="O10" s="92">
        <f>IF(D5="XC",3690,IF(D5="XPML",3690,IF(D5="XPHL",3690,IF(D5="XPMLP",3690,IF(D5="XPMLP-01",3690,IF(D5="Xpander P",3690,IF(D5="MOP57",(U19*2.75/100+510)*1.05,IF(D5="MOG64",(U19*2.75/100+510)*1.05,IF(D5="MOG59",(U19*2.75/100+510)*1.05,IF(D5="MOG59P",(U19*2.75/100+510)*1.05,IF(D5="MOG61",(U19*2.75/100+510)*1.05,IF(D5="MOP61",(U19*2.75/100+510)*1.05,IF(D5="OTF03",(D7*3/100+510)*1.05,IF(D5="OTP03",(U19*3/100+510)*1.05,IF(D5="OTF06",(U19*3/100+510)*1.05,IF(D5="OTP06",(U19*3/100+510)*1.05,IF(D5="OTP06-01",(U19*3/100+510)*1.05,IF(D5="OTF08",(U19*3/100+510)*1.05,IF(D5="OTP08",(U19*3/100+510)*1.05,IF(D5="ECG38",3625,IF(D5="ECG37",3625,IF(D5="ECG40",(D7*3/100+510)*1.05,IF(D5="ECG43",(D7*3/100+510)*1.05,IF(D5="ASG48",3625,IF(D5="ASG43",3625,IF(D5="ASG40",3625,IF(D5="ASG42",3625,IF(D5="ASG44",3625,IF(D5="ASG45",3625,IF(D5="ASX HL 4WD",3625,IF(D5="ATG16",3625,IF(D5="ATG17",3625,IF(D5="ATP16",3625,IF(D5="Attrage S",3625,IF(D5="MIG09",3625,IF(D5="MIG10",3625,IF(D5="Xpander HL",3690)))))))))))))))))))))))))))))))))))))</f>
        <v>3625</v>
      </c>
      <c r="P10" s="97"/>
      <c r="Q10" s="97">
        <f>5.25*3</f>
        <v>15.75</v>
      </c>
      <c r="Z10" s="86">
        <f>IF(D5="MIG09",500,IF(D5="MIG10",500,IF(D5="ATG16",500,IF(D5="ATP16",500,IF(D5="ATG17",500,IF(D5="ASG48",1000,IF(D5="ASG43",1000,IF(D5="ASG40",1000,IF(D5="ASG42",1000,IF(D5="ASG44",1000,IF(D5="ASG45",1000,IF(D5="ECG38",1000,IF(D5="ECG37",1000,IF(D5="ECG40",1000,IF(D5="ECG43",1000,IF(D5="XPML",1000,IF(D5="XPHL",1000,IF(D5="XPMLP",1000,IF(D5="XPMLP-01",1000,IF(D5="XC",1000,IF(D5="OTF03",1000,IF(D5="OTP03",1000,IF(D5="OTF06",1000,IF(D5="OTP06",1000,IF(D5="OTP06-01",1000,IF(D5="OTF08",1000,IF(D5="OTP08",1000,IF(D5="MOP57",1000,IF(D5="MOG64",1000,IF(D5="MOG59",1000,IF(D5="MOG59P",1000,IF(D5="MOG61",1000,IF(D5="MOP61",1000)))))))))))))))))))))))))))))))))</f>
        <v>1000</v>
      </c>
    </row>
    <row r="11" spans="1:28" ht="24.6" x14ac:dyDescent="0.4">
      <c r="A11" s="8"/>
      <c r="B11" s="37" t="s">
        <v>18</v>
      </c>
      <c r="C11" s="20" t="s">
        <v>17</v>
      </c>
      <c r="D11" s="36">
        <f>IF(C11="YES",O17,IF(C11="NO",0))</f>
        <v>0</v>
      </c>
      <c r="E11" s="33"/>
      <c r="F11" s="40"/>
      <c r="G11" s="40"/>
      <c r="H11" s="33"/>
      <c r="I11" s="21"/>
      <c r="J11" s="44" t="s">
        <v>76</v>
      </c>
      <c r="K11" s="44">
        <f>H8-K10</f>
        <v>21961.939375000002</v>
      </c>
      <c r="L11" s="37"/>
      <c r="M11" s="37"/>
      <c r="N11" s="42"/>
      <c r="O11" s="92">
        <f>IF(D5="XC",6100,IF(D5="XPML",6100,IF(D5="XPHL",6100,IF(D5="XPMLP",6100,IF(D5="XPMLP-01",6100,IF(D5="Xpander P",6100,IF(D5="MOP57",5900,IF(D5="MOG64",5900,IF(D5="MOG59",5900,IF(D5="MOG59P",5900,IF(D5="MOG61",5900,IF(D5="MOP61",5900,IF(D5="OTF03",6700,IF(D5="OTP03",6700,IF(D5="OTF06",6700,IF(D5="OTP06",6700,IF(D5="OTP06-01",6700,IF(D5="OTF08",6700,IF(D5="OTP08",6700,IF(D5="ECG37",6400,IF(D5="ECG38",6400,IF(D5="ECG40",6400,IF(D5="ECG43",6400,IF(D5="ASG48",6600,IF(D5="ASG43",6600,IF(D5="ASG40",6600,IF(D5="ASG42",6600,IF(D5="ASG44",6600,IF(D5="ASG45",6600,IF(D5="ASX HL 4WD",6600,IF(D5="ATG16",5400,IF(D5="ATG17",5400,IF(D5="ATP16",5400,IF(D5="Attrage S",5400,IF(D5="MIG09",5400,IF(D5="MIG10",5400,IF(D5="Xpander HL",6000)))))))))))))))))))))))))))))))))))))</f>
        <v>6600</v>
      </c>
      <c r="P11" s="92"/>
      <c r="Q11" s="92"/>
      <c r="R11" s="92"/>
      <c r="S11" s="92"/>
      <c r="T11" s="92"/>
      <c r="U11" s="92">
        <f>IF(D5="XC",4900,IF(D5="XPML",4900,IF(D5="XPHL",4900,IF(D5="XPMLP",4900,IF(D5="XPMLP-01",4900,IF(D5="Xpander P",4900,IF(D5="MOP57",4600,IF(D5="MOG64",4600,IF(D5="MOG59",4600,IF(D5="MOG59P",4600,IF(D5="MOG61",4600,IF(D5="MOP61",4600,IF(D5="OTF03",5500,IF(D5="OTP03",5500,IF(D5="OTF06",5500,IF(D5="OTP06",5500,IF(D5="OTP06-01",5500,IF(D5="OTF08",5500,IF(D5="OTP08",5500,IF(D5="ECG38",5200,IF(D5="ECG37",5200,IF(D5="ECG40",5200,IF(D5="ECG43",5200,IF(D5="ASG48",5300,IF(D5="ASG43",5300,IF(D5="ASG40",5300,IF(D5="ASG42",5300,IF(D5="ASG44",5300,IF(D5="ASG45",5300,IF(D5="ASX HL",5300,IF(D5="ASX P",5300,IF(D5="ASX HL 4WD",5300,IF(D5="ATG16",4200,IF(D5="ATG17",4200,IF(D5="ATP16",4200,IF(D5="Attrage S",4200,IF(D5="MIG09",4200,IF(D5="MIG10",4200,IF(D5="Xpander HL",4900)))))))))))))))))))))))))))))))))))))))</f>
        <v>5300</v>
      </c>
      <c r="V11" s="92">
        <f>IF(D5="XC",9700,IF(D5="XPML",9700,IF(D5="XPHL",9700,IF(D5="XPMLP",9700,IF(D5="XPMLP-01",9700,IF(D5="XPMLP-01",9700,IF(D5="Xpander P",9700,IF(D5="MOP57",9300,IF(D5="MG64",9300,IF(D5="MOG59",9300,IF(D5="MOG59P",9300,IF(D5="MOG61",9300,IF(D5="MOP61",9300,IF(D5="OTF03",11000,IF(D5="OTP03",11000,IF(D5="OTF06",11000,IF(D5="OTP06",11000,IF(D5="OTP06-01",11000,IF(D5="OTF08",11000,IF(D5="OTP08",11000,IF(D5="ECG38",10400,IF(D5="ECG37",10400,IF(D5="ECG40",10400,IF(D5="ECG43",10400,IF(D5="ASG48",10700,IF(D5="ASG43",10700,IF(D5="ASG40",10700,IF(D5="ASG42",10700,IF(D5="ASG44",10800,IF(D5="ASG45",10800,IF(D5="ASX HL",12200,IF(D5="ASX P",12200,IF(D5="ASX HL 4WD",12200,IF(D5="ATG16",8500,IF(D5="ATG17",8500,IF(D5="ATP16",8500,IF(D5="Attrage S",9600,IF(D5="MIG09",8500,IF(D5="MIG10",8500,IF(D5="Xpander HL",11300))))))))))))))))))))))))))))))))))))))))</f>
        <v>10800</v>
      </c>
      <c r="W11" s="92">
        <f>IF(D5="XC",9200,IF(D5="XPML",9200,IF(D5="XPHL",9200,IF(D5="XPMLP",9200,IF(D5="XPMLP-01",9200,IF(D5="Xpander P",9200,IF(D5="MOP57",8700,IF(D5="MOG64",8700,IF(D5="MOG59",8700,IF(D5="MOG59P",8700,IF(D5="MOG61",8700,IF(D5="MOP61",8700,IF(D5="OTF03",10400,IF(D5="OTP03",10400,IF(D5="OTF06",10400,IF(D5="OTP06",10400,IF(D5="OTP06-01",10400,IF(D5="OTF08",10400,IF(D5="OTP08",10400,IF(D5="ECG38",9800,IF(D5="ECG37",9800,IF(D5="ECG40",9800,IF(D5="ECG43",9800,IF(D5="ASG48",10100,IF(D5="ASG43",10100,IF(D5="ASG40",10100,IF(D5="ASG42",10100,IF(D5="ASG44",10100,IF(D5="ASG45",10100,IF(D5="ASX HL",10100,IF(D5="ASX P",10100,IF(D5="ASX HL 4WD",10100,IF(D5="ATG16",7900,IF(D5="ATG17",7900,IF(D5="ATP16",7900,IF(D5="Attrage S",7900,IF(D5="MIG09",7900,IF(D5="MIG10",7900,IF(D5="Xpander HL",9200)))))))))))))))))))))))))))))))))))))))</f>
        <v>10100</v>
      </c>
      <c r="X11" s="92">
        <f>IF(D5="XC",4500,IF(D5="XPML",4500,IF(D5="XPHL",4500,IF(D5="XPMLP",4500,IF(D5="XPMLP-01",4500,IF(D5="Xpander P",4500,IF(D5="MOP57",4300,IF(D5="MOG64",4300,IF(D5="MOG59",4300,IF(D5="MOG59P",4300,IF(D5="MOG61",4300,IF(D5="MOP61",4300,IF(D5="OTF03",5000,IF(D5="OTP03",5000,IF(D5="OTF06",5000,IF(D5="OTP06",5000,IF(D5="OTP06-01",5000,IF(D5="OTF08",5000,IF(D5="OTP08",5000,IF(D5="ECG38",4900,IF(D5="ECG37",4900,IF(D5="ECG40",4900,IF(D5="ECG43",4900,IF(D5="ASG48",4900,IF(D5="ASG43",4900,IF(D5="ASG40",4900,IF(D5="ASG42",4900,IF(D5="ASG44",4900,IF(D5="ASG45",4900,IF(D5="ASX HL",4900,IF(D5="ASX P",4900,IF(D5="ASX HL 4WD",4900,IF(D5="ATG16",3700,IF(D5="ATG17",3700,IF(D5="ATP16",3700,IF(D5="Attrage S",3700,IF(D5="MIG09",3700,IF(D5="MIG10",3700,IF(D5="Xpander HL",4500)))))))))))))))))))))))))))))))))))))))</f>
        <v>4900</v>
      </c>
      <c r="Y11" s="92">
        <f>IF(D5="XC",5400,IF(D5="XPML ",5400,IF(D5="XPHL",5400,IF(D5="XPMLP",5400,IF(D5="XPMLP-01",5400,IF(D5="Xpander P",5400,IF(D5="MOP57",5200,IF(D5="MOG64",5200,IF(D5="MOG59",5200,IF(D5="MOG59P",5200,IF(D5="MOG61",5200,IF(D5="MOP61",5200,IF(D5="OTF03",6000,IF(D5="OTP03",6000,IF(D5="OTF06",6000,IF(D5="OTP06",6000,IF(D5="OTP06-01",6000,IF(D5="OTF08",6000,IF(D5="OTP08",6000,IF(D5="ECG38",5700,IF(D5="ECG37",5700,IF(D5="ECG40",5700,IF(D5="ECG43",5700,IF(D5="ASG48",5900,IF(D5="ASG43",5900,IF(D5="ASG40",5900,IF(D5="ASG42",5900,IF(D5="ASG44",5900,IF(D5="ASG45",5900,IF(D5="ASX HL",5900,IF(D5="ASX P",5900,IF(D5="ASX HL 4WD",5900,IF(D5="ATG16",4500,IF(D5="ATG17",4500,IF(D5="ATP16",4500,IF(D5="Attrage S",4500,IF(D5="MIG09",4500,IF(D5="MIG10",4500,IF(D5="Xpander HL",5400)))))))))))))))))))))))))))))))))))))))</f>
        <v>5900</v>
      </c>
    </row>
    <row r="12" spans="1:28" ht="24.75" customHeight="1" x14ac:dyDescent="0.4">
      <c r="A12" s="8"/>
      <c r="B12" s="37" t="s">
        <v>20</v>
      </c>
      <c r="C12" s="20" t="s">
        <v>17</v>
      </c>
      <c r="D12" s="36">
        <f>IF(C12="YES",2000,IF(C12="NO",0))</f>
        <v>0</v>
      </c>
      <c r="E12" s="43"/>
      <c r="F12" s="43" t="s">
        <v>21</v>
      </c>
      <c r="G12" s="40"/>
      <c r="H12" s="33">
        <v>600</v>
      </c>
      <c r="I12" s="21"/>
      <c r="J12" s="44" t="s">
        <v>22</v>
      </c>
      <c r="K12" s="45">
        <v>0</v>
      </c>
      <c r="L12" s="45">
        <v>5.2499999999999998E-2</v>
      </c>
      <c r="M12" s="45">
        <v>0.126</v>
      </c>
      <c r="N12" s="46">
        <v>0.26250000000000001</v>
      </c>
      <c r="O12" s="92">
        <f>IF(K20="Esaad",B8*3/100,IF(K20="Emirates Platinum",B8*3/100,IF(K20="Fazaa",B8*3/100,IF(K20="Humat Alwatan",B8*3/100,IF(K20="Permissible",2000,IF(K20="ASX",8400,IF(K20="XPMLP",4000,IF(K20="XP",14100,IF(K20="G43",11000,IF(K20="EC",7000,IF(K20="G37",14000,IF(K20="G38",15000,IF(K20="G40",11000,IF(K20="OUT",9600,IF(K20="F08",15400,IF(K20="P08",11100,IF(K20="F06",14100,IF(K20="P06",17100,IF(K20="F03",17000,IF(K20="P03",19100,IF(K20="MON",10000,IF(K20="MON G57",10000,0))))))))))))))))))))))</f>
        <v>2000</v>
      </c>
      <c r="P12" s="92"/>
      <c r="Q12" s="92"/>
      <c r="R12" s="92"/>
      <c r="S12" s="92"/>
      <c r="T12" s="92"/>
      <c r="U12" s="92"/>
      <c r="V12" s="92"/>
      <c r="W12" s="92"/>
      <c r="X12" s="92"/>
      <c r="Y12" s="92"/>
      <c r="Z12" s="86" t="s">
        <v>83</v>
      </c>
      <c r="AA12" s="86" t="s">
        <v>84</v>
      </c>
    </row>
    <row r="13" spans="1:28" ht="24.6" x14ac:dyDescent="0.4">
      <c r="A13" s="8">
        <f>B8*1.26582</f>
        <v>121392.13799999999</v>
      </c>
      <c r="B13" s="37" t="s">
        <v>23</v>
      </c>
      <c r="C13" s="20" t="s">
        <v>17</v>
      </c>
      <c r="D13" s="36">
        <f>IF(C13="YES",2000,IF(C13="NO",0))</f>
        <v>0</v>
      </c>
      <c r="E13" s="47"/>
      <c r="F13" s="47" t="s">
        <v>75</v>
      </c>
      <c r="G13" s="40"/>
      <c r="H13" s="33">
        <v>315</v>
      </c>
      <c r="I13" s="21"/>
      <c r="J13" s="44" t="s">
        <v>54</v>
      </c>
      <c r="K13" s="29" t="s">
        <v>79</v>
      </c>
      <c r="L13" s="29" t="s">
        <v>25</v>
      </c>
      <c r="M13" s="29" t="s">
        <v>0</v>
      </c>
      <c r="N13" s="49" t="s">
        <v>26</v>
      </c>
      <c r="O13" s="98">
        <f>IF(M21="3000-4999",6%,IF(M21="5000-9999",4.75%,IF(M21="10000-14999",3.15%,IF(M21="15000-24999",2.5%,IF(M21="25000-34999",2.25%,IF(M21="35000-99999",2.25%))))))</f>
        <v>4.7500000000000001E-2</v>
      </c>
      <c r="Q13" s="83">
        <f>H7/12</f>
        <v>1913.4949479166669</v>
      </c>
      <c r="U13" s="9">
        <f>IF(M21="3000-4999",6%,IF(M21="5000-9999",3.25%,IF(M21="10000-14999",3%,IF(M21="15000-24999",2.25%,IF(M21="25000-34999",2.15%,IF(M21="35000-99999",1.99%))))))</f>
        <v>3.2500000000000001E-2</v>
      </c>
      <c r="Z13" s="99">
        <f>IF(M21="5000-9999",2.49%,IF(M21="10000-19999",2.19%,IF(M21="20000-34999",2.09%,IF(M21="35000-49999",1.89%,IF(M21="50000-99999",1.79%)))))</f>
        <v>2.4900000000000002E-2</v>
      </c>
      <c r="AA13" s="99">
        <f>IF(M21="5000-9999",2.59%,IF(M21="10000-19999",2.29%,IF(M21="20000-34999",2.19%,IF(M21="35000-49999",1.99%,IF(M21="50000-99999",1.89%)))))</f>
        <v>2.5899999999999999E-2</v>
      </c>
    </row>
    <row r="14" spans="1:28" ht="24.6" x14ac:dyDescent="0.4">
      <c r="A14" s="10" t="s">
        <v>27</v>
      </c>
      <c r="B14" s="37" t="s">
        <v>24</v>
      </c>
      <c r="C14" s="20" t="s">
        <v>19</v>
      </c>
      <c r="D14" s="50">
        <f>IF(C14="YES",U19*3.15*1.05/100,IF(C14="NO",U19*0/100))</f>
        <v>3559.6968750000001</v>
      </c>
      <c r="E14" s="48"/>
      <c r="F14" s="48" t="s">
        <v>24</v>
      </c>
      <c r="G14" s="51" t="s">
        <v>17</v>
      </c>
      <c r="H14" s="39">
        <f>IF(G14="YES",U19*3.15*1.05/100,IF(G14="NO",U19*0/100))</f>
        <v>0</v>
      </c>
      <c r="I14" s="21"/>
      <c r="J14" s="44" t="s">
        <v>55</v>
      </c>
      <c r="K14" s="44">
        <f>(H8*K12+H8)/3</f>
        <v>7653.9797916666676</v>
      </c>
      <c r="L14" s="44">
        <f>(H8*L12+H8)/12</f>
        <v>2013.953432682292</v>
      </c>
      <c r="M14" s="44">
        <f>(H8*M12+H8)/24</f>
        <v>1077.2976556770834</v>
      </c>
      <c r="N14" s="52">
        <f>(H7*N12+H7)/60</f>
        <v>483.15747434895837</v>
      </c>
      <c r="O14" s="98">
        <f>IF(M21="3000-4999",3.89%,IF(M21="5000-9999",3.89%,IF(M21="10000-14999",3.89%,IF(M21="15000-24999",2.69%,IF(M21="25000-34999",2.69%,IF(M21="35000-99999",2.39%,IF(M21="76000-99999",2.19%)))))))</f>
        <v>3.8900000000000004E-2</v>
      </c>
    </row>
    <row r="15" spans="1:28" ht="24.6" x14ac:dyDescent="0.4">
      <c r="A15" s="11">
        <f>(B7*3%)+10+120</f>
        <v>3007</v>
      </c>
      <c r="B15" s="37" t="s">
        <v>28</v>
      </c>
      <c r="C15" s="20" t="s">
        <v>19</v>
      </c>
      <c r="D15" s="29">
        <f>IF(C15="YES",O10,IF(C15="NO",0))</f>
        <v>3625</v>
      </c>
      <c r="E15" s="48"/>
      <c r="F15" s="48" t="s">
        <v>53</v>
      </c>
      <c r="G15" s="51" t="s">
        <v>17</v>
      </c>
      <c r="H15" s="39">
        <f>IF(G15="YES",O10,IF(G15="NO",0))</f>
        <v>0</v>
      </c>
      <c r="I15" s="21"/>
      <c r="J15" s="44"/>
      <c r="K15" s="44"/>
      <c r="L15" s="44"/>
      <c r="M15" s="44"/>
      <c r="N15" s="53"/>
      <c r="O15" s="98" t="b">
        <f>IF(M21="3000-4999",4.99%, IF(M21="5000-11999",2.75%,IF(M21="12000-19999",2.75%,IF(M21="20000-39999",2.25%,IF(M21="40000-69999",2.39%,IF(M21="70000-99999",2.25%))))))</f>
        <v>0</v>
      </c>
      <c r="P15" s="99"/>
    </row>
    <row r="16" spans="1:28" ht="24.6" x14ac:dyDescent="0.4">
      <c r="A16" s="11">
        <f>((B7-B8)*3%+10+120)</f>
        <v>130</v>
      </c>
      <c r="B16" s="37" t="s">
        <v>78</v>
      </c>
      <c r="C16" s="20" t="s">
        <v>19</v>
      </c>
      <c r="D16" s="29">
        <f>IF(C16="YES",O16,IF(C16="NO",0))</f>
        <v>6600</v>
      </c>
      <c r="E16" s="47"/>
      <c r="F16" s="47" t="s">
        <v>74</v>
      </c>
      <c r="G16" s="54"/>
      <c r="H16" s="33">
        <f>I7*1.05%</f>
        <v>964.40145374999997</v>
      </c>
      <c r="I16" s="21"/>
      <c r="J16" s="44" t="s">
        <v>16</v>
      </c>
      <c r="K16" s="44">
        <f>(K14*3)-H8</f>
        <v>0</v>
      </c>
      <c r="L16" s="44">
        <f>(L14*12)-H8</f>
        <v>1205.5018171875017</v>
      </c>
      <c r="M16" s="44">
        <f>(M14*24)-H8</f>
        <v>2893.2043612499983</v>
      </c>
      <c r="N16" s="53"/>
      <c r="O16" s="92">
        <f>IF(B16="RMC-10-70KMS",O11,IF(B16="RMC-10-100000KMS",V11,IF(B16="RMC-40-70KMS",U11, IF(B16="RMC-10-40KMS",X11, IF(B16="RMC-10-60KMS",Y11, IF(B16="RMC-40-100000KMS",W11,0))))))</f>
        <v>6600</v>
      </c>
    </row>
    <row r="17" spans="1:28" ht="24.6" x14ac:dyDescent="0.4">
      <c r="A17" s="11">
        <f>A15+A16</f>
        <v>3137</v>
      </c>
      <c r="B17" s="37"/>
      <c r="C17" s="20"/>
      <c r="D17" s="29">
        <f>SUM(D10:D16)</f>
        <v>13784.696875</v>
      </c>
      <c r="E17" s="33"/>
      <c r="F17" s="33"/>
      <c r="G17" s="33"/>
      <c r="H17" s="33">
        <f>H7+H12+H15+H16</f>
        <v>24526.340828750002</v>
      </c>
      <c r="I17" s="33"/>
      <c r="J17" s="22"/>
      <c r="K17" s="53"/>
      <c r="L17" s="53"/>
      <c r="M17" s="53"/>
      <c r="N17" s="53"/>
      <c r="O17" s="92">
        <f>IF(B11="FO Ceramic+ Intr&amp;Extr CeramicGold WdwTnt",2700,IF(B11="FO Mirror Camera Sensor",2000))</f>
        <v>2700</v>
      </c>
      <c r="T17" s="86">
        <f>19615-791</f>
        <v>18824</v>
      </c>
    </row>
    <row r="18" spans="1:28" ht="24.6" x14ac:dyDescent="0.4">
      <c r="A18" s="12" t="s">
        <v>29</v>
      </c>
      <c r="B18" s="55" t="s">
        <v>30</v>
      </c>
      <c r="C18" s="56"/>
      <c r="D18" s="57">
        <v>0</v>
      </c>
      <c r="E18" s="38"/>
      <c r="F18" s="22"/>
      <c r="G18" s="22"/>
      <c r="H18" s="21"/>
      <c r="I18" s="21"/>
      <c r="J18" s="21"/>
      <c r="K18" s="21"/>
      <c r="L18" s="21"/>
      <c r="M18" s="21"/>
      <c r="N18" s="21"/>
      <c r="O18" s="92"/>
      <c r="U18" s="100" t="s">
        <v>52</v>
      </c>
      <c r="V18" s="100" t="s">
        <v>52</v>
      </c>
    </row>
    <row r="19" spans="1:28" ht="24.6" x14ac:dyDescent="0.4">
      <c r="A19" s="11">
        <f>B8*3.15%</f>
        <v>3020.85</v>
      </c>
      <c r="B19" s="58" t="s">
        <v>31</v>
      </c>
      <c r="C19" s="59"/>
      <c r="D19" s="60">
        <f>IF(K21="DIB EXPAT",O13,IF(K21="DIB LOCAL GVH",U13,IF(K21="Emirates NBD",O14,IF(K21="ADCB",O15,IF(K21="ADCB PAY IN 2027",O19,IF(K21="Ajman Bank",O18,IF(K21="SIB STL",Z13,IF(K21="SIB NON STL",AA13,))))))))</f>
        <v>2.4900000000000002E-2</v>
      </c>
      <c r="E19" s="22"/>
      <c r="F19" s="61"/>
      <c r="G19" s="141" t="s">
        <v>73</v>
      </c>
      <c r="H19" s="142"/>
      <c r="I19" s="143"/>
      <c r="J19" s="109">
        <f>H7/365</f>
        <v>62.909422945205485</v>
      </c>
      <c r="K19" s="21"/>
      <c r="L19" s="21"/>
      <c r="M19" s="21"/>
      <c r="N19" s="23">
        <f>D7</f>
        <v>100695</v>
      </c>
      <c r="O19" s="98" t="b">
        <f>IF(M21="5000-11999",3.35%,IF(M21="12000-19999",3.35%,IF(M21="20000-39999",2.85%,IF(M21="40000-69999",2.85%,IF(M21="70000-99999",2.85%)))))</f>
        <v>0</v>
      </c>
      <c r="P19" s="83">
        <f>81400-2500</f>
        <v>78900</v>
      </c>
      <c r="U19" s="101">
        <f>V19</f>
        <v>107625</v>
      </c>
      <c r="V19" s="102">
        <f>(B7+D10+D11+D12+D13+D16)*1.05</f>
        <v>107625</v>
      </c>
      <c r="X19" s="87">
        <f>G7*3.15*1.05/100</f>
        <v>3797.3307241406246</v>
      </c>
      <c r="Y19" s="87">
        <f>G7*3/100+510*1.05</f>
        <v>3979.7909062499994</v>
      </c>
      <c r="Z19" s="87">
        <f>Y19+X19</f>
        <v>7777.121630390624</v>
      </c>
      <c r="AA19" s="87">
        <f>(Z19)-(D14+D15)</f>
        <v>592.42475539062434</v>
      </c>
      <c r="AB19" s="87">
        <f>AA19*1.25</f>
        <v>740.53094423828043</v>
      </c>
    </row>
    <row r="20" spans="1:28" ht="24.6" x14ac:dyDescent="0.4">
      <c r="A20" s="11"/>
      <c r="B20" s="58" t="s">
        <v>32</v>
      </c>
      <c r="C20" s="62"/>
      <c r="D20" s="63">
        <v>0.2</v>
      </c>
      <c r="E20" s="21"/>
      <c r="F20" s="21"/>
      <c r="G20" s="42"/>
      <c r="H20" s="42"/>
      <c r="I20" s="42"/>
      <c r="J20" s="103"/>
      <c r="K20" s="104" t="s">
        <v>33</v>
      </c>
      <c r="L20" s="104" t="s">
        <v>17</v>
      </c>
      <c r="M20" s="104">
        <f>IF(L20="YES",O12,IF(L20="NO",0))</f>
        <v>0</v>
      </c>
      <c r="N20" s="23">
        <f>B8-M20</f>
        <v>95900</v>
      </c>
      <c r="O20" s="92"/>
      <c r="P20" s="99"/>
      <c r="T20" s="86">
        <f>1992+1084</f>
        <v>3076</v>
      </c>
      <c r="V20" s="83"/>
      <c r="X20" s="87">
        <f>X19-D14</f>
        <v>237.63384914062453</v>
      </c>
      <c r="Y20" s="87">
        <f>Y19-D15</f>
        <v>354.79090624999935</v>
      </c>
      <c r="AA20" s="87">
        <f>X20+Y20</f>
        <v>592.42475539062389</v>
      </c>
    </row>
    <row r="21" spans="1:28" ht="24.6" x14ac:dyDescent="0.4">
      <c r="A21" s="13">
        <f>A19+A20</f>
        <v>3020.85</v>
      </c>
      <c r="B21" s="21"/>
      <c r="C21" s="22"/>
      <c r="D21" s="21"/>
      <c r="E21" s="21"/>
      <c r="F21" s="21"/>
      <c r="G21" s="21"/>
      <c r="H21" s="21"/>
      <c r="I21" s="21"/>
      <c r="J21" s="37" t="s">
        <v>34</v>
      </c>
      <c r="K21" s="16" t="s">
        <v>83</v>
      </c>
      <c r="L21" s="105" t="s">
        <v>35</v>
      </c>
      <c r="M21" s="106" t="s">
        <v>80</v>
      </c>
      <c r="N21" s="111"/>
      <c r="O21" s="92"/>
      <c r="T21" s="86">
        <f>25973-12973</f>
        <v>13000</v>
      </c>
    </row>
    <row r="22" spans="1:28" ht="24.6" x14ac:dyDescent="0.4">
      <c r="A22" s="13"/>
      <c r="B22" s="130" t="s">
        <v>51</v>
      </c>
      <c r="C22" s="131"/>
      <c r="D22" s="131"/>
      <c r="E22" s="131"/>
      <c r="F22" s="131"/>
      <c r="G22" s="131"/>
      <c r="H22" s="131"/>
      <c r="I22" s="131"/>
      <c r="J22" s="131"/>
      <c r="K22" s="131"/>
      <c r="L22" s="131"/>
      <c r="M22" s="131"/>
      <c r="N22" s="132"/>
      <c r="O22" s="92"/>
    </row>
    <row r="23" spans="1:28" ht="25.2" x14ac:dyDescent="0.45">
      <c r="A23" s="14" t="s">
        <v>36</v>
      </c>
      <c r="B23" s="64" t="s">
        <v>57</v>
      </c>
      <c r="C23" s="65"/>
      <c r="D23" s="65"/>
      <c r="E23" s="65"/>
      <c r="F23" s="65"/>
      <c r="G23" s="65"/>
      <c r="H23" s="66"/>
      <c r="I23" s="66"/>
      <c r="J23" s="65"/>
      <c r="K23" s="65"/>
      <c r="L23" s="65"/>
      <c r="M23" s="65"/>
      <c r="N23" s="67"/>
      <c r="O23" s="92">
        <f>N7+K14</f>
        <v>9375.3598468125001</v>
      </c>
    </row>
    <row r="24" spans="1:28" ht="25.2" x14ac:dyDescent="0.45">
      <c r="A24" s="14" t="s">
        <v>36</v>
      </c>
      <c r="B24" s="64" t="s">
        <v>58</v>
      </c>
      <c r="C24" s="65"/>
      <c r="D24" s="65"/>
      <c r="E24" s="65"/>
      <c r="F24" s="65"/>
      <c r="G24" s="65"/>
      <c r="H24" s="85">
        <f>H7/365</f>
        <v>62.909422945205485</v>
      </c>
      <c r="I24" s="85">
        <f>H7/365</f>
        <v>62.909422945205485</v>
      </c>
      <c r="J24" s="65"/>
      <c r="K24" s="65"/>
      <c r="L24" s="65"/>
      <c r="M24" s="65"/>
      <c r="N24" s="68"/>
      <c r="O24" s="92"/>
      <c r="P24" s="83">
        <f>1232+480</f>
        <v>1712</v>
      </c>
      <c r="T24" s="86">
        <f>88704/1.05</f>
        <v>84480</v>
      </c>
    </row>
    <row r="25" spans="1:28" ht="25.2" x14ac:dyDescent="0.45">
      <c r="A25" s="14" t="s">
        <v>36</v>
      </c>
      <c r="B25" s="64" t="s">
        <v>59</v>
      </c>
      <c r="C25" s="65"/>
      <c r="D25" s="65"/>
      <c r="E25" s="65"/>
      <c r="F25" s="65"/>
      <c r="G25" s="65"/>
      <c r="H25" s="66"/>
      <c r="I25" s="85">
        <f>I24*365*3</f>
        <v>68885.818125000005</v>
      </c>
      <c r="J25" s="65"/>
      <c r="K25" s="65"/>
      <c r="L25" s="65"/>
      <c r="M25" s="65"/>
      <c r="N25" s="68"/>
      <c r="O25" s="92"/>
      <c r="Q25" s="86">
        <f>79400-5233.33</f>
        <v>74166.67</v>
      </c>
      <c r="R25" s="86">
        <f>Q25*1.05</f>
        <v>77875.003500000006</v>
      </c>
    </row>
    <row r="26" spans="1:28" ht="25.2" x14ac:dyDescent="0.45">
      <c r="A26" s="14" t="s">
        <v>36</v>
      </c>
      <c r="B26" s="64" t="s">
        <v>60</v>
      </c>
      <c r="C26" s="65"/>
      <c r="D26" s="65"/>
      <c r="E26" s="65"/>
      <c r="F26" s="65"/>
      <c r="G26" s="65"/>
      <c r="H26" s="65"/>
      <c r="I26" s="65"/>
      <c r="J26" s="65"/>
      <c r="K26" s="65"/>
      <c r="L26" s="65"/>
      <c r="M26" s="65"/>
      <c r="N26" s="68"/>
      <c r="O26" s="92" t="s">
        <v>37</v>
      </c>
      <c r="R26" s="86">
        <f>R25+2469</f>
        <v>80344.003500000006</v>
      </c>
    </row>
    <row r="27" spans="1:28" ht="25.2" x14ac:dyDescent="0.45">
      <c r="A27" s="14" t="s">
        <v>36</v>
      </c>
      <c r="B27" s="64" t="s">
        <v>61</v>
      </c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8"/>
      <c r="O27" s="92">
        <f>129500-110900</f>
        <v>18600</v>
      </c>
    </row>
    <row r="28" spans="1:28" ht="25.2" x14ac:dyDescent="0.45">
      <c r="B28" s="64" t="s">
        <v>62</v>
      </c>
      <c r="C28" s="65"/>
      <c r="D28" s="65"/>
      <c r="E28" s="65"/>
      <c r="F28" s="65"/>
      <c r="G28" s="65"/>
      <c r="H28" s="65"/>
      <c r="I28" s="65"/>
      <c r="J28" s="65"/>
      <c r="K28" s="65"/>
      <c r="L28" s="65"/>
      <c r="M28" s="65"/>
      <c r="N28" s="68"/>
      <c r="O28" s="92"/>
    </row>
    <row r="29" spans="1:28" ht="25.2" x14ac:dyDescent="0.45">
      <c r="B29" s="64" t="s">
        <v>63</v>
      </c>
      <c r="C29" s="65"/>
      <c r="D29" s="65"/>
      <c r="E29" s="65"/>
      <c r="F29" s="65"/>
      <c r="G29" s="65"/>
      <c r="H29" s="65"/>
      <c r="I29" s="65"/>
      <c r="J29" s="65"/>
      <c r="K29" s="65"/>
      <c r="L29" s="65"/>
      <c r="M29" s="65"/>
      <c r="N29" s="69"/>
      <c r="O29" s="92"/>
    </row>
    <row r="30" spans="1:28" ht="24.6" x14ac:dyDescent="0.4">
      <c r="B30" s="133" t="s">
        <v>38</v>
      </c>
      <c r="C30" s="134"/>
      <c r="D30" s="134"/>
      <c r="E30" s="134"/>
      <c r="F30" s="134"/>
      <c r="G30" s="134"/>
      <c r="H30" s="134"/>
      <c r="I30" s="134"/>
      <c r="J30" s="134"/>
      <c r="K30" s="134"/>
      <c r="L30" s="134"/>
      <c r="M30" s="134"/>
      <c r="N30" s="135"/>
      <c r="O30" s="92"/>
    </row>
    <row r="31" spans="1:28" ht="24.6" x14ac:dyDescent="0.4">
      <c r="B31" s="136"/>
      <c r="C31" s="137"/>
      <c r="D31" s="137"/>
      <c r="E31" s="137"/>
      <c r="F31" s="137"/>
      <c r="G31" s="137"/>
      <c r="H31" s="137"/>
      <c r="I31" s="137"/>
      <c r="J31" s="137"/>
      <c r="K31" s="137"/>
      <c r="L31" s="137"/>
      <c r="M31" s="137"/>
      <c r="N31" s="138"/>
      <c r="O31" s="92"/>
    </row>
    <row r="32" spans="1:28" ht="24.6" x14ac:dyDescent="0.4">
      <c r="B32" s="136" t="s">
        <v>39</v>
      </c>
      <c r="C32" s="137"/>
      <c r="D32" s="137"/>
      <c r="E32" s="137"/>
      <c r="F32" s="137"/>
      <c r="G32" s="137"/>
      <c r="H32" s="137"/>
      <c r="I32" s="137"/>
      <c r="J32" s="137"/>
      <c r="K32" s="137"/>
      <c r="L32" s="137"/>
      <c r="M32" s="137"/>
      <c r="N32" s="138"/>
      <c r="O32" s="92"/>
    </row>
    <row r="33" spans="2:16" ht="24.6" x14ac:dyDescent="0.4">
      <c r="B33" s="136" t="s">
        <v>40</v>
      </c>
      <c r="C33" s="137"/>
      <c r="D33" s="137"/>
      <c r="E33" s="137"/>
      <c r="F33" s="137"/>
      <c r="G33" s="137"/>
      <c r="H33" s="137"/>
      <c r="I33" s="137"/>
      <c r="J33" s="137"/>
      <c r="K33" s="137"/>
      <c r="L33" s="137"/>
      <c r="M33" s="137"/>
      <c r="N33" s="138"/>
      <c r="O33" s="92"/>
    </row>
    <row r="34" spans="2:16" s="112" customFormat="1" ht="24.6" x14ac:dyDescent="0.4">
      <c r="B34" s="107" t="s">
        <v>81</v>
      </c>
      <c r="C34" s="108"/>
      <c r="D34" s="108"/>
      <c r="E34" s="108"/>
      <c r="F34" s="108"/>
      <c r="G34" s="113"/>
      <c r="H34" s="113"/>
      <c r="I34" s="108"/>
      <c r="J34" s="108"/>
      <c r="K34" s="108"/>
      <c r="L34" s="108"/>
      <c r="M34" s="114" t="s">
        <v>82</v>
      </c>
      <c r="N34" s="116" t="b">
        <f>IF(M34="ALAA",507963328, IF(M34="BACHIR",525246969,IF(M34="JIHAN",566201266, IF(M34="RAMY",505277871, IF(M34="SIMON",505140337,IF(M34="SUJITH",551079817, IF(M34="PRAVEEN",506367792,IF(M34="MHAREN",529224059, IF(M34="MOSSALLEM",505185577,IF(M34="RANJITH",554989288, IF(M34="KHALED",552319494)))))))))))</f>
        <v>0</v>
      </c>
      <c r="O34" s="115"/>
      <c r="P34" s="115"/>
    </row>
    <row r="35" spans="2:16" x14ac:dyDescent="0.35">
      <c r="B35" s="70"/>
      <c r="C35" s="71"/>
      <c r="D35" s="71"/>
      <c r="E35" s="71"/>
      <c r="F35" s="71"/>
      <c r="G35" s="71"/>
      <c r="H35" s="71"/>
      <c r="I35" s="71"/>
      <c r="J35" s="71"/>
      <c r="K35" s="71"/>
      <c r="L35" s="71"/>
      <c r="M35" s="71"/>
      <c r="N35" s="72"/>
    </row>
    <row r="36" spans="2:16" x14ac:dyDescent="0.35">
      <c r="B36" s="70"/>
      <c r="C36" s="71"/>
      <c r="D36" s="71"/>
      <c r="E36" s="71"/>
      <c r="F36" s="71"/>
      <c r="G36" s="71"/>
      <c r="H36" s="71"/>
      <c r="I36" s="71"/>
      <c r="J36" s="71"/>
      <c r="K36" s="71"/>
      <c r="L36" s="71"/>
      <c r="M36" s="71"/>
      <c r="N36" s="72"/>
    </row>
    <row r="37" spans="2:16" x14ac:dyDescent="0.35">
      <c r="B37" s="70"/>
      <c r="C37" s="71"/>
      <c r="D37" s="71"/>
      <c r="E37" s="71"/>
      <c r="F37" s="71"/>
      <c r="G37" s="71"/>
      <c r="H37" s="71"/>
      <c r="I37" s="71"/>
      <c r="J37" s="71"/>
      <c r="K37" s="71"/>
      <c r="L37" s="71"/>
      <c r="M37" s="71"/>
      <c r="N37" s="72"/>
    </row>
    <row r="38" spans="2:16" ht="21" x14ac:dyDescent="0.4">
      <c r="B38" s="73" t="s">
        <v>64</v>
      </c>
      <c r="C38" s="74"/>
      <c r="D38" s="75"/>
      <c r="E38" s="76"/>
      <c r="F38" s="76"/>
      <c r="G38" s="76"/>
      <c r="H38" s="76"/>
      <c r="I38" s="76"/>
      <c r="J38" s="77"/>
      <c r="K38" s="76"/>
      <c r="L38" s="76"/>
      <c r="M38" s="76"/>
      <c r="N38" s="78"/>
    </row>
    <row r="39" spans="2:16" ht="21" x14ac:dyDescent="0.4">
      <c r="B39" s="73" t="s">
        <v>65</v>
      </c>
      <c r="C39" s="79"/>
      <c r="D39" s="75"/>
      <c r="E39" s="76"/>
      <c r="F39" s="76"/>
      <c r="G39" s="76"/>
      <c r="H39" s="76"/>
      <c r="I39" s="76"/>
      <c r="J39" s="77"/>
      <c r="K39" s="76"/>
      <c r="L39" s="76"/>
      <c r="M39" s="76"/>
      <c r="N39" s="80"/>
    </row>
    <row r="40" spans="2:16" ht="21" x14ac:dyDescent="0.35">
      <c r="B40" s="73" t="s">
        <v>66</v>
      </c>
      <c r="C40" s="81"/>
      <c r="D40" s="76"/>
      <c r="E40" s="76"/>
      <c r="F40" s="76"/>
      <c r="G40" s="76"/>
      <c r="H40" s="76"/>
      <c r="I40" s="76"/>
      <c r="J40" s="77"/>
      <c r="K40" s="76"/>
      <c r="L40" s="76"/>
      <c r="M40" s="76"/>
      <c r="N40" s="80"/>
    </row>
    <row r="41" spans="2:16" ht="21" x14ac:dyDescent="0.35">
      <c r="B41" s="73" t="s">
        <v>67</v>
      </c>
      <c r="C41" s="82"/>
      <c r="D41" s="83"/>
      <c r="E41" s="83"/>
      <c r="F41" s="83"/>
      <c r="G41" s="83"/>
      <c r="H41" s="83"/>
      <c r="I41" s="83"/>
      <c r="J41" s="83"/>
      <c r="K41" s="83"/>
      <c r="L41" s="83"/>
      <c r="M41" s="83"/>
      <c r="N41" s="84"/>
    </row>
    <row r="42" spans="2:16" ht="21" x14ac:dyDescent="0.35">
      <c r="B42" s="73" t="s">
        <v>77</v>
      </c>
      <c r="C42" s="82"/>
      <c r="D42" s="83"/>
      <c r="E42" s="83"/>
      <c r="F42" s="83"/>
      <c r="G42" s="83"/>
      <c r="H42" s="83"/>
      <c r="I42" s="83"/>
      <c r="J42" s="83"/>
      <c r="K42" s="83"/>
      <c r="L42" s="83"/>
      <c r="M42" s="83"/>
      <c r="N42" s="84"/>
    </row>
    <row r="43" spans="2:16" ht="21" x14ac:dyDescent="0.35">
      <c r="B43" s="73" t="s">
        <v>68</v>
      </c>
      <c r="C43" s="82"/>
      <c r="D43" s="83"/>
      <c r="E43" s="83"/>
      <c r="F43" s="83"/>
      <c r="G43" s="83"/>
      <c r="H43" s="83"/>
      <c r="I43" s="83"/>
      <c r="J43" s="83"/>
      <c r="K43" s="83"/>
      <c r="L43" s="83"/>
      <c r="M43" s="83"/>
      <c r="N43" s="84"/>
    </row>
    <row r="44" spans="2:16" ht="21" x14ac:dyDescent="0.35">
      <c r="B44" s="73" t="s">
        <v>69</v>
      </c>
      <c r="C44" s="82"/>
      <c r="D44" s="83"/>
      <c r="E44" s="83"/>
      <c r="F44" s="83"/>
      <c r="G44" s="83"/>
      <c r="H44" s="83"/>
      <c r="I44" s="83"/>
      <c r="J44" s="83"/>
      <c r="K44" s="83"/>
      <c r="L44" s="83"/>
      <c r="M44" s="83"/>
      <c r="N44" s="84"/>
    </row>
    <row r="45" spans="2:16" ht="21" x14ac:dyDescent="0.35">
      <c r="B45" s="73" t="s">
        <v>70</v>
      </c>
      <c r="C45" s="82"/>
      <c r="D45" s="83"/>
      <c r="E45" s="83"/>
      <c r="F45" s="83"/>
      <c r="G45" s="83"/>
      <c r="H45" s="83"/>
      <c r="I45" s="83"/>
      <c r="J45" s="83"/>
      <c r="K45" s="83"/>
      <c r="L45" s="83"/>
      <c r="M45" s="83"/>
      <c r="N45" s="84"/>
    </row>
    <row r="46" spans="2:16" ht="21" x14ac:dyDescent="0.35">
      <c r="B46" s="73" t="s">
        <v>71</v>
      </c>
      <c r="C46" s="82"/>
      <c r="D46" s="83"/>
      <c r="E46" s="83"/>
      <c r="F46" s="83"/>
      <c r="G46" s="83"/>
      <c r="H46" s="83"/>
      <c r="I46" s="83"/>
      <c r="J46" s="83"/>
      <c r="K46" s="83"/>
      <c r="L46" s="83"/>
      <c r="M46" s="83"/>
      <c r="N46" s="84"/>
    </row>
    <row r="47" spans="2:16" x14ac:dyDescent="0.35">
      <c r="B47" s="118" t="s">
        <v>39</v>
      </c>
      <c r="C47" s="119"/>
      <c r="D47" s="119"/>
      <c r="E47" s="119"/>
      <c r="F47" s="119"/>
      <c r="G47" s="119"/>
      <c r="H47" s="119"/>
      <c r="I47" s="119"/>
      <c r="J47" s="119"/>
      <c r="K47" s="119"/>
      <c r="L47" s="119"/>
      <c r="M47" s="119"/>
      <c r="N47" s="120"/>
      <c r="O47" s="92"/>
    </row>
    <row r="48" spans="2:16" x14ac:dyDescent="0.35">
      <c r="B48" s="118" t="s">
        <v>40</v>
      </c>
      <c r="C48" s="119"/>
      <c r="D48" s="119"/>
      <c r="E48" s="119"/>
      <c r="F48" s="119"/>
      <c r="G48" s="119"/>
      <c r="H48" s="119"/>
      <c r="I48" s="119"/>
      <c r="J48" s="119"/>
      <c r="K48" s="119"/>
      <c r="L48" s="119"/>
      <c r="M48" s="119"/>
      <c r="N48" s="120"/>
      <c r="O48" s="92"/>
    </row>
    <row r="49" spans="2:14" x14ac:dyDescent="0.35">
      <c r="B49" s="118" t="s">
        <v>72</v>
      </c>
      <c r="C49" s="119"/>
      <c r="D49" s="119"/>
      <c r="E49" s="119"/>
      <c r="F49" s="119"/>
      <c r="G49" s="119"/>
      <c r="H49" s="119"/>
      <c r="I49" s="119"/>
      <c r="J49" s="119"/>
      <c r="K49" s="119"/>
      <c r="L49" s="119"/>
      <c r="M49" s="119"/>
      <c r="N49" s="120"/>
    </row>
    <row r="50" spans="2:14" ht="25.8" x14ac:dyDescent="0.35">
      <c r="C50" s="15" t="s">
        <v>41</v>
      </c>
    </row>
    <row r="51" spans="2:14" ht="25.8" x14ac:dyDescent="0.35">
      <c r="C51" s="15" t="s">
        <v>42</v>
      </c>
    </row>
    <row r="52" spans="2:14" ht="25.8" x14ac:dyDescent="0.35">
      <c r="C52" s="15" t="s">
        <v>43</v>
      </c>
    </row>
    <row r="53" spans="2:14" ht="25.8" x14ac:dyDescent="0.35">
      <c r="C53" s="15" t="s">
        <v>44</v>
      </c>
    </row>
    <row r="54" spans="2:14" ht="25.8" x14ac:dyDescent="0.35">
      <c r="C54" s="15" t="s">
        <v>45</v>
      </c>
    </row>
  </sheetData>
  <mergeCells count="12">
    <mergeCell ref="B49:N49"/>
    <mergeCell ref="B1:N4"/>
    <mergeCell ref="F8:G8"/>
    <mergeCell ref="F9:G9"/>
    <mergeCell ref="G19:I19"/>
    <mergeCell ref="B22:N22"/>
    <mergeCell ref="B30:N30"/>
    <mergeCell ref="B31:N31"/>
    <mergeCell ref="B32:N32"/>
    <mergeCell ref="B33:N33"/>
    <mergeCell ref="B47:N47"/>
    <mergeCell ref="B48:N48"/>
  </mergeCells>
  <dataValidations count="11">
    <dataValidation type="list" allowBlank="1" showInputMessage="1" showErrorMessage="1" sqref="K21" xr:uid="{6AE3A771-98A3-4AC8-A418-8A4254E264BC}">
      <formula1>"ADCB,ADCB PAY IN 2027,Ajman Bank,ADIB,DIB EXPAT,DIB LOCAL GVH,Emirates NBD,EIB,FAB,RAK,SIB STL,SIB NON STL"</formula1>
    </dataValidation>
    <dataValidation type="list" allowBlank="1" showInputMessage="1" showErrorMessage="1" sqref="D5" xr:uid="{7BEF50E1-2BF0-4CE8-84AB-34703E0C9E56}">
      <formula1>"MIG09,MIG10,ATG16,ATP16,ATG17,ASG48,ASG43,ASG40,ASG42,ASG44,ASG45,ECG38,ECG37,ECG40,ECG43,XPML,XPHL,XPMLP, XPMLP-01, XC,OTF03,OTP03,OTF06,OTP06, OTP06-01,OTF08, OTP08,MOP57,MOG64,MOG59,MOG59P,MOG61,MOP61"</formula1>
    </dataValidation>
    <dataValidation type="list" allowBlank="1" showInputMessage="1" showErrorMessage="1" sqref="M21" xr:uid="{DECF14C1-5589-400D-9DDD-B9BF6000EADE}">
      <formula1>"3000-4999,5000-9999,10000-14999,15000-24999,25000-34999,35000-99999,5000-11999,12000-19999,20000-39999,40000-69999,70000-99999"</formula1>
    </dataValidation>
    <dataValidation type="list" allowBlank="1" showInputMessage="1" showErrorMessage="1" sqref="K20" xr:uid="{1FEC1054-51D3-4E9C-AA3E-96A7019FEE0F}">
      <formula1>"Esaad,Emirates Platinum,Fazaa,Humat Alwatan,Permissible,ASX,XPMLP,XP,MON,MON G57,OUT,F08,P08,F06,P06,F03,P03,EC,G37,G38,G40,G43"</formula1>
    </dataValidation>
    <dataValidation type="list" allowBlank="1" showInputMessage="1" showErrorMessage="1" sqref="L19:L20 L24:L25 G14:G15 C10:C16 L10 J10" xr:uid="{54B94F9F-CB84-44AD-9F46-9ADBD68B18FE}">
      <formula1>"YES,NO"</formula1>
    </dataValidation>
    <dataValidation type="list" allowBlank="1" showInputMessage="1" showErrorMessage="1" sqref="K24" xr:uid="{F165D127-0358-447A-936F-74C2A79FB19A}">
      <formula1>"RMC-10-70K,RMC-10-100000K,RMC-40-70K"</formula1>
    </dataValidation>
    <dataValidation type="list" allowBlank="1" showInputMessage="1" showErrorMessage="1" sqref="B16" xr:uid="{6A5E52AF-42F8-4AEC-8D1E-8AD04520487F}">
      <formula1>"RMC-10-40KMS,RMC-10-60KMS,RMC-10-70KMS,RMC-10-100000KMS,RMC-40-70KMS,RMC-40-100000KMS"</formula1>
    </dataValidation>
    <dataValidation type="list" allowBlank="1" showInputMessage="1" showErrorMessage="1" sqref="B12" xr:uid="{1CE0F4D3-DE8D-45CE-8312-692424CE5910}">
      <formula1>"FO Exterior ceramic All Cars SCOTCHGUARD,FO Mirror Camera Sensor,FO PPF Gold Package "</formula1>
    </dataValidation>
    <dataValidation type="list" allowBlank="1" showInputMessage="1" showErrorMessage="1" sqref="B11" xr:uid="{D037D109-ADCD-4B9A-B8C2-A026C7CB1D8C}">
      <formula1>"FO Ceramic+ Intr&amp;Extr CeramicGold WdwTnt,FO Mirror Camera Sensor"</formula1>
    </dataValidation>
    <dataValidation type="list" allowBlank="1" showInputMessage="1" showErrorMessage="1" sqref="M34" xr:uid="{FA6AA8D9-F0CB-4001-AE45-15125E80A9FD}">
      <formula1>"Alaa,Bachir ,Khaled,Ramy,Simon,Mharen,Ranjith,Jihan,Praveen,Sujith,Mossallem"</formula1>
    </dataValidation>
    <dataValidation type="list" allowBlank="1" showInputMessage="1" showErrorMessage="1" sqref="H34" xr:uid="{C1A21952-65E1-4C65-8740-741302E6E534}">
      <formula1>"ALAA HAMMAD,KHALED QASSEM,RAMY RAOUF,SIMON LOBO,MHAREN CLEMENTE GARADO"</formula1>
    </dataValidation>
  </dataValidations>
  <pageMargins left="0.23622047244094491" right="0.23622047244094491" top="0.74803149606299213" bottom="0.74803149606299213" header="0.31496062992125984" footer="0.31496062992125984"/>
  <pageSetup paperSize="9" scale="37" orientation="landscape" horizontalDpi="4294967295" verticalDpi="4294967295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24A8D-98C5-4FD3-BB85-650F140365F6}">
  <sheetPr>
    <pageSetUpPr fitToPage="1"/>
  </sheetPr>
  <dimension ref="A1:AB54"/>
  <sheetViews>
    <sheetView topLeftCell="B1" zoomScaleNormal="100" workbookViewId="0">
      <selection activeCell="D5" sqref="D5"/>
    </sheetView>
  </sheetViews>
  <sheetFormatPr defaultColWidth="9.109375" defaultRowHeight="20.399999999999999" x14ac:dyDescent="0.35"/>
  <cols>
    <col min="1" max="1" width="16" style="1" hidden="1" customWidth="1"/>
    <col min="2" max="2" width="75.5546875" style="2" customWidth="1"/>
    <col min="3" max="3" width="25.5546875" style="3" customWidth="1"/>
    <col min="4" max="4" width="25.33203125" style="2" customWidth="1"/>
    <col min="5" max="5" width="22.6640625" style="2" customWidth="1"/>
    <col min="6" max="6" width="21" style="2" customWidth="1"/>
    <col min="7" max="7" width="25" style="2" customWidth="1"/>
    <col min="8" max="8" width="29.44140625" style="2" bestFit="1" customWidth="1"/>
    <col min="9" max="9" width="32.109375" style="2" bestFit="1" customWidth="1"/>
    <col min="10" max="10" width="22" style="2" customWidth="1"/>
    <col min="11" max="11" width="23.33203125" style="2" customWidth="1"/>
    <col min="12" max="12" width="31" style="2" customWidth="1"/>
    <col min="13" max="13" width="23.5546875" style="2" customWidth="1"/>
    <col min="14" max="14" width="21.109375" style="2" customWidth="1"/>
    <col min="15" max="15" width="14.44140625" style="83" bestFit="1" customWidth="1"/>
    <col min="16" max="16" width="21.6640625" style="83" hidden="1" customWidth="1"/>
    <col min="17" max="17" width="14.33203125" style="86" hidden="1" customWidth="1"/>
    <col min="18" max="18" width="12.88671875" style="86" hidden="1" customWidth="1"/>
    <col min="19" max="19" width="13" style="86" hidden="1" customWidth="1"/>
    <col min="20" max="20" width="17.109375" style="86" hidden="1" customWidth="1"/>
    <col min="21" max="21" width="21.5546875" style="86" customWidth="1"/>
    <col min="22" max="22" width="22.88671875" style="86" customWidth="1"/>
    <col min="23" max="26" width="17.109375" style="86" bestFit="1" customWidth="1"/>
    <col min="27" max="27" width="15" style="86" customWidth="1"/>
    <col min="28" max="28" width="14.33203125" style="86" bestFit="1" customWidth="1"/>
    <col min="29" max="16384" width="9.109375" style="1"/>
  </cols>
  <sheetData>
    <row r="1" spans="1:28" ht="15.75" customHeight="1" x14ac:dyDescent="0.35">
      <c r="B1" s="121" t="s">
        <v>46</v>
      </c>
      <c r="C1" s="122"/>
      <c r="D1" s="122"/>
      <c r="E1" s="122"/>
      <c r="F1" s="122"/>
      <c r="G1" s="122"/>
      <c r="H1" s="122"/>
      <c r="I1" s="122"/>
      <c r="J1" s="122"/>
      <c r="K1" s="122"/>
      <c r="L1" s="122"/>
      <c r="M1" s="122"/>
      <c r="N1" s="123"/>
    </row>
    <row r="2" spans="1:28" ht="15.75" customHeight="1" x14ac:dyDescent="0.35">
      <c r="B2" s="124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6"/>
      <c r="Q2" s="83"/>
      <c r="S2" s="87"/>
    </row>
    <row r="3" spans="1:28" ht="15.75" customHeight="1" x14ac:dyDescent="0.35">
      <c r="B3" s="124"/>
      <c r="C3" s="125"/>
      <c r="D3" s="125"/>
      <c r="E3" s="125"/>
      <c r="F3" s="125"/>
      <c r="G3" s="125"/>
      <c r="H3" s="125"/>
      <c r="I3" s="125"/>
      <c r="J3" s="125"/>
      <c r="K3" s="125"/>
      <c r="L3" s="125"/>
      <c r="M3" s="125"/>
      <c r="N3" s="126"/>
      <c r="O3" s="82"/>
      <c r="P3" s="82"/>
      <c r="Q3" s="81"/>
      <c r="R3" s="81"/>
      <c r="S3" s="88" t="e">
        <f>N7+J14</f>
        <v>#VALUE!</v>
      </c>
      <c r="T3" s="88"/>
      <c r="U3" s="81"/>
      <c r="V3" s="81"/>
      <c r="W3" s="81"/>
      <c r="AA3" s="86">
        <f>273000/5</f>
        <v>54600</v>
      </c>
    </row>
    <row r="4" spans="1:28" ht="15.75" customHeight="1" x14ac:dyDescent="0.4">
      <c r="B4" s="127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9"/>
      <c r="O4" s="89" t="s">
        <v>0</v>
      </c>
      <c r="P4" s="89"/>
      <c r="Q4" s="90"/>
      <c r="R4" s="90"/>
      <c r="S4" s="91"/>
      <c r="T4" s="91"/>
      <c r="U4" s="90" t="s">
        <v>1</v>
      </c>
      <c r="V4" s="90" t="s">
        <v>2</v>
      </c>
      <c r="W4" s="90" t="s">
        <v>3</v>
      </c>
    </row>
    <row r="5" spans="1:28" ht="25.2" thickBot="1" x14ac:dyDescent="0.45">
      <c r="B5" s="17">
        <f ca="1">TODAY()</f>
        <v>46215</v>
      </c>
      <c r="C5" s="18" t="str">
        <f>IF(D5="MIG09","Mirage G09",IF(D5="MIG10","MirageG10",IF(D5="ATG16","Attrage G16",IF(D5="ATP16","Attrage P16",IF(D5="ATG17","Attrage G17",IF(D5="ASG48","ASX G48",IF(D5="ASG43","ASX G43", IF(D5="ASG40","ASXG40",IF(D5="ASG42","ASX G42",IF(D5="ASG44","ASX G44",IF(D5="ASG45","ASX G45",IF(D5="ECG38","Eclipse G38",IF(D5="ECG37","Eclipse G37",IF(D5="ECG40","Eclipse G40",IF(D5="ECG43","Eclipse G43",IF(D5="XPML","Xpander ML",IF(D5="XPHL","Xpander HL",IF(D5="XPMLP","Xpander ML P",IF(D5="XPMLP-01","Xpander ML P-01",IF(D5="XC","Xpander Cross", IF(D5="OTF03","Outlander F03",IF(D5="OTP03","Outlander P03",IF(D5="OTF06","Outlander F06",IF(D5="OTP06","Outlander P06",IF(D5="OTP06-01","Outlander P06-01",IF(D5="OTF08","Outlander F08",IF(D5="OTP08","Outlander P08P", IF(D5="MOP57","Montero P57",IF(D5="MOG64","Montero G64",IF(D5="MOG59","Montero G59",IF(D5="MOG59P","Montero G59 P",IF(D5="MOG61","Montero G61",IF(D5="MOP61","Montero P61")))))))))))))))))))))))))))))))))</f>
        <v>ASX G44</v>
      </c>
      <c r="D5" s="19" t="s">
        <v>95</v>
      </c>
      <c r="E5" s="20" t="s">
        <v>47</v>
      </c>
      <c r="F5" s="21"/>
      <c r="G5" s="21"/>
      <c r="H5" s="21"/>
      <c r="I5" s="22"/>
      <c r="J5" s="23"/>
      <c r="K5" s="24">
        <v>0</v>
      </c>
      <c r="L5" s="25">
        <v>3.39E-2</v>
      </c>
      <c r="M5" s="25">
        <v>6.7799999999999999E-2</v>
      </c>
      <c r="N5" s="25">
        <v>0.1017</v>
      </c>
      <c r="O5" s="92">
        <f>K7+K14</f>
        <v>11009.912635962501</v>
      </c>
      <c r="S5" s="87"/>
      <c r="U5" s="87">
        <f>L7+L14</f>
        <v>4486.2620274295132</v>
      </c>
      <c r="V5" s="87">
        <f>M7+M14</f>
        <v>3001.0296984312499</v>
      </c>
      <c r="W5" s="87">
        <f>N7+N14</f>
        <v>2079.5659302072918</v>
      </c>
    </row>
    <row r="6" spans="1:28" s="5" customFormat="1" ht="128.25" customHeight="1" thickBot="1" x14ac:dyDescent="0.35">
      <c r="A6" s="4" t="s">
        <v>4</v>
      </c>
      <c r="B6" s="26" t="s">
        <v>5</v>
      </c>
      <c r="C6" s="27" t="s">
        <v>6</v>
      </c>
      <c r="D6" s="27" t="s">
        <v>48</v>
      </c>
      <c r="E6" s="27" t="s">
        <v>7</v>
      </c>
      <c r="F6" s="27" t="s">
        <v>8</v>
      </c>
      <c r="G6" s="28" t="s">
        <v>9</v>
      </c>
      <c r="H6" s="28" t="s">
        <v>49</v>
      </c>
      <c r="I6" s="28" t="s">
        <v>10</v>
      </c>
      <c r="J6" s="28" t="s">
        <v>56</v>
      </c>
      <c r="K6" s="28" t="s">
        <v>11</v>
      </c>
      <c r="L6" s="28" t="s">
        <v>12</v>
      </c>
      <c r="M6" s="28" t="s">
        <v>13</v>
      </c>
      <c r="N6" s="28" t="s">
        <v>14</v>
      </c>
      <c r="O6" s="93"/>
      <c r="P6" s="94"/>
      <c r="Q6" s="95"/>
      <c r="R6" s="95"/>
      <c r="S6" s="95"/>
      <c r="T6" s="96"/>
      <c r="U6" s="96">
        <f>N7+L14</f>
        <v>3523.583588540625</v>
      </c>
      <c r="V6" s="96">
        <f>N7+K14</f>
        <v>8843.8861484624995</v>
      </c>
      <c r="W6" s="96"/>
      <c r="X6" s="95"/>
      <c r="Y6" s="95"/>
      <c r="Z6" s="95"/>
      <c r="AA6" s="95"/>
      <c r="AB6" s="95"/>
    </row>
    <row r="7" spans="1:28" ht="25.2" thickBot="1" x14ac:dyDescent="0.45">
      <c r="A7" s="6">
        <f>B8</f>
        <v>89900</v>
      </c>
      <c r="B7" s="29">
        <f>IF(L20="YES",C8*1,IF(L20="NO",B8*1))</f>
        <v>89900</v>
      </c>
      <c r="C7" s="29">
        <f>B7*5/100</f>
        <v>4495</v>
      </c>
      <c r="D7" s="29">
        <f>B7+C7</f>
        <v>94395</v>
      </c>
      <c r="E7" s="29">
        <f>D17</f>
        <v>13576.324375</v>
      </c>
      <c r="F7" s="29">
        <f>(C7)+(D10+D11+D12+D13+D16)*5/100</f>
        <v>4825</v>
      </c>
      <c r="G7" s="30">
        <f>B7+E7+F7</f>
        <v>108301.324375</v>
      </c>
      <c r="H7" s="29">
        <f>G7*D20</f>
        <v>21660.264875000001</v>
      </c>
      <c r="I7" s="29">
        <f>(G7-H7)</f>
        <v>86641.059500000003</v>
      </c>
      <c r="J7" s="30">
        <f>(((I7*D19)*1)+I7)/12</f>
        <v>7399.8684901291672</v>
      </c>
      <c r="K7" s="30">
        <f>(((I7*D19)*2)+I7)/24</f>
        <v>3789.8243442958337</v>
      </c>
      <c r="L7" s="30">
        <f>(((I7*D19)*3)+I7)/36</f>
        <v>2586.4762956847221</v>
      </c>
      <c r="M7" s="30">
        <f>(((I7*D19)*4)+I7)/48</f>
        <v>1984.8022713791668</v>
      </c>
      <c r="N7" s="30">
        <f>((((I7*D19)*5)+I7)/60)</f>
        <v>1623.7978567958335</v>
      </c>
      <c r="O7" s="92"/>
      <c r="P7" s="83">
        <f>H7+H16</f>
        <v>22569.995999750001</v>
      </c>
      <c r="T7" s="87">
        <f>25973/2</f>
        <v>12986.5</v>
      </c>
    </row>
    <row r="8" spans="1:28" ht="24.6" x14ac:dyDescent="0.4">
      <c r="A8" s="7">
        <v>0.2</v>
      </c>
      <c r="B8" s="31">
        <f>IF(D5="MIG09",39900,IF(D5="MIG10",40400,IF(D5="ATG16",40400,IF(D5="ATP16",49900,IF(D5="ATG17",41900,IF(D5="ASG48",63900,IF(D5="ASG43",62900,IF(D5="ASG40",63900,IF(D5="ASG42",68900,IF(D5="ASG44",89900,IF(D5="ASG45",95900,IF(D5="ECG38",73900,IF(D5="ECG37",70900,IF(D5="ECG40",86900,IF(D5="ECG43",91900,IF(D5="XPML",62900,IF(D5="XPHL",62900,IF(D5="XPMLP",69900,IF(D5="XPMLP-01",77800,IF(D5="XC",77900,IF(D5="OTF03",96900,IF(D5="OTP03",79900,IF(D5="OTF06",92900,IF(D5="OTP06",111900,IF(D5="OTP06-01",118900,IF(D5="OTF08",122900,IF(D5="OTP08",109900,IF(D5="MOP57",99900,IF(D5="MOG64",108900,IF(D5="MOG59",116900,IF(D5="MOG59P",110900,IF(D5="MOG61",127900,IF(D5="MOP61",125900)))))))))))))))))))))))))))))))))</f>
        <v>89900</v>
      </c>
      <c r="C8" s="32">
        <f>IF(L20="YES",N20,IF(L20="NO",N20))</f>
        <v>89900</v>
      </c>
      <c r="D8" s="29">
        <v>0</v>
      </c>
      <c r="E8" s="33"/>
      <c r="F8" s="139"/>
      <c r="G8" s="140"/>
      <c r="H8" s="110">
        <f>G7*20/100</f>
        <v>21660.264874999997</v>
      </c>
      <c r="I8" s="21"/>
      <c r="J8" s="34" t="s">
        <v>15</v>
      </c>
      <c r="K8" s="23">
        <f>(J7*K5+J7)/24</f>
        <v>308.32785375538197</v>
      </c>
      <c r="L8" s="23">
        <f>(J7*L5+J7)/36</f>
        <v>212.52011199845961</v>
      </c>
      <c r="M8" s="23">
        <f>(J7*M5+J7)/48</f>
        <v>164.61624111999842</v>
      </c>
      <c r="N8" s="23">
        <f>(J7*N5+J7)/60</f>
        <v>135.87391859292174</v>
      </c>
      <c r="O8" s="92"/>
      <c r="P8" s="83">
        <f>P7/12</f>
        <v>1880.8329999791667</v>
      </c>
      <c r="T8" s="86">
        <f>25973-12973</f>
        <v>13000</v>
      </c>
    </row>
    <row r="9" spans="1:28" ht="24.6" x14ac:dyDescent="0.4">
      <c r="A9" s="8">
        <f>B8/(100%-A8)</f>
        <v>112375</v>
      </c>
      <c r="B9" s="109">
        <f>B7-B8</f>
        <v>0</v>
      </c>
      <c r="C9" s="35"/>
      <c r="D9" s="36"/>
      <c r="E9" s="33"/>
      <c r="F9" s="139"/>
      <c r="G9" s="140"/>
      <c r="H9" s="33"/>
      <c r="I9" s="37" t="s">
        <v>16</v>
      </c>
      <c r="J9" s="38">
        <f>(J7*12)-(I7)</f>
        <v>2157.3623815500032</v>
      </c>
      <c r="K9" s="38">
        <f>(K7*24)-I7</f>
        <v>4314.7247631000064</v>
      </c>
      <c r="L9" s="38">
        <f>(L7*36)-I7</f>
        <v>6472.087144649995</v>
      </c>
      <c r="M9" s="38">
        <f>(M7*48)-I7</f>
        <v>8629.4495261999982</v>
      </c>
      <c r="N9" s="38">
        <f>(N7*60)-I7</f>
        <v>10786.811907750001</v>
      </c>
      <c r="O9" s="92"/>
      <c r="T9" s="86">
        <f>T8/12</f>
        <v>1083.3333333333333</v>
      </c>
      <c r="Z9" s="86" t="s">
        <v>86</v>
      </c>
    </row>
    <row r="10" spans="1:28" ht="24.6" x14ac:dyDescent="0.4">
      <c r="A10" s="8"/>
      <c r="B10" s="37" t="s">
        <v>50</v>
      </c>
      <c r="C10" s="20" t="s">
        <v>17</v>
      </c>
      <c r="D10" s="36">
        <f>IF(C10="YES",800,IF(C10="NO",0))</f>
        <v>0</v>
      </c>
      <c r="E10" s="39"/>
      <c r="F10" s="40"/>
      <c r="G10" s="40"/>
      <c r="H10" s="33"/>
      <c r="I10" s="44" t="s">
        <v>85</v>
      </c>
      <c r="J10" s="117" t="s">
        <v>19</v>
      </c>
      <c r="K10" s="117">
        <f>IF(J10="YES",Z10,IF(J10="NO",0))</f>
        <v>1000</v>
      </c>
      <c r="L10" s="117"/>
      <c r="M10" s="117"/>
      <c r="N10" s="41">
        <f>(N8*60)-J7</f>
        <v>752.56662544613755</v>
      </c>
      <c r="O10" s="92">
        <f>IF(D5="XC",3690,IF(D5="XPML",3690,IF(D5="XPHL",3690,IF(D5="XPMLP",3690,IF(D5="XPMLP-01",3690,IF(D5="Xpander P",3690,IF(D5="MOP57",(U19*2.75/100+510)*1.05,IF(D5="MOG64",(U19*2.75/100+510)*1.05,IF(D5="MOG59",(U19*2.75/100+510)*1.05,IF(D5="MOG59P",(U19*2.75/100+510)*1.05,IF(D5="MOG61",(U19*2.75/100+510)*1.05,IF(D5="MOP61",(U19*2.75/100+510)*1.05,IF(D5="OTF03",(D7*3/100+510)*1.05,IF(D5="OTP03",(U19*3/100+510)*1.05,IF(D5="OTF06",(U19*3/100+510)*1.05,IF(D5="OTP06",(U19*3/100+510)*1.05,IF(D5="OTP06-01",(U19*3/100+510)*1.05,IF(D5="OTF08",(U19*3/100+510)*1.05,IF(D5="OTP08",(U19*3/100+510)*1.05,IF(D5="ECG38",3625,IF(D5="ECG37",3625,IF(D5="ECG40",(D7*3/100+510)*1.05,IF(D5="ECG43",(D7*3/100+510)*1.05,IF(D5="ASG48",3625,IF(D5="ASG43",3625,IF(D5="ASG40",3625,IF(D5="ASG42",3625,IF(D5="ASG44",3625,IF(D5="ASG45",3625,IF(D5="ASX HL 4WD",3625,IF(D5="ATG16",3625,IF(D5="ATG17",3625,IF(D5="ATP16",3625,IF(D5="Attrage S",3625,IF(D5="MIG09",3625,IF(D5="MIG10",3625,IF(D5="Xpander HL",3690)))))))))))))))))))))))))))))))))))))</f>
        <v>3625</v>
      </c>
      <c r="P10" s="97"/>
      <c r="Q10" s="97">
        <f>5.25*3</f>
        <v>15.75</v>
      </c>
      <c r="Z10" s="86">
        <f>IF(D5="MIG09",500,IF(D5="MIG10",500,IF(D5="ATG16",500,IF(D5="ATP16",500,IF(D5="ATG17",500,IF(D5="ASG48",1000,IF(D5="ASG43",1000,IF(D5="ASG40",1000,IF(D5="ASG42",1000,IF(D5="ASG44",1000,IF(D5="ASG45",1000,IF(D5="ECG38",1000,IF(D5="ECG37",1000,IF(D5="ECG40",1000,IF(D5="ECG43",1000,IF(D5="XPML",1000,IF(D5="XPHL",1000,IF(D5="XPMLP",1000,IF(D5="XPMLP-01",1000,IF(D5="XC",1000,IF(D5="OTF03",1000,IF(D5="OTP03",1000,IF(D5="OTF06",1000,IF(D5="OTP06",1000,IF(D5="OTP06-01",1000,IF(D5="OTF08",1000,IF(D5="OTP08",1000,IF(D5="MOP57",1000,IF(D5="MOG64",1000,IF(D5="MOG59",1000,IF(D5="MOG59P",1000,IF(D5="MOG61",1000,IF(D5="MOP61",1000)))))))))))))))))))))))))))))))))</f>
        <v>1000</v>
      </c>
    </row>
    <row r="11" spans="1:28" ht="24.6" x14ac:dyDescent="0.4">
      <c r="A11" s="8"/>
      <c r="B11" s="37" t="s">
        <v>18</v>
      </c>
      <c r="C11" s="20" t="s">
        <v>17</v>
      </c>
      <c r="D11" s="36">
        <f>IF(C11="YES",O17,IF(C11="NO",0))</f>
        <v>0</v>
      </c>
      <c r="E11" s="33"/>
      <c r="F11" s="40"/>
      <c r="G11" s="40"/>
      <c r="H11" s="33"/>
      <c r="I11" s="21"/>
      <c r="J11" s="44" t="s">
        <v>76</v>
      </c>
      <c r="K11" s="44">
        <f>H8-K10</f>
        <v>20660.264874999997</v>
      </c>
      <c r="L11" s="37"/>
      <c r="M11" s="37"/>
      <c r="N11" s="42"/>
      <c r="O11" s="92">
        <f>IF(D5="XC",6100,IF(D5="XPML",6100,IF(D5="XPHL",6100,IF(D5="XPMLP",6100,IF(D5="XPMLP-01",6100,IF(D5="Xpander P",6100,IF(D5="MOP57",5900,IF(D5="MOG64",5900,IF(D5="MOG59",5900,IF(D5="MOG59P",5900,IF(D5="MOG61",5900,IF(D5="MOP61",5900,IF(D5="OTF03",6700,IF(D5="OTP03",6700,IF(D5="OTF06",6700,IF(D5="OTP06",6700,IF(D5="OTP06-01",6700,IF(D5="OTF08",6700,IF(D5="OTP08",6700,IF(D5="ECG37",6400,IF(D5="ECG38",6400,IF(D5="ECG40",6400,IF(D5="ECG43",6400,IF(D5="ASG48",6600,IF(D5="ASG43",6600,IF(D5="ASG40",6600,IF(D5="ASG42",6600,IF(D5="ASG44",6600,IF(D5="ASG45",6600,IF(D5="ASX HL 4WD",6600,IF(D5="ATG16",5400,IF(D5="ATG17",5400,IF(D5="ATP16",5400,IF(D5="Attrage S",5400,IF(D5="MIG09",5400,IF(D5="MIG10",5400,IF(D5="Xpander HL",6000)))))))))))))))))))))))))))))))))))))</f>
        <v>6600</v>
      </c>
      <c r="P11" s="92"/>
      <c r="Q11" s="92"/>
      <c r="R11" s="92"/>
      <c r="S11" s="92"/>
      <c r="T11" s="92"/>
      <c r="U11" s="92">
        <f>IF(D5="XC",4900,IF(D5="XPML",4900,IF(D5="XPHL",4900,IF(D5="XPMLP",4900,IF(D5="XPMLP-01",4900,IF(D5="Xpander P",4900,IF(D5="MOP57",4600,IF(D5="MOG64",4600,IF(D5="MOG59",4600,IF(D5="MOG59P",4600,IF(D5="MOG61",4600,IF(D5="MOP61",4600,IF(D5="OTF03",5500,IF(D5="OTP03",5500,IF(D5="OTF06",5500,IF(D5="OTP06",5500,IF(D5="OTP06-01",5500,IF(D5="OTF08",5500,IF(D5="OTP08",5500,IF(D5="ECG38",5200,IF(D5="ECG37",5200,IF(D5="ECG40",5200,IF(D5="ECG43",5200,IF(D5="ASG48",5300,IF(D5="ASG43",5300,IF(D5="ASG40",5300,IF(D5="ASG42",5300,IF(D5="ASG44",5300,IF(D5="ASG45",5300,IF(D5="ASX HL",5300,IF(D5="ASX P",5300,IF(D5="ASX HL 4WD",5300,IF(D5="ATG16",4200,IF(D5="ATG17",4200,IF(D5="ATP16",4200,IF(D5="Attrage S",4200,IF(D5="MIG09",4200,IF(D5="MIG10",4200,IF(D5="Xpander HL",4900)))))))))))))))))))))))))))))))))))))))</f>
        <v>5300</v>
      </c>
      <c r="V11" s="92">
        <f>IF(D5="XC",9700,IF(D5="XPML",9700,IF(D5="XPHL",9700,IF(D5="XPMLP",9700,IF(D5="XPMLP-01",9700,IF(D5="XPMLP-01",9700,IF(D5="Xpander P",9700,IF(D5="MOP57",9300,IF(D5="MG64",9300,IF(D5="MOG59",9300,IF(D5="MOG59P",9300,IF(D5="MOG61",9300,IF(D5="MOP61",9300,IF(D5="OTF03",11000,IF(D5="OTP03",11000,IF(D5="OTF06",11000,IF(D5="OTP06",11000,IF(D5="OTP06-01",11000,IF(D5="OTF08",11000,IF(D5="OTP08",11000,IF(D5="ECG38",10400,IF(D5="ECG37",10400,IF(D5="ECG40",10400,IF(D5="ECG43",10400,IF(D5="ASG48",10700,IF(D5="ASG43",10700,IF(D5="ASG40",10700,IF(D5="ASG42",10700,IF(D5="ASG44",10800,IF(D5="ASG45",10800,IF(D5="ASX HL",12200,IF(D5="ASX P",12200,IF(D5="ASX HL 4WD",12200,IF(D5="ATG16",8500,IF(D5="ATG17",8500,IF(D5="ATP16",8500,IF(D5="Attrage S",9600,IF(D5="MIG09",8500,IF(D5="MIG10",8500,IF(D5="Xpander HL",11300))))))))))))))))))))))))))))))))))))))))</f>
        <v>10800</v>
      </c>
      <c r="W11" s="92">
        <f>IF(D5="XC",9200,IF(D5="XPML",9200,IF(D5="XPHL",9200,IF(D5="XPMLP",9200,IF(D5="XPMLP-01",9200,IF(D5="Xpander P",9200,IF(D5="MOP57",8700,IF(D5="MOG64",8700,IF(D5="MOG59",8700,IF(D5="MOG59P",8700,IF(D5="MOG61",8700,IF(D5="MOP61",8700,IF(D5="OTF03",10400,IF(D5="OTP03",10400,IF(D5="OTF06",10400,IF(D5="OTP06",10400,IF(D5="OTP06-01",10400,IF(D5="OTF08",10400,IF(D5="OTP08",10400,IF(D5="ECG38",9800,IF(D5="ECG37",9800,IF(D5="ECG40",9800,IF(D5="ECG43",9800,IF(D5="ASG48",10100,IF(D5="ASG43",10100,IF(D5="ASG40",10100,IF(D5="ASG42",10100,IF(D5="ASG44",10100,IF(D5="ASG45",10100,IF(D5="ASX HL",10100,IF(D5="ASX P",10100,IF(D5="ASX HL 4WD",10100,IF(D5="ATG16",7900,IF(D5="ATG17",7900,IF(D5="ATP16",7900,IF(D5="Attrage S",7900,IF(D5="MIG09",7900,IF(D5="MIG10",7900,IF(D5="Xpander HL",9200)))))))))))))))))))))))))))))))))))))))</f>
        <v>10100</v>
      </c>
      <c r="X11" s="92">
        <f>IF(D5="XC",4500,IF(D5="XPML",4500,IF(D5="XPHL",4500,IF(D5="XPMLP",4500,IF(D5="XPMLP-01",4500,IF(D5="Xpander P",4500,IF(D5="MOP57",4300,IF(D5="MOG64",4300,IF(D5="MOG59",4300,IF(D5="MOG59P",4300,IF(D5="MOG61",4300,IF(D5="MOP61",4300,IF(D5="OTF03",5000,IF(D5="OTP03",5000,IF(D5="OTF06",5000,IF(D5="OTP06",5000,IF(D5="OTP06-01",5000,IF(D5="OTF08",5000,IF(D5="OTP08",5000,IF(D5="ECG38",4900,IF(D5="ECG37",4900,IF(D5="ECG40",4900,IF(D5="ECG43",4900,IF(D5="ASG48",4900,IF(D5="ASG43",4900,IF(D5="ASG40",4900,IF(D5="ASG42",4900,IF(D5="ASG44",4900,IF(D5="ASG45",4900,IF(D5="ASX HL",4900,IF(D5="ASX P",4900,IF(D5="ASX HL 4WD",4900,IF(D5="ATG16",3700,IF(D5="ATG17",3700,IF(D5="ATP16",3700,IF(D5="Attrage S",3700,IF(D5="MIG09",3700,IF(D5="MIG10",3700,IF(D5="Xpander HL",4500)))))))))))))))))))))))))))))))))))))))</f>
        <v>4900</v>
      </c>
      <c r="Y11" s="92">
        <f>IF(D5="XC",5400,IF(D5="XPML ",5400,IF(D5="XPHL",5400,IF(D5="XPMLP",5400,IF(D5="XPMLP-01",5400,IF(D5="Xpander P",5400,IF(D5="MOP57",5200,IF(D5="MOG64",5200,IF(D5="MOG59",5200,IF(D5="MOG59P",5200,IF(D5="MOG61",5200,IF(D5="MOP61",5200,IF(D5="OTF03",6000,IF(D5="OTP03",6000,IF(D5="OTF06",6000,IF(D5="OTP06",6000,IF(D5="OTP06-01",6000,IF(D5="OTF08",6000,IF(D5="OTP08",6000,IF(D5="ECG38",5700,IF(D5="ECG37",5700,IF(D5="ECG40",5700,IF(D5="ECG43",5700,IF(D5="ASG48",5900,IF(D5="ASG43",5900,IF(D5="ASG40",5900,IF(D5="ASG42",5900,IF(D5="ASG44",5900,IF(D5="ASG45",5900,IF(D5="ASX HL",5900,IF(D5="ASX P",5900,IF(D5="ASX HL 4WD",5900,IF(D5="ATG16",4500,IF(D5="ATG17",4500,IF(D5="ATP16",4500,IF(D5="Attrage S",4500,IF(D5="MIG09",4500,IF(D5="MIG10",4500,IF(D5="Xpander HL",5400)))))))))))))))))))))))))))))))))))))))</f>
        <v>5900</v>
      </c>
    </row>
    <row r="12" spans="1:28" ht="24.75" customHeight="1" x14ac:dyDescent="0.4">
      <c r="A12" s="8"/>
      <c r="B12" s="37" t="s">
        <v>20</v>
      </c>
      <c r="C12" s="20" t="s">
        <v>17</v>
      </c>
      <c r="D12" s="36">
        <f>IF(C12="YES",2000,IF(C12="NO",0))</f>
        <v>0</v>
      </c>
      <c r="E12" s="43"/>
      <c r="F12" s="43" t="s">
        <v>21</v>
      </c>
      <c r="G12" s="40"/>
      <c r="H12" s="33">
        <v>600</v>
      </c>
      <c r="I12" s="21"/>
      <c r="J12" s="44" t="s">
        <v>22</v>
      </c>
      <c r="K12" s="45">
        <v>0</v>
      </c>
      <c r="L12" s="45">
        <v>5.2499999999999998E-2</v>
      </c>
      <c r="M12" s="45">
        <v>0.126</v>
      </c>
      <c r="N12" s="46">
        <v>0.26250000000000001</v>
      </c>
      <c r="O12" s="92">
        <f>IF(K20="Esaad",B8*3/100,IF(K20="Emirates Platinum",B8*3/100,IF(K20="Fazaa",B8*3/100,IF(K20="Humat Alwatan",B8*3/100,IF(K20="Permissible",2000,IF(K20="ASX",8400,IF(K20="XPMLP",4000,IF(K20="XP",14100,IF(K20="G43",11000,IF(K20="EC",7000,IF(K20="G37",14000,IF(K20="G38",15000,IF(K20="G40",11000,IF(K20="OUT",9600,IF(K20="F08",15400,IF(K20="P08",11100,IF(K20="F06",14100,IF(K20="P06",17100,IF(K20="F03",17000,IF(K20="P03",19100,IF(K20="MON",10000,IF(K20="MON G57",10000,0))))))))))))))))))))))</f>
        <v>2000</v>
      </c>
      <c r="P12" s="92"/>
      <c r="Q12" s="92"/>
      <c r="R12" s="92"/>
      <c r="S12" s="92"/>
      <c r="T12" s="92"/>
      <c r="U12" s="92"/>
      <c r="V12" s="92"/>
      <c r="W12" s="92"/>
      <c r="X12" s="92"/>
      <c r="Y12" s="92"/>
      <c r="Z12" s="86" t="s">
        <v>83</v>
      </c>
      <c r="AA12" s="86" t="s">
        <v>84</v>
      </c>
    </row>
    <row r="13" spans="1:28" ht="24.6" x14ac:dyDescent="0.4">
      <c r="A13" s="8">
        <f>B8*1.26582</f>
        <v>113797.21799999999</v>
      </c>
      <c r="B13" s="37" t="s">
        <v>23</v>
      </c>
      <c r="C13" s="20" t="s">
        <v>17</v>
      </c>
      <c r="D13" s="36">
        <f>IF(C13="YES",2000,IF(C13="NO",0))</f>
        <v>0</v>
      </c>
      <c r="E13" s="47"/>
      <c r="F13" s="47" t="s">
        <v>75</v>
      </c>
      <c r="G13" s="40"/>
      <c r="H13" s="33">
        <v>315</v>
      </c>
      <c r="I13" s="21"/>
      <c r="J13" s="44" t="s">
        <v>54</v>
      </c>
      <c r="K13" s="29" t="s">
        <v>79</v>
      </c>
      <c r="L13" s="29" t="s">
        <v>25</v>
      </c>
      <c r="M13" s="29" t="s">
        <v>0</v>
      </c>
      <c r="N13" s="49" t="s">
        <v>26</v>
      </c>
      <c r="O13" s="98">
        <f>IF(M21="3000-4999",6%,IF(M21="5000-9999",4.75%,IF(M21="10000-14999",3.15%,IF(M21="15000-24999",2.5%,IF(M21="25000-34999",2.25%,IF(M21="35000-99999",2.25%))))))</f>
        <v>4.7500000000000001E-2</v>
      </c>
      <c r="Q13" s="83">
        <f>H7/12</f>
        <v>1805.0220729166667</v>
      </c>
      <c r="U13" s="9">
        <f>IF(M21="3000-4999",6%,IF(M21="5000-9999",3.25%,IF(M21="10000-14999",3%,IF(M21="15000-24999",2.25%,IF(M21="25000-34999",2.15%,IF(M21="35000-99999",1.99%))))))</f>
        <v>3.2500000000000001E-2</v>
      </c>
      <c r="Z13" s="99">
        <f>IF(M21="5000-9999",2.49%,IF(M21="10000-19999",2.19%,IF(M21="20000-34999",2.09%,IF(M21="35000-49999",1.89%,IF(M21="50000-99999",1.79%)))))</f>
        <v>2.4900000000000002E-2</v>
      </c>
      <c r="AA13" s="99">
        <f>IF(M21="5000-9999",2.59%,IF(M21="10000-19999",2.29%,IF(M21="20000-34999",2.19%,IF(M21="35000-49999",1.99%,IF(M21="50000-99999",1.89%)))))</f>
        <v>2.5899999999999999E-2</v>
      </c>
    </row>
    <row r="14" spans="1:28" ht="24.6" x14ac:dyDescent="0.4">
      <c r="A14" s="10" t="s">
        <v>27</v>
      </c>
      <c r="B14" s="37" t="s">
        <v>24</v>
      </c>
      <c r="C14" s="20" t="s">
        <v>19</v>
      </c>
      <c r="D14" s="50">
        <f>IF(C14="YES",U19*3.15*1.05/100,IF(C14="NO",U19*0/100))</f>
        <v>3351.3243750000001</v>
      </c>
      <c r="E14" s="48"/>
      <c r="F14" s="48" t="s">
        <v>24</v>
      </c>
      <c r="G14" s="51" t="s">
        <v>17</v>
      </c>
      <c r="H14" s="39">
        <f>IF(G14="YES",U19*3.15*1.05/100,IF(G14="NO",U19*0/100))</f>
        <v>0</v>
      </c>
      <c r="I14" s="21"/>
      <c r="J14" s="44" t="s">
        <v>55</v>
      </c>
      <c r="K14" s="44">
        <f>(H8*K12+H8)/3</f>
        <v>7220.088291666666</v>
      </c>
      <c r="L14" s="44">
        <f>(H8*L12+H8)/12</f>
        <v>1899.7857317447915</v>
      </c>
      <c r="M14" s="44">
        <f>(H8*M12+H8)/24</f>
        <v>1016.2274270520833</v>
      </c>
      <c r="N14" s="52">
        <f>(H7*N12+H7)/60</f>
        <v>455.76807341145832</v>
      </c>
      <c r="O14" s="98">
        <f>IF(M21="3000-4999",3.89%,IF(M21="5000-9999",3.89%,IF(M21="10000-14999",3.89%,IF(M21="15000-24999",2.69%,IF(M21="25000-34999",2.69%,IF(M21="35000-99999",2.39%,IF(M21="76000-99999",2.19%)))))))</f>
        <v>3.8900000000000004E-2</v>
      </c>
    </row>
    <row r="15" spans="1:28" ht="24.6" x14ac:dyDescent="0.4">
      <c r="A15" s="11">
        <f>(B7*3%)+10+120</f>
        <v>2827</v>
      </c>
      <c r="B15" s="37" t="s">
        <v>28</v>
      </c>
      <c r="C15" s="20" t="s">
        <v>19</v>
      </c>
      <c r="D15" s="29">
        <f>IF(C15="YES",O10,IF(C15="NO",0))</f>
        <v>3625</v>
      </c>
      <c r="E15" s="48"/>
      <c r="F15" s="48" t="s">
        <v>53</v>
      </c>
      <c r="G15" s="51" t="s">
        <v>17</v>
      </c>
      <c r="H15" s="39">
        <f>IF(G15="YES",O10,IF(G15="NO",0))</f>
        <v>0</v>
      </c>
      <c r="I15" s="21"/>
      <c r="J15" s="44"/>
      <c r="K15" s="44"/>
      <c r="L15" s="44"/>
      <c r="M15" s="44"/>
      <c r="N15" s="53"/>
      <c r="O15" s="98" t="b">
        <f>IF(M21="3000-4999",4.99%, IF(M21="5000-11999",2.75%,IF(M21="12000-19999",2.75%,IF(M21="20000-39999",2.25%,IF(M21="40000-69999",2.39%,IF(M21="70000-99999",2.25%))))))</f>
        <v>0</v>
      </c>
      <c r="P15" s="99"/>
    </row>
    <row r="16" spans="1:28" ht="24.6" x14ac:dyDescent="0.4">
      <c r="A16" s="11">
        <f>((B7-B8)*3%+10+120)</f>
        <v>130</v>
      </c>
      <c r="B16" s="37" t="s">
        <v>78</v>
      </c>
      <c r="C16" s="20" t="s">
        <v>19</v>
      </c>
      <c r="D16" s="29">
        <f>IF(C16="YES",O16,IF(C16="NO",0))</f>
        <v>6600</v>
      </c>
      <c r="E16" s="47"/>
      <c r="F16" s="47" t="s">
        <v>74</v>
      </c>
      <c r="G16" s="54"/>
      <c r="H16" s="33">
        <f>I7*1.05%</f>
        <v>909.73112475000005</v>
      </c>
      <c r="I16" s="21"/>
      <c r="J16" s="44" t="s">
        <v>16</v>
      </c>
      <c r="K16" s="44">
        <f>(K14*3)-H8</f>
        <v>0</v>
      </c>
      <c r="L16" s="44">
        <f>(L14*12)-H8</f>
        <v>1137.1639059375011</v>
      </c>
      <c r="M16" s="44">
        <f>(M14*24)-H8</f>
        <v>2729.1933742500005</v>
      </c>
      <c r="N16" s="53"/>
      <c r="O16" s="92">
        <f>IF(B16="RMC-10-70KMS",O11,IF(B16="RMC-10-100000KMS",V11,IF(B16="RMC-40-70KMS",U11, IF(B16="RMC-10-40KMS",X11, IF(B16="RMC-10-60KMS",Y11, IF(B16="RMC-40-100000KMS",W11,0))))))</f>
        <v>6600</v>
      </c>
    </row>
    <row r="17" spans="1:28" ht="24.6" x14ac:dyDescent="0.4">
      <c r="A17" s="11">
        <f>A15+A16</f>
        <v>2957</v>
      </c>
      <c r="B17" s="37"/>
      <c r="C17" s="20"/>
      <c r="D17" s="29">
        <f>SUM(D10:D16)</f>
        <v>13576.324375</v>
      </c>
      <c r="E17" s="33"/>
      <c r="F17" s="33"/>
      <c r="G17" s="33"/>
      <c r="H17" s="33">
        <f>H7+H12+H15+H16</f>
        <v>23169.995999750001</v>
      </c>
      <c r="I17" s="33"/>
      <c r="J17" s="22"/>
      <c r="K17" s="53"/>
      <c r="L17" s="53"/>
      <c r="M17" s="53"/>
      <c r="N17" s="53"/>
      <c r="O17" s="92">
        <f>IF(B11="FO Ceramic+ Intr&amp;Extr CeramicGold WdwTnt",2700,IF(B11="FO Mirror Camera Sensor",2000))</f>
        <v>2700</v>
      </c>
      <c r="T17" s="86">
        <f>19615-791</f>
        <v>18824</v>
      </c>
    </row>
    <row r="18" spans="1:28" ht="24.6" x14ac:dyDescent="0.4">
      <c r="A18" s="12" t="s">
        <v>29</v>
      </c>
      <c r="B18" s="55" t="s">
        <v>30</v>
      </c>
      <c r="C18" s="56"/>
      <c r="D18" s="57">
        <v>0</v>
      </c>
      <c r="E18" s="38"/>
      <c r="F18" s="22"/>
      <c r="G18" s="22"/>
      <c r="H18" s="21"/>
      <c r="I18" s="21"/>
      <c r="J18" s="21"/>
      <c r="K18" s="21"/>
      <c r="L18" s="21"/>
      <c r="M18" s="21"/>
      <c r="N18" s="21"/>
      <c r="O18" s="92"/>
      <c r="U18" s="100" t="s">
        <v>52</v>
      </c>
      <c r="V18" s="100" t="s">
        <v>52</v>
      </c>
    </row>
    <row r="19" spans="1:28" ht="24.6" x14ac:dyDescent="0.4">
      <c r="A19" s="11">
        <f>B8*3.15%</f>
        <v>2831.85</v>
      </c>
      <c r="B19" s="58" t="s">
        <v>31</v>
      </c>
      <c r="C19" s="59"/>
      <c r="D19" s="60">
        <f>IF(K21="DIB EXPAT",O13,IF(K21="DIB LOCAL GVH",U13,IF(K21="Emirates NBD",O14,IF(K21="ADCB",O15,IF(K21="ADCB PAY IN 2027",O19,IF(K21="Ajman Bank",O18,IF(K21="SIB STL",Z13,IF(K21="SIB NON STL",AA13,))))))))</f>
        <v>2.4900000000000002E-2</v>
      </c>
      <c r="E19" s="22"/>
      <c r="F19" s="61"/>
      <c r="G19" s="141" t="s">
        <v>73</v>
      </c>
      <c r="H19" s="142"/>
      <c r="I19" s="143"/>
      <c r="J19" s="109">
        <f>H7/365</f>
        <v>59.343191438356165</v>
      </c>
      <c r="K19" s="21"/>
      <c r="L19" s="21"/>
      <c r="M19" s="21"/>
      <c r="N19" s="23">
        <f>D7</f>
        <v>94395</v>
      </c>
      <c r="O19" s="98" t="b">
        <f>IF(M21="5000-11999",3.35%,IF(M21="12000-19999",3.35%,IF(M21="20000-39999",2.85%,IF(M21="40000-69999",2.85%,IF(M21="70000-99999",2.85%)))))</f>
        <v>0</v>
      </c>
      <c r="P19" s="83">
        <f>81400-2500</f>
        <v>78900</v>
      </c>
      <c r="U19" s="101">
        <f>V19</f>
        <v>101325</v>
      </c>
      <c r="V19" s="102">
        <f>(B7+D10+D11+D12+D13+D16)*1.05</f>
        <v>101325</v>
      </c>
      <c r="X19" s="87">
        <f>G7*3.15*1.05/100</f>
        <v>3582.066303703125</v>
      </c>
      <c r="Y19" s="87">
        <f>G7*3/100+510*1.05</f>
        <v>3784.5397312500004</v>
      </c>
      <c r="Z19" s="87">
        <f>Y19+X19</f>
        <v>7366.6060349531253</v>
      </c>
      <c r="AA19" s="87">
        <f>(Z19)-(D14+D15)</f>
        <v>390.2816599531252</v>
      </c>
      <c r="AB19" s="87">
        <f>AA19*1.25</f>
        <v>487.8520749414065</v>
      </c>
    </row>
    <row r="20" spans="1:28" ht="24.6" x14ac:dyDescent="0.4">
      <c r="A20" s="11"/>
      <c r="B20" s="58" t="s">
        <v>32</v>
      </c>
      <c r="C20" s="62"/>
      <c r="D20" s="63">
        <v>0.2</v>
      </c>
      <c r="E20" s="21"/>
      <c r="F20" s="21"/>
      <c r="G20" s="42"/>
      <c r="H20" s="42"/>
      <c r="I20" s="42"/>
      <c r="J20" s="103"/>
      <c r="K20" s="104" t="s">
        <v>33</v>
      </c>
      <c r="L20" s="104" t="s">
        <v>17</v>
      </c>
      <c r="M20" s="104">
        <f>IF(L20="YES",O12,IF(L20="NO",0))</f>
        <v>0</v>
      </c>
      <c r="N20" s="23">
        <f>B8-M20</f>
        <v>89900</v>
      </c>
      <c r="O20" s="92"/>
      <c r="P20" s="99"/>
      <c r="T20" s="86">
        <f>1992+1084</f>
        <v>3076</v>
      </c>
      <c r="V20" s="83"/>
      <c r="X20" s="87">
        <f>X19-D14</f>
        <v>230.74192870312481</v>
      </c>
      <c r="Y20" s="87">
        <f>Y19-D15</f>
        <v>159.53973125000039</v>
      </c>
      <c r="AA20" s="87">
        <f>X20+Y20</f>
        <v>390.2816599531252</v>
      </c>
    </row>
    <row r="21" spans="1:28" ht="24.6" x14ac:dyDescent="0.4">
      <c r="A21" s="13">
        <f>A19+A20</f>
        <v>2831.85</v>
      </c>
      <c r="B21" s="21"/>
      <c r="C21" s="22"/>
      <c r="D21" s="21"/>
      <c r="E21" s="21"/>
      <c r="F21" s="21"/>
      <c r="G21" s="21"/>
      <c r="H21" s="21"/>
      <c r="I21" s="21"/>
      <c r="J21" s="37" t="s">
        <v>34</v>
      </c>
      <c r="K21" s="16" t="s">
        <v>83</v>
      </c>
      <c r="L21" s="105" t="s">
        <v>35</v>
      </c>
      <c r="M21" s="106" t="s">
        <v>80</v>
      </c>
      <c r="N21" s="111"/>
      <c r="O21" s="92"/>
      <c r="T21" s="86">
        <f>25973-12973</f>
        <v>13000</v>
      </c>
    </row>
    <row r="22" spans="1:28" ht="24.6" x14ac:dyDescent="0.4">
      <c r="A22" s="13"/>
      <c r="B22" s="130" t="s">
        <v>51</v>
      </c>
      <c r="C22" s="131"/>
      <c r="D22" s="131"/>
      <c r="E22" s="131"/>
      <c r="F22" s="131"/>
      <c r="G22" s="131"/>
      <c r="H22" s="131"/>
      <c r="I22" s="131"/>
      <c r="J22" s="131"/>
      <c r="K22" s="131"/>
      <c r="L22" s="131"/>
      <c r="M22" s="131"/>
      <c r="N22" s="132"/>
      <c r="O22" s="92"/>
    </row>
    <row r="23" spans="1:28" ht="25.2" x14ac:dyDescent="0.45">
      <c r="A23" s="14" t="s">
        <v>36</v>
      </c>
      <c r="B23" s="64" t="s">
        <v>57</v>
      </c>
      <c r="C23" s="65"/>
      <c r="D23" s="65"/>
      <c r="E23" s="65"/>
      <c r="F23" s="65"/>
      <c r="G23" s="65"/>
      <c r="H23" s="66"/>
      <c r="I23" s="66"/>
      <c r="J23" s="65"/>
      <c r="K23" s="65"/>
      <c r="L23" s="65"/>
      <c r="M23" s="65"/>
      <c r="N23" s="67"/>
      <c r="O23" s="92">
        <f>N7+K14</f>
        <v>8843.8861484624995</v>
      </c>
    </row>
    <row r="24" spans="1:28" ht="25.2" x14ac:dyDescent="0.45">
      <c r="A24" s="14" t="s">
        <v>36</v>
      </c>
      <c r="B24" s="64" t="s">
        <v>58</v>
      </c>
      <c r="C24" s="65"/>
      <c r="D24" s="65"/>
      <c r="E24" s="65"/>
      <c r="F24" s="65"/>
      <c r="G24" s="65"/>
      <c r="H24" s="85">
        <f>H7/365</f>
        <v>59.343191438356165</v>
      </c>
      <c r="I24" s="85">
        <f>H7/365</f>
        <v>59.343191438356165</v>
      </c>
      <c r="J24" s="65"/>
      <c r="K24" s="65"/>
      <c r="L24" s="65"/>
      <c r="M24" s="65"/>
      <c r="N24" s="68"/>
      <c r="O24" s="92"/>
      <c r="P24" s="83">
        <f>1232+480</f>
        <v>1712</v>
      </c>
      <c r="T24" s="86">
        <f>88704/1.05</f>
        <v>84480</v>
      </c>
    </row>
    <row r="25" spans="1:28" ht="25.2" x14ac:dyDescent="0.45">
      <c r="A25" s="14" t="s">
        <v>36</v>
      </c>
      <c r="B25" s="64" t="s">
        <v>59</v>
      </c>
      <c r="C25" s="65"/>
      <c r="D25" s="65"/>
      <c r="E25" s="65"/>
      <c r="F25" s="65"/>
      <c r="G25" s="65"/>
      <c r="H25" s="66"/>
      <c r="I25" s="85">
        <f>I24*365*3</f>
        <v>64980.794625000002</v>
      </c>
      <c r="J25" s="65"/>
      <c r="K25" s="65"/>
      <c r="L25" s="65"/>
      <c r="M25" s="65"/>
      <c r="N25" s="68"/>
      <c r="O25" s="92"/>
      <c r="Q25" s="86">
        <f>79400-5233.33</f>
        <v>74166.67</v>
      </c>
      <c r="R25" s="86">
        <f>Q25*1.05</f>
        <v>77875.003500000006</v>
      </c>
    </row>
    <row r="26" spans="1:28" ht="25.2" x14ac:dyDescent="0.45">
      <c r="A26" s="14" t="s">
        <v>36</v>
      </c>
      <c r="B26" s="64" t="s">
        <v>60</v>
      </c>
      <c r="C26" s="65"/>
      <c r="D26" s="65"/>
      <c r="E26" s="65"/>
      <c r="F26" s="65"/>
      <c r="G26" s="65"/>
      <c r="H26" s="65"/>
      <c r="I26" s="65"/>
      <c r="J26" s="65"/>
      <c r="K26" s="65"/>
      <c r="L26" s="65"/>
      <c r="M26" s="65"/>
      <c r="N26" s="68"/>
      <c r="O26" s="92" t="s">
        <v>37</v>
      </c>
      <c r="R26" s="86">
        <f>R25+2469</f>
        <v>80344.003500000006</v>
      </c>
    </row>
    <row r="27" spans="1:28" ht="25.2" x14ac:dyDescent="0.45">
      <c r="A27" s="14" t="s">
        <v>36</v>
      </c>
      <c r="B27" s="64" t="s">
        <v>61</v>
      </c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8"/>
      <c r="O27" s="92">
        <f>129500-110900</f>
        <v>18600</v>
      </c>
    </row>
    <row r="28" spans="1:28" ht="25.2" x14ac:dyDescent="0.45">
      <c r="B28" s="64" t="s">
        <v>62</v>
      </c>
      <c r="C28" s="65"/>
      <c r="D28" s="65"/>
      <c r="E28" s="65"/>
      <c r="F28" s="65"/>
      <c r="G28" s="65"/>
      <c r="H28" s="65"/>
      <c r="I28" s="65"/>
      <c r="J28" s="65"/>
      <c r="K28" s="65"/>
      <c r="L28" s="65"/>
      <c r="M28" s="65"/>
      <c r="N28" s="68"/>
      <c r="O28" s="92"/>
    </row>
    <row r="29" spans="1:28" ht="25.2" x14ac:dyDescent="0.45">
      <c r="B29" s="64" t="s">
        <v>63</v>
      </c>
      <c r="C29" s="65"/>
      <c r="D29" s="65"/>
      <c r="E29" s="65"/>
      <c r="F29" s="65"/>
      <c r="G29" s="65"/>
      <c r="H29" s="65"/>
      <c r="I29" s="65"/>
      <c r="J29" s="65"/>
      <c r="K29" s="65"/>
      <c r="L29" s="65"/>
      <c r="M29" s="65"/>
      <c r="N29" s="69"/>
      <c r="O29" s="92"/>
    </row>
    <row r="30" spans="1:28" ht="24.6" x14ac:dyDescent="0.4">
      <c r="B30" s="133" t="s">
        <v>38</v>
      </c>
      <c r="C30" s="134"/>
      <c r="D30" s="134"/>
      <c r="E30" s="134"/>
      <c r="F30" s="134"/>
      <c r="G30" s="134"/>
      <c r="H30" s="134"/>
      <c r="I30" s="134"/>
      <c r="J30" s="134"/>
      <c r="K30" s="134"/>
      <c r="L30" s="134"/>
      <c r="M30" s="134"/>
      <c r="N30" s="135"/>
      <c r="O30" s="92"/>
    </row>
    <row r="31" spans="1:28" ht="24.6" x14ac:dyDescent="0.4">
      <c r="B31" s="136"/>
      <c r="C31" s="137"/>
      <c r="D31" s="137"/>
      <c r="E31" s="137"/>
      <c r="F31" s="137"/>
      <c r="G31" s="137"/>
      <c r="H31" s="137"/>
      <c r="I31" s="137"/>
      <c r="J31" s="137"/>
      <c r="K31" s="137"/>
      <c r="L31" s="137"/>
      <c r="M31" s="137"/>
      <c r="N31" s="138"/>
      <c r="O31" s="92"/>
    </row>
    <row r="32" spans="1:28" ht="24.6" x14ac:dyDescent="0.4">
      <c r="B32" s="136" t="s">
        <v>39</v>
      </c>
      <c r="C32" s="137"/>
      <c r="D32" s="137"/>
      <c r="E32" s="137"/>
      <c r="F32" s="137"/>
      <c r="G32" s="137"/>
      <c r="H32" s="137"/>
      <c r="I32" s="137"/>
      <c r="J32" s="137"/>
      <c r="K32" s="137"/>
      <c r="L32" s="137"/>
      <c r="M32" s="137"/>
      <c r="N32" s="138"/>
      <c r="O32" s="92"/>
    </row>
    <row r="33" spans="2:16" ht="24.6" x14ac:dyDescent="0.4">
      <c r="B33" s="136" t="s">
        <v>40</v>
      </c>
      <c r="C33" s="137"/>
      <c r="D33" s="137"/>
      <c r="E33" s="137"/>
      <c r="F33" s="137"/>
      <c r="G33" s="137"/>
      <c r="H33" s="137"/>
      <c r="I33" s="137"/>
      <c r="J33" s="137"/>
      <c r="K33" s="137"/>
      <c r="L33" s="137"/>
      <c r="M33" s="137"/>
      <c r="N33" s="138"/>
      <c r="O33" s="92"/>
    </row>
    <row r="34" spans="2:16" s="112" customFormat="1" ht="24.6" x14ac:dyDescent="0.4">
      <c r="B34" s="107" t="s">
        <v>81</v>
      </c>
      <c r="C34" s="108"/>
      <c r="D34" s="108"/>
      <c r="E34" s="108"/>
      <c r="F34" s="108"/>
      <c r="G34" s="113"/>
      <c r="H34" s="113"/>
      <c r="I34" s="108"/>
      <c r="J34" s="108"/>
      <c r="K34" s="108"/>
      <c r="L34" s="108"/>
      <c r="M34" s="114" t="s">
        <v>82</v>
      </c>
      <c r="N34" s="116" t="b">
        <f>IF(M34="ALAA",507963328, IF(M34="BACHIR",525246969,IF(M34="JIHAN",566201266, IF(M34="RAMY",505277871, IF(M34="SIMON",505140337,IF(M34="SUJITH",551079817, IF(M34="PRAVEEN",506367792,IF(M34="MHAREN",529224059, IF(M34="MOSSALLEM",505185577,IF(M34="RANJITH",554989288, IF(M34="KHALED",552319494)))))))))))</f>
        <v>0</v>
      </c>
      <c r="O34" s="115"/>
      <c r="P34" s="115"/>
    </row>
    <row r="35" spans="2:16" x14ac:dyDescent="0.35">
      <c r="B35" s="70"/>
      <c r="C35" s="71"/>
      <c r="D35" s="71"/>
      <c r="E35" s="71"/>
      <c r="F35" s="71"/>
      <c r="G35" s="71"/>
      <c r="H35" s="71"/>
      <c r="I35" s="71"/>
      <c r="J35" s="71"/>
      <c r="K35" s="71"/>
      <c r="L35" s="71"/>
      <c r="M35" s="71"/>
      <c r="N35" s="72"/>
    </row>
    <row r="36" spans="2:16" x14ac:dyDescent="0.35">
      <c r="B36" s="70"/>
      <c r="C36" s="71"/>
      <c r="D36" s="71"/>
      <c r="E36" s="71"/>
      <c r="F36" s="71"/>
      <c r="G36" s="71"/>
      <c r="H36" s="71"/>
      <c r="I36" s="71"/>
      <c r="J36" s="71"/>
      <c r="K36" s="71"/>
      <c r="L36" s="71"/>
      <c r="M36" s="71"/>
      <c r="N36" s="72"/>
    </row>
    <row r="37" spans="2:16" x14ac:dyDescent="0.35">
      <c r="B37" s="70"/>
      <c r="C37" s="71"/>
      <c r="D37" s="71"/>
      <c r="E37" s="71"/>
      <c r="F37" s="71"/>
      <c r="G37" s="71"/>
      <c r="H37" s="71"/>
      <c r="I37" s="71"/>
      <c r="J37" s="71"/>
      <c r="K37" s="71"/>
      <c r="L37" s="71"/>
      <c r="M37" s="71"/>
      <c r="N37" s="72"/>
    </row>
    <row r="38" spans="2:16" ht="21" x14ac:dyDescent="0.4">
      <c r="B38" s="73" t="s">
        <v>64</v>
      </c>
      <c r="C38" s="74"/>
      <c r="D38" s="75"/>
      <c r="E38" s="76"/>
      <c r="F38" s="76"/>
      <c r="G38" s="76"/>
      <c r="H38" s="76"/>
      <c r="I38" s="76"/>
      <c r="J38" s="77"/>
      <c r="K38" s="76"/>
      <c r="L38" s="76"/>
      <c r="M38" s="76"/>
      <c r="N38" s="78"/>
    </row>
    <row r="39" spans="2:16" ht="21" x14ac:dyDescent="0.4">
      <c r="B39" s="73" t="s">
        <v>65</v>
      </c>
      <c r="C39" s="79"/>
      <c r="D39" s="75"/>
      <c r="E39" s="76"/>
      <c r="F39" s="76"/>
      <c r="G39" s="76"/>
      <c r="H39" s="76"/>
      <c r="I39" s="76"/>
      <c r="J39" s="77"/>
      <c r="K39" s="76"/>
      <c r="L39" s="76"/>
      <c r="M39" s="76"/>
      <c r="N39" s="80"/>
    </row>
    <row r="40" spans="2:16" ht="21" x14ac:dyDescent="0.35">
      <c r="B40" s="73" t="s">
        <v>66</v>
      </c>
      <c r="C40" s="81"/>
      <c r="D40" s="76"/>
      <c r="E40" s="76"/>
      <c r="F40" s="76"/>
      <c r="G40" s="76"/>
      <c r="H40" s="76"/>
      <c r="I40" s="76"/>
      <c r="J40" s="77"/>
      <c r="K40" s="76"/>
      <c r="L40" s="76"/>
      <c r="M40" s="76"/>
      <c r="N40" s="80"/>
    </row>
    <row r="41" spans="2:16" ht="21" x14ac:dyDescent="0.35">
      <c r="B41" s="73" t="s">
        <v>67</v>
      </c>
      <c r="C41" s="82"/>
      <c r="D41" s="83"/>
      <c r="E41" s="83"/>
      <c r="F41" s="83"/>
      <c r="G41" s="83"/>
      <c r="H41" s="83"/>
      <c r="I41" s="83"/>
      <c r="J41" s="83"/>
      <c r="K41" s="83"/>
      <c r="L41" s="83"/>
      <c r="M41" s="83"/>
      <c r="N41" s="84"/>
    </row>
    <row r="42" spans="2:16" ht="21" x14ac:dyDescent="0.35">
      <c r="B42" s="73" t="s">
        <v>77</v>
      </c>
      <c r="C42" s="82"/>
      <c r="D42" s="83"/>
      <c r="E42" s="83"/>
      <c r="F42" s="83"/>
      <c r="G42" s="83"/>
      <c r="H42" s="83"/>
      <c r="I42" s="83"/>
      <c r="J42" s="83"/>
      <c r="K42" s="83"/>
      <c r="L42" s="83"/>
      <c r="M42" s="83"/>
      <c r="N42" s="84"/>
    </row>
    <row r="43" spans="2:16" ht="21" x14ac:dyDescent="0.35">
      <c r="B43" s="73" t="s">
        <v>68</v>
      </c>
      <c r="C43" s="82"/>
      <c r="D43" s="83"/>
      <c r="E43" s="83"/>
      <c r="F43" s="83"/>
      <c r="G43" s="83"/>
      <c r="H43" s="83"/>
      <c r="I43" s="83"/>
      <c r="J43" s="83"/>
      <c r="K43" s="83"/>
      <c r="L43" s="83"/>
      <c r="M43" s="83"/>
      <c r="N43" s="84"/>
    </row>
    <row r="44" spans="2:16" ht="21" x14ac:dyDescent="0.35">
      <c r="B44" s="73" t="s">
        <v>69</v>
      </c>
      <c r="C44" s="82"/>
      <c r="D44" s="83"/>
      <c r="E44" s="83"/>
      <c r="F44" s="83"/>
      <c r="G44" s="83"/>
      <c r="H44" s="83"/>
      <c r="I44" s="83"/>
      <c r="J44" s="83"/>
      <c r="K44" s="83"/>
      <c r="L44" s="83"/>
      <c r="M44" s="83"/>
      <c r="N44" s="84"/>
    </row>
    <row r="45" spans="2:16" ht="21" x14ac:dyDescent="0.35">
      <c r="B45" s="73" t="s">
        <v>70</v>
      </c>
      <c r="C45" s="82"/>
      <c r="D45" s="83"/>
      <c r="E45" s="83"/>
      <c r="F45" s="83"/>
      <c r="G45" s="83"/>
      <c r="H45" s="83"/>
      <c r="I45" s="83"/>
      <c r="J45" s="83"/>
      <c r="K45" s="83"/>
      <c r="L45" s="83"/>
      <c r="M45" s="83"/>
      <c r="N45" s="84"/>
    </row>
    <row r="46" spans="2:16" ht="21" x14ac:dyDescent="0.35">
      <c r="B46" s="73" t="s">
        <v>71</v>
      </c>
      <c r="C46" s="82"/>
      <c r="D46" s="83"/>
      <c r="E46" s="83"/>
      <c r="F46" s="83"/>
      <c r="G46" s="83"/>
      <c r="H46" s="83"/>
      <c r="I46" s="83"/>
      <c r="J46" s="83"/>
      <c r="K46" s="83"/>
      <c r="L46" s="83"/>
      <c r="M46" s="83"/>
      <c r="N46" s="84"/>
    </row>
    <row r="47" spans="2:16" x14ac:dyDescent="0.35">
      <c r="B47" s="118" t="s">
        <v>39</v>
      </c>
      <c r="C47" s="119"/>
      <c r="D47" s="119"/>
      <c r="E47" s="119"/>
      <c r="F47" s="119"/>
      <c r="G47" s="119"/>
      <c r="H47" s="119"/>
      <c r="I47" s="119"/>
      <c r="J47" s="119"/>
      <c r="K47" s="119"/>
      <c r="L47" s="119"/>
      <c r="M47" s="119"/>
      <c r="N47" s="120"/>
      <c r="O47" s="92"/>
    </row>
    <row r="48" spans="2:16" x14ac:dyDescent="0.35">
      <c r="B48" s="118" t="s">
        <v>40</v>
      </c>
      <c r="C48" s="119"/>
      <c r="D48" s="119"/>
      <c r="E48" s="119"/>
      <c r="F48" s="119"/>
      <c r="G48" s="119"/>
      <c r="H48" s="119"/>
      <c r="I48" s="119"/>
      <c r="J48" s="119"/>
      <c r="K48" s="119"/>
      <c r="L48" s="119"/>
      <c r="M48" s="119"/>
      <c r="N48" s="120"/>
      <c r="O48" s="92"/>
    </row>
    <row r="49" spans="2:14" x14ac:dyDescent="0.35">
      <c r="B49" s="118" t="s">
        <v>72</v>
      </c>
      <c r="C49" s="119"/>
      <c r="D49" s="119"/>
      <c r="E49" s="119"/>
      <c r="F49" s="119"/>
      <c r="G49" s="119"/>
      <c r="H49" s="119"/>
      <c r="I49" s="119"/>
      <c r="J49" s="119"/>
      <c r="K49" s="119"/>
      <c r="L49" s="119"/>
      <c r="M49" s="119"/>
      <c r="N49" s="120"/>
    </row>
    <row r="50" spans="2:14" ht="25.8" x14ac:dyDescent="0.35">
      <c r="C50" s="15" t="s">
        <v>41</v>
      </c>
    </row>
    <row r="51" spans="2:14" ht="25.8" x14ac:dyDescent="0.35">
      <c r="C51" s="15" t="s">
        <v>42</v>
      </c>
    </row>
    <row r="52" spans="2:14" ht="25.8" x14ac:dyDescent="0.35">
      <c r="C52" s="15" t="s">
        <v>43</v>
      </c>
    </row>
    <row r="53" spans="2:14" ht="25.8" x14ac:dyDescent="0.35">
      <c r="C53" s="15" t="s">
        <v>44</v>
      </c>
    </row>
    <row r="54" spans="2:14" ht="25.8" x14ac:dyDescent="0.35">
      <c r="C54" s="15" t="s">
        <v>45</v>
      </c>
    </row>
  </sheetData>
  <mergeCells count="12">
    <mergeCell ref="B49:N49"/>
    <mergeCell ref="B1:N4"/>
    <mergeCell ref="F8:G8"/>
    <mergeCell ref="F9:G9"/>
    <mergeCell ref="G19:I19"/>
    <mergeCell ref="B22:N22"/>
    <mergeCell ref="B30:N30"/>
    <mergeCell ref="B31:N31"/>
    <mergeCell ref="B32:N32"/>
    <mergeCell ref="B33:N33"/>
    <mergeCell ref="B47:N47"/>
    <mergeCell ref="B48:N48"/>
  </mergeCells>
  <dataValidations count="11">
    <dataValidation type="list" allowBlank="1" showInputMessage="1" showErrorMessage="1" sqref="K21" xr:uid="{7054B50D-414F-43BE-A818-9C8492FEBBFD}">
      <formula1>"ADCB,ADCB PAY IN 2027,Ajman Bank,ADIB,DIB EXPAT,DIB LOCAL GVH,Emirates NBD,EIB,FAB,RAK,SIB STL,SIB NON STL"</formula1>
    </dataValidation>
    <dataValidation type="list" allowBlank="1" showInputMessage="1" showErrorMessage="1" sqref="D5" xr:uid="{01D0C76A-363C-4412-BB27-4C36305B25A3}">
      <formula1>"MIG09,MIG10,ATG16,ATP16,ATG17,ASG48,ASG43,ASG40,ASG42,ASG44,ASG45,ECG38,ECG37,ECG40,ECG43,XPML,XPHL,XPMLP, XPMLP-01, XC,OTF03,OTP03,OTF06,OTP06, OTP06-01,OTF08, OTP08,MOP57,MOG64,MOG59,MOG59P,MOG61,MOP61"</formula1>
    </dataValidation>
    <dataValidation type="list" allowBlank="1" showInputMessage="1" showErrorMessage="1" sqref="M21" xr:uid="{661B7366-ABE5-4973-835C-8FD6B007AB48}">
      <formula1>"3000-4999,5000-9999,10000-14999,15000-24999,25000-34999,35000-99999,5000-11999,12000-19999,20000-39999,40000-69999,70000-99999"</formula1>
    </dataValidation>
    <dataValidation type="list" allowBlank="1" showInputMessage="1" showErrorMessage="1" sqref="K20" xr:uid="{A835DA24-FBA6-4BB6-8FE5-850E07BDDDBB}">
      <formula1>"Esaad,Emirates Platinum,Fazaa,Humat Alwatan,Permissible,ASX,XPMLP,XP,MON,MON G57,OUT,F08,P08,F06,P06,F03,P03,EC,G37,G38,G40,G43"</formula1>
    </dataValidation>
    <dataValidation type="list" allowBlank="1" showInputMessage="1" showErrorMessage="1" sqref="L19:L20 L24:L25 G14:G15 C10:C16 L10 J10" xr:uid="{BECBB6E1-DF21-436A-8B23-C7619FFC533E}">
      <formula1>"YES,NO"</formula1>
    </dataValidation>
    <dataValidation type="list" allowBlank="1" showInputMessage="1" showErrorMessage="1" sqref="K24" xr:uid="{4FC45325-3B30-45BC-BC60-04D0D7C6EA5B}">
      <formula1>"RMC-10-70K,RMC-10-100000K,RMC-40-70K"</formula1>
    </dataValidation>
    <dataValidation type="list" allowBlank="1" showInputMessage="1" showErrorMessage="1" sqref="B16" xr:uid="{A23C46CC-ECBA-40FE-9C59-24BDA0FACC9D}">
      <formula1>"RMC-10-40KMS,RMC-10-60KMS,RMC-10-70KMS,RMC-10-100000KMS,RMC-40-70KMS,RMC-40-100000KMS"</formula1>
    </dataValidation>
    <dataValidation type="list" allowBlank="1" showInputMessage="1" showErrorMessage="1" sqref="B12" xr:uid="{01959837-3216-4385-A531-CF325941F900}">
      <formula1>"FO Exterior ceramic All Cars SCOTCHGUARD,FO Mirror Camera Sensor,FO PPF Gold Package "</formula1>
    </dataValidation>
    <dataValidation type="list" allowBlank="1" showInputMessage="1" showErrorMessage="1" sqref="B11" xr:uid="{B02A9C25-D05A-475D-B3C3-46ECAED5138C}">
      <formula1>"FO Ceramic+ Intr&amp;Extr CeramicGold WdwTnt,FO Mirror Camera Sensor"</formula1>
    </dataValidation>
    <dataValidation type="list" allowBlank="1" showInputMessage="1" showErrorMessage="1" sqref="M34" xr:uid="{B11DCE1D-C5EE-45ED-8D05-685915CBF3DD}">
      <formula1>"Alaa,Bachir ,Khaled,Ramy,Simon,Mharen,Ranjith,Jihan,Praveen,Sujith,Mossallem"</formula1>
    </dataValidation>
    <dataValidation type="list" allowBlank="1" showInputMessage="1" showErrorMessage="1" sqref="H34" xr:uid="{EE3720E2-C503-4B02-81A7-DB1EA95A1A0D}">
      <formula1>"ALAA HAMMAD,KHALED QASSEM,RAMY RAOUF,SIMON LOBO,MHAREN CLEMENTE GARADO"</formula1>
    </dataValidation>
  </dataValidations>
  <pageMargins left="0.23622047244094491" right="0.23622047244094491" top="0.74803149606299213" bottom="0.74803149606299213" header="0.31496062992125984" footer="0.31496062992125984"/>
  <pageSetup paperSize="9" scale="37" orientation="landscape" horizontalDpi="4294967295" verticalDpi="4294967295"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C064E-4894-4B06-9A73-B87561CC8AF9}">
  <sheetPr>
    <pageSetUpPr fitToPage="1"/>
  </sheetPr>
  <dimension ref="A1:AB54"/>
  <sheetViews>
    <sheetView topLeftCell="B1" zoomScaleNormal="100" workbookViewId="0">
      <selection activeCell="D5" sqref="D5"/>
    </sheetView>
  </sheetViews>
  <sheetFormatPr defaultColWidth="9.109375" defaultRowHeight="20.399999999999999" x14ac:dyDescent="0.35"/>
  <cols>
    <col min="1" max="1" width="16" style="1" hidden="1" customWidth="1"/>
    <col min="2" max="2" width="75.5546875" style="2" customWidth="1"/>
    <col min="3" max="3" width="25.5546875" style="3" customWidth="1"/>
    <col min="4" max="4" width="25.33203125" style="2" customWidth="1"/>
    <col min="5" max="5" width="22.6640625" style="2" customWidth="1"/>
    <col min="6" max="6" width="21" style="2" customWidth="1"/>
    <col min="7" max="7" width="25" style="2" customWidth="1"/>
    <col min="8" max="8" width="29.44140625" style="2" bestFit="1" customWidth="1"/>
    <col min="9" max="9" width="32.109375" style="2" bestFit="1" customWidth="1"/>
    <col min="10" max="10" width="22" style="2" customWidth="1"/>
    <col min="11" max="11" width="23.33203125" style="2" customWidth="1"/>
    <col min="12" max="12" width="31" style="2" customWidth="1"/>
    <col min="13" max="13" width="23.5546875" style="2" customWidth="1"/>
    <col min="14" max="14" width="21.109375" style="2" customWidth="1"/>
    <col min="15" max="15" width="14.44140625" style="83" bestFit="1" customWidth="1"/>
    <col min="16" max="16" width="21.6640625" style="83" hidden="1" customWidth="1"/>
    <col min="17" max="17" width="14.33203125" style="86" hidden="1" customWidth="1"/>
    <col min="18" max="18" width="12.88671875" style="86" hidden="1" customWidth="1"/>
    <col min="19" max="19" width="13" style="86" hidden="1" customWidth="1"/>
    <col min="20" max="20" width="17.109375" style="86" hidden="1" customWidth="1"/>
    <col min="21" max="21" width="21.5546875" style="86" customWidth="1"/>
    <col min="22" max="22" width="22.88671875" style="86" customWidth="1"/>
    <col min="23" max="26" width="17.109375" style="86" bestFit="1" customWidth="1"/>
    <col min="27" max="27" width="15" style="86" customWidth="1"/>
    <col min="28" max="28" width="14.33203125" style="86" bestFit="1" customWidth="1"/>
    <col min="29" max="16384" width="9.109375" style="1"/>
  </cols>
  <sheetData>
    <row r="1" spans="1:28" ht="15.75" customHeight="1" x14ac:dyDescent="0.35">
      <c r="B1" s="121" t="s">
        <v>46</v>
      </c>
      <c r="C1" s="122"/>
      <c r="D1" s="122"/>
      <c r="E1" s="122"/>
      <c r="F1" s="122"/>
      <c r="G1" s="122"/>
      <c r="H1" s="122"/>
      <c r="I1" s="122"/>
      <c r="J1" s="122"/>
      <c r="K1" s="122"/>
      <c r="L1" s="122"/>
      <c r="M1" s="122"/>
      <c r="N1" s="123"/>
    </row>
    <row r="2" spans="1:28" ht="15.75" customHeight="1" x14ac:dyDescent="0.35">
      <c r="B2" s="124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6"/>
      <c r="Q2" s="83"/>
      <c r="S2" s="87"/>
    </row>
    <row r="3" spans="1:28" ht="15.75" customHeight="1" x14ac:dyDescent="0.35">
      <c r="B3" s="124"/>
      <c r="C3" s="125"/>
      <c r="D3" s="125"/>
      <c r="E3" s="125"/>
      <c r="F3" s="125"/>
      <c r="G3" s="125"/>
      <c r="H3" s="125"/>
      <c r="I3" s="125"/>
      <c r="J3" s="125"/>
      <c r="K3" s="125"/>
      <c r="L3" s="125"/>
      <c r="M3" s="125"/>
      <c r="N3" s="126"/>
      <c r="O3" s="82"/>
      <c r="P3" s="82"/>
      <c r="Q3" s="81"/>
      <c r="R3" s="81"/>
      <c r="S3" s="88" t="e">
        <f>N7+J14</f>
        <v>#VALUE!</v>
      </c>
      <c r="T3" s="88"/>
      <c r="U3" s="81"/>
      <c r="V3" s="81"/>
      <c r="W3" s="81"/>
      <c r="AA3" s="86">
        <f>273000/5</f>
        <v>54600</v>
      </c>
    </row>
    <row r="4" spans="1:28" ht="15.75" customHeight="1" x14ac:dyDescent="0.4">
      <c r="B4" s="127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9"/>
      <c r="O4" s="89" t="s">
        <v>0</v>
      </c>
      <c r="P4" s="89"/>
      <c r="Q4" s="90"/>
      <c r="R4" s="90"/>
      <c r="S4" s="91"/>
      <c r="T4" s="91"/>
      <c r="U4" s="90" t="s">
        <v>1</v>
      </c>
      <c r="V4" s="90" t="s">
        <v>2</v>
      </c>
      <c r="W4" s="90" t="s">
        <v>3</v>
      </c>
    </row>
    <row r="5" spans="1:28" ht="25.2" thickBot="1" x14ac:dyDescent="0.45">
      <c r="B5" s="17">
        <f ca="1">TODAY()</f>
        <v>46215</v>
      </c>
      <c r="C5" s="18" t="str">
        <f>IF(D5="MIG09","Mirage G09",IF(D5="MIG10","MirageG10",IF(D5="ATG16","Attrage G16",IF(D5="ATP16","Attrage P16",IF(D5="ATG17","Attrage G17",IF(D5="ASG48","ASX G48",IF(D5="ASG43","ASX G43", IF(D5="ASG40","ASXG40",IF(D5="ASG42","ASX G42",IF(D5="ASG44","ASX G44",IF(D5="ASG45","ASX G45",IF(D5="ECG38","Eclipse G38",IF(D5="ECG37","Eclipse G37",IF(D5="ECG40","Eclipse G40",IF(D5="ECG43","Eclipse G43",IF(D5="XPML","Xpander ML",IF(D5="XPHL","Xpander HL",IF(D5="XPMLP","Xpander ML P",IF(D5="XPMLP-01","Xpander ML P-01",IF(D5="XC","Xpander Cross", IF(D5="OTF03","Outlander F03",IF(D5="OTP03","Outlander P03",IF(D5="OTF06","Outlander F06",IF(D5="OTP06","Outlander P06",IF(D5="OTP06-01","Outlander P06-01",IF(D5="OTF08","Outlander F08",IF(D5="OTP08","Outlander P08P", IF(D5="MOP57","Montero P57",IF(D5="MOG64","Montero G64",IF(D5="MOG59","Montero G59",IF(D5="MOG59P","Montero G59 P",IF(D5="MOG61","Montero G61",IF(D5="MOP61","Montero P61")))))))))))))))))))))))))))))))))</f>
        <v>ASX G42</v>
      </c>
      <c r="D5" s="19" t="s">
        <v>94</v>
      </c>
      <c r="E5" s="20" t="s">
        <v>47</v>
      </c>
      <c r="F5" s="21"/>
      <c r="G5" s="21"/>
      <c r="H5" s="21"/>
      <c r="I5" s="22"/>
      <c r="J5" s="23"/>
      <c r="K5" s="24">
        <v>0</v>
      </c>
      <c r="L5" s="25">
        <v>3.39E-2</v>
      </c>
      <c r="M5" s="25">
        <v>6.7799999999999999E-2</v>
      </c>
      <c r="N5" s="25">
        <v>0.1017</v>
      </c>
      <c r="O5" s="92">
        <f>K7+K14</f>
        <v>8694.168616737501</v>
      </c>
      <c r="S5" s="87"/>
      <c r="U5" s="87">
        <f>L7+L14</f>
        <v>3542.6546799232647</v>
      </c>
      <c r="V5" s="87">
        <f>M7+M14</f>
        <v>2369.81519151875</v>
      </c>
      <c r="W5" s="87">
        <f>N7+N14</f>
        <v>1642.1653327010417</v>
      </c>
    </row>
    <row r="6" spans="1:28" s="5" customFormat="1" ht="128.25" customHeight="1" thickBot="1" x14ac:dyDescent="0.35">
      <c r="A6" s="4" t="s">
        <v>4</v>
      </c>
      <c r="B6" s="26" t="s">
        <v>5</v>
      </c>
      <c r="C6" s="27" t="s">
        <v>6</v>
      </c>
      <c r="D6" s="27" t="s">
        <v>48</v>
      </c>
      <c r="E6" s="27" t="s">
        <v>7</v>
      </c>
      <c r="F6" s="27" t="s">
        <v>8</v>
      </c>
      <c r="G6" s="28" t="s">
        <v>9</v>
      </c>
      <c r="H6" s="28" t="s">
        <v>49</v>
      </c>
      <c r="I6" s="28" t="s">
        <v>10</v>
      </c>
      <c r="J6" s="28" t="s">
        <v>56</v>
      </c>
      <c r="K6" s="28" t="s">
        <v>11</v>
      </c>
      <c r="L6" s="28" t="s">
        <v>12</v>
      </c>
      <c r="M6" s="28" t="s">
        <v>13</v>
      </c>
      <c r="N6" s="28" t="s">
        <v>14</v>
      </c>
      <c r="O6" s="93"/>
      <c r="P6" s="94"/>
      <c r="Q6" s="95"/>
      <c r="R6" s="95"/>
      <c r="S6" s="95"/>
      <c r="T6" s="96"/>
      <c r="U6" s="96">
        <f>N7+L14</f>
        <v>2782.4589410343751</v>
      </c>
      <c r="V6" s="96">
        <f>N7+K14</f>
        <v>6983.7282042375009</v>
      </c>
      <c r="W6" s="96"/>
      <c r="X6" s="95"/>
      <c r="Y6" s="95"/>
      <c r="Z6" s="95"/>
      <c r="AA6" s="95"/>
      <c r="AB6" s="95"/>
    </row>
    <row r="7" spans="1:28" ht="25.2" thickBot="1" x14ac:dyDescent="0.45">
      <c r="A7" s="6">
        <f>B8</f>
        <v>68900</v>
      </c>
      <c r="B7" s="29">
        <f>IF(L20="YES",C8*1,IF(L20="NO",B8*1))</f>
        <v>68900</v>
      </c>
      <c r="C7" s="29">
        <f>B7*5/100</f>
        <v>3445</v>
      </c>
      <c r="D7" s="29">
        <f>B7+C7</f>
        <v>72345</v>
      </c>
      <c r="E7" s="29">
        <f>D17</f>
        <v>12847.020625000001</v>
      </c>
      <c r="F7" s="29">
        <f>(C7)+(D10+D11+D12+D13+D16)*5/100</f>
        <v>3775</v>
      </c>
      <c r="G7" s="30">
        <f>B7+E7+F7</f>
        <v>85522.020625000005</v>
      </c>
      <c r="H7" s="29">
        <f>G7*D20</f>
        <v>17104.404125000001</v>
      </c>
      <c r="I7" s="29">
        <f>(G7-H7)</f>
        <v>68417.616500000004</v>
      </c>
      <c r="J7" s="30">
        <f>(((I7*D19)*1)+I7)/12</f>
        <v>5843.4345959041675</v>
      </c>
      <c r="K7" s="30">
        <f>(((I7*D19)*2)+I7)/24</f>
        <v>2992.7005750708336</v>
      </c>
      <c r="L7" s="30">
        <f>(((I7*D19)*3)+I7)/36</f>
        <v>2042.4559014597226</v>
      </c>
      <c r="M7" s="30">
        <f>(((I7*D19)*4)+I7)/48</f>
        <v>1567.3335646541666</v>
      </c>
      <c r="N7" s="30">
        <f>((((I7*D19)*5)+I7)/60)</f>
        <v>1282.2601625708335</v>
      </c>
      <c r="O7" s="92"/>
      <c r="P7" s="83">
        <f>H7+H16</f>
        <v>17822.789098249999</v>
      </c>
      <c r="T7" s="87">
        <f>25973/2</f>
        <v>12986.5</v>
      </c>
    </row>
    <row r="8" spans="1:28" ht="24.6" x14ac:dyDescent="0.4">
      <c r="A8" s="7">
        <v>0.2</v>
      </c>
      <c r="B8" s="31">
        <f>IF(D5="MIG09",39900,IF(D5="MIG10",40400,IF(D5="ATG16",40400,IF(D5="ATP16",49900,IF(D5="ATG17",41900,IF(D5="ASG48",63900,IF(D5="ASG43",62900,IF(D5="ASG40",63900,IF(D5="ASG42",68900,IF(D5="ASG44",89900,IF(D5="ASG45",95900,IF(D5="ECG38",73900,IF(D5="ECG37",70900,IF(D5="ECG40",86900,IF(D5="ECG43",91900,IF(D5="XPML",62900,IF(D5="XPHL",62900,IF(D5="XPMLP",69900,IF(D5="XPMLP-01",77800,IF(D5="XC",77900,IF(D5="OTF03",96900,IF(D5="OTP03",79900,IF(D5="OTF06",92900,IF(D5="OTP06",111900,IF(D5="OTP06-01",118900,IF(D5="OTF08",122900,IF(D5="OTP08",109900,IF(D5="MOP57",99900,IF(D5="MOG64",108900,IF(D5="MOG59",116900,IF(D5="MOG59P",110900,IF(D5="MOG61",127900,IF(D5="MOP61",125900)))))))))))))))))))))))))))))))))</f>
        <v>68900</v>
      </c>
      <c r="C8" s="32">
        <f>IF(L20="YES",N20,IF(L20="NO",N20))</f>
        <v>68900</v>
      </c>
      <c r="D8" s="29">
        <v>0</v>
      </c>
      <c r="E8" s="33"/>
      <c r="F8" s="139"/>
      <c r="G8" s="140"/>
      <c r="H8" s="110">
        <f>G7*20/100</f>
        <v>17104.404125000001</v>
      </c>
      <c r="I8" s="21"/>
      <c r="J8" s="34" t="s">
        <v>15</v>
      </c>
      <c r="K8" s="23">
        <f>(J7*K5+J7)/24</f>
        <v>243.47644149600697</v>
      </c>
      <c r="L8" s="23">
        <f>(J7*L5+J7)/36</f>
        <v>167.82019524181442</v>
      </c>
      <c r="M8" s="23">
        <f>(J7*M5+J7)/48</f>
        <v>129.99207211471813</v>
      </c>
      <c r="N8" s="23">
        <f>(J7*N5+J7)/60</f>
        <v>107.29519823846036</v>
      </c>
      <c r="O8" s="92"/>
      <c r="P8" s="83">
        <f>P7/12</f>
        <v>1485.2324248541665</v>
      </c>
      <c r="T8" s="86">
        <f>25973-12973</f>
        <v>13000</v>
      </c>
    </row>
    <row r="9" spans="1:28" ht="24.6" x14ac:dyDescent="0.4">
      <c r="A9" s="8">
        <f>B8/(100%-A8)</f>
        <v>86125</v>
      </c>
      <c r="B9" s="109">
        <f>B7-B8</f>
        <v>0</v>
      </c>
      <c r="C9" s="35"/>
      <c r="D9" s="36"/>
      <c r="E9" s="33"/>
      <c r="F9" s="139"/>
      <c r="G9" s="140"/>
      <c r="H9" s="33"/>
      <c r="I9" s="37" t="s">
        <v>16</v>
      </c>
      <c r="J9" s="38">
        <f>(J7*12)-(I7)</f>
        <v>1703.5986508500064</v>
      </c>
      <c r="K9" s="38">
        <f>(K7*24)-I7</f>
        <v>3407.1973016999982</v>
      </c>
      <c r="L9" s="38">
        <f>(L7*36)-I7</f>
        <v>5110.7959525500046</v>
      </c>
      <c r="M9" s="38">
        <f>(M7*48)-I7</f>
        <v>6814.3946033999964</v>
      </c>
      <c r="N9" s="38">
        <f>(N7*60)-I7</f>
        <v>8517.9932542500028</v>
      </c>
      <c r="O9" s="92"/>
      <c r="T9" s="86">
        <f>T8/12</f>
        <v>1083.3333333333333</v>
      </c>
      <c r="Z9" s="86" t="s">
        <v>86</v>
      </c>
    </row>
    <row r="10" spans="1:28" ht="24.6" x14ac:dyDescent="0.4">
      <c r="A10" s="8"/>
      <c r="B10" s="37" t="s">
        <v>50</v>
      </c>
      <c r="C10" s="20" t="s">
        <v>17</v>
      </c>
      <c r="D10" s="36">
        <f>IF(C10="YES",800,IF(C10="NO",0))</f>
        <v>0</v>
      </c>
      <c r="E10" s="39"/>
      <c r="F10" s="40"/>
      <c r="G10" s="40"/>
      <c r="H10" s="33"/>
      <c r="I10" s="44" t="s">
        <v>85</v>
      </c>
      <c r="J10" s="117" t="s">
        <v>19</v>
      </c>
      <c r="K10" s="117">
        <f>IF(J10="YES",Z10,IF(J10="NO",0))</f>
        <v>1000</v>
      </c>
      <c r="L10" s="117"/>
      <c r="M10" s="117"/>
      <c r="N10" s="41">
        <f>(N8*60)-J7</f>
        <v>594.27729840345364</v>
      </c>
      <c r="O10" s="92">
        <f>IF(D5="XC",3690,IF(D5="XPML",3690,IF(D5="XPHL",3690,IF(D5="XPMLP",3690,IF(D5="XPMLP-01",3690,IF(D5="Xpander P",3690,IF(D5="MOP57",(U19*2.75/100+510)*1.05,IF(D5="MOG64",(U19*2.75/100+510)*1.05,IF(D5="MOG59",(U19*2.75/100+510)*1.05,IF(D5="MOG59P",(U19*2.75/100+510)*1.05,IF(D5="MOG61",(U19*2.75/100+510)*1.05,IF(D5="MOP61",(U19*2.75/100+510)*1.05,IF(D5="OTF03",(D7*3/100+510)*1.05,IF(D5="OTP03",(U19*3/100+510)*1.05,IF(D5="OTF06",(U19*3/100+510)*1.05,IF(D5="OTP06",(U19*3/100+510)*1.05,IF(D5="OTP06-01",(U19*3/100+510)*1.05,IF(D5="OTF08",(U19*3/100+510)*1.05,IF(D5="OTP08",(U19*3/100+510)*1.05,IF(D5="ECG38",3625,IF(D5="ECG37",3625,IF(D5="ECG40",(D7*3/100+510)*1.05,IF(D5="ECG43",(D7*3/100+510)*1.05,IF(D5="ASG48",3625,IF(D5="ASG43",3625,IF(D5="ASG40",3625,IF(D5="ASG42",3625,IF(D5="ASG44",3625,IF(D5="ASG45",3625,IF(D5="ASX HL 4WD",3625,IF(D5="ATG16",3625,IF(D5="ATG17",3625,IF(D5="ATP16",3625,IF(D5="Attrage S",3625,IF(D5="MIG09",3625,IF(D5="MIG10",3625,IF(D5="Xpander HL",3690)))))))))))))))))))))))))))))))))))))</f>
        <v>3625</v>
      </c>
      <c r="P10" s="97"/>
      <c r="Q10" s="97">
        <f>5.25*3</f>
        <v>15.75</v>
      </c>
      <c r="Z10" s="86">
        <f>IF(D5="MIG09",500,IF(D5="MIG10",500,IF(D5="ATG16",500,IF(D5="ATP16",500,IF(D5="ATG17",500,IF(D5="ASG48",1000,IF(D5="ASG43",1000,IF(D5="ASG40",1000,IF(D5="ASG42",1000,IF(D5="ASG44",1000,IF(D5="ASG45",1000,IF(D5="ECG38",1000,IF(D5="ECG37",1000,IF(D5="ECG40",1000,IF(D5="ECG43",1000,IF(D5="XPML",1000,IF(D5="XPHL",1000,IF(D5="XPMLP",1000,IF(D5="XPMLP-01",1000,IF(D5="XC",1000,IF(D5="OTF03",1000,IF(D5="OTP03",1000,IF(D5="OTF06",1000,IF(D5="OTP06",1000,IF(D5="OTP06-01",1000,IF(D5="OTF08",1000,IF(D5="OTP08",1000,IF(D5="MOP57",1000,IF(D5="MOG64",1000,IF(D5="MOG59",1000,IF(D5="MOG59P",1000,IF(D5="MOG61",1000,IF(D5="MOP61",1000)))))))))))))))))))))))))))))))))</f>
        <v>1000</v>
      </c>
    </row>
    <row r="11" spans="1:28" ht="24.6" x14ac:dyDescent="0.4">
      <c r="A11" s="8"/>
      <c r="B11" s="37" t="s">
        <v>18</v>
      </c>
      <c r="C11" s="20" t="s">
        <v>17</v>
      </c>
      <c r="D11" s="36">
        <f>IF(C11="YES",O17,IF(C11="NO",0))</f>
        <v>0</v>
      </c>
      <c r="E11" s="33"/>
      <c r="F11" s="40"/>
      <c r="G11" s="40"/>
      <c r="H11" s="33"/>
      <c r="I11" s="21"/>
      <c r="J11" s="44" t="s">
        <v>76</v>
      </c>
      <c r="K11" s="44">
        <f>H8-K10</f>
        <v>16104.404125000001</v>
      </c>
      <c r="L11" s="37"/>
      <c r="M11" s="37"/>
      <c r="N11" s="42"/>
      <c r="O11" s="92">
        <f>IF(D5="XC",6100,IF(D5="XPML",6100,IF(D5="XPHL",6100,IF(D5="XPMLP",6100,IF(D5="XPMLP-01",6100,IF(D5="Xpander P",6100,IF(D5="MOP57",5900,IF(D5="MOG64",5900,IF(D5="MOG59",5900,IF(D5="MOG59P",5900,IF(D5="MOG61",5900,IF(D5="MOP61",5900,IF(D5="OTF03",6700,IF(D5="OTP03",6700,IF(D5="OTF06",6700,IF(D5="OTP06",6700,IF(D5="OTP06-01",6700,IF(D5="OTF08",6700,IF(D5="OTP08",6700,IF(D5="ECG37",6400,IF(D5="ECG38",6400,IF(D5="ECG40",6400,IF(D5="ECG43",6400,IF(D5="ASG48",6600,IF(D5="ASG43",6600,IF(D5="ASG40",6600,IF(D5="ASG42",6600,IF(D5="ASG44",6600,IF(D5="ASG45",6600,IF(D5="ASX HL 4WD",6600,IF(D5="ATG16",5400,IF(D5="ATG17",5400,IF(D5="ATP16",5400,IF(D5="Attrage S",5400,IF(D5="MIG09",5400,IF(D5="MIG10",5400,IF(D5="Xpander HL",6000)))))))))))))))))))))))))))))))))))))</f>
        <v>6600</v>
      </c>
      <c r="P11" s="92"/>
      <c r="Q11" s="92"/>
      <c r="R11" s="92"/>
      <c r="S11" s="92"/>
      <c r="T11" s="92"/>
      <c r="U11" s="92">
        <f>IF(D5="XC",4900,IF(D5="XPML",4900,IF(D5="XPHL",4900,IF(D5="XPMLP",4900,IF(D5="XPMLP-01",4900,IF(D5="Xpander P",4900,IF(D5="MOP57",4600,IF(D5="MOG64",4600,IF(D5="MOG59",4600,IF(D5="MOG59P",4600,IF(D5="MOG61",4600,IF(D5="MOP61",4600,IF(D5="OTF03",5500,IF(D5="OTP03",5500,IF(D5="OTF06",5500,IF(D5="OTP06",5500,IF(D5="OTP06-01",5500,IF(D5="OTF08",5500,IF(D5="OTP08",5500,IF(D5="ECG38",5200,IF(D5="ECG37",5200,IF(D5="ECG40",5200,IF(D5="ECG43",5200,IF(D5="ASG48",5300,IF(D5="ASG43",5300,IF(D5="ASG40",5300,IF(D5="ASG42",5300,IF(D5="ASG44",5300,IF(D5="ASG45",5300,IF(D5="ASX HL",5300,IF(D5="ASX P",5300,IF(D5="ASX HL 4WD",5300,IF(D5="ATG16",4200,IF(D5="ATG17",4200,IF(D5="ATP16",4200,IF(D5="Attrage S",4200,IF(D5="MIG09",4200,IF(D5="MIG10",4200,IF(D5="Xpander HL",4900)))))))))))))))))))))))))))))))))))))))</f>
        <v>5300</v>
      </c>
      <c r="V11" s="92">
        <f>IF(D5="XC",9700,IF(D5="XPML",9700,IF(D5="XPHL",9700,IF(D5="XPMLP",9700,IF(D5="XPMLP-01",9700,IF(D5="XPMLP-01",9700,IF(D5="Xpander P",9700,IF(D5="MOP57",9300,IF(D5="MG64",9300,IF(D5="MOG59",9300,IF(D5="MOG59P",9300,IF(D5="MOG61",9300,IF(D5="MOP61",9300,IF(D5="OTF03",11000,IF(D5="OTP03",11000,IF(D5="OTF06",11000,IF(D5="OTP06",11000,IF(D5="OTP06-01",11000,IF(D5="OTF08",11000,IF(D5="OTP08",11000,IF(D5="ECG38",10400,IF(D5="ECG37",10400,IF(D5="ECG40",10400,IF(D5="ECG43",10400,IF(D5="ASG48",10700,IF(D5="ASG43",10700,IF(D5="ASG40",10700,IF(D5="ASG42",10700,IF(D5="ASG44",10800,IF(D5="ASG45",10800,IF(D5="ASX HL",12200,IF(D5="ASX P",12200,IF(D5="ASX HL 4WD",12200,IF(D5="ATG16",8500,IF(D5="ATG17",8500,IF(D5="ATP16",8500,IF(D5="Attrage S",9600,IF(D5="MIG09",8500,IF(D5="MIG10",8500,IF(D5="Xpander HL",11300))))))))))))))))))))))))))))))))))))))))</f>
        <v>10700</v>
      </c>
      <c r="W11" s="92">
        <f>IF(D5="XC",9200,IF(D5="XPML",9200,IF(D5="XPHL",9200,IF(D5="XPMLP",9200,IF(D5="XPMLP-01",9200,IF(D5="Xpander P",9200,IF(D5="MOP57",8700,IF(D5="MOG64",8700,IF(D5="MOG59",8700,IF(D5="MOG59P",8700,IF(D5="MOG61",8700,IF(D5="MOP61",8700,IF(D5="OTF03",10400,IF(D5="OTP03",10400,IF(D5="OTF06",10400,IF(D5="OTP06",10400,IF(D5="OTP06-01",10400,IF(D5="OTF08",10400,IF(D5="OTP08",10400,IF(D5="ECG38",9800,IF(D5="ECG37",9800,IF(D5="ECG40",9800,IF(D5="ECG43",9800,IF(D5="ASG48",10100,IF(D5="ASG43",10100,IF(D5="ASG40",10100,IF(D5="ASG42",10100,IF(D5="ASG44",10100,IF(D5="ASG45",10100,IF(D5="ASX HL",10100,IF(D5="ASX P",10100,IF(D5="ASX HL 4WD",10100,IF(D5="ATG16",7900,IF(D5="ATG17",7900,IF(D5="ATP16",7900,IF(D5="Attrage S",7900,IF(D5="MIG09",7900,IF(D5="MIG10",7900,IF(D5="Xpander HL",9200)))))))))))))))))))))))))))))))))))))))</f>
        <v>10100</v>
      </c>
      <c r="X11" s="92">
        <f>IF(D5="XC",4500,IF(D5="XPML",4500,IF(D5="XPHL",4500,IF(D5="XPMLP",4500,IF(D5="XPMLP-01",4500,IF(D5="Xpander P",4500,IF(D5="MOP57",4300,IF(D5="MOG64",4300,IF(D5="MOG59",4300,IF(D5="MOG59P",4300,IF(D5="MOG61",4300,IF(D5="MOP61",4300,IF(D5="OTF03",5000,IF(D5="OTP03",5000,IF(D5="OTF06",5000,IF(D5="OTP06",5000,IF(D5="OTP06-01",5000,IF(D5="OTF08",5000,IF(D5="OTP08",5000,IF(D5="ECG38",4900,IF(D5="ECG37",4900,IF(D5="ECG40",4900,IF(D5="ECG43",4900,IF(D5="ASG48",4900,IF(D5="ASG43",4900,IF(D5="ASG40",4900,IF(D5="ASG42",4900,IF(D5="ASG44",4900,IF(D5="ASG45",4900,IF(D5="ASX HL",4900,IF(D5="ASX P",4900,IF(D5="ASX HL 4WD",4900,IF(D5="ATG16",3700,IF(D5="ATG17",3700,IF(D5="ATP16",3700,IF(D5="Attrage S",3700,IF(D5="MIG09",3700,IF(D5="MIG10",3700,IF(D5="Xpander HL",4500)))))))))))))))))))))))))))))))))))))))</f>
        <v>4900</v>
      </c>
      <c r="Y11" s="92">
        <f>IF(D5="XC",5400,IF(D5="XPML ",5400,IF(D5="XPHL",5400,IF(D5="XPMLP",5400,IF(D5="XPMLP-01",5400,IF(D5="Xpander P",5400,IF(D5="MOP57",5200,IF(D5="MOG64",5200,IF(D5="MOG59",5200,IF(D5="MOG59P",5200,IF(D5="MOG61",5200,IF(D5="MOP61",5200,IF(D5="OTF03",6000,IF(D5="OTP03",6000,IF(D5="OTF06",6000,IF(D5="OTP06",6000,IF(D5="OTP06-01",6000,IF(D5="OTF08",6000,IF(D5="OTP08",6000,IF(D5="ECG38",5700,IF(D5="ECG37",5700,IF(D5="ECG40",5700,IF(D5="ECG43",5700,IF(D5="ASG48",5900,IF(D5="ASG43",5900,IF(D5="ASG40",5900,IF(D5="ASG42",5900,IF(D5="ASG44",5900,IF(D5="ASG45",5900,IF(D5="ASX HL",5900,IF(D5="ASX P",5900,IF(D5="ASX HL 4WD",5900,IF(D5="ATG16",4500,IF(D5="ATG17",4500,IF(D5="ATP16",4500,IF(D5="Attrage S",4500,IF(D5="MIG09",4500,IF(D5="MIG10",4500,IF(D5="Xpander HL",5400)))))))))))))))))))))))))))))))))))))))</f>
        <v>5900</v>
      </c>
    </row>
    <row r="12" spans="1:28" ht="24.75" customHeight="1" x14ac:dyDescent="0.4">
      <c r="A12" s="8"/>
      <c r="B12" s="37" t="s">
        <v>20</v>
      </c>
      <c r="C12" s="20" t="s">
        <v>17</v>
      </c>
      <c r="D12" s="36">
        <f>IF(C12="YES",2000,IF(C12="NO",0))</f>
        <v>0</v>
      </c>
      <c r="E12" s="43"/>
      <c r="F12" s="43" t="s">
        <v>21</v>
      </c>
      <c r="G12" s="40"/>
      <c r="H12" s="33">
        <v>600</v>
      </c>
      <c r="I12" s="21"/>
      <c r="J12" s="44" t="s">
        <v>22</v>
      </c>
      <c r="K12" s="45">
        <v>0</v>
      </c>
      <c r="L12" s="45">
        <v>5.2499999999999998E-2</v>
      </c>
      <c r="M12" s="45">
        <v>0.126</v>
      </c>
      <c r="N12" s="46">
        <v>0.26250000000000001</v>
      </c>
      <c r="O12" s="92">
        <f>IF(K20="Esaad",B8*3/100,IF(K20="Emirates Platinum",B8*3/100,IF(K20="Fazaa",B8*3/100,IF(K20="Humat Alwatan",B8*3/100,IF(K20="Permissible",2000,IF(K20="ASX",8400,IF(K20="XPMLP",4000,IF(K20="XP",14100,IF(K20="G43",11000,IF(K20="EC",7000,IF(K20="G37",14000,IF(K20="G38",15000,IF(K20="G40",11000,IF(K20="OUT",9600,IF(K20="F08",15400,IF(K20="P08",11100,IF(K20="F06",14100,IF(K20="P06",17100,IF(K20="F03",17000,IF(K20="P03",19100,IF(K20="MON",10000,IF(K20="MON G57",10000,0))))))))))))))))))))))</f>
        <v>2000</v>
      </c>
      <c r="P12" s="92"/>
      <c r="Q12" s="92"/>
      <c r="R12" s="92"/>
      <c r="S12" s="92"/>
      <c r="T12" s="92"/>
      <c r="U12" s="92"/>
      <c r="V12" s="92"/>
      <c r="W12" s="92"/>
      <c r="X12" s="92"/>
      <c r="Y12" s="92"/>
      <c r="Z12" s="86" t="s">
        <v>83</v>
      </c>
      <c r="AA12" s="86" t="s">
        <v>84</v>
      </c>
    </row>
    <row r="13" spans="1:28" ht="24.6" x14ac:dyDescent="0.4">
      <c r="A13" s="8">
        <f>B8*1.26582</f>
        <v>87214.997999999992</v>
      </c>
      <c r="B13" s="37" t="s">
        <v>23</v>
      </c>
      <c r="C13" s="20" t="s">
        <v>17</v>
      </c>
      <c r="D13" s="36">
        <f>IF(C13="YES",2000,IF(C13="NO",0))</f>
        <v>0</v>
      </c>
      <c r="E13" s="47"/>
      <c r="F13" s="47" t="s">
        <v>75</v>
      </c>
      <c r="G13" s="40"/>
      <c r="H13" s="33">
        <v>315</v>
      </c>
      <c r="I13" s="21"/>
      <c r="J13" s="44" t="s">
        <v>54</v>
      </c>
      <c r="K13" s="29" t="s">
        <v>79</v>
      </c>
      <c r="L13" s="29" t="s">
        <v>25</v>
      </c>
      <c r="M13" s="29" t="s">
        <v>0</v>
      </c>
      <c r="N13" s="49" t="s">
        <v>26</v>
      </c>
      <c r="O13" s="98">
        <f>IF(M21="3000-4999",6%,IF(M21="5000-9999",4.75%,IF(M21="10000-14999",3.15%,IF(M21="15000-24999",2.5%,IF(M21="25000-34999",2.25%,IF(M21="35000-99999",2.25%))))))</f>
        <v>4.7500000000000001E-2</v>
      </c>
      <c r="Q13" s="83">
        <f>H7/12</f>
        <v>1425.3670104166667</v>
      </c>
      <c r="U13" s="9">
        <f>IF(M21="3000-4999",6%,IF(M21="5000-9999",3.25%,IF(M21="10000-14999",3%,IF(M21="15000-24999",2.25%,IF(M21="25000-34999",2.15%,IF(M21="35000-99999",1.99%))))))</f>
        <v>3.2500000000000001E-2</v>
      </c>
      <c r="Z13" s="99">
        <f>IF(M21="5000-9999",2.49%,IF(M21="10000-19999",2.19%,IF(M21="20000-34999",2.09%,IF(M21="35000-49999",1.89%,IF(M21="50000-99999",1.79%)))))</f>
        <v>2.4900000000000002E-2</v>
      </c>
      <c r="AA13" s="99">
        <f>IF(M21="5000-9999",2.59%,IF(M21="10000-19999",2.29%,IF(M21="20000-34999",2.19%,IF(M21="35000-49999",1.99%,IF(M21="50000-99999",1.89%)))))</f>
        <v>2.5899999999999999E-2</v>
      </c>
    </row>
    <row r="14" spans="1:28" ht="24.6" x14ac:dyDescent="0.4">
      <c r="A14" s="10" t="s">
        <v>27</v>
      </c>
      <c r="B14" s="37" t="s">
        <v>24</v>
      </c>
      <c r="C14" s="20" t="s">
        <v>19</v>
      </c>
      <c r="D14" s="50">
        <f>IF(C14="YES",U19*3.15*1.05/100,IF(C14="NO",U19*0/100))</f>
        <v>2622.0206250000001</v>
      </c>
      <c r="E14" s="48"/>
      <c r="F14" s="48" t="s">
        <v>24</v>
      </c>
      <c r="G14" s="51" t="s">
        <v>17</v>
      </c>
      <c r="H14" s="39">
        <f>IF(G14="YES",U19*3.15*1.05/100,IF(G14="NO",U19*0/100))</f>
        <v>0</v>
      </c>
      <c r="I14" s="21"/>
      <c r="J14" s="44" t="s">
        <v>55</v>
      </c>
      <c r="K14" s="44">
        <f>(H8*K12+H8)/3</f>
        <v>5701.468041666667</v>
      </c>
      <c r="L14" s="44">
        <f>(H8*L12+H8)/12</f>
        <v>1500.1987784635419</v>
      </c>
      <c r="M14" s="44">
        <f>(H8*M12+H8)/24</f>
        <v>802.48162686458329</v>
      </c>
      <c r="N14" s="52">
        <f>(H7*N12+H7)/60</f>
        <v>359.90517013020838</v>
      </c>
      <c r="O14" s="98">
        <f>IF(M21="3000-4999",3.89%,IF(M21="5000-9999",3.89%,IF(M21="10000-14999",3.89%,IF(M21="15000-24999",2.69%,IF(M21="25000-34999",2.69%,IF(M21="35000-99999",2.39%,IF(M21="76000-99999",2.19%)))))))</f>
        <v>3.8900000000000004E-2</v>
      </c>
    </row>
    <row r="15" spans="1:28" ht="24.6" x14ac:dyDescent="0.4">
      <c r="A15" s="11">
        <f>(B7*3%)+10+120</f>
        <v>2197</v>
      </c>
      <c r="B15" s="37" t="s">
        <v>28</v>
      </c>
      <c r="C15" s="20" t="s">
        <v>19</v>
      </c>
      <c r="D15" s="29">
        <f>IF(C15="YES",O10,IF(C15="NO",0))</f>
        <v>3625</v>
      </c>
      <c r="E15" s="48"/>
      <c r="F15" s="48" t="s">
        <v>53</v>
      </c>
      <c r="G15" s="51" t="s">
        <v>17</v>
      </c>
      <c r="H15" s="39">
        <f>IF(G15="YES",O10,IF(G15="NO",0))</f>
        <v>0</v>
      </c>
      <c r="I15" s="21"/>
      <c r="J15" s="44"/>
      <c r="K15" s="44"/>
      <c r="L15" s="44"/>
      <c r="M15" s="44"/>
      <c r="N15" s="53"/>
      <c r="O15" s="98" t="b">
        <f>IF(M21="3000-4999",4.99%, IF(M21="5000-11999",2.75%,IF(M21="12000-19999",2.75%,IF(M21="20000-39999",2.25%,IF(M21="40000-69999",2.39%,IF(M21="70000-99999",2.25%))))))</f>
        <v>0</v>
      </c>
      <c r="P15" s="99"/>
    </row>
    <row r="16" spans="1:28" ht="24.6" x14ac:dyDescent="0.4">
      <c r="A16" s="11">
        <f>((B7-B8)*3%+10+120)</f>
        <v>130</v>
      </c>
      <c r="B16" s="37" t="s">
        <v>78</v>
      </c>
      <c r="C16" s="20" t="s">
        <v>19</v>
      </c>
      <c r="D16" s="29">
        <f>IF(C16="YES",O16,IF(C16="NO",0))</f>
        <v>6600</v>
      </c>
      <c r="E16" s="47"/>
      <c r="F16" s="47" t="s">
        <v>74</v>
      </c>
      <c r="G16" s="54"/>
      <c r="H16" s="33">
        <f>I7*1.05%</f>
        <v>718.38497325000003</v>
      </c>
      <c r="I16" s="21"/>
      <c r="J16" s="44" t="s">
        <v>16</v>
      </c>
      <c r="K16" s="44">
        <f>(K14*3)-H8</f>
        <v>0</v>
      </c>
      <c r="L16" s="44">
        <f>(L14*12)-H8</f>
        <v>897.98121656250078</v>
      </c>
      <c r="M16" s="44">
        <f>(M14*24)-H8</f>
        <v>2155.154919749999</v>
      </c>
      <c r="N16" s="53"/>
      <c r="O16" s="92">
        <f>IF(B16="RMC-10-70KMS",O11,IF(B16="RMC-10-100000KMS",V11,IF(B16="RMC-40-70KMS",U11, IF(B16="RMC-10-40KMS",X11, IF(B16="RMC-10-60KMS",Y11, IF(B16="RMC-40-100000KMS",W11,0))))))</f>
        <v>6600</v>
      </c>
    </row>
    <row r="17" spans="1:28" ht="24.6" x14ac:dyDescent="0.4">
      <c r="A17" s="11">
        <f>A15+A16</f>
        <v>2327</v>
      </c>
      <c r="B17" s="37"/>
      <c r="C17" s="20"/>
      <c r="D17" s="29">
        <f>SUM(D10:D16)</f>
        <v>12847.020625000001</v>
      </c>
      <c r="E17" s="33"/>
      <c r="F17" s="33"/>
      <c r="G17" s="33"/>
      <c r="H17" s="33">
        <f>H7+H12+H15+H16</f>
        <v>18422.789098249999</v>
      </c>
      <c r="I17" s="33"/>
      <c r="J17" s="22"/>
      <c r="K17" s="53"/>
      <c r="L17" s="53"/>
      <c r="M17" s="53"/>
      <c r="N17" s="53"/>
      <c r="O17" s="92">
        <f>IF(B11="FO Ceramic+ Intr&amp;Extr CeramicGold WdwTnt",2700,IF(B11="FO Mirror Camera Sensor",2000))</f>
        <v>2700</v>
      </c>
      <c r="T17" s="86">
        <f>19615-791</f>
        <v>18824</v>
      </c>
    </row>
    <row r="18" spans="1:28" ht="24.6" x14ac:dyDescent="0.4">
      <c r="A18" s="12" t="s">
        <v>29</v>
      </c>
      <c r="B18" s="55" t="s">
        <v>30</v>
      </c>
      <c r="C18" s="56"/>
      <c r="D18" s="57">
        <v>0</v>
      </c>
      <c r="E18" s="38"/>
      <c r="F18" s="22"/>
      <c r="G18" s="22"/>
      <c r="H18" s="21"/>
      <c r="I18" s="21"/>
      <c r="J18" s="21"/>
      <c r="K18" s="21"/>
      <c r="L18" s="21"/>
      <c r="M18" s="21"/>
      <c r="N18" s="21"/>
      <c r="O18" s="92"/>
      <c r="U18" s="100" t="s">
        <v>52</v>
      </c>
      <c r="V18" s="100" t="s">
        <v>52</v>
      </c>
    </row>
    <row r="19" spans="1:28" ht="24.6" x14ac:dyDescent="0.4">
      <c r="A19" s="11">
        <f>B8*3.15%</f>
        <v>2170.35</v>
      </c>
      <c r="B19" s="58" t="s">
        <v>31</v>
      </c>
      <c r="C19" s="59"/>
      <c r="D19" s="60">
        <f>IF(K21="DIB EXPAT",O13,IF(K21="DIB LOCAL GVH",U13,IF(K21="Emirates NBD",O14,IF(K21="ADCB",O15,IF(K21="ADCB PAY IN 2027",O19,IF(K21="Ajman Bank",O18,IF(K21="SIB STL",Z13,IF(K21="SIB NON STL",AA13,))))))))</f>
        <v>2.4900000000000002E-2</v>
      </c>
      <c r="E19" s="22"/>
      <c r="F19" s="61"/>
      <c r="G19" s="141" t="s">
        <v>73</v>
      </c>
      <c r="H19" s="142"/>
      <c r="I19" s="143"/>
      <c r="J19" s="109">
        <f>H7/365</f>
        <v>46.861381164383566</v>
      </c>
      <c r="K19" s="21"/>
      <c r="L19" s="21"/>
      <c r="M19" s="21"/>
      <c r="N19" s="23">
        <f>D7</f>
        <v>72345</v>
      </c>
      <c r="O19" s="98" t="b">
        <f>IF(M21="5000-11999",3.35%,IF(M21="12000-19999",3.35%,IF(M21="20000-39999",2.85%,IF(M21="40000-69999",2.85%,IF(M21="70000-99999",2.85%)))))</f>
        <v>0</v>
      </c>
      <c r="P19" s="83">
        <f>81400-2500</f>
        <v>78900</v>
      </c>
      <c r="U19" s="101">
        <f>V19</f>
        <v>79275</v>
      </c>
      <c r="V19" s="102">
        <f>(B7+D10+D11+D12+D13+D16)*1.05</f>
        <v>79275</v>
      </c>
      <c r="X19" s="87">
        <f>G7*3.15*1.05/100</f>
        <v>2828.640832171875</v>
      </c>
      <c r="Y19" s="87">
        <f>G7*3/100+510*1.05</f>
        <v>3101.1606187500001</v>
      </c>
      <c r="Z19" s="87">
        <f>Y19+X19</f>
        <v>5929.8014509218756</v>
      </c>
      <c r="AA19" s="87">
        <f>(Z19)-(D14+D15)</f>
        <v>-317.21917407812452</v>
      </c>
      <c r="AB19" s="87">
        <f>AA19*1.25</f>
        <v>-396.52396759765566</v>
      </c>
    </row>
    <row r="20" spans="1:28" ht="24.6" x14ac:dyDescent="0.4">
      <c r="A20" s="11"/>
      <c r="B20" s="58" t="s">
        <v>32</v>
      </c>
      <c r="C20" s="62"/>
      <c r="D20" s="63">
        <v>0.2</v>
      </c>
      <c r="E20" s="21"/>
      <c r="F20" s="21"/>
      <c r="G20" s="42"/>
      <c r="H20" s="42"/>
      <c r="I20" s="42"/>
      <c r="J20" s="103"/>
      <c r="K20" s="104" t="s">
        <v>33</v>
      </c>
      <c r="L20" s="104" t="s">
        <v>17</v>
      </c>
      <c r="M20" s="104">
        <f>IF(L20="YES",O12,IF(L20="NO",0))</f>
        <v>0</v>
      </c>
      <c r="N20" s="23">
        <f>B8-M20</f>
        <v>68900</v>
      </c>
      <c r="O20" s="92"/>
      <c r="P20" s="99"/>
      <c r="T20" s="86">
        <f>1992+1084</f>
        <v>3076</v>
      </c>
      <c r="V20" s="83"/>
      <c r="X20" s="87">
        <f>X19-D14</f>
        <v>206.62020717187488</v>
      </c>
      <c r="Y20" s="87">
        <f>Y19-D15</f>
        <v>-523.83938124999986</v>
      </c>
      <c r="AA20" s="87">
        <f>X20+Y20</f>
        <v>-317.21917407812498</v>
      </c>
    </row>
    <row r="21" spans="1:28" ht="24.6" x14ac:dyDescent="0.4">
      <c r="A21" s="13">
        <f>A19+A20</f>
        <v>2170.35</v>
      </c>
      <c r="B21" s="21"/>
      <c r="C21" s="22"/>
      <c r="D21" s="21"/>
      <c r="E21" s="21"/>
      <c r="F21" s="21"/>
      <c r="G21" s="21"/>
      <c r="H21" s="21"/>
      <c r="I21" s="21"/>
      <c r="J21" s="37" t="s">
        <v>34</v>
      </c>
      <c r="K21" s="16" t="s">
        <v>83</v>
      </c>
      <c r="L21" s="105" t="s">
        <v>35</v>
      </c>
      <c r="M21" s="106" t="s">
        <v>80</v>
      </c>
      <c r="N21" s="111"/>
      <c r="O21" s="92"/>
      <c r="T21" s="86">
        <f>25973-12973</f>
        <v>13000</v>
      </c>
    </row>
    <row r="22" spans="1:28" ht="24.6" x14ac:dyDescent="0.4">
      <c r="A22" s="13"/>
      <c r="B22" s="130" t="s">
        <v>51</v>
      </c>
      <c r="C22" s="131"/>
      <c r="D22" s="131"/>
      <c r="E22" s="131"/>
      <c r="F22" s="131"/>
      <c r="G22" s="131"/>
      <c r="H22" s="131"/>
      <c r="I22" s="131"/>
      <c r="J22" s="131"/>
      <c r="K22" s="131"/>
      <c r="L22" s="131"/>
      <c r="M22" s="131"/>
      <c r="N22" s="132"/>
      <c r="O22" s="92"/>
    </row>
    <row r="23" spans="1:28" ht="25.2" x14ac:dyDescent="0.45">
      <c r="A23" s="14" t="s">
        <v>36</v>
      </c>
      <c r="B23" s="64" t="s">
        <v>57</v>
      </c>
      <c r="C23" s="65"/>
      <c r="D23" s="65"/>
      <c r="E23" s="65"/>
      <c r="F23" s="65"/>
      <c r="G23" s="65"/>
      <c r="H23" s="66"/>
      <c r="I23" s="66"/>
      <c r="J23" s="65"/>
      <c r="K23" s="65"/>
      <c r="L23" s="65"/>
      <c r="M23" s="65"/>
      <c r="N23" s="67"/>
      <c r="O23" s="92">
        <f>N7+K14</f>
        <v>6983.7282042375009</v>
      </c>
    </row>
    <row r="24" spans="1:28" ht="25.2" x14ac:dyDescent="0.45">
      <c r="A24" s="14" t="s">
        <v>36</v>
      </c>
      <c r="B24" s="64" t="s">
        <v>58</v>
      </c>
      <c r="C24" s="65"/>
      <c r="D24" s="65"/>
      <c r="E24" s="65"/>
      <c r="F24" s="65"/>
      <c r="G24" s="65"/>
      <c r="H24" s="85">
        <f>H7/365</f>
        <v>46.861381164383566</v>
      </c>
      <c r="I24" s="85">
        <f>H7/365</f>
        <v>46.861381164383566</v>
      </c>
      <c r="J24" s="65"/>
      <c r="K24" s="65"/>
      <c r="L24" s="65"/>
      <c r="M24" s="65"/>
      <c r="N24" s="68"/>
      <c r="O24" s="92"/>
      <c r="P24" s="83">
        <f>1232+480</f>
        <v>1712</v>
      </c>
      <c r="T24" s="86">
        <f>88704/1.05</f>
        <v>84480</v>
      </c>
    </row>
    <row r="25" spans="1:28" ht="25.2" x14ac:dyDescent="0.45">
      <c r="A25" s="14" t="s">
        <v>36</v>
      </c>
      <c r="B25" s="64" t="s">
        <v>59</v>
      </c>
      <c r="C25" s="65"/>
      <c r="D25" s="65"/>
      <c r="E25" s="65"/>
      <c r="F25" s="65"/>
      <c r="G25" s="65"/>
      <c r="H25" s="66"/>
      <c r="I25" s="85">
        <f>I24*365*3</f>
        <v>51313.212375000003</v>
      </c>
      <c r="J25" s="65"/>
      <c r="K25" s="65"/>
      <c r="L25" s="65"/>
      <c r="M25" s="65"/>
      <c r="N25" s="68"/>
      <c r="O25" s="92"/>
      <c r="Q25" s="86">
        <f>79400-5233.33</f>
        <v>74166.67</v>
      </c>
      <c r="R25" s="86">
        <f>Q25*1.05</f>
        <v>77875.003500000006</v>
      </c>
    </row>
    <row r="26" spans="1:28" ht="25.2" x14ac:dyDescent="0.45">
      <c r="A26" s="14" t="s">
        <v>36</v>
      </c>
      <c r="B26" s="64" t="s">
        <v>60</v>
      </c>
      <c r="C26" s="65"/>
      <c r="D26" s="65"/>
      <c r="E26" s="65"/>
      <c r="F26" s="65"/>
      <c r="G26" s="65"/>
      <c r="H26" s="65"/>
      <c r="I26" s="65"/>
      <c r="J26" s="65"/>
      <c r="K26" s="65"/>
      <c r="L26" s="65"/>
      <c r="M26" s="65"/>
      <c r="N26" s="68"/>
      <c r="O26" s="92" t="s">
        <v>37</v>
      </c>
      <c r="R26" s="86">
        <f>R25+2469</f>
        <v>80344.003500000006</v>
      </c>
    </row>
    <row r="27" spans="1:28" ht="25.2" x14ac:dyDescent="0.45">
      <c r="A27" s="14" t="s">
        <v>36</v>
      </c>
      <c r="B27" s="64" t="s">
        <v>61</v>
      </c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8"/>
      <c r="O27" s="92">
        <f>129500-110900</f>
        <v>18600</v>
      </c>
    </row>
    <row r="28" spans="1:28" ht="25.2" x14ac:dyDescent="0.45">
      <c r="B28" s="64" t="s">
        <v>62</v>
      </c>
      <c r="C28" s="65"/>
      <c r="D28" s="65"/>
      <c r="E28" s="65"/>
      <c r="F28" s="65"/>
      <c r="G28" s="65"/>
      <c r="H28" s="65"/>
      <c r="I28" s="65"/>
      <c r="J28" s="65"/>
      <c r="K28" s="65"/>
      <c r="L28" s="65"/>
      <c r="M28" s="65"/>
      <c r="N28" s="68"/>
      <c r="O28" s="92"/>
    </row>
    <row r="29" spans="1:28" ht="25.2" x14ac:dyDescent="0.45">
      <c r="B29" s="64" t="s">
        <v>63</v>
      </c>
      <c r="C29" s="65"/>
      <c r="D29" s="65"/>
      <c r="E29" s="65"/>
      <c r="F29" s="65"/>
      <c r="G29" s="65"/>
      <c r="H29" s="65"/>
      <c r="I29" s="65"/>
      <c r="J29" s="65"/>
      <c r="K29" s="65"/>
      <c r="L29" s="65"/>
      <c r="M29" s="65"/>
      <c r="N29" s="69"/>
      <c r="O29" s="92"/>
    </row>
    <row r="30" spans="1:28" ht="24.6" x14ac:dyDescent="0.4">
      <c r="B30" s="133" t="s">
        <v>38</v>
      </c>
      <c r="C30" s="134"/>
      <c r="D30" s="134"/>
      <c r="E30" s="134"/>
      <c r="F30" s="134"/>
      <c r="G30" s="134"/>
      <c r="H30" s="134"/>
      <c r="I30" s="134"/>
      <c r="J30" s="134"/>
      <c r="K30" s="134"/>
      <c r="L30" s="134"/>
      <c r="M30" s="134"/>
      <c r="N30" s="135"/>
      <c r="O30" s="92"/>
    </row>
    <row r="31" spans="1:28" ht="24.6" x14ac:dyDescent="0.4">
      <c r="B31" s="136"/>
      <c r="C31" s="137"/>
      <c r="D31" s="137"/>
      <c r="E31" s="137"/>
      <c r="F31" s="137"/>
      <c r="G31" s="137"/>
      <c r="H31" s="137"/>
      <c r="I31" s="137"/>
      <c r="J31" s="137"/>
      <c r="K31" s="137"/>
      <c r="L31" s="137"/>
      <c r="M31" s="137"/>
      <c r="N31" s="138"/>
      <c r="O31" s="92"/>
    </row>
    <row r="32" spans="1:28" ht="24.6" x14ac:dyDescent="0.4">
      <c r="B32" s="136" t="s">
        <v>39</v>
      </c>
      <c r="C32" s="137"/>
      <c r="D32" s="137"/>
      <c r="E32" s="137"/>
      <c r="F32" s="137"/>
      <c r="G32" s="137"/>
      <c r="H32" s="137"/>
      <c r="I32" s="137"/>
      <c r="J32" s="137"/>
      <c r="K32" s="137"/>
      <c r="L32" s="137"/>
      <c r="M32" s="137"/>
      <c r="N32" s="138"/>
      <c r="O32" s="92"/>
    </row>
    <row r="33" spans="2:16" ht="24.6" x14ac:dyDescent="0.4">
      <c r="B33" s="136" t="s">
        <v>40</v>
      </c>
      <c r="C33" s="137"/>
      <c r="D33" s="137"/>
      <c r="E33" s="137"/>
      <c r="F33" s="137"/>
      <c r="G33" s="137"/>
      <c r="H33" s="137"/>
      <c r="I33" s="137"/>
      <c r="J33" s="137"/>
      <c r="K33" s="137"/>
      <c r="L33" s="137"/>
      <c r="M33" s="137"/>
      <c r="N33" s="138"/>
      <c r="O33" s="92"/>
    </row>
    <row r="34" spans="2:16" s="112" customFormat="1" ht="24.6" x14ac:dyDescent="0.4">
      <c r="B34" s="107" t="s">
        <v>81</v>
      </c>
      <c r="C34" s="108"/>
      <c r="D34" s="108"/>
      <c r="E34" s="108"/>
      <c r="F34" s="108"/>
      <c r="G34" s="113"/>
      <c r="H34" s="113"/>
      <c r="I34" s="108"/>
      <c r="J34" s="108"/>
      <c r="K34" s="108"/>
      <c r="L34" s="108"/>
      <c r="M34" s="114" t="s">
        <v>82</v>
      </c>
      <c r="N34" s="116" t="b">
        <f>IF(M34="ALAA",507963328, IF(M34="BACHIR",525246969,IF(M34="JIHAN",566201266, IF(M34="RAMY",505277871, IF(M34="SIMON",505140337,IF(M34="SUJITH",551079817, IF(M34="PRAVEEN",506367792,IF(M34="MHAREN",529224059, IF(M34="MOSSALLEM",505185577,IF(M34="RANJITH",554989288, IF(M34="KHALED",552319494)))))))))))</f>
        <v>0</v>
      </c>
      <c r="O34" s="115"/>
      <c r="P34" s="115"/>
    </row>
    <row r="35" spans="2:16" x14ac:dyDescent="0.35">
      <c r="B35" s="70"/>
      <c r="C35" s="71"/>
      <c r="D35" s="71"/>
      <c r="E35" s="71"/>
      <c r="F35" s="71"/>
      <c r="G35" s="71"/>
      <c r="H35" s="71"/>
      <c r="I35" s="71"/>
      <c r="J35" s="71"/>
      <c r="K35" s="71"/>
      <c r="L35" s="71"/>
      <c r="M35" s="71"/>
      <c r="N35" s="72"/>
    </row>
    <row r="36" spans="2:16" x14ac:dyDescent="0.35">
      <c r="B36" s="70"/>
      <c r="C36" s="71"/>
      <c r="D36" s="71"/>
      <c r="E36" s="71"/>
      <c r="F36" s="71"/>
      <c r="G36" s="71"/>
      <c r="H36" s="71"/>
      <c r="I36" s="71"/>
      <c r="J36" s="71"/>
      <c r="K36" s="71"/>
      <c r="L36" s="71"/>
      <c r="M36" s="71"/>
      <c r="N36" s="72"/>
    </row>
    <row r="37" spans="2:16" x14ac:dyDescent="0.35">
      <c r="B37" s="70"/>
      <c r="C37" s="71"/>
      <c r="D37" s="71"/>
      <c r="E37" s="71"/>
      <c r="F37" s="71"/>
      <c r="G37" s="71"/>
      <c r="H37" s="71"/>
      <c r="I37" s="71"/>
      <c r="J37" s="71"/>
      <c r="K37" s="71"/>
      <c r="L37" s="71"/>
      <c r="M37" s="71"/>
      <c r="N37" s="72"/>
    </row>
    <row r="38" spans="2:16" ht="21" x14ac:dyDescent="0.4">
      <c r="B38" s="73" t="s">
        <v>64</v>
      </c>
      <c r="C38" s="74"/>
      <c r="D38" s="75"/>
      <c r="E38" s="76"/>
      <c r="F38" s="76"/>
      <c r="G38" s="76"/>
      <c r="H38" s="76"/>
      <c r="I38" s="76"/>
      <c r="J38" s="77"/>
      <c r="K38" s="76"/>
      <c r="L38" s="76"/>
      <c r="M38" s="76"/>
      <c r="N38" s="78"/>
    </row>
    <row r="39" spans="2:16" ht="21" x14ac:dyDescent="0.4">
      <c r="B39" s="73" t="s">
        <v>65</v>
      </c>
      <c r="C39" s="79"/>
      <c r="D39" s="75"/>
      <c r="E39" s="76"/>
      <c r="F39" s="76"/>
      <c r="G39" s="76"/>
      <c r="H39" s="76"/>
      <c r="I39" s="76"/>
      <c r="J39" s="77"/>
      <c r="K39" s="76"/>
      <c r="L39" s="76"/>
      <c r="M39" s="76"/>
      <c r="N39" s="80"/>
    </row>
    <row r="40" spans="2:16" ht="21" x14ac:dyDescent="0.35">
      <c r="B40" s="73" t="s">
        <v>66</v>
      </c>
      <c r="C40" s="81"/>
      <c r="D40" s="76"/>
      <c r="E40" s="76"/>
      <c r="F40" s="76"/>
      <c r="G40" s="76"/>
      <c r="H40" s="76"/>
      <c r="I40" s="76"/>
      <c r="J40" s="77"/>
      <c r="K40" s="76"/>
      <c r="L40" s="76"/>
      <c r="M40" s="76"/>
      <c r="N40" s="80"/>
    </row>
    <row r="41" spans="2:16" ht="21" x14ac:dyDescent="0.35">
      <c r="B41" s="73" t="s">
        <v>67</v>
      </c>
      <c r="C41" s="82"/>
      <c r="D41" s="83"/>
      <c r="E41" s="83"/>
      <c r="F41" s="83"/>
      <c r="G41" s="83"/>
      <c r="H41" s="83"/>
      <c r="I41" s="83"/>
      <c r="J41" s="83"/>
      <c r="K41" s="83"/>
      <c r="L41" s="83"/>
      <c r="M41" s="83"/>
      <c r="N41" s="84"/>
    </row>
    <row r="42" spans="2:16" ht="21" x14ac:dyDescent="0.35">
      <c r="B42" s="73" t="s">
        <v>77</v>
      </c>
      <c r="C42" s="82"/>
      <c r="D42" s="83"/>
      <c r="E42" s="83"/>
      <c r="F42" s="83"/>
      <c r="G42" s="83"/>
      <c r="H42" s="83"/>
      <c r="I42" s="83"/>
      <c r="J42" s="83"/>
      <c r="K42" s="83"/>
      <c r="L42" s="83"/>
      <c r="M42" s="83"/>
      <c r="N42" s="84"/>
    </row>
    <row r="43" spans="2:16" ht="21" x14ac:dyDescent="0.35">
      <c r="B43" s="73" t="s">
        <v>68</v>
      </c>
      <c r="C43" s="82"/>
      <c r="D43" s="83"/>
      <c r="E43" s="83"/>
      <c r="F43" s="83"/>
      <c r="G43" s="83"/>
      <c r="H43" s="83"/>
      <c r="I43" s="83"/>
      <c r="J43" s="83"/>
      <c r="K43" s="83"/>
      <c r="L43" s="83"/>
      <c r="M43" s="83"/>
      <c r="N43" s="84"/>
    </row>
    <row r="44" spans="2:16" ht="21" x14ac:dyDescent="0.35">
      <c r="B44" s="73" t="s">
        <v>69</v>
      </c>
      <c r="C44" s="82"/>
      <c r="D44" s="83"/>
      <c r="E44" s="83"/>
      <c r="F44" s="83"/>
      <c r="G44" s="83"/>
      <c r="H44" s="83"/>
      <c r="I44" s="83"/>
      <c r="J44" s="83"/>
      <c r="K44" s="83"/>
      <c r="L44" s="83"/>
      <c r="M44" s="83"/>
      <c r="N44" s="84"/>
    </row>
    <row r="45" spans="2:16" ht="21" x14ac:dyDescent="0.35">
      <c r="B45" s="73" t="s">
        <v>70</v>
      </c>
      <c r="C45" s="82"/>
      <c r="D45" s="83"/>
      <c r="E45" s="83"/>
      <c r="F45" s="83"/>
      <c r="G45" s="83"/>
      <c r="H45" s="83"/>
      <c r="I45" s="83"/>
      <c r="J45" s="83"/>
      <c r="K45" s="83"/>
      <c r="L45" s="83"/>
      <c r="M45" s="83"/>
      <c r="N45" s="84"/>
    </row>
    <row r="46" spans="2:16" ht="21" x14ac:dyDescent="0.35">
      <c r="B46" s="73" t="s">
        <v>71</v>
      </c>
      <c r="C46" s="82"/>
      <c r="D46" s="83"/>
      <c r="E46" s="83"/>
      <c r="F46" s="83"/>
      <c r="G46" s="83"/>
      <c r="H46" s="83"/>
      <c r="I46" s="83"/>
      <c r="J46" s="83"/>
      <c r="K46" s="83"/>
      <c r="L46" s="83"/>
      <c r="M46" s="83"/>
      <c r="N46" s="84"/>
    </row>
    <row r="47" spans="2:16" x14ac:dyDescent="0.35">
      <c r="B47" s="118" t="s">
        <v>39</v>
      </c>
      <c r="C47" s="119"/>
      <c r="D47" s="119"/>
      <c r="E47" s="119"/>
      <c r="F47" s="119"/>
      <c r="G47" s="119"/>
      <c r="H47" s="119"/>
      <c r="I47" s="119"/>
      <c r="J47" s="119"/>
      <c r="K47" s="119"/>
      <c r="L47" s="119"/>
      <c r="M47" s="119"/>
      <c r="N47" s="120"/>
      <c r="O47" s="92"/>
    </row>
    <row r="48" spans="2:16" x14ac:dyDescent="0.35">
      <c r="B48" s="118" t="s">
        <v>40</v>
      </c>
      <c r="C48" s="119"/>
      <c r="D48" s="119"/>
      <c r="E48" s="119"/>
      <c r="F48" s="119"/>
      <c r="G48" s="119"/>
      <c r="H48" s="119"/>
      <c r="I48" s="119"/>
      <c r="J48" s="119"/>
      <c r="K48" s="119"/>
      <c r="L48" s="119"/>
      <c r="M48" s="119"/>
      <c r="N48" s="120"/>
      <c r="O48" s="92"/>
    </row>
    <row r="49" spans="2:14" x14ac:dyDescent="0.35">
      <c r="B49" s="118" t="s">
        <v>72</v>
      </c>
      <c r="C49" s="119"/>
      <c r="D49" s="119"/>
      <c r="E49" s="119"/>
      <c r="F49" s="119"/>
      <c r="G49" s="119"/>
      <c r="H49" s="119"/>
      <c r="I49" s="119"/>
      <c r="J49" s="119"/>
      <c r="K49" s="119"/>
      <c r="L49" s="119"/>
      <c r="M49" s="119"/>
      <c r="N49" s="120"/>
    </row>
    <row r="50" spans="2:14" ht="25.8" x14ac:dyDescent="0.35">
      <c r="C50" s="15" t="s">
        <v>41</v>
      </c>
    </row>
    <row r="51" spans="2:14" ht="25.8" x14ac:dyDescent="0.35">
      <c r="C51" s="15" t="s">
        <v>42</v>
      </c>
    </row>
    <row r="52" spans="2:14" ht="25.8" x14ac:dyDescent="0.35">
      <c r="C52" s="15" t="s">
        <v>43</v>
      </c>
    </row>
    <row r="53" spans="2:14" ht="25.8" x14ac:dyDescent="0.35">
      <c r="C53" s="15" t="s">
        <v>44</v>
      </c>
    </row>
    <row r="54" spans="2:14" ht="25.8" x14ac:dyDescent="0.35">
      <c r="C54" s="15" t="s">
        <v>45</v>
      </c>
    </row>
  </sheetData>
  <mergeCells count="12">
    <mergeCell ref="B49:N49"/>
    <mergeCell ref="B1:N4"/>
    <mergeCell ref="F8:G8"/>
    <mergeCell ref="F9:G9"/>
    <mergeCell ref="G19:I19"/>
    <mergeCell ref="B22:N22"/>
    <mergeCell ref="B30:N30"/>
    <mergeCell ref="B31:N31"/>
    <mergeCell ref="B32:N32"/>
    <mergeCell ref="B33:N33"/>
    <mergeCell ref="B47:N47"/>
    <mergeCell ref="B48:N48"/>
  </mergeCells>
  <dataValidations count="11">
    <dataValidation type="list" allowBlank="1" showInputMessage="1" showErrorMessage="1" sqref="K21" xr:uid="{913E7573-11E6-4FC8-B47A-8AF3362E3F90}">
      <formula1>"ADCB,ADCB PAY IN 2027,Ajman Bank,ADIB,DIB EXPAT,DIB LOCAL GVH,Emirates NBD,EIB,FAB,RAK,SIB STL,SIB NON STL"</formula1>
    </dataValidation>
    <dataValidation type="list" allowBlank="1" showInputMessage="1" showErrorMessage="1" sqref="D5" xr:uid="{E0907CC4-6ECD-4DCE-8953-A792EA10C02F}">
      <formula1>"MIG09,MIG10,ATG16,ATP16,ATG17,ASG48,ASG43,ASG40,ASG42,ASG44,ASG45,ECG38,ECG37,ECG40,ECG43,XPML,XPHL,XPMLP, XPMLP-01, XC,OTF03,OTP03,OTF06,OTP06, OTP06-01,OTF08, OTP08,MOP57,MOG64,MOG59,MOG59P,MOG61,MOP61"</formula1>
    </dataValidation>
    <dataValidation type="list" allowBlank="1" showInputMessage="1" showErrorMessage="1" sqref="M21" xr:uid="{10C896C6-ED42-42BF-838F-D18C6A7F709D}">
      <formula1>"3000-4999,5000-9999,10000-14999,15000-24999,25000-34999,35000-99999,5000-11999,12000-19999,20000-39999,40000-69999,70000-99999"</formula1>
    </dataValidation>
    <dataValidation type="list" allowBlank="1" showInputMessage="1" showErrorMessage="1" sqref="K20" xr:uid="{D646AB13-E902-42FE-AE2D-EA4906EE9195}">
      <formula1>"Esaad,Emirates Platinum,Fazaa,Humat Alwatan,Permissible,ASX,XPMLP,XP,MON,MON G57,OUT,F08,P08,F06,P06,F03,P03,EC,G37,G38,G40,G43"</formula1>
    </dataValidation>
    <dataValidation type="list" allowBlank="1" showInputMessage="1" showErrorMessage="1" sqref="L19:L20 L24:L25 G14:G15 C10:C16 L10 J10" xr:uid="{49DB8970-65A3-44B3-B8BE-7125438421EF}">
      <formula1>"YES,NO"</formula1>
    </dataValidation>
    <dataValidation type="list" allowBlank="1" showInputMessage="1" showErrorMessage="1" sqref="K24" xr:uid="{D572BB7C-C9F2-4616-ABC9-71CFF896E399}">
      <formula1>"RMC-10-70K,RMC-10-100000K,RMC-40-70K"</formula1>
    </dataValidation>
    <dataValidation type="list" allowBlank="1" showInputMessage="1" showErrorMessage="1" sqref="B16" xr:uid="{173A5A35-06C1-4361-8203-FE170C26420E}">
      <formula1>"RMC-10-40KMS,RMC-10-60KMS,RMC-10-70KMS,RMC-10-100000KMS,RMC-40-70KMS,RMC-40-100000KMS"</formula1>
    </dataValidation>
    <dataValidation type="list" allowBlank="1" showInputMessage="1" showErrorMessage="1" sqref="B12" xr:uid="{1138DD73-FC3D-497B-A6ED-8A457EA94E40}">
      <formula1>"FO Exterior ceramic All Cars SCOTCHGUARD,FO Mirror Camera Sensor,FO PPF Gold Package "</formula1>
    </dataValidation>
    <dataValidation type="list" allowBlank="1" showInputMessage="1" showErrorMessage="1" sqref="B11" xr:uid="{40758660-83FC-46FF-8FCC-8B06EB0E5881}">
      <formula1>"FO Ceramic+ Intr&amp;Extr CeramicGold WdwTnt,FO Mirror Camera Sensor"</formula1>
    </dataValidation>
    <dataValidation type="list" allowBlank="1" showInputMessage="1" showErrorMessage="1" sqref="M34" xr:uid="{63C54B9B-FC6D-49C0-A902-67F9CA9F5A9C}">
      <formula1>"Alaa,Bachir ,Khaled,Ramy,Simon,Mharen,Ranjith,Jihan,Praveen,Sujith,Mossallem"</formula1>
    </dataValidation>
    <dataValidation type="list" allowBlank="1" showInputMessage="1" showErrorMessage="1" sqref="H34" xr:uid="{5FE35025-F8D8-4461-97B0-A63065D79858}">
      <formula1>"ALAA HAMMAD,KHALED QASSEM,RAMY RAOUF,SIMON LOBO,MHAREN CLEMENTE GARADO"</formula1>
    </dataValidation>
  </dataValidations>
  <pageMargins left="0.23622047244094491" right="0.23622047244094491" top="0.74803149606299213" bottom="0.74803149606299213" header="0.31496062992125984" footer="0.31496062992125984"/>
  <pageSetup paperSize="9" scale="37" orientation="landscape" horizontalDpi="4294967295" verticalDpi="4294967295"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EFAFD4-4D5A-4446-9C9A-967B3BCE10E0}">
  <sheetPr>
    <pageSetUpPr fitToPage="1"/>
  </sheetPr>
  <dimension ref="A1:AB54"/>
  <sheetViews>
    <sheetView topLeftCell="B1" zoomScaleNormal="100" workbookViewId="0">
      <selection activeCell="D5" sqref="D5"/>
    </sheetView>
  </sheetViews>
  <sheetFormatPr defaultColWidth="9.109375" defaultRowHeight="20.399999999999999" x14ac:dyDescent="0.35"/>
  <cols>
    <col min="1" max="1" width="16" style="1" hidden="1" customWidth="1"/>
    <col min="2" max="2" width="75.5546875" style="2" customWidth="1"/>
    <col min="3" max="3" width="25.5546875" style="3" customWidth="1"/>
    <col min="4" max="4" width="25.33203125" style="2" customWidth="1"/>
    <col min="5" max="5" width="22.6640625" style="2" customWidth="1"/>
    <col min="6" max="6" width="21" style="2" customWidth="1"/>
    <col min="7" max="7" width="25" style="2" customWidth="1"/>
    <col min="8" max="8" width="29.44140625" style="2" bestFit="1" customWidth="1"/>
    <col min="9" max="9" width="32.109375" style="2" bestFit="1" customWidth="1"/>
    <col min="10" max="10" width="22" style="2" customWidth="1"/>
    <col min="11" max="11" width="23.33203125" style="2" customWidth="1"/>
    <col min="12" max="12" width="31" style="2" customWidth="1"/>
    <col min="13" max="13" width="23.5546875" style="2" customWidth="1"/>
    <col min="14" max="14" width="21.109375" style="2" customWidth="1"/>
    <col min="15" max="15" width="14.44140625" style="83" bestFit="1" customWidth="1"/>
    <col min="16" max="16" width="21.6640625" style="83" hidden="1" customWidth="1"/>
    <col min="17" max="17" width="14.33203125" style="86" hidden="1" customWidth="1"/>
    <col min="18" max="18" width="12.88671875" style="86" hidden="1" customWidth="1"/>
    <col min="19" max="19" width="13" style="86" hidden="1" customWidth="1"/>
    <col min="20" max="20" width="17.109375" style="86" hidden="1" customWidth="1"/>
    <col min="21" max="21" width="21.5546875" style="86" customWidth="1"/>
    <col min="22" max="22" width="22.88671875" style="86" customWidth="1"/>
    <col min="23" max="26" width="17.109375" style="86" bestFit="1" customWidth="1"/>
    <col min="27" max="27" width="15" style="86" customWidth="1"/>
    <col min="28" max="28" width="14.33203125" style="86" bestFit="1" customWidth="1"/>
    <col min="29" max="16384" width="9.109375" style="1"/>
  </cols>
  <sheetData>
    <row r="1" spans="1:28" ht="15.75" customHeight="1" x14ac:dyDescent="0.35">
      <c r="B1" s="121" t="s">
        <v>46</v>
      </c>
      <c r="C1" s="122"/>
      <c r="D1" s="122"/>
      <c r="E1" s="122"/>
      <c r="F1" s="122"/>
      <c r="G1" s="122"/>
      <c r="H1" s="122"/>
      <c r="I1" s="122"/>
      <c r="J1" s="122"/>
      <c r="K1" s="122"/>
      <c r="L1" s="122"/>
      <c r="M1" s="122"/>
      <c r="N1" s="123"/>
    </row>
    <row r="2" spans="1:28" ht="15.75" customHeight="1" x14ac:dyDescent="0.35">
      <c r="B2" s="124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6"/>
      <c r="Q2" s="83"/>
      <c r="S2" s="87"/>
    </row>
    <row r="3" spans="1:28" ht="15.75" customHeight="1" x14ac:dyDescent="0.35">
      <c r="B3" s="124"/>
      <c r="C3" s="125"/>
      <c r="D3" s="125"/>
      <c r="E3" s="125"/>
      <c r="F3" s="125"/>
      <c r="G3" s="125"/>
      <c r="H3" s="125"/>
      <c r="I3" s="125"/>
      <c r="J3" s="125"/>
      <c r="K3" s="125"/>
      <c r="L3" s="125"/>
      <c r="M3" s="125"/>
      <c r="N3" s="126"/>
      <c r="O3" s="82"/>
      <c r="P3" s="82"/>
      <c r="Q3" s="81"/>
      <c r="R3" s="81"/>
      <c r="S3" s="88" t="e">
        <f>N7+J14</f>
        <v>#VALUE!</v>
      </c>
      <c r="T3" s="88"/>
      <c r="U3" s="81"/>
      <c r="V3" s="81"/>
      <c r="W3" s="81"/>
      <c r="AA3" s="86">
        <f>273000/5</f>
        <v>54600</v>
      </c>
    </row>
    <row r="4" spans="1:28" ht="15.75" customHeight="1" x14ac:dyDescent="0.4">
      <c r="B4" s="127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9"/>
      <c r="O4" s="89" t="s">
        <v>0</v>
      </c>
      <c r="P4" s="89"/>
      <c r="Q4" s="90"/>
      <c r="R4" s="90"/>
      <c r="S4" s="91"/>
      <c r="T4" s="91"/>
      <c r="U4" s="90" t="s">
        <v>1</v>
      </c>
      <c r="V4" s="90" t="s">
        <v>2</v>
      </c>
      <c r="W4" s="90" t="s">
        <v>3</v>
      </c>
    </row>
    <row r="5" spans="1:28" ht="25.2" thickBot="1" x14ac:dyDescent="0.45">
      <c r="B5" s="17">
        <f ca="1">TODAY()</f>
        <v>46215</v>
      </c>
      <c r="C5" s="18" t="str">
        <f>IF(D5="MIG09","Mirage G09",IF(D5="MIG10","MirageG10",IF(D5="ATG16","Attrage G16",IF(D5="ATP16","Attrage P16",IF(D5="ATG17","Attrage G17",IF(D5="ASG48","ASX G48",IF(D5="ASG43","ASX G43", IF(D5="ASG40","ASXG40",IF(D5="ASG42","ASX G42",IF(D5="ASG44","ASX G44",IF(D5="ASG45","ASX G45",IF(D5="ECG38","Eclipse G38",IF(D5="ECG37","Eclipse G37",IF(D5="ECG40","Eclipse G40",IF(D5="ECG43","Eclipse G43",IF(D5="XPML","Xpander ML",IF(D5="XPHL","Xpander HL",IF(D5="XPMLP","Xpander ML P",IF(D5="XPMLP-01","Xpander ML P-01",IF(D5="XC","Xpander Cross", IF(D5="OTF03","Outlander F03",IF(D5="OTP03","Outlander P03",IF(D5="OTF06","Outlander F06",IF(D5="OTP06","Outlander P06",IF(D5="OTP06-01","Outlander P06-01",IF(D5="OTF08","Outlander F08",IF(D5="OTP08","Outlander P08P", IF(D5="MOP57","Montero P57",IF(D5="MOG64","Montero G64",IF(D5="MOG59","Montero G59",IF(D5="MOG59P","Montero G59 P",IF(D5="MOG61","Montero G61",IF(D5="MOP61","Montero P61")))))))))))))))))))))))))))))))))</f>
        <v>ASXG40</v>
      </c>
      <c r="D5" s="19" t="s">
        <v>93</v>
      </c>
      <c r="E5" s="20" t="s">
        <v>47</v>
      </c>
      <c r="F5" s="21"/>
      <c r="G5" s="21"/>
      <c r="H5" s="21"/>
      <c r="I5" s="22"/>
      <c r="J5" s="23"/>
      <c r="K5" s="24">
        <v>0</v>
      </c>
      <c r="L5" s="25">
        <v>3.39E-2</v>
      </c>
      <c r="M5" s="25">
        <v>6.7799999999999999E-2</v>
      </c>
      <c r="N5" s="25">
        <v>0.1017</v>
      </c>
      <c r="O5" s="92">
        <f>K7+K14</f>
        <v>8142.8009931124998</v>
      </c>
      <c r="S5" s="87"/>
      <c r="U5" s="87">
        <f>L7+L14</f>
        <v>3317.9862638503473</v>
      </c>
      <c r="V5" s="87">
        <f>M7+M14</f>
        <v>2219.5260232062501</v>
      </c>
      <c r="W5" s="87">
        <f>N7+N14</f>
        <v>1538.0223332947917</v>
      </c>
    </row>
    <row r="6" spans="1:28" s="5" customFormat="1" ht="128.25" customHeight="1" thickBot="1" x14ac:dyDescent="0.35">
      <c r="A6" s="4" t="s">
        <v>4</v>
      </c>
      <c r="B6" s="26" t="s">
        <v>5</v>
      </c>
      <c r="C6" s="27" t="s">
        <v>6</v>
      </c>
      <c r="D6" s="27" t="s">
        <v>48</v>
      </c>
      <c r="E6" s="27" t="s">
        <v>7</v>
      </c>
      <c r="F6" s="27" t="s">
        <v>8</v>
      </c>
      <c r="G6" s="28" t="s">
        <v>9</v>
      </c>
      <c r="H6" s="28" t="s">
        <v>49</v>
      </c>
      <c r="I6" s="28" t="s">
        <v>10</v>
      </c>
      <c r="J6" s="28" t="s">
        <v>56</v>
      </c>
      <c r="K6" s="28" t="s">
        <v>11</v>
      </c>
      <c r="L6" s="28" t="s">
        <v>12</v>
      </c>
      <c r="M6" s="28" t="s">
        <v>13</v>
      </c>
      <c r="N6" s="28" t="s">
        <v>14</v>
      </c>
      <c r="O6" s="93"/>
      <c r="P6" s="94"/>
      <c r="Q6" s="95"/>
      <c r="R6" s="95"/>
      <c r="S6" s="95"/>
      <c r="T6" s="96"/>
      <c r="U6" s="96">
        <f>N7+L14</f>
        <v>2606.000691628125</v>
      </c>
      <c r="V6" s="96">
        <f>N7+K14</f>
        <v>6540.8334556125001</v>
      </c>
      <c r="W6" s="96"/>
      <c r="X6" s="95"/>
      <c r="Y6" s="95"/>
      <c r="Z6" s="95"/>
      <c r="AA6" s="95"/>
      <c r="AB6" s="95"/>
    </row>
    <row r="7" spans="1:28" ht="25.2" thickBot="1" x14ac:dyDescent="0.45">
      <c r="A7" s="6">
        <f>B8</f>
        <v>63900</v>
      </c>
      <c r="B7" s="29">
        <f>IF(L20="YES",C8*1,IF(L20="NO",B8*1))</f>
        <v>63900</v>
      </c>
      <c r="C7" s="29">
        <f>B7*5/100</f>
        <v>3195</v>
      </c>
      <c r="D7" s="29">
        <f>B7+C7</f>
        <v>67095</v>
      </c>
      <c r="E7" s="29">
        <f>D17</f>
        <v>12673.376875</v>
      </c>
      <c r="F7" s="29">
        <f>(C7)+(D10+D11+D12+D13+D16)*5/100</f>
        <v>3525</v>
      </c>
      <c r="G7" s="30">
        <f>B7+E7+F7</f>
        <v>80098.376875000002</v>
      </c>
      <c r="H7" s="29">
        <f>G7*D20</f>
        <v>16019.675375000001</v>
      </c>
      <c r="I7" s="29">
        <f>(G7-H7)</f>
        <v>64078.701500000003</v>
      </c>
      <c r="J7" s="30">
        <f>(((I7*D19)*1)+I7)/12</f>
        <v>5472.8550972791672</v>
      </c>
      <c r="K7" s="30">
        <f>(((I7*D19)*2)+I7)/24</f>
        <v>2802.9092014458333</v>
      </c>
      <c r="L7" s="30">
        <f>(((I7*D19)*3)+I7)/36</f>
        <v>1912.9272361680555</v>
      </c>
      <c r="M7" s="30">
        <f>(((I7*D19)*4)+I7)/48</f>
        <v>1467.9362535291666</v>
      </c>
      <c r="N7" s="30">
        <f>((((I7*D19)*5)+I7)/60)</f>
        <v>1200.9416639458334</v>
      </c>
      <c r="O7" s="92"/>
      <c r="P7" s="83">
        <f>H7+H16</f>
        <v>16692.501740750002</v>
      </c>
      <c r="T7" s="87">
        <f>25973/2</f>
        <v>12986.5</v>
      </c>
    </row>
    <row r="8" spans="1:28" ht="24.6" x14ac:dyDescent="0.4">
      <c r="A8" s="7">
        <v>0.2</v>
      </c>
      <c r="B8" s="31">
        <f>IF(D5="MIG09",39900,IF(D5="MIG10",40400,IF(D5="ATG16",40400,IF(D5="ATP16",49900,IF(D5="ATG17",41900,IF(D5="ASG48",63900,IF(D5="ASG43",62900,IF(D5="ASG40",63900,IF(D5="ASG42",68900,IF(D5="ASG44",89900,IF(D5="ASG45",95900,IF(D5="ECG38",73900,IF(D5="ECG37",70900,IF(D5="ECG40",86900,IF(D5="ECG43",91900,IF(D5="XPML",62900,IF(D5="XPHL",62900,IF(D5="XPMLP",69900,IF(D5="XPMLP-01",77800,IF(D5="XC",77900,IF(D5="OTF03",96900,IF(D5="OTP03",79900,IF(D5="OTF06",92900,IF(D5="OTP06",111900,IF(D5="OTP06-01",118900,IF(D5="OTF08",122900,IF(D5="OTP08",109900,IF(D5="MOP57",99900,IF(D5="MOG64",108900,IF(D5="MOG59",116900,IF(D5="MOG59P",110900,IF(D5="MOG61",127900,IF(D5="MOP61",125900)))))))))))))))))))))))))))))))))</f>
        <v>63900</v>
      </c>
      <c r="C8" s="32">
        <f>IF(L20="YES",N20,IF(L20="NO",N20))</f>
        <v>63900</v>
      </c>
      <c r="D8" s="29">
        <v>0</v>
      </c>
      <c r="E8" s="33"/>
      <c r="F8" s="139"/>
      <c r="G8" s="140"/>
      <c r="H8" s="110">
        <f>G7*20/100</f>
        <v>16019.675375000001</v>
      </c>
      <c r="I8" s="21"/>
      <c r="J8" s="34" t="s">
        <v>15</v>
      </c>
      <c r="K8" s="23">
        <f>(J7*K5+J7)/24</f>
        <v>228.03562905329863</v>
      </c>
      <c r="L8" s="23">
        <f>(J7*L5+J7)/36</f>
        <v>157.17735791880364</v>
      </c>
      <c r="M8" s="23">
        <f>(J7*M5+J7)/48</f>
        <v>121.74822235155614</v>
      </c>
      <c r="N8" s="23">
        <f>(J7*N5+J7)/60</f>
        <v>100.49074101120763</v>
      </c>
      <c r="O8" s="92"/>
      <c r="P8" s="83">
        <f>P7/12</f>
        <v>1391.0418117291667</v>
      </c>
      <c r="T8" s="86">
        <f>25973-12973</f>
        <v>13000</v>
      </c>
    </row>
    <row r="9" spans="1:28" ht="24.6" x14ac:dyDescent="0.4">
      <c r="A9" s="8">
        <f>B8/(100%-A8)</f>
        <v>79875</v>
      </c>
      <c r="B9" s="109">
        <f>B7-B8</f>
        <v>0</v>
      </c>
      <c r="C9" s="35"/>
      <c r="D9" s="36"/>
      <c r="E9" s="33"/>
      <c r="F9" s="139"/>
      <c r="G9" s="140"/>
      <c r="H9" s="33"/>
      <c r="I9" s="37" t="s">
        <v>16</v>
      </c>
      <c r="J9" s="38">
        <f>(J7*12)-(I7)</f>
        <v>1595.559667350004</v>
      </c>
      <c r="K9" s="38">
        <f>(K7*24)-I7</f>
        <v>3191.1193347000008</v>
      </c>
      <c r="L9" s="38">
        <f>(L7*36)-I7</f>
        <v>4786.6790020499975</v>
      </c>
      <c r="M9" s="38">
        <f>(M7*48)-I7</f>
        <v>6382.2386693999943</v>
      </c>
      <c r="N9" s="38">
        <f>(N7*60)-I7</f>
        <v>7977.7983367500055</v>
      </c>
      <c r="O9" s="92"/>
      <c r="T9" s="86">
        <f>T8/12</f>
        <v>1083.3333333333333</v>
      </c>
      <c r="Z9" s="86" t="s">
        <v>86</v>
      </c>
    </row>
    <row r="10" spans="1:28" ht="24.6" x14ac:dyDescent="0.4">
      <c r="A10" s="8"/>
      <c r="B10" s="37" t="s">
        <v>50</v>
      </c>
      <c r="C10" s="20" t="s">
        <v>17</v>
      </c>
      <c r="D10" s="36">
        <f>IF(C10="YES",800,IF(C10="NO",0))</f>
        <v>0</v>
      </c>
      <c r="E10" s="39"/>
      <c r="F10" s="40"/>
      <c r="G10" s="40"/>
      <c r="H10" s="33"/>
      <c r="I10" s="44" t="s">
        <v>85</v>
      </c>
      <c r="J10" s="117" t="s">
        <v>19</v>
      </c>
      <c r="K10" s="117">
        <f>IF(J10="YES",Z10,IF(J10="NO",0))</f>
        <v>1000</v>
      </c>
      <c r="L10" s="117"/>
      <c r="M10" s="117"/>
      <c r="N10" s="41">
        <f>(N8*60)-J7</f>
        <v>556.58936339329102</v>
      </c>
      <c r="O10" s="92">
        <f>IF(D5="XC",3690,IF(D5="XPML",3690,IF(D5="XPHL",3690,IF(D5="XPMLP",3690,IF(D5="XPMLP-01",3690,IF(D5="Xpander P",3690,IF(D5="MOP57",(U19*2.75/100+510)*1.05,IF(D5="MOG64",(U19*2.75/100+510)*1.05,IF(D5="MOG59",(U19*2.75/100+510)*1.05,IF(D5="MOG59P",(U19*2.75/100+510)*1.05,IF(D5="MOG61",(U19*2.75/100+510)*1.05,IF(D5="MOP61",(U19*2.75/100+510)*1.05,IF(D5="OTF03",(D7*3/100+510)*1.05,IF(D5="OTP03",(U19*3/100+510)*1.05,IF(D5="OTF06",(U19*3/100+510)*1.05,IF(D5="OTP06",(U19*3/100+510)*1.05,IF(D5="OTP06-01",(U19*3/100+510)*1.05,IF(D5="OTF08",(U19*3/100+510)*1.05,IF(D5="OTP08",(U19*3/100+510)*1.05,IF(D5="ECG38",3625,IF(D5="ECG37",3625,IF(D5="ECG40",(D7*3/100+510)*1.05,IF(D5="ECG43",(D7*3/100+510)*1.05,IF(D5="ASG48",3625,IF(D5="ASG43",3625,IF(D5="ASG40",3625,IF(D5="ASG42",3625,IF(D5="ASG44",3625,IF(D5="ASG45",3625,IF(D5="ASX HL 4WD",3625,IF(D5="ATG16",3625,IF(D5="ATG17",3625,IF(D5="ATP16",3625,IF(D5="Attrage S",3625,IF(D5="MIG09",3625,IF(D5="MIG10",3625,IF(D5="Xpander HL",3690)))))))))))))))))))))))))))))))))))))</f>
        <v>3625</v>
      </c>
      <c r="P10" s="97"/>
      <c r="Q10" s="97">
        <f>5.25*3</f>
        <v>15.75</v>
      </c>
      <c r="Z10" s="86">
        <f>IF(D5="MIG09",500,IF(D5="MIG10",500,IF(D5="ATG16",500,IF(D5="ATP16",500,IF(D5="ATG17",500,IF(D5="ASG48",1000,IF(D5="ASG43",1000,IF(D5="ASG40",1000,IF(D5="ASG42",1000,IF(D5="ASG44",1000,IF(D5="ASG45",1000,IF(D5="ECG38",1000,IF(D5="ECG37",1000,IF(D5="ECG40",1000,IF(D5="ECG43",1000,IF(D5="XPML",1000,IF(D5="XPHL",1000,IF(D5="XPMLP",1000,IF(D5="XPMLP-01",1000,IF(D5="XC",1000,IF(D5="OTF03",1000,IF(D5="OTP03",1000,IF(D5="OTF06",1000,IF(D5="OTP06",1000,IF(D5="OTP06-01",1000,IF(D5="OTF08",1000,IF(D5="OTP08",1000,IF(D5="MOP57",1000,IF(D5="MOG64",1000,IF(D5="MOG59",1000,IF(D5="MOG59P",1000,IF(D5="MOG61",1000,IF(D5="MOP61",1000)))))))))))))))))))))))))))))))))</f>
        <v>1000</v>
      </c>
    </row>
    <row r="11" spans="1:28" ht="24.6" x14ac:dyDescent="0.4">
      <c r="A11" s="8"/>
      <c r="B11" s="37" t="s">
        <v>18</v>
      </c>
      <c r="C11" s="20" t="s">
        <v>17</v>
      </c>
      <c r="D11" s="36">
        <f>IF(C11="YES",O17,IF(C11="NO",0))</f>
        <v>0</v>
      </c>
      <c r="E11" s="33"/>
      <c r="F11" s="40"/>
      <c r="G11" s="40"/>
      <c r="H11" s="33"/>
      <c r="I11" s="21"/>
      <c r="J11" s="44" t="s">
        <v>76</v>
      </c>
      <c r="K11" s="44">
        <f>H8-K10</f>
        <v>15019.675375000001</v>
      </c>
      <c r="L11" s="37"/>
      <c r="M11" s="37"/>
      <c r="N11" s="42"/>
      <c r="O11" s="92">
        <f>IF(D5="XC",6100,IF(D5="XPML",6100,IF(D5="XPHL",6100,IF(D5="XPMLP",6100,IF(D5="XPMLP-01",6100,IF(D5="Xpander P",6100,IF(D5="MOP57",5900,IF(D5="MOG64",5900,IF(D5="MOG59",5900,IF(D5="MOG59P",5900,IF(D5="MOG61",5900,IF(D5="MOP61",5900,IF(D5="OTF03",6700,IF(D5="OTP03",6700,IF(D5="OTF06",6700,IF(D5="OTP06",6700,IF(D5="OTP06-01",6700,IF(D5="OTF08",6700,IF(D5="OTP08",6700,IF(D5="ECG37",6400,IF(D5="ECG38",6400,IF(D5="ECG40",6400,IF(D5="ECG43",6400,IF(D5="ASG48",6600,IF(D5="ASG43",6600,IF(D5="ASG40",6600,IF(D5="ASG42",6600,IF(D5="ASG44",6600,IF(D5="ASG45",6600,IF(D5="ASX HL 4WD",6600,IF(D5="ATG16",5400,IF(D5="ATG17",5400,IF(D5="ATP16",5400,IF(D5="Attrage S",5400,IF(D5="MIG09",5400,IF(D5="MIG10",5400,IF(D5="Xpander HL",6000)))))))))))))))))))))))))))))))))))))</f>
        <v>6600</v>
      </c>
      <c r="P11" s="92"/>
      <c r="Q11" s="92"/>
      <c r="R11" s="92"/>
      <c r="S11" s="92"/>
      <c r="T11" s="92"/>
      <c r="U11" s="92">
        <f>IF(D5="XC",4900,IF(D5="XPML",4900,IF(D5="XPHL",4900,IF(D5="XPMLP",4900,IF(D5="XPMLP-01",4900,IF(D5="Xpander P",4900,IF(D5="MOP57",4600,IF(D5="MOG64",4600,IF(D5="MOG59",4600,IF(D5="MOG59P",4600,IF(D5="MOG61",4600,IF(D5="MOP61",4600,IF(D5="OTF03",5500,IF(D5="OTP03",5500,IF(D5="OTF06",5500,IF(D5="OTP06",5500,IF(D5="OTP06-01",5500,IF(D5="OTF08",5500,IF(D5="OTP08",5500,IF(D5="ECG38",5200,IF(D5="ECG37",5200,IF(D5="ECG40",5200,IF(D5="ECG43",5200,IF(D5="ASG48",5300,IF(D5="ASG43",5300,IF(D5="ASG40",5300,IF(D5="ASG42",5300,IF(D5="ASG44",5300,IF(D5="ASG45",5300,IF(D5="ASX HL",5300,IF(D5="ASX P",5300,IF(D5="ASX HL 4WD",5300,IF(D5="ATG16",4200,IF(D5="ATG17",4200,IF(D5="ATP16",4200,IF(D5="Attrage S",4200,IF(D5="MIG09",4200,IF(D5="MIG10",4200,IF(D5="Xpander HL",4900)))))))))))))))))))))))))))))))))))))))</f>
        <v>5300</v>
      </c>
      <c r="V11" s="92">
        <f>IF(D5="XC",9700,IF(D5="XPML",9700,IF(D5="XPHL",9700,IF(D5="XPMLP",9700,IF(D5="XPMLP-01",9700,IF(D5="XPMLP-01",9700,IF(D5="Xpander P",9700,IF(D5="MOP57",9300,IF(D5="MG64",9300,IF(D5="MOG59",9300,IF(D5="MOG59P",9300,IF(D5="MOG61",9300,IF(D5="MOP61",9300,IF(D5="OTF03",11000,IF(D5="OTP03",11000,IF(D5="OTF06",11000,IF(D5="OTP06",11000,IF(D5="OTP06-01",11000,IF(D5="OTF08",11000,IF(D5="OTP08",11000,IF(D5="ECG38",10400,IF(D5="ECG37",10400,IF(D5="ECG40",10400,IF(D5="ECG43",10400,IF(D5="ASG48",10700,IF(D5="ASG43",10700,IF(D5="ASG40",10700,IF(D5="ASG42",10700,IF(D5="ASG44",10800,IF(D5="ASG45",10800,IF(D5="ASX HL",12200,IF(D5="ASX P",12200,IF(D5="ASX HL 4WD",12200,IF(D5="ATG16",8500,IF(D5="ATG17",8500,IF(D5="ATP16",8500,IF(D5="Attrage S",9600,IF(D5="MIG09",8500,IF(D5="MIG10",8500,IF(D5="Xpander HL",11300))))))))))))))))))))))))))))))))))))))))</f>
        <v>10700</v>
      </c>
      <c r="W11" s="92">
        <f>IF(D5="XC",9200,IF(D5="XPML",9200,IF(D5="XPHL",9200,IF(D5="XPMLP",9200,IF(D5="XPMLP-01",9200,IF(D5="Xpander P",9200,IF(D5="MOP57",8700,IF(D5="MOG64",8700,IF(D5="MOG59",8700,IF(D5="MOG59P",8700,IF(D5="MOG61",8700,IF(D5="MOP61",8700,IF(D5="OTF03",10400,IF(D5="OTP03",10400,IF(D5="OTF06",10400,IF(D5="OTP06",10400,IF(D5="OTP06-01",10400,IF(D5="OTF08",10400,IF(D5="OTP08",10400,IF(D5="ECG38",9800,IF(D5="ECG37",9800,IF(D5="ECG40",9800,IF(D5="ECG43",9800,IF(D5="ASG48",10100,IF(D5="ASG43",10100,IF(D5="ASG40",10100,IF(D5="ASG42",10100,IF(D5="ASG44",10100,IF(D5="ASG45",10100,IF(D5="ASX HL",10100,IF(D5="ASX P",10100,IF(D5="ASX HL 4WD",10100,IF(D5="ATG16",7900,IF(D5="ATG17",7900,IF(D5="ATP16",7900,IF(D5="Attrage S",7900,IF(D5="MIG09",7900,IF(D5="MIG10",7900,IF(D5="Xpander HL",9200)))))))))))))))))))))))))))))))))))))))</f>
        <v>10100</v>
      </c>
      <c r="X11" s="92">
        <f>IF(D5="XC",4500,IF(D5="XPML",4500,IF(D5="XPHL",4500,IF(D5="XPMLP",4500,IF(D5="XPMLP-01",4500,IF(D5="Xpander P",4500,IF(D5="MOP57",4300,IF(D5="MOG64",4300,IF(D5="MOG59",4300,IF(D5="MOG59P",4300,IF(D5="MOG61",4300,IF(D5="MOP61",4300,IF(D5="OTF03",5000,IF(D5="OTP03",5000,IF(D5="OTF06",5000,IF(D5="OTP06",5000,IF(D5="OTP06-01",5000,IF(D5="OTF08",5000,IF(D5="OTP08",5000,IF(D5="ECG38",4900,IF(D5="ECG37",4900,IF(D5="ECG40",4900,IF(D5="ECG43",4900,IF(D5="ASG48",4900,IF(D5="ASG43",4900,IF(D5="ASG40",4900,IF(D5="ASG42",4900,IF(D5="ASG44",4900,IF(D5="ASG45",4900,IF(D5="ASX HL",4900,IF(D5="ASX P",4900,IF(D5="ASX HL 4WD",4900,IF(D5="ATG16",3700,IF(D5="ATG17",3700,IF(D5="ATP16",3700,IF(D5="Attrage S",3700,IF(D5="MIG09",3700,IF(D5="MIG10",3700,IF(D5="Xpander HL",4500)))))))))))))))))))))))))))))))))))))))</f>
        <v>4900</v>
      </c>
      <c r="Y11" s="92">
        <f>IF(D5="XC",5400,IF(D5="XPML ",5400,IF(D5="XPHL",5400,IF(D5="XPMLP",5400,IF(D5="XPMLP-01",5400,IF(D5="Xpander P",5400,IF(D5="MOP57",5200,IF(D5="MOG64",5200,IF(D5="MOG59",5200,IF(D5="MOG59P",5200,IF(D5="MOG61",5200,IF(D5="MOP61",5200,IF(D5="OTF03",6000,IF(D5="OTP03",6000,IF(D5="OTF06",6000,IF(D5="OTP06",6000,IF(D5="OTP06-01",6000,IF(D5="OTF08",6000,IF(D5="OTP08",6000,IF(D5="ECG38",5700,IF(D5="ECG37",5700,IF(D5="ECG40",5700,IF(D5="ECG43",5700,IF(D5="ASG48",5900,IF(D5="ASG43",5900,IF(D5="ASG40",5900,IF(D5="ASG42",5900,IF(D5="ASG44",5900,IF(D5="ASG45",5900,IF(D5="ASX HL",5900,IF(D5="ASX P",5900,IF(D5="ASX HL 4WD",5900,IF(D5="ATG16",4500,IF(D5="ATG17",4500,IF(D5="ATP16",4500,IF(D5="Attrage S",4500,IF(D5="MIG09",4500,IF(D5="MIG10",4500,IF(D5="Xpander HL",5400)))))))))))))))))))))))))))))))))))))))</f>
        <v>5900</v>
      </c>
    </row>
    <row r="12" spans="1:28" ht="24.75" customHeight="1" x14ac:dyDescent="0.4">
      <c r="A12" s="8"/>
      <c r="B12" s="37" t="s">
        <v>20</v>
      </c>
      <c r="C12" s="20" t="s">
        <v>17</v>
      </c>
      <c r="D12" s="36">
        <f>IF(C12="YES",2000,IF(C12="NO",0))</f>
        <v>0</v>
      </c>
      <c r="E12" s="43"/>
      <c r="F12" s="43" t="s">
        <v>21</v>
      </c>
      <c r="G12" s="40"/>
      <c r="H12" s="33">
        <v>600</v>
      </c>
      <c r="I12" s="21"/>
      <c r="J12" s="44" t="s">
        <v>22</v>
      </c>
      <c r="K12" s="45">
        <v>0</v>
      </c>
      <c r="L12" s="45">
        <v>5.2499999999999998E-2</v>
      </c>
      <c r="M12" s="45">
        <v>0.126</v>
      </c>
      <c r="N12" s="46">
        <v>0.26250000000000001</v>
      </c>
      <c r="O12" s="92">
        <f>IF(K20="Esaad",B8*3/100,IF(K20="Emirates Platinum",B8*3/100,IF(K20="Fazaa",B8*3/100,IF(K20="Humat Alwatan",B8*3/100,IF(K20="Permissible",2000,IF(K20="ASX",8400,IF(K20="XPMLP",4000,IF(K20="XP",14100,IF(K20="G43",11000,IF(K20="EC",7000,IF(K20="G37",14000,IF(K20="G38",15000,IF(K20="G40",11000,IF(K20="OUT",9600,IF(K20="F08",15400,IF(K20="P08",11100,IF(K20="F06",14100,IF(K20="P06",17100,IF(K20="F03",17000,IF(K20="P03",19100,IF(K20="MON",10000,IF(K20="MON G57",10000,0))))))))))))))))))))))</f>
        <v>2000</v>
      </c>
      <c r="P12" s="92"/>
      <c r="Q12" s="92"/>
      <c r="R12" s="92"/>
      <c r="S12" s="92"/>
      <c r="T12" s="92"/>
      <c r="U12" s="92"/>
      <c r="V12" s="92"/>
      <c r="W12" s="92"/>
      <c r="X12" s="92"/>
      <c r="Y12" s="92"/>
      <c r="Z12" s="86" t="s">
        <v>83</v>
      </c>
      <c r="AA12" s="86" t="s">
        <v>84</v>
      </c>
    </row>
    <row r="13" spans="1:28" ht="24.6" x14ac:dyDescent="0.4">
      <c r="A13" s="8">
        <f>B8*1.26582</f>
        <v>80885.898000000001</v>
      </c>
      <c r="B13" s="37" t="s">
        <v>23</v>
      </c>
      <c r="C13" s="20" t="s">
        <v>17</v>
      </c>
      <c r="D13" s="36">
        <f>IF(C13="YES",2000,IF(C13="NO",0))</f>
        <v>0</v>
      </c>
      <c r="E13" s="47"/>
      <c r="F13" s="47" t="s">
        <v>75</v>
      </c>
      <c r="G13" s="40"/>
      <c r="H13" s="33">
        <v>315</v>
      </c>
      <c r="I13" s="21"/>
      <c r="J13" s="44" t="s">
        <v>54</v>
      </c>
      <c r="K13" s="29" t="s">
        <v>79</v>
      </c>
      <c r="L13" s="29" t="s">
        <v>25</v>
      </c>
      <c r="M13" s="29" t="s">
        <v>0</v>
      </c>
      <c r="N13" s="49" t="s">
        <v>26</v>
      </c>
      <c r="O13" s="98">
        <f>IF(M21="3000-4999",6%,IF(M21="5000-9999",4.75%,IF(M21="10000-14999",3.15%,IF(M21="15000-24999",2.5%,IF(M21="25000-34999",2.25%,IF(M21="35000-99999",2.25%))))))</f>
        <v>4.7500000000000001E-2</v>
      </c>
      <c r="Q13" s="83">
        <f>H7/12</f>
        <v>1334.9729479166667</v>
      </c>
      <c r="U13" s="9">
        <f>IF(M21="3000-4999",6%,IF(M21="5000-9999",3.25%,IF(M21="10000-14999",3%,IF(M21="15000-24999",2.25%,IF(M21="25000-34999",2.15%,IF(M21="35000-99999",1.99%))))))</f>
        <v>3.2500000000000001E-2</v>
      </c>
      <c r="Z13" s="99">
        <f>IF(M21="5000-9999",2.49%,IF(M21="10000-19999",2.19%,IF(M21="20000-34999",2.09%,IF(M21="35000-49999",1.89%,IF(M21="50000-99999",1.79%)))))</f>
        <v>2.4900000000000002E-2</v>
      </c>
      <c r="AA13" s="99">
        <f>IF(M21="5000-9999",2.59%,IF(M21="10000-19999",2.29%,IF(M21="20000-34999",2.19%,IF(M21="35000-49999",1.99%,IF(M21="50000-99999",1.89%)))))</f>
        <v>2.5899999999999999E-2</v>
      </c>
    </row>
    <row r="14" spans="1:28" ht="24.6" x14ac:dyDescent="0.4">
      <c r="A14" s="10" t="s">
        <v>27</v>
      </c>
      <c r="B14" s="37" t="s">
        <v>24</v>
      </c>
      <c r="C14" s="20" t="s">
        <v>19</v>
      </c>
      <c r="D14" s="50">
        <f>IF(C14="YES",U19*3.15*1.05/100,IF(C14="NO",U19*0/100))</f>
        <v>2448.3768749999999</v>
      </c>
      <c r="E14" s="48"/>
      <c r="F14" s="48" t="s">
        <v>24</v>
      </c>
      <c r="G14" s="51" t="s">
        <v>17</v>
      </c>
      <c r="H14" s="39">
        <f>IF(G14="YES",U19*3.15*1.05/100,IF(G14="NO",U19*0/100))</f>
        <v>0</v>
      </c>
      <c r="I14" s="21"/>
      <c r="J14" s="44" t="s">
        <v>55</v>
      </c>
      <c r="K14" s="44">
        <f>(H8*K12+H8)/3</f>
        <v>5339.8917916666669</v>
      </c>
      <c r="L14" s="44">
        <f>(H8*L12+H8)/12</f>
        <v>1405.0590276822916</v>
      </c>
      <c r="M14" s="44">
        <f>(H8*M12+H8)/24</f>
        <v>751.58976967708338</v>
      </c>
      <c r="N14" s="52">
        <f>(H7*N12+H7)/60</f>
        <v>337.08066934895834</v>
      </c>
      <c r="O14" s="98">
        <f>IF(M21="3000-4999",3.89%,IF(M21="5000-9999",3.89%,IF(M21="10000-14999",3.89%,IF(M21="15000-24999",2.69%,IF(M21="25000-34999",2.69%,IF(M21="35000-99999",2.39%,IF(M21="76000-99999",2.19%)))))))</f>
        <v>3.8900000000000004E-2</v>
      </c>
    </row>
    <row r="15" spans="1:28" ht="24.6" x14ac:dyDescent="0.4">
      <c r="A15" s="11">
        <f>(B7*3%)+10+120</f>
        <v>2047</v>
      </c>
      <c r="B15" s="37" t="s">
        <v>28</v>
      </c>
      <c r="C15" s="20" t="s">
        <v>19</v>
      </c>
      <c r="D15" s="29">
        <f>IF(C15="YES",O10,IF(C15="NO",0))</f>
        <v>3625</v>
      </c>
      <c r="E15" s="48"/>
      <c r="F15" s="48" t="s">
        <v>53</v>
      </c>
      <c r="G15" s="51" t="s">
        <v>17</v>
      </c>
      <c r="H15" s="39">
        <f>IF(G15="YES",O10,IF(G15="NO",0))</f>
        <v>0</v>
      </c>
      <c r="I15" s="21"/>
      <c r="J15" s="44"/>
      <c r="K15" s="44"/>
      <c r="L15" s="44"/>
      <c r="M15" s="44"/>
      <c r="N15" s="53"/>
      <c r="O15" s="98" t="b">
        <f>IF(M21="3000-4999",4.99%, IF(M21="5000-11999",2.75%,IF(M21="12000-19999",2.75%,IF(M21="20000-39999",2.25%,IF(M21="40000-69999",2.39%,IF(M21="70000-99999",2.25%))))))</f>
        <v>0</v>
      </c>
      <c r="P15" s="99"/>
    </row>
    <row r="16" spans="1:28" ht="24.6" x14ac:dyDescent="0.4">
      <c r="A16" s="11">
        <f>((B7-B8)*3%+10+120)</f>
        <v>130</v>
      </c>
      <c r="B16" s="37" t="s">
        <v>78</v>
      </c>
      <c r="C16" s="20" t="s">
        <v>19</v>
      </c>
      <c r="D16" s="29">
        <f>IF(C16="YES",O16,IF(C16="NO",0))</f>
        <v>6600</v>
      </c>
      <c r="E16" s="47"/>
      <c r="F16" s="47" t="s">
        <v>74</v>
      </c>
      <c r="G16" s="54"/>
      <c r="H16" s="33">
        <f>I7*1.05%</f>
        <v>672.82636575000004</v>
      </c>
      <c r="I16" s="21"/>
      <c r="J16" s="44" t="s">
        <v>16</v>
      </c>
      <c r="K16" s="44">
        <f>(K14*3)-H8</f>
        <v>0</v>
      </c>
      <c r="L16" s="44">
        <f>(L14*12)-H8</f>
        <v>841.03295718749905</v>
      </c>
      <c r="M16" s="44">
        <f>(M14*24)-H8</f>
        <v>2018.4790972499995</v>
      </c>
      <c r="N16" s="53"/>
      <c r="O16" s="92">
        <f>IF(B16="RMC-10-70KMS",O11,IF(B16="RMC-10-100000KMS",V11,IF(B16="RMC-40-70KMS",U11, IF(B16="RMC-10-40KMS",X11, IF(B16="RMC-10-60KMS",Y11, IF(B16="RMC-40-100000KMS",W11,0))))))</f>
        <v>6600</v>
      </c>
    </row>
    <row r="17" spans="1:28" ht="24.6" x14ac:dyDescent="0.4">
      <c r="A17" s="11">
        <f>A15+A16</f>
        <v>2177</v>
      </c>
      <c r="B17" s="37"/>
      <c r="C17" s="20"/>
      <c r="D17" s="29">
        <f>SUM(D10:D16)</f>
        <v>12673.376875</v>
      </c>
      <c r="E17" s="33"/>
      <c r="F17" s="33"/>
      <c r="G17" s="33"/>
      <c r="H17" s="33">
        <f>H7+H12+H15+H16</f>
        <v>17292.501740749998</v>
      </c>
      <c r="I17" s="33"/>
      <c r="J17" s="22"/>
      <c r="K17" s="53"/>
      <c r="L17" s="53"/>
      <c r="M17" s="53"/>
      <c r="N17" s="53"/>
      <c r="O17" s="92">
        <f>IF(B11="FO Ceramic+ Intr&amp;Extr CeramicGold WdwTnt",2700,IF(B11="FO Mirror Camera Sensor",2000))</f>
        <v>2700</v>
      </c>
      <c r="T17" s="86">
        <f>19615-791</f>
        <v>18824</v>
      </c>
    </row>
    <row r="18" spans="1:28" ht="24.6" x14ac:dyDescent="0.4">
      <c r="A18" s="12" t="s">
        <v>29</v>
      </c>
      <c r="B18" s="55" t="s">
        <v>30</v>
      </c>
      <c r="C18" s="56"/>
      <c r="D18" s="57">
        <v>0</v>
      </c>
      <c r="E18" s="38"/>
      <c r="F18" s="22"/>
      <c r="G18" s="22"/>
      <c r="H18" s="21"/>
      <c r="I18" s="21"/>
      <c r="J18" s="21"/>
      <c r="K18" s="21"/>
      <c r="L18" s="21"/>
      <c r="M18" s="21"/>
      <c r="N18" s="21"/>
      <c r="O18" s="92"/>
      <c r="U18" s="100" t="s">
        <v>52</v>
      </c>
      <c r="V18" s="100" t="s">
        <v>52</v>
      </c>
    </row>
    <row r="19" spans="1:28" ht="24.6" x14ac:dyDescent="0.4">
      <c r="A19" s="11">
        <f>B8*3.15%</f>
        <v>2012.85</v>
      </c>
      <c r="B19" s="58" t="s">
        <v>31</v>
      </c>
      <c r="C19" s="59"/>
      <c r="D19" s="60">
        <f>IF(K21="DIB EXPAT",O13,IF(K21="DIB LOCAL GVH",U13,IF(K21="Emirates NBD",O14,IF(K21="ADCB",O15,IF(K21="ADCB PAY IN 2027",O19,IF(K21="Ajman Bank",O18,IF(K21="SIB STL",Z13,IF(K21="SIB NON STL",AA13,))))))))</f>
        <v>2.4900000000000002E-2</v>
      </c>
      <c r="E19" s="22"/>
      <c r="F19" s="61"/>
      <c r="G19" s="141" t="s">
        <v>73</v>
      </c>
      <c r="H19" s="142"/>
      <c r="I19" s="143"/>
      <c r="J19" s="109">
        <f>H7/365</f>
        <v>43.889521575342471</v>
      </c>
      <c r="K19" s="21"/>
      <c r="L19" s="21"/>
      <c r="M19" s="21"/>
      <c r="N19" s="23">
        <f>D7</f>
        <v>67095</v>
      </c>
      <c r="O19" s="98" t="b">
        <f>IF(M21="5000-11999",3.35%,IF(M21="12000-19999",3.35%,IF(M21="20000-39999",2.85%,IF(M21="40000-69999",2.85%,IF(M21="70000-99999",2.85%)))))</f>
        <v>0</v>
      </c>
      <c r="P19" s="83">
        <f>81400-2500</f>
        <v>78900</v>
      </c>
      <c r="U19" s="101">
        <f>V19</f>
        <v>74025</v>
      </c>
      <c r="V19" s="102">
        <f>(B7+D10+D11+D12+D13+D16)*1.05</f>
        <v>74025</v>
      </c>
      <c r="X19" s="87">
        <f>G7*3.15*1.05/100</f>
        <v>2649.2538151406252</v>
      </c>
      <c r="Y19" s="87">
        <f>G7*3/100+510*1.05</f>
        <v>2938.45130625</v>
      </c>
      <c r="Z19" s="87">
        <f>Y19+X19</f>
        <v>5587.7051213906252</v>
      </c>
      <c r="AA19" s="87">
        <f>(Z19)-(D14+D15)</f>
        <v>-485.67175360937472</v>
      </c>
      <c r="AB19" s="87">
        <f>AA19*1.25</f>
        <v>-607.0896920117184</v>
      </c>
    </row>
    <row r="20" spans="1:28" ht="24.6" x14ac:dyDescent="0.4">
      <c r="A20" s="11"/>
      <c r="B20" s="58" t="s">
        <v>32</v>
      </c>
      <c r="C20" s="62"/>
      <c r="D20" s="63">
        <v>0.2</v>
      </c>
      <c r="E20" s="21"/>
      <c r="F20" s="21"/>
      <c r="G20" s="42"/>
      <c r="H20" s="42"/>
      <c r="I20" s="42"/>
      <c r="J20" s="103"/>
      <c r="K20" s="104" t="s">
        <v>33</v>
      </c>
      <c r="L20" s="104" t="s">
        <v>17</v>
      </c>
      <c r="M20" s="104">
        <f>IF(L20="YES",O12,IF(L20="NO",0))</f>
        <v>0</v>
      </c>
      <c r="N20" s="23">
        <f>B8-M20</f>
        <v>63900</v>
      </c>
      <c r="O20" s="92"/>
      <c r="P20" s="99"/>
      <c r="T20" s="86">
        <f>1992+1084</f>
        <v>3076</v>
      </c>
      <c r="V20" s="83"/>
      <c r="X20" s="87">
        <f>X19-D14</f>
        <v>200.87694014062527</v>
      </c>
      <c r="Y20" s="87">
        <f>Y19-D15</f>
        <v>-686.54869374999998</v>
      </c>
      <c r="AA20" s="87">
        <f>X20+Y20</f>
        <v>-485.67175360937472</v>
      </c>
    </row>
    <row r="21" spans="1:28" ht="24.6" x14ac:dyDescent="0.4">
      <c r="A21" s="13">
        <f>A19+A20</f>
        <v>2012.85</v>
      </c>
      <c r="B21" s="21"/>
      <c r="C21" s="22"/>
      <c r="D21" s="21"/>
      <c r="E21" s="21"/>
      <c r="F21" s="21"/>
      <c r="G21" s="21"/>
      <c r="H21" s="21"/>
      <c r="I21" s="21"/>
      <c r="J21" s="37" t="s">
        <v>34</v>
      </c>
      <c r="K21" s="16" t="s">
        <v>83</v>
      </c>
      <c r="L21" s="105" t="s">
        <v>35</v>
      </c>
      <c r="M21" s="106" t="s">
        <v>80</v>
      </c>
      <c r="N21" s="111"/>
      <c r="O21" s="92"/>
      <c r="T21" s="86">
        <f>25973-12973</f>
        <v>13000</v>
      </c>
    </row>
    <row r="22" spans="1:28" ht="24.6" x14ac:dyDescent="0.4">
      <c r="A22" s="13"/>
      <c r="B22" s="130" t="s">
        <v>51</v>
      </c>
      <c r="C22" s="131"/>
      <c r="D22" s="131"/>
      <c r="E22" s="131"/>
      <c r="F22" s="131"/>
      <c r="G22" s="131"/>
      <c r="H22" s="131"/>
      <c r="I22" s="131"/>
      <c r="J22" s="131"/>
      <c r="K22" s="131"/>
      <c r="L22" s="131"/>
      <c r="M22" s="131"/>
      <c r="N22" s="132"/>
      <c r="O22" s="92"/>
    </row>
    <row r="23" spans="1:28" ht="25.2" x14ac:dyDescent="0.45">
      <c r="A23" s="14" t="s">
        <v>36</v>
      </c>
      <c r="B23" s="64" t="s">
        <v>57</v>
      </c>
      <c r="C23" s="65"/>
      <c r="D23" s="65"/>
      <c r="E23" s="65"/>
      <c r="F23" s="65"/>
      <c r="G23" s="65"/>
      <c r="H23" s="66"/>
      <c r="I23" s="66"/>
      <c r="J23" s="65"/>
      <c r="K23" s="65"/>
      <c r="L23" s="65"/>
      <c r="M23" s="65"/>
      <c r="N23" s="67"/>
      <c r="O23" s="92">
        <f>N7+K14</f>
        <v>6540.8334556125001</v>
      </c>
    </row>
    <row r="24" spans="1:28" ht="25.2" x14ac:dyDescent="0.45">
      <c r="A24" s="14" t="s">
        <v>36</v>
      </c>
      <c r="B24" s="64" t="s">
        <v>58</v>
      </c>
      <c r="C24" s="65"/>
      <c r="D24" s="65"/>
      <c r="E24" s="65"/>
      <c r="F24" s="65"/>
      <c r="G24" s="65"/>
      <c r="H24" s="85">
        <f>H7/365</f>
        <v>43.889521575342471</v>
      </c>
      <c r="I24" s="85">
        <f>H7/365</f>
        <v>43.889521575342471</v>
      </c>
      <c r="J24" s="65"/>
      <c r="K24" s="65"/>
      <c r="L24" s="65"/>
      <c r="M24" s="65"/>
      <c r="N24" s="68"/>
      <c r="O24" s="92"/>
      <c r="P24" s="83">
        <f>1232+480</f>
        <v>1712</v>
      </c>
      <c r="T24" s="86">
        <f>88704/1.05</f>
        <v>84480</v>
      </c>
    </row>
    <row r="25" spans="1:28" ht="25.2" x14ac:dyDescent="0.45">
      <c r="A25" s="14" t="s">
        <v>36</v>
      </c>
      <c r="B25" s="64" t="s">
        <v>59</v>
      </c>
      <c r="C25" s="65"/>
      <c r="D25" s="65"/>
      <c r="E25" s="65"/>
      <c r="F25" s="65"/>
      <c r="G25" s="65"/>
      <c r="H25" s="66"/>
      <c r="I25" s="85">
        <f>I24*365*3</f>
        <v>48059.026125000004</v>
      </c>
      <c r="J25" s="65"/>
      <c r="K25" s="65"/>
      <c r="L25" s="65"/>
      <c r="M25" s="65"/>
      <c r="N25" s="68"/>
      <c r="O25" s="92"/>
      <c r="Q25" s="86">
        <f>79400-5233.33</f>
        <v>74166.67</v>
      </c>
      <c r="R25" s="86">
        <f>Q25*1.05</f>
        <v>77875.003500000006</v>
      </c>
    </row>
    <row r="26" spans="1:28" ht="25.2" x14ac:dyDescent="0.45">
      <c r="A26" s="14" t="s">
        <v>36</v>
      </c>
      <c r="B26" s="64" t="s">
        <v>60</v>
      </c>
      <c r="C26" s="65"/>
      <c r="D26" s="65"/>
      <c r="E26" s="65"/>
      <c r="F26" s="65"/>
      <c r="G26" s="65"/>
      <c r="H26" s="65"/>
      <c r="I26" s="65"/>
      <c r="J26" s="65"/>
      <c r="K26" s="65"/>
      <c r="L26" s="65"/>
      <c r="M26" s="65"/>
      <c r="N26" s="68"/>
      <c r="O26" s="92" t="s">
        <v>37</v>
      </c>
      <c r="R26" s="86">
        <f>R25+2469</f>
        <v>80344.003500000006</v>
      </c>
    </row>
    <row r="27" spans="1:28" ht="25.2" x14ac:dyDescent="0.45">
      <c r="A27" s="14" t="s">
        <v>36</v>
      </c>
      <c r="B27" s="64" t="s">
        <v>61</v>
      </c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8"/>
      <c r="O27" s="92">
        <f>129500-110900</f>
        <v>18600</v>
      </c>
    </row>
    <row r="28" spans="1:28" ht="25.2" x14ac:dyDescent="0.45">
      <c r="B28" s="64" t="s">
        <v>62</v>
      </c>
      <c r="C28" s="65"/>
      <c r="D28" s="65"/>
      <c r="E28" s="65"/>
      <c r="F28" s="65"/>
      <c r="G28" s="65"/>
      <c r="H28" s="65"/>
      <c r="I28" s="65"/>
      <c r="J28" s="65"/>
      <c r="K28" s="65"/>
      <c r="L28" s="65"/>
      <c r="M28" s="65"/>
      <c r="N28" s="68"/>
      <c r="O28" s="92"/>
    </row>
    <row r="29" spans="1:28" ht="25.2" x14ac:dyDescent="0.45">
      <c r="B29" s="64" t="s">
        <v>63</v>
      </c>
      <c r="C29" s="65"/>
      <c r="D29" s="65"/>
      <c r="E29" s="65"/>
      <c r="F29" s="65"/>
      <c r="G29" s="65"/>
      <c r="H29" s="65"/>
      <c r="I29" s="65"/>
      <c r="J29" s="65"/>
      <c r="K29" s="65"/>
      <c r="L29" s="65"/>
      <c r="M29" s="65"/>
      <c r="N29" s="69"/>
      <c r="O29" s="92"/>
    </row>
    <row r="30" spans="1:28" ht="24.6" x14ac:dyDescent="0.4">
      <c r="B30" s="133" t="s">
        <v>38</v>
      </c>
      <c r="C30" s="134"/>
      <c r="D30" s="134"/>
      <c r="E30" s="134"/>
      <c r="F30" s="134"/>
      <c r="G30" s="134"/>
      <c r="H30" s="134"/>
      <c r="I30" s="134"/>
      <c r="J30" s="134"/>
      <c r="K30" s="134"/>
      <c r="L30" s="134"/>
      <c r="M30" s="134"/>
      <c r="N30" s="135"/>
      <c r="O30" s="92"/>
    </row>
    <row r="31" spans="1:28" ht="24.6" x14ac:dyDescent="0.4">
      <c r="B31" s="136"/>
      <c r="C31" s="137"/>
      <c r="D31" s="137"/>
      <c r="E31" s="137"/>
      <c r="F31" s="137"/>
      <c r="G31" s="137"/>
      <c r="H31" s="137"/>
      <c r="I31" s="137"/>
      <c r="J31" s="137"/>
      <c r="K31" s="137"/>
      <c r="L31" s="137"/>
      <c r="M31" s="137"/>
      <c r="N31" s="138"/>
      <c r="O31" s="92"/>
    </row>
    <row r="32" spans="1:28" ht="24.6" x14ac:dyDescent="0.4">
      <c r="B32" s="136" t="s">
        <v>39</v>
      </c>
      <c r="C32" s="137"/>
      <c r="D32" s="137"/>
      <c r="E32" s="137"/>
      <c r="F32" s="137"/>
      <c r="G32" s="137"/>
      <c r="H32" s="137"/>
      <c r="I32" s="137"/>
      <c r="J32" s="137"/>
      <c r="K32" s="137"/>
      <c r="L32" s="137"/>
      <c r="M32" s="137"/>
      <c r="N32" s="138"/>
      <c r="O32" s="92"/>
    </row>
    <row r="33" spans="2:16" ht="24.6" x14ac:dyDescent="0.4">
      <c r="B33" s="136" t="s">
        <v>40</v>
      </c>
      <c r="C33" s="137"/>
      <c r="D33" s="137"/>
      <c r="E33" s="137"/>
      <c r="F33" s="137"/>
      <c r="G33" s="137"/>
      <c r="H33" s="137"/>
      <c r="I33" s="137"/>
      <c r="J33" s="137"/>
      <c r="K33" s="137"/>
      <c r="L33" s="137"/>
      <c r="M33" s="137"/>
      <c r="N33" s="138"/>
      <c r="O33" s="92"/>
    </row>
    <row r="34" spans="2:16" s="112" customFormat="1" ht="24.6" x14ac:dyDescent="0.4">
      <c r="B34" s="107" t="s">
        <v>81</v>
      </c>
      <c r="C34" s="108"/>
      <c r="D34" s="108"/>
      <c r="E34" s="108"/>
      <c r="F34" s="108"/>
      <c r="G34" s="113"/>
      <c r="H34" s="113"/>
      <c r="I34" s="108"/>
      <c r="J34" s="108"/>
      <c r="K34" s="108"/>
      <c r="L34" s="108"/>
      <c r="M34" s="114" t="s">
        <v>82</v>
      </c>
      <c r="N34" s="116" t="b">
        <f>IF(M34="ALAA",507963328, IF(M34="BACHIR",525246969,IF(M34="JIHAN",566201266, IF(M34="RAMY",505277871, IF(M34="SIMON",505140337,IF(M34="SUJITH",551079817, IF(M34="PRAVEEN",506367792,IF(M34="MHAREN",529224059, IF(M34="MOSSALLEM",505185577,IF(M34="RANJITH",554989288, IF(M34="KHALED",552319494)))))))))))</f>
        <v>0</v>
      </c>
      <c r="O34" s="115"/>
      <c r="P34" s="115"/>
    </row>
    <row r="35" spans="2:16" x14ac:dyDescent="0.35">
      <c r="B35" s="70"/>
      <c r="C35" s="71"/>
      <c r="D35" s="71"/>
      <c r="E35" s="71"/>
      <c r="F35" s="71"/>
      <c r="G35" s="71"/>
      <c r="H35" s="71"/>
      <c r="I35" s="71"/>
      <c r="J35" s="71"/>
      <c r="K35" s="71"/>
      <c r="L35" s="71"/>
      <c r="M35" s="71"/>
      <c r="N35" s="72"/>
    </row>
    <row r="36" spans="2:16" x14ac:dyDescent="0.35">
      <c r="B36" s="70"/>
      <c r="C36" s="71"/>
      <c r="D36" s="71"/>
      <c r="E36" s="71"/>
      <c r="F36" s="71"/>
      <c r="G36" s="71"/>
      <c r="H36" s="71"/>
      <c r="I36" s="71"/>
      <c r="J36" s="71"/>
      <c r="K36" s="71"/>
      <c r="L36" s="71"/>
      <c r="M36" s="71"/>
      <c r="N36" s="72"/>
    </row>
    <row r="37" spans="2:16" x14ac:dyDescent="0.35">
      <c r="B37" s="70"/>
      <c r="C37" s="71"/>
      <c r="D37" s="71"/>
      <c r="E37" s="71"/>
      <c r="F37" s="71"/>
      <c r="G37" s="71"/>
      <c r="H37" s="71"/>
      <c r="I37" s="71"/>
      <c r="J37" s="71"/>
      <c r="K37" s="71"/>
      <c r="L37" s="71"/>
      <c r="M37" s="71"/>
      <c r="N37" s="72"/>
    </row>
    <row r="38" spans="2:16" ht="21" x14ac:dyDescent="0.4">
      <c r="B38" s="73" t="s">
        <v>64</v>
      </c>
      <c r="C38" s="74"/>
      <c r="D38" s="75"/>
      <c r="E38" s="76"/>
      <c r="F38" s="76"/>
      <c r="G38" s="76"/>
      <c r="H38" s="76"/>
      <c r="I38" s="76"/>
      <c r="J38" s="77"/>
      <c r="K38" s="76"/>
      <c r="L38" s="76"/>
      <c r="M38" s="76"/>
      <c r="N38" s="78"/>
    </row>
    <row r="39" spans="2:16" ht="21" x14ac:dyDescent="0.4">
      <c r="B39" s="73" t="s">
        <v>65</v>
      </c>
      <c r="C39" s="79"/>
      <c r="D39" s="75"/>
      <c r="E39" s="76"/>
      <c r="F39" s="76"/>
      <c r="G39" s="76"/>
      <c r="H39" s="76"/>
      <c r="I39" s="76"/>
      <c r="J39" s="77"/>
      <c r="K39" s="76"/>
      <c r="L39" s="76"/>
      <c r="M39" s="76"/>
      <c r="N39" s="80"/>
    </row>
    <row r="40" spans="2:16" ht="21" x14ac:dyDescent="0.35">
      <c r="B40" s="73" t="s">
        <v>66</v>
      </c>
      <c r="C40" s="81"/>
      <c r="D40" s="76"/>
      <c r="E40" s="76"/>
      <c r="F40" s="76"/>
      <c r="G40" s="76"/>
      <c r="H40" s="76"/>
      <c r="I40" s="76"/>
      <c r="J40" s="77"/>
      <c r="K40" s="76"/>
      <c r="L40" s="76"/>
      <c r="M40" s="76"/>
      <c r="N40" s="80"/>
    </row>
    <row r="41" spans="2:16" ht="21" x14ac:dyDescent="0.35">
      <c r="B41" s="73" t="s">
        <v>67</v>
      </c>
      <c r="C41" s="82"/>
      <c r="D41" s="83"/>
      <c r="E41" s="83"/>
      <c r="F41" s="83"/>
      <c r="G41" s="83"/>
      <c r="H41" s="83"/>
      <c r="I41" s="83"/>
      <c r="J41" s="83"/>
      <c r="K41" s="83"/>
      <c r="L41" s="83"/>
      <c r="M41" s="83"/>
      <c r="N41" s="84"/>
    </row>
    <row r="42" spans="2:16" ht="21" x14ac:dyDescent="0.35">
      <c r="B42" s="73" t="s">
        <v>77</v>
      </c>
      <c r="C42" s="82"/>
      <c r="D42" s="83"/>
      <c r="E42" s="83"/>
      <c r="F42" s="83"/>
      <c r="G42" s="83"/>
      <c r="H42" s="83"/>
      <c r="I42" s="83"/>
      <c r="J42" s="83"/>
      <c r="K42" s="83"/>
      <c r="L42" s="83"/>
      <c r="M42" s="83"/>
      <c r="N42" s="84"/>
    </row>
    <row r="43" spans="2:16" ht="21" x14ac:dyDescent="0.35">
      <c r="B43" s="73" t="s">
        <v>68</v>
      </c>
      <c r="C43" s="82"/>
      <c r="D43" s="83"/>
      <c r="E43" s="83"/>
      <c r="F43" s="83"/>
      <c r="G43" s="83"/>
      <c r="H43" s="83"/>
      <c r="I43" s="83"/>
      <c r="J43" s="83"/>
      <c r="K43" s="83"/>
      <c r="L43" s="83"/>
      <c r="M43" s="83"/>
      <c r="N43" s="84"/>
    </row>
    <row r="44" spans="2:16" ht="21" x14ac:dyDescent="0.35">
      <c r="B44" s="73" t="s">
        <v>69</v>
      </c>
      <c r="C44" s="82"/>
      <c r="D44" s="83"/>
      <c r="E44" s="83"/>
      <c r="F44" s="83"/>
      <c r="G44" s="83"/>
      <c r="H44" s="83"/>
      <c r="I44" s="83"/>
      <c r="J44" s="83"/>
      <c r="K44" s="83"/>
      <c r="L44" s="83"/>
      <c r="M44" s="83"/>
      <c r="N44" s="84"/>
    </row>
    <row r="45" spans="2:16" ht="21" x14ac:dyDescent="0.35">
      <c r="B45" s="73" t="s">
        <v>70</v>
      </c>
      <c r="C45" s="82"/>
      <c r="D45" s="83"/>
      <c r="E45" s="83"/>
      <c r="F45" s="83"/>
      <c r="G45" s="83"/>
      <c r="H45" s="83"/>
      <c r="I45" s="83"/>
      <c r="J45" s="83"/>
      <c r="K45" s="83"/>
      <c r="L45" s="83"/>
      <c r="M45" s="83"/>
      <c r="N45" s="84"/>
    </row>
    <row r="46" spans="2:16" ht="21" x14ac:dyDescent="0.35">
      <c r="B46" s="73" t="s">
        <v>71</v>
      </c>
      <c r="C46" s="82"/>
      <c r="D46" s="83"/>
      <c r="E46" s="83"/>
      <c r="F46" s="83"/>
      <c r="G46" s="83"/>
      <c r="H46" s="83"/>
      <c r="I46" s="83"/>
      <c r="J46" s="83"/>
      <c r="K46" s="83"/>
      <c r="L46" s="83"/>
      <c r="M46" s="83"/>
      <c r="N46" s="84"/>
    </row>
    <row r="47" spans="2:16" x14ac:dyDescent="0.35">
      <c r="B47" s="118" t="s">
        <v>39</v>
      </c>
      <c r="C47" s="119"/>
      <c r="D47" s="119"/>
      <c r="E47" s="119"/>
      <c r="F47" s="119"/>
      <c r="G47" s="119"/>
      <c r="H47" s="119"/>
      <c r="I47" s="119"/>
      <c r="J47" s="119"/>
      <c r="K47" s="119"/>
      <c r="L47" s="119"/>
      <c r="M47" s="119"/>
      <c r="N47" s="120"/>
      <c r="O47" s="92"/>
    </row>
    <row r="48" spans="2:16" x14ac:dyDescent="0.35">
      <c r="B48" s="118" t="s">
        <v>40</v>
      </c>
      <c r="C48" s="119"/>
      <c r="D48" s="119"/>
      <c r="E48" s="119"/>
      <c r="F48" s="119"/>
      <c r="G48" s="119"/>
      <c r="H48" s="119"/>
      <c r="I48" s="119"/>
      <c r="J48" s="119"/>
      <c r="K48" s="119"/>
      <c r="L48" s="119"/>
      <c r="M48" s="119"/>
      <c r="N48" s="120"/>
      <c r="O48" s="92"/>
    </row>
    <row r="49" spans="2:14" x14ac:dyDescent="0.35">
      <c r="B49" s="118" t="s">
        <v>72</v>
      </c>
      <c r="C49" s="119"/>
      <c r="D49" s="119"/>
      <c r="E49" s="119"/>
      <c r="F49" s="119"/>
      <c r="G49" s="119"/>
      <c r="H49" s="119"/>
      <c r="I49" s="119"/>
      <c r="J49" s="119"/>
      <c r="K49" s="119"/>
      <c r="L49" s="119"/>
      <c r="M49" s="119"/>
      <c r="N49" s="120"/>
    </row>
    <row r="50" spans="2:14" ht="25.8" x14ac:dyDescent="0.35">
      <c r="C50" s="15" t="s">
        <v>41</v>
      </c>
    </row>
    <row r="51" spans="2:14" ht="25.8" x14ac:dyDescent="0.35">
      <c r="C51" s="15" t="s">
        <v>42</v>
      </c>
    </row>
    <row r="52" spans="2:14" ht="25.8" x14ac:dyDescent="0.35">
      <c r="C52" s="15" t="s">
        <v>43</v>
      </c>
    </row>
    <row r="53" spans="2:14" ht="25.8" x14ac:dyDescent="0.35">
      <c r="C53" s="15" t="s">
        <v>44</v>
      </c>
    </row>
    <row r="54" spans="2:14" ht="25.8" x14ac:dyDescent="0.35">
      <c r="C54" s="15" t="s">
        <v>45</v>
      </c>
    </row>
  </sheetData>
  <mergeCells count="12">
    <mergeCell ref="B49:N49"/>
    <mergeCell ref="B1:N4"/>
    <mergeCell ref="F8:G8"/>
    <mergeCell ref="F9:G9"/>
    <mergeCell ref="G19:I19"/>
    <mergeCell ref="B22:N22"/>
    <mergeCell ref="B30:N30"/>
    <mergeCell ref="B31:N31"/>
    <mergeCell ref="B32:N32"/>
    <mergeCell ref="B33:N33"/>
    <mergeCell ref="B47:N47"/>
    <mergeCell ref="B48:N48"/>
  </mergeCells>
  <dataValidations count="11">
    <dataValidation type="list" allowBlank="1" showInputMessage="1" showErrorMessage="1" sqref="K21" xr:uid="{C1F4EA4F-40EF-4766-BCD6-8CB038A19C64}">
      <formula1>"ADCB,ADCB PAY IN 2027,Ajman Bank,ADIB,DIB EXPAT,DIB LOCAL GVH,Emirates NBD,EIB,FAB,RAK,SIB STL,SIB NON STL"</formula1>
    </dataValidation>
    <dataValidation type="list" allowBlank="1" showInputMessage="1" showErrorMessage="1" sqref="D5" xr:uid="{51E61AA5-2C2D-4634-83DD-026D71F575D8}">
      <formula1>"MIG09,MIG10,ATG16,ATP16,ATG17,ASG48,ASG43,ASG40,ASG42,ASG44,ASG45,ECG38,ECG37,ECG40,ECG43,XPML,XPHL,XPMLP, XPMLP-01, XC,OTF03,OTP03,OTF06,OTP06, OTP06-01,OTF08, OTP08,MOP57,MOG64,MOG59,MOG59P,MOG61,MOP61"</formula1>
    </dataValidation>
    <dataValidation type="list" allowBlank="1" showInputMessage="1" showErrorMessage="1" sqref="M21" xr:uid="{54C9059D-53A2-41E5-AF57-C12AB293E116}">
      <formula1>"3000-4999,5000-9999,10000-14999,15000-24999,25000-34999,35000-99999,5000-11999,12000-19999,20000-39999,40000-69999,70000-99999"</formula1>
    </dataValidation>
    <dataValidation type="list" allowBlank="1" showInputMessage="1" showErrorMessage="1" sqref="K20" xr:uid="{4FA9B86A-E2D4-4404-9E6E-23EF025FA04B}">
      <formula1>"Esaad,Emirates Platinum,Fazaa,Humat Alwatan,Permissible,ASX,XPMLP,XP,MON,MON G57,OUT,F08,P08,F06,P06,F03,P03,EC,G37,G38,G40,G43"</formula1>
    </dataValidation>
    <dataValidation type="list" allowBlank="1" showInputMessage="1" showErrorMessage="1" sqref="L19:L20 L24:L25 G14:G15 C10:C16 L10 J10" xr:uid="{8BDED2D8-0C28-4389-8379-E9733ADF86AA}">
      <formula1>"YES,NO"</formula1>
    </dataValidation>
    <dataValidation type="list" allowBlank="1" showInputMessage="1" showErrorMessage="1" sqref="K24" xr:uid="{3FEBEBF7-F3ED-4140-B1D8-45767C9874A6}">
      <formula1>"RMC-10-70K,RMC-10-100000K,RMC-40-70K"</formula1>
    </dataValidation>
    <dataValidation type="list" allowBlank="1" showInputMessage="1" showErrorMessage="1" sqref="B16" xr:uid="{316A0999-282E-44F0-B6F8-510EA2E086CB}">
      <formula1>"RMC-10-40KMS,RMC-10-60KMS,RMC-10-70KMS,RMC-10-100000KMS,RMC-40-70KMS,RMC-40-100000KMS"</formula1>
    </dataValidation>
    <dataValidation type="list" allowBlank="1" showInputMessage="1" showErrorMessage="1" sqref="B12" xr:uid="{5982A4CF-B085-4142-8C69-DF1D35AC035D}">
      <formula1>"FO Exterior ceramic All Cars SCOTCHGUARD,FO Mirror Camera Sensor,FO PPF Gold Package "</formula1>
    </dataValidation>
    <dataValidation type="list" allowBlank="1" showInputMessage="1" showErrorMessage="1" sqref="B11" xr:uid="{4E67EB9B-145B-4567-AD92-DE6B0229A872}">
      <formula1>"FO Ceramic+ Intr&amp;Extr CeramicGold WdwTnt,FO Mirror Camera Sensor"</formula1>
    </dataValidation>
    <dataValidation type="list" allowBlank="1" showInputMessage="1" showErrorMessage="1" sqref="M34" xr:uid="{A3D04C92-DDE3-4C27-894A-0D770EFFF1D2}">
      <formula1>"Alaa,Bachir ,Khaled,Ramy,Simon,Mharen,Ranjith,Jihan,Praveen,Sujith,Mossallem"</formula1>
    </dataValidation>
    <dataValidation type="list" allowBlank="1" showInputMessage="1" showErrorMessage="1" sqref="H34" xr:uid="{0289C3A8-5252-469B-999A-71ABE592D123}">
      <formula1>"ALAA HAMMAD,KHALED QASSEM,RAMY RAOUF,SIMON LOBO,MHAREN CLEMENTE GARADO"</formula1>
    </dataValidation>
  </dataValidations>
  <pageMargins left="0.23622047244094491" right="0.23622047244094491" top="0.74803149606299213" bottom="0.74803149606299213" header="0.31496062992125984" footer="0.31496062992125984"/>
  <pageSetup paperSize="9" scale="37" orientation="landscape" horizontalDpi="4294967295" verticalDpi="4294967295"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F7668-9CF6-478F-9FBA-92DAA1591926}">
  <sheetPr>
    <pageSetUpPr fitToPage="1"/>
  </sheetPr>
  <dimension ref="A1:AB54"/>
  <sheetViews>
    <sheetView topLeftCell="B1" zoomScaleNormal="100" workbookViewId="0">
      <selection activeCell="D5" sqref="D5"/>
    </sheetView>
  </sheetViews>
  <sheetFormatPr defaultColWidth="9.109375" defaultRowHeight="20.399999999999999" x14ac:dyDescent="0.35"/>
  <cols>
    <col min="1" max="1" width="16" style="1" hidden="1" customWidth="1"/>
    <col min="2" max="2" width="75.5546875" style="2" customWidth="1"/>
    <col min="3" max="3" width="25.5546875" style="3" customWidth="1"/>
    <col min="4" max="4" width="25.33203125" style="2" customWidth="1"/>
    <col min="5" max="5" width="22.6640625" style="2" customWidth="1"/>
    <col min="6" max="6" width="21" style="2" customWidth="1"/>
    <col min="7" max="7" width="25" style="2" customWidth="1"/>
    <col min="8" max="8" width="29.44140625" style="2" bestFit="1" customWidth="1"/>
    <col min="9" max="9" width="32.109375" style="2" bestFit="1" customWidth="1"/>
    <col min="10" max="10" width="22" style="2" customWidth="1"/>
    <col min="11" max="11" width="23.33203125" style="2" customWidth="1"/>
    <col min="12" max="12" width="31" style="2" customWidth="1"/>
    <col min="13" max="13" width="23.5546875" style="2" customWidth="1"/>
    <col min="14" max="14" width="21.109375" style="2" customWidth="1"/>
    <col min="15" max="15" width="14.44140625" style="83" bestFit="1" customWidth="1"/>
    <col min="16" max="16" width="21.6640625" style="83" hidden="1" customWidth="1"/>
    <col min="17" max="17" width="14.33203125" style="86" hidden="1" customWidth="1"/>
    <col min="18" max="18" width="12.88671875" style="86" hidden="1" customWidth="1"/>
    <col min="19" max="19" width="13" style="86" hidden="1" customWidth="1"/>
    <col min="20" max="20" width="17.109375" style="86" hidden="1" customWidth="1"/>
    <col min="21" max="21" width="21.5546875" style="86" customWidth="1"/>
    <col min="22" max="22" width="22.88671875" style="86" customWidth="1"/>
    <col min="23" max="26" width="17.109375" style="86" bestFit="1" customWidth="1"/>
    <col min="27" max="27" width="15" style="86" customWidth="1"/>
    <col min="28" max="28" width="14.33203125" style="86" bestFit="1" customWidth="1"/>
    <col min="29" max="16384" width="9.109375" style="1"/>
  </cols>
  <sheetData>
    <row r="1" spans="1:28" ht="15.75" customHeight="1" x14ac:dyDescent="0.35">
      <c r="B1" s="121" t="s">
        <v>46</v>
      </c>
      <c r="C1" s="122"/>
      <c r="D1" s="122"/>
      <c r="E1" s="122"/>
      <c r="F1" s="122"/>
      <c r="G1" s="122"/>
      <c r="H1" s="122"/>
      <c r="I1" s="122"/>
      <c r="J1" s="122"/>
      <c r="K1" s="122"/>
      <c r="L1" s="122"/>
      <c r="M1" s="122"/>
      <c r="N1" s="123"/>
    </row>
    <row r="2" spans="1:28" ht="15.75" customHeight="1" x14ac:dyDescent="0.35">
      <c r="B2" s="124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6"/>
      <c r="Q2" s="83"/>
      <c r="S2" s="87"/>
    </row>
    <row r="3" spans="1:28" ht="15.75" customHeight="1" x14ac:dyDescent="0.35">
      <c r="B3" s="124"/>
      <c r="C3" s="125"/>
      <c r="D3" s="125"/>
      <c r="E3" s="125"/>
      <c r="F3" s="125"/>
      <c r="G3" s="125"/>
      <c r="H3" s="125"/>
      <c r="I3" s="125"/>
      <c r="J3" s="125"/>
      <c r="K3" s="125"/>
      <c r="L3" s="125"/>
      <c r="M3" s="125"/>
      <c r="N3" s="126"/>
      <c r="O3" s="82"/>
      <c r="P3" s="82"/>
      <c r="Q3" s="81"/>
      <c r="R3" s="81"/>
      <c r="S3" s="88" t="e">
        <f>N7+J14</f>
        <v>#VALUE!</v>
      </c>
      <c r="T3" s="88"/>
      <c r="U3" s="81"/>
      <c r="V3" s="81"/>
      <c r="W3" s="81"/>
      <c r="AA3" s="86">
        <f>273000/5</f>
        <v>54600</v>
      </c>
    </row>
    <row r="4" spans="1:28" ht="15.75" customHeight="1" x14ac:dyDescent="0.4">
      <c r="B4" s="127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9"/>
      <c r="O4" s="89" t="s">
        <v>0</v>
      </c>
      <c r="P4" s="89"/>
      <c r="Q4" s="90"/>
      <c r="R4" s="90"/>
      <c r="S4" s="91"/>
      <c r="T4" s="91"/>
      <c r="U4" s="90" t="s">
        <v>1</v>
      </c>
      <c r="V4" s="90" t="s">
        <v>2</v>
      </c>
      <c r="W4" s="90" t="s">
        <v>3</v>
      </c>
    </row>
    <row r="5" spans="1:28" ht="25.2" thickBot="1" x14ac:dyDescent="0.45">
      <c r="B5" s="17">
        <f ca="1">TODAY()</f>
        <v>46215</v>
      </c>
      <c r="C5" s="18" t="str">
        <f>IF(D5="MIG09","Mirage G09",IF(D5="MIG10","MirageG10",IF(D5="ATG16","Attrage G16",IF(D5="ATP16","Attrage P16",IF(D5="ATG17","Attrage G17",IF(D5="ASG48","ASX G48",IF(D5="ASG43","ASX G43", IF(D5="ASG40","ASXG40",IF(D5="ASG42","ASX G42",IF(D5="ASG44","ASX G44",IF(D5="ASG45","ASX G45",IF(D5="ECG38","Eclipse G38",IF(D5="ECG37","Eclipse G37",IF(D5="ECG40","Eclipse G40",IF(D5="ECG43","Eclipse G43",IF(D5="XPML","Xpander ML",IF(D5="XPHL","Xpander HL",IF(D5="XPMLP","Xpander ML P",IF(D5="XPMLP-01","Xpander ML P-01",IF(D5="XC","Xpander Cross", IF(D5="OTF03","Outlander F03",IF(D5="OTP03","Outlander P03",IF(D5="OTF06","Outlander F06",IF(D5="OTP06","Outlander P06",IF(D5="OTP06-01","Outlander P06-01",IF(D5="OTF08","Outlander F08",IF(D5="OTP08","Outlander P08P", IF(D5="MOP57","Montero P57",IF(D5="MOG64","Montero G64",IF(D5="MOG59","Montero G59",IF(D5="MOG59P","Montero G59 P",IF(D5="MOG61","Montero G61",IF(D5="MOP61","Montero P61")))))))))))))))))))))))))))))))))</f>
        <v>ASX G43</v>
      </c>
      <c r="D5" s="19" t="s">
        <v>92</v>
      </c>
      <c r="E5" s="20" t="s">
        <v>47</v>
      </c>
      <c r="F5" s="21"/>
      <c r="G5" s="21"/>
      <c r="H5" s="21"/>
      <c r="I5" s="22"/>
      <c r="J5" s="23"/>
      <c r="K5" s="24">
        <v>0</v>
      </c>
      <c r="L5" s="25">
        <v>3.39E-2</v>
      </c>
      <c r="M5" s="25">
        <v>6.7799999999999999E-2</v>
      </c>
      <c r="N5" s="25">
        <v>0.1017</v>
      </c>
      <c r="O5" s="92">
        <f>K7+K14</f>
        <v>8032.5274683875014</v>
      </c>
      <c r="S5" s="87"/>
      <c r="U5" s="87">
        <f>L7+L14</f>
        <v>3273.0525806357641</v>
      </c>
      <c r="V5" s="87">
        <f>M7+M14</f>
        <v>2189.4681895437502</v>
      </c>
      <c r="W5" s="87">
        <f>N7+N14</f>
        <v>1517.1937334135418</v>
      </c>
    </row>
    <row r="6" spans="1:28" s="5" customFormat="1" ht="128.25" customHeight="1" thickBot="1" x14ac:dyDescent="0.35">
      <c r="A6" s="4" t="s">
        <v>4</v>
      </c>
      <c r="B6" s="26" t="s">
        <v>5</v>
      </c>
      <c r="C6" s="27" t="s">
        <v>6</v>
      </c>
      <c r="D6" s="27" t="s">
        <v>48</v>
      </c>
      <c r="E6" s="27" t="s">
        <v>7</v>
      </c>
      <c r="F6" s="27" t="s">
        <v>8</v>
      </c>
      <c r="G6" s="28" t="s">
        <v>9</v>
      </c>
      <c r="H6" s="28" t="s">
        <v>49</v>
      </c>
      <c r="I6" s="28" t="s">
        <v>10</v>
      </c>
      <c r="J6" s="28" t="s">
        <v>56</v>
      </c>
      <c r="K6" s="28" t="s">
        <v>11</v>
      </c>
      <c r="L6" s="28" t="s">
        <v>12</v>
      </c>
      <c r="M6" s="28" t="s">
        <v>13</v>
      </c>
      <c r="N6" s="28" t="s">
        <v>14</v>
      </c>
      <c r="O6" s="93"/>
      <c r="P6" s="94"/>
      <c r="Q6" s="95"/>
      <c r="R6" s="95"/>
      <c r="S6" s="95"/>
      <c r="T6" s="96"/>
      <c r="U6" s="96">
        <f>N7+L14</f>
        <v>2570.7090417468753</v>
      </c>
      <c r="V6" s="96">
        <f>N7+K14</f>
        <v>6452.2545058875003</v>
      </c>
      <c r="W6" s="96"/>
      <c r="X6" s="95"/>
      <c r="Y6" s="95"/>
      <c r="Z6" s="95"/>
      <c r="AA6" s="95"/>
      <c r="AB6" s="95"/>
    </row>
    <row r="7" spans="1:28" ht="25.2" thickBot="1" x14ac:dyDescent="0.45">
      <c r="A7" s="6">
        <f>B8</f>
        <v>62900</v>
      </c>
      <c r="B7" s="29">
        <f>IF(L20="YES",C8*1,IF(L20="NO",B8*1))</f>
        <v>62900</v>
      </c>
      <c r="C7" s="29">
        <f>B7*5/100</f>
        <v>3145</v>
      </c>
      <c r="D7" s="29">
        <f>B7+C7</f>
        <v>66045</v>
      </c>
      <c r="E7" s="29">
        <f>D17</f>
        <v>12638.648125</v>
      </c>
      <c r="F7" s="29">
        <f>(C7)+(D10+D11+D12+D13+D16)*5/100</f>
        <v>3475</v>
      </c>
      <c r="G7" s="30">
        <f>B7+E7+F7</f>
        <v>79013.648125000007</v>
      </c>
      <c r="H7" s="29">
        <f>G7*D20</f>
        <v>15802.729625000002</v>
      </c>
      <c r="I7" s="29">
        <f>(G7-H7)</f>
        <v>63210.918500000007</v>
      </c>
      <c r="J7" s="30">
        <f>(((I7*D19)*1)+I7)/12</f>
        <v>5398.7391975541677</v>
      </c>
      <c r="K7" s="30">
        <f>(((I7*D19)*2)+I7)/24</f>
        <v>2764.9509267208336</v>
      </c>
      <c r="L7" s="30">
        <f>(((I7*D19)*3)+I7)/36</f>
        <v>1887.0215031097225</v>
      </c>
      <c r="M7" s="30">
        <f>(((I7*D19)*4)+I7)/48</f>
        <v>1448.0567913041668</v>
      </c>
      <c r="N7" s="30">
        <f>((((I7*D19)*5)+I7)/60)</f>
        <v>1184.6779642208335</v>
      </c>
      <c r="O7" s="92"/>
      <c r="P7" s="83">
        <f>H7+H16</f>
        <v>16466.444269250002</v>
      </c>
      <c r="T7" s="87">
        <f>25973/2</f>
        <v>12986.5</v>
      </c>
    </row>
    <row r="8" spans="1:28" ht="24.6" x14ac:dyDescent="0.4">
      <c r="A8" s="7">
        <v>0.2</v>
      </c>
      <c r="B8" s="31">
        <f>IF(D5="MIG09",39900,IF(D5="MIG10",40400,IF(D5="ATG16",40400,IF(D5="ATP16",49900,IF(D5="ATG17",41900,IF(D5="ASG48",63900,IF(D5="ASG43",62900,IF(D5="ASG40",63900,IF(D5="ASG42",68900,IF(D5="ASG44",89900,IF(D5="ASG45",95900,IF(D5="ECG38",73900,IF(D5="ECG37",70900,IF(D5="ECG40",86900,IF(D5="ECG43",91900,IF(D5="XPML",62900,IF(D5="XPHL",62900,IF(D5="XPMLP",69900,IF(D5="XPMLP-01",77800,IF(D5="XC",77900,IF(D5="OTF03",96900,IF(D5="OTP03",79900,IF(D5="OTF06",92900,IF(D5="OTP06",111900,IF(D5="OTP06-01",118900,IF(D5="OTF08",122900,IF(D5="OTP08",109900,IF(D5="MOP57",99900,IF(D5="MOG64",108900,IF(D5="MOG59",116900,IF(D5="MOG59P",110900,IF(D5="MOG61",127900,IF(D5="MOP61",125900)))))))))))))))))))))))))))))))))</f>
        <v>62900</v>
      </c>
      <c r="C8" s="32">
        <f>IF(L20="YES",N20,IF(L20="NO",N20))</f>
        <v>62900</v>
      </c>
      <c r="D8" s="29">
        <v>0</v>
      </c>
      <c r="E8" s="33"/>
      <c r="F8" s="139"/>
      <c r="G8" s="140"/>
      <c r="H8" s="110">
        <f>G7*20/100</f>
        <v>15802.729625000002</v>
      </c>
      <c r="I8" s="21"/>
      <c r="J8" s="34" t="s">
        <v>15</v>
      </c>
      <c r="K8" s="23">
        <f>(J7*K5+J7)/24</f>
        <v>224.94746656475698</v>
      </c>
      <c r="L8" s="23">
        <f>(J7*L5+J7)/36</f>
        <v>155.04879045420151</v>
      </c>
      <c r="M8" s="23">
        <f>(J7*M5+J7)/48</f>
        <v>120.09945239892376</v>
      </c>
      <c r="N8" s="23">
        <f>(J7*N5+J7)/60</f>
        <v>99.129849565757098</v>
      </c>
      <c r="O8" s="92"/>
      <c r="P8" s="83">
        <f>P7/12</f>
        <v>1372.2036891041669</v>
      </c>
      <c r="T8" s="86">
        <f>25973-12973</f>
        <v>13000</v>
      </c>
    </row>
    <row r="9" spans="1:28" ht="24.6" x14ac:dyDescent="0.4">
      <c r="A9" s="8">
        <f>B8/(100%-A8)</f>
        <v>78625</v>
      </c>
      <c r="B9" s="109">
        <f>B7-B8</f>
        <v>0</v>
      </c>
      <c r="C9" s="35"/>
      <c r="D9" s="36"/>
      <c r="E9" s="33"/>
      <c r="F9" s="139"/>
      <c r="G9" s="140"/>
      <c r="H9" s="33"/>
      <c r="I9" s="37" t="s">
        <v>16</v>
      </c>
      <c r="J9" s="38">
        <f>(J7*12)-(I7)</f>
        <v>1573.9518706500021</v>
      </c>
      <c r="K9" s="38">
        <f>(K7*24)-I7</f>
        <v>3147.9037412999969</v>
      </c>
      <c r="L9" s="38">
        <f>(L7*36)-I7</f>
        <v>4721.8556119500063</v>
      </c>
      <c r="M9" s="38">
        <f>(M7*48)-I7</f>
        <v>6295.8074826000011</v>
      </c>
      <c r="N9" s="38">
        <f>(N7*60)-I7</f>
        <v>7869.7593532499959</v>
      </c>
      <c r="O9" s="92"/>
      <c r="T9" s="86">
        <f>T8/12</f>
        <v>1083.3333333333333</v>
      </c>
      <c r="Z9" s="86" t="s">
        <v>86</v>
      </c>
    </row>
    <row r="10" spans="1:28" ht="24.6" x14ac:dyDescent="0.4">
      <c r="A10" s="8"/>
      <c r="B10" s="37" t="s">
        <v>50</v>
      </c>
      <c r="C10" s="20" t="s">
        <v>17</v>
      </c>
      <c r="D10" s="36">
        <f>IF(C10="YES",800,IF(C10="NO",0))</f>
        <v>0</v>
      </c>
      <c r="E10" s="39"/>
      <c r="F10" s="40"/>
      <c r="G10" s="40"/>
      <c r="H10" s="33"/>
      <c r="I10" s="44" t="s">
        <v>85</v>
      </c>
      <c r="J10" s="117" t="s">
        <v>19</v>
      </c>
      <c r="K10" s="117">
        <f>IF(J10="YES",Z10,IF(J10="NO",0))</f>
        <v>1000</v>
      </c>
      <c r="L10" s="117"/>
      <c r="M10" s="117"/>
      <c r="N10" s="41">
        <f>(N8*60)-J7</f>
        <v>549.0517763912585</v>
      </c>
      <c r="O10" s="92">
        <f>IF(D5="XC",3690,IF(D5="XPML",3690,IF(D5="XPHL",3690,IF(D5="XPMLP",3690,IF(D5="XPMLP-01",3690,IF(D5="Xpander P",3690,IF(D5="MOP57",(U19*2.75/100+510)*1.05,IF(D5="MOG64",(U19*2.75/100+510)*1.05,IF(D5="MOG59",(U19*2.75/100+510)*1.05,IF(D5="MOG59P",(U19*2.75/100+510)*1.05,IF(D5="MOG61",(U19*2.75/100+510)*1.05,IF(D5="MOP61",(U19*2.75/100+510)*1.05,IF(D5="OTF03",(D7*3/100+510)*1.05,IF(D5="OTP03",(U19*3/100+510)*1.05,IF(D5="OTF06",(U19*3/100+510)*1.05,IF(D5="OTP06",(U19*3/100+510)*1.05,IF(D5="OTP06-01",(U19*3/100+510)*1.05,IF(D5="OTF08",(U19*3/100+510)*1.05,IF(D5="OTP08",(U19*3/100+510)*1.05,IF(D5="ECG38",3625,IF(D5="ECG37",3625,IF(D5="ECG40",(D7*3/100+510)*1.05,IF(D5="ECG43",(D7*3/100+510)*1.05,IF(D5="ASG48",3625,IF(D5="ASG43",3625,IF(D5="ASG40",3625,IF(D5="ASG42",3625,IF(D5="ASG44",3625,IF(D5="ASG45",3625,IF(D5="ASX HL 4WD",3625,IF(D5="ATG16",3625,IF(D5="ATG17",3625,IF(D5="ATP16",3625,IF(D5="Attrage S",3625,IF(D5="MIG09",3625,IF(D5="MIG10",3625,IF(D5="Xpander HL",3690)))))))))))))))))))))))))))))))))))))</f>
        <v>3625</v>
      </c>
      <c r="P10" s="97"/>
      <c r="Q10" s="97">
        <f>5.25*3</f>
        <v>15.75</v>
      </c>
      <c r="Z10" s="86">
        <f>IF(D5="MIG09",500,IF(D5="MIG10",500,IF(D5="ATG16",500,IF(D5="ATP16",500,IF(D5="ATG17",500,IF(D5="ASG48",1000,IF(D5="ASG43",1000,IF(D5="ASG40",1000,IF(D5="ASG42",1000,IF(D5="ASG44",1000,IF(D5="ASG45",1000,IF(D5="ECG38",1000,IF(D5="ECG37",1000,IF(D5="ECG40",1000,IF(D5="ECG43",1000,IF(D5="XPML",1000,IF(D5="XPHL",1000,IF(D5="XPMLP",1000,IF(D5="XPMLP-01",1000,IF(D5="XC",1000,IF(D5="OTF03",1000,IF(D5="OTP03",1000,IF(D5="OTF06",1000,IF(D5="OTP06",1000,IF(D5="OTP06-01",1000,IF(D5="OTF08",1000,IF(D5="OTP08",1000,IF(D5="MOP57",1000,IF(D5="MOG64",1000,IF(D5="MOG59",1000,IF(D5="MOG59P",1000,IF(D5="MOG61",1000,IF(D5="MOP61",1000)))))))))))))))))))))))))))))))))</f>
        <v>1000</v>
      </c>
    </row>
    <row r="11" spans="1:28" ht="24.6" x14ac:dyDescent="0.4">
      <c r="A11" s="8"/>
      <c r="B11" s="37" t="s">
        <v>18</v>
      </c>
      <c r="C11" s="20" t="s">
        <v>17</v>
      </c>
      <c r="D11" s="36">
        <f>IF(C11="YES",O17,IF(C11="NO",0))</f>
        <v>0</v>
      </c>
      <c r="E11" s="33"/>
      <c r="F11" s="40"/>
      <c r="G11" s="40"/>
      <c r="H11" s="33"/>
      <c r="I11" s="21"/>
      <c r="J11" s="44" t="s">
        <v>76</v>
      </c>
      <c r="K11" s="44">
        <f>H8-K10</f>
        <v>14802.729625000002</v>
      </c>
      <c r="L11" s="37"/>
      <c r="M11" s="37"/>
      <c r="N11" s="42"/>
      <c r="O11" s="92">
        <f>IF(D5="XC",6100,IF(D5="XPML",6100,IF(D5="XPHL",6100,IF(D5="XPMLP",6100,IF(D5="XPMLP-01",6100,IF(D5="Xpander P",6100,IF(D5="MOP57",5900,IF(D5="MOG64",5900,IF(D5="MOG59",5900,IF(D5="MOG59P",5900,IF(D5="MOG61",5900,IF(D5="MOP61",5900,IF(D5="OTF03",6700,IF(D5="OTP03",6700,IF(D5="OTF06",6700,IF(D5="OTP06",6700,IF(D5="OTP06-01",6700,IF(D5="OTF08",6700,IF(D5="OTP08",6700,IF(D5="ECG37",6400,IF(D5="ECG38",6400,IF(D5="ECG40",6400,IF(D5="ECG43",6400,IF(D5="ASG48",6600,IF(D5="ASG43",6600,IF(D5="ASG40",6600,IF(D5="ASG42",6600,IF(D5="ASG44",6600,IF(D5="ASG45",6600,IF(D5="ASX HL 4WD",6600,IF(D5="ATG16",5400,IF(D5="ATG17",5400,IF(D5="ATP16",5400,IF(D5="Attrage S",5400,IF(D5="MIG09",5400,IF(D5="MIG10",5400,IF(D5="Xpander HL",6000)))))))))))))))))))))))))))))))))))))</f>
        <v>6600</v>
      </c>
      <c r="P11" s="92"/>
      <c r="Q11" s="92"/>
      <c r="R11" s="92"/>
      <c r="S11" s="92"/>
      <c r="T11" s="92"/>
      <c r="U11" s="92">
        <f>IF(D5="XC",4900,IF(D5="XPML",4900,IF(D5="XPHL",4900,IF(D5="XPMLP",4900,IF(D5="XPMLP-01",4900,IF(D5="Xpander P",4900,IF(D5="MOP57",4600,IF(D5="MOG64",4600,IF(D5="MOG59",4600,IF(D5="MOG59P",4600,IF(D5="MOG61",4600,IF(D5="MOP61",4600,IF(D5="OTF03",5500,IF(D5="OTP03",5500,IF(D5="OTF06",5500,IF(D5="OTP06",5500,IF(D5="OTP06-01",5500,IF(D5="OTF08",5500,IF(D5="OTP08",5500,IF(D5="ECG38",5200,IF(D5="ECG37",5200,IF(D5="ECG40",5200,IF(D5="ECG43",5200,IF(D5="ASG48",5300,IF(D5="ASG43",5300,IF(D5="ASG40",5300,IF(D5="ASG42",5300,IF(D5="ASG44",5300,IF(D5="ASG45",5300,IF(D5="ASX HL",5300,IF(D5="ASX P",5300,IF(D5="ASX HL 4WD",5300,IF(D5="ATG16",4200,IF(D5="ATG17",4200,IF(D5="ATP16",4200,IF(D5="Attrage S",4200,IF(D5="MIG09",4200,IF(D5="MIG10",4200,IF(D5="Xpander HL",4900)))))))))))))))))))))))))))))))))))))))</f>
        <v>5300</v>
      </c>
      <c r="V11" s="92">
        <f>IF(D5="XC",9700,IF(D5="XPML",9700,IF(D5="XPHL",9700,IF(D5="XPMLP",9700,IF(D5="XPMLP-01",9700,IF(D5="XPMLP-01",9700,IF(D5="Xpander P",9700,IF(D5="MOP57",9300,IF(D5="MG64",9300,IF(D5="MOG59",9300,IF(D5="MOG59P",9300,IF(D5="MOG61",9300,IF(D5="MOP61",9300,IF(D5="OTF03",11000,IF(D5="OTP03",11000,IF(D5="OTF06",11000,IF(D5="OTP06",11000,IF(D5="OTP06-01",11000,IF(D5="OTF08",11000,IF(D5="OTP08",11000,IF(D5="ECG38",10400,IF(D5="ECG37",10400,IF(D5="ECG40",10400,IF(D5="ECG43",10400,IF(D5="ASG48",10700,IF(D5="ASG43",10700,IF(D5="ASG40",10700,IF(D5="ASG42",10700,IF(D5="ASG44",10800,IF(D5="ASG45",10800,IF(D5="ASX HL",12200,IF(D5="ASX P",12200,IF(D5="ASX HL 4WD",12200,IF(D5="ATG16",8500,IF(D5="ATG17",8500,IF(D5="ATP16",8500,IF(D5="Attrage S",9600,IF(D5="MIG09",8500,IF(D5="MIG10",8500,IF(D5="Xpander HL",11300))))))))))))))))))))))))))))))))))))))))</f>
        <v>10700</v>
      </c>
      <c r="W11" s="92">
        <f>IF(D5="XC",9200,IF(D5="XPML",9200,IF(D5="XPHL",9200,IF(D5="XPMLP",9200,IF(D5="XPMLP-01",9200,IF(D5="Xpander P",9200,IF(D5="MOP57",8700,IF(D5="MOG64",8700,IF(D5="MOG59",8700,IF(D5="MOG59P",8700,IF(D5="MOG61",8700,IF(D5="MOP61",8700,IF(D5="OTF03",10400,IF(D5="OTP03",10400,IF(D5="OTF06",10400,IF(D5="OTP06",10400,IF(D5="OTP06-01",10400,IF(D5="OTF08",10400,IF(D5="OTP08",10400,IF(D5="ECG38",9800,IF(D5="ECG37",9800,IF(D5="ECG40",9800,IF(D5="ECG43",9800,IF(D5="ASG48",10100,IF(D5="ASG43",10100,IF(D5="ASG40",10100,IF(D5="ASG42",10100,IF(D5="ASG44",10100,IF(D5="ASG45",10100,IF(D5="ASX HL",10100,IF(D5="ASX P",10100,IF(D5="ASX HL 4WD",10100,IF(D5="ATG16",7900,IF(D5="ATG17",7900,IF(D5="ATP16",7900,IF(D5="Attrage S",7900,IF(D5="MIG09",7900,IF(D5="MIG10",7900,IF(D5="Xpander HL",9200)))))))))))))))))))))))))))))))))))))))</f>
        <v>10100</v>
      </c>
      <c r="X11" s="92">
        <f>IF(D5="XC",4500,IF(D5="XPML",4500,IF(D5="XPHL",4500,IF(D5="XPMLP",4500,IF(D5="XPMLP-01",4500,IF(D5="Xpander P",4500,IF(D5="MOP57",4300,IF(D5="MOG64",4300,IF(D5="MOG59",4300,IF(D5="MOG59P",4300,IF(D5="MOG61",4300,IF(D5="MOP61",4300,IF(D5="OTF03",5000,IF(D5="OTP03",5000,IF(D5="OTF06",5000,IF(D5="OTP06",5000,IF(D5="OTP06-01",5000,IF(D5="OTF08",5000,IF(D5="OTP08",5000,IF(D5="ECG38",4900,IF(D5="ECG37",4900,IF(D5="ECG40",4900,IF(D5="ECG43",4900,IF(D5="ASG48",4900,IF(D5="ASG43",4900,IF(D5="ASG40",4900,IF(D5="ASG42",4900,IF(D5="ASG44",4900,IF(D5="ASG45",4900,IF(D5="ASX HL",4900,IF(D5="ASX P",4900,IF(D5="ASX HL 4WD",4900,IF(D5="ATG16",3700,IF(D5="ATG17",3700,IF(D5="ATP16",3700,IF(D5="Attrage S",3700,IF(D5="MIG09",3700,IF(D5="MIG10",3700,IF(D5="Xpander HL",4500)))))))))))))))))))))))))))))))))))))))</f>
        <v>4900</v>
      </c>
      <c r="Y11" s="92">
        <f>IF(D5="XC",5400,IF(D5="XPML ",5400,IF(D5="XPHL",5400,IF(D5="XPMLP",5400,IF(D5="XPMLP-01",5400,IF(D5="Xpander P",5400,IF(D5="MOP57",5200,IF(D5="MOG64",5200,IF(D5="MOG59",5200,IF(D5="MOG59P",5200,IF(D5="MOG61",5200,IF(D5="MOP61",5200,IF(D5="OTF03",6000,IF(D5="OTP03",6000,IF(D5="OTF06",6000,IF(D5="OTP06",6000,IF(D5="OTP06-01",6000,IF(D5="OTF08",6000,IF(D5="OTP08",6000,IF(D5="ECG38",5700,IF(D5="ECG37",5700,IF(D5="ECG40",5700,IF(D5="ECG43",5700,IF(D5="ASG48",5900,IF(D5="ASG43",5900,IF(D5="ASG40",5900,IF(D5="ASG42",5900,IF(D5="ASG44",5900,IF(D5="ASG45",5900,IF(D5="ASX HL",5900,IF(D5="ASX P",5900,IF(D5="ASX HL 4WD",5900,IF(D5="ATG16",4500,IF(D5="ATG17",4500,IF(D5="ATP16",4500,IF(D5="Attrage S",4500,IF(D5="MIG09",4500,IF(D5="MIG10",4500,IF(D5="Xpander HL",5400)))))))))))))))))))))))))))))))))))))))</f>
        <v>5900</v>
      </c>
    </row>
    <row r="12" spans="1:28" ht="24.75" customHeight="1" x14ac:dyDescent="0.4">
      <c r="A12" s="8"/>
      <c r="B12" s="37" t="s">
        <v>20</v>
      </c>
      <c r="C12" s="20" t="s">
        <v>17</v>
      </c>
      <c r="D12" s="36">
        <f>IF(C12="YES",2000,IF(C12="NO",0))</f>
        <v>0</v>
      </c>
      <c r="E12" s="43"/>
      <c r="F12" s="43" t="s">
        <v>21</v>
      </c>
      <c r="G12" s="40"/>
      <c r="H12" s="33">
        <v>600</v>
      </c>
      <c r="I12" s="21"/>
      <c r="J12" s="44" t="s">
        <v>22</v>
      </c>
      <c r="K12" s="45">
        <v>0</v>
      </c>
      <c r="L12" s="45">
        <v>5.2499999999999998E-2</v>
      </c>
      <c r="M12" s="45">
        <v>0.126</v>
      </c>
      <c r="N12" s="46">
        <v>0.26250000000000001</v>
      </c>
      <c r="O12" s="92">
        <f>IF(K20="Esaad",B8*3/100,IF(K20="Emirates Platinum",B8*3/100,IF(K20="Fazaa",B8*3/100,IF(K20="Humat Alwatan",B8*3/100,IF(K20="Permissible",2000,IF(K20="ASX",8400,IF(K20="XPMLP",4000,IF(K20="XP",14100,IF(K20="G43",11000,IF(K20="EC",7000,IF(K20="G37",14000,IF(K20="G38",15000,IF(K20="G40",11000,IF(K20="OUT",9600,IF(K20="F08",15400,IF(K20="P08",11100,IF(K20="F06",14100,IF(K20="P06",17100,IF(K20="F03",17000,IF(K20="P03",19100,IF(K20="MON",10000,IF(K20="MON G57",10000,0))))))))))))))))))))))</f>
        <v>2000</v>
      </c>
      <c r="P12" s="92"/>
      <c r="Q12" s="92"/>
      <c r="R12" s="92"/>
      <c r="S12" s="92"/>
      <c r="T12" s="92"/>
      <c r="U12" s="92"/>
      <c r="V12" s="92"/>
      <c r="W12" s="92"/>
      <c r="X12" s="92"/>
      <c r="Y12" s="92"/>
      <c r="Z12" s="86" t="s">
        <v>83</v>
      </c>
      <c r="AA12" s="86" t="s">
        <v>84</v>
      </c>
    </row>
    <row r="13" spans="1:28" ht="24.6" x14ac:dyDescent="0.4">
      <c r="A13" s="8">
        <f>B8*1.26582</f>
        <v>79620.077999999994</v>
      </c>
      <c r="B13" s="37" t="s">
        <v>23</v>
      </c>
      <c r="C13" s="20" t="s">
        <v>17</v>
      </c>
      <c r="D13" s="36">
        <f>IF(C13="YES",2000,IF(C13="NO",0))</f>
        <v>0</v>
      </c>
      <c r="E13" s="47"/>
      <c r="F13" s="47" t="s">
        <v>75</v>
      </c>
      <c r="G13" s="40"/>
      <c r="H13" s="33">
        <v>315</v>
      </c>
      <c r="I13" s="21"/>
      <c r="J13" s="44" t="s">
        <v>54</v>
      </c>
      <c r="K13" s="29" t="s">
        <v>79</v>
      </c>
      <c r="L13" s="29" t="s">
        <v>25</v>
      </c>
      <c r="M13" s="29" t="s">
        <v>0</v>
      </c>
      <c r="N13" s="49" t="s">
        <v>26</v>
      </c>
      <c r="O13" s="98">
        <f>IF(M21="3000-4999",6%,IF(M21="5000-9999",4.75%,IF(M21="10000-14999",3.15%,IF(M21="15000-24999",2.5%,IF(M21="25000-34999",2.25%,IF(M21="35000-99999",2.25%))))))</f>
        <v>4.7500000000000001E-2</v>
      </c>
      <c r="Q13" s="83">
        <f>H7/12</f>
        <v>1316.8941354166668</v>
      </c>
      <c r="U13" s="9">
        <f>IF(M21="3000-4999",6%,IF(M21="5000-9999",3.25%,IF(M21="10000-14999",3%,IF(M21="15000-24999",2.25%,IF(M21="25000-34999",2.15%,IF(M21="35000-99999",1.99%))))))</f>
        <v>3.2500000000000001E-2</v>
      </c>
      <c r="Z13" s="99">
        <f>IF(M21="5000-9999",2.49%,IF(M21="10000-19999",2.19%,IF(M21="20000-34999",2.09%,IF(M21="35000-49999",1.89%,IF(M21="50000-99999",1.79%)))))</f>
        <v>2.4900000000000002E-2</v>
      </c>
      <c r="AA13" s="99">
        <f>IF(M21="5000-9999",2.59%,IF(M21="10000-19999",2.29%,IF(M21="20000-34999",2.19%,IF(M21="35000-49999",1.99%,IF(M21="50000-99999",1.89%)))))</f>
        <v>2.5899999999999999E-2</v>
      </c>
    </row>
    <row r="14" spans="1:28" ht="24.6" x14ac:dyDescent="0.4">
      <c r="A14" s="10" t="s">
        <v>27</v>
      </c>
      <c r="B14" s="37" t="s">
        <v>24</v>
      </c>
      <c r="C14" s="20" t="s">
        <v>19</v>
      </c>
      <c r="D14" s="50">
        <f>IF(C14="YES",U19*3.15*1.05/100,IF(C14="NO",U19*0/100))</f>
        <v>2413.6481250000002</v>
      </c>
      <c r="E14" s="48"/>
      <c r="F14" s="48" t="s">
        <v>24</v>
      </c>
      <c r="G14" s="51" t="s">
        <v>17</v>
      </c>
      <c r="H14" s="39">
        <f>IF(G14="YES",U19*3.15*1.05/100,IF(G14="NO",U19*0/100))</f>
        <v>0</v>
      </c>
      <c r="I14" s="21"/>
      <c r="J14" s="44" t="s">
        <v>55</v>
      </c>
      <c r="K14" s="44">
        <f>(H8*K12+H8)/3</f>
        <v>5267.5765416666673</v>
      </c>
      <c r="L14" s="44">
        <f>(H8*L12+H8)/12</f>
        <v>1386.0310775260416</v>
      </c>
      <c r="M14" s="44">
        <f>(H8*M12+H8)/24</f>
        <v>741.41139823958338</v>
      </c>
      <c r="N14" s="52">
        <f>(H7*N12+H7)/60</f>
        <v>332.51576919270832</v>
      </c>
      <c r="O14" s="98">
        <f>IF(M21="3000-4999",3.89%,IF(M21="5000-9999",3.89%,IF(M21="10000-14999",3.89%,IF(M21="15000-24999",2.69%,IF(M21="25000-34999",2.69%,IF(M21="35000-99999",2.39%,IF(M21="76000-99999",2.19%)))))))</f>
        <v>3.8900000000000004E-2</v>
      </c>
    </row>
    <row r="15" spans="1:28" ht="24.6" x14ac:dyDescent="0.4">
      <c r="A15" s="11">
        <f>(B7*3%)+10+120</f>
        <v>2017</v>
      </c>
      <c r="B15" s="37" t="s">
        <v>28</v>
      </c>
      <c r="C15" s="20" t="s">
        <v>19</v>
      </c>
      <c r="D15" s="29">
        <f>IF(C15="YES",O10,IF(C15="NO",0))</f>
        <v>3625</v>
      </c>
      <c r="E15" s="48"/>
      <c r="F15" s="48" t="s">
        <v>53</v>
      </c>
      <c r="G15" s="51" t="s">
        <v>17</v>
      </c>
      <c r="H15" s="39">
        <f>IF(G15="YES",O10,IF(G15="NO",0))</f>
        <v>0</v>
      </c>
      <c r="I15" s="21"/>
      <c r="J15" s="44"/>
      <c r="K15" s="44"/>
      <c r="L15" s="44"/>
      <c r="M15" s="44"/>
      <c r="N15" s="53"/>
      <c r="O15" s="98" t="b">
        <f>IF(M21="3000-4999",4.99%, IF(M21="5000-11999",2.75%,IF(M21="12000-19999",2.75%,IF(M21="20000-39999",2.25%,IF(M21="40000-69999",2.39%,IF(M21="70000-99999",2.25%))))))</f>
        <v>0</v>
      </c>
      <c r="P15" s="99"/>
    </row>
    <row r="16" spans="1:28" ht="24.6" x14ac:dyDescent="0.4">
      <c r="A16" s="11">
        <f>((B7-B8)*3%+10+120)</f>
        <v>130</v>
      </c>
      <c r="B16" s="37" t="s">
        <v>78</v>
      </c>
      <c r="C16" s="20" t="s">
        <v>19</v>
      </c>
      <c r="D16" s="29">
        <f>IF(C16="YES",O16,IF(C16="NO",0))</f>
        <v>6600</v>
      </c>
      <c r="E16" s="47"/>
      <c r="F16" s="47" t="s">
        <v>74</v>
      </c>
      <c r="G16" s="54"/>
      <c r="H16" s="33">
        <f>I7*1.05%</f>
        <v>663.71464425000011</v>
      </c>
      <c r="I16" s="21"/>
      <c r="J16" s="44" t="s">
        <v>16</v>
      </c>
      <c r="K16" s="44">
        <f>(K14*3)-H8</f>
        <v>0</v>
      </c>
      <c r="L16" s="44">
        <f>(L14*12)-H8</f>
        <v>829.64330531249834</v>
      </c>
      <c r="M16" s="44">
        <f>(M14*24)-H8</f>
        <v>1991.1439327499993</v>
      </c>
      <c r="N16" s="53"/>
      <c r="O16" s="92">
        <f>IF(B16="RMC-10-70KMS",O11,IF(B16="RMC-10-100000KMS",V11,IF(B16="RMC-40-70KMS",U11, IF(B16="RMC-10-40KMS",X11, IF(B16="RMC-10-60KMS",Y11, IF(B16="RMC-40-100000KMS",W11,0))))))</f>
        <v>6600</v>
      </c>
    </row>
    <row r="17" spans="1:28" ht="24.6" x14ac:dyDescent="0.4">
      <c r="A17" s="11">
        <f>A15+A16</f>
        <v>2147</v>
      </c>
      <c r="B17" s="37"/>
      <c r="C17" s="20"/>
      <c r="D17" s="29">
        <f>SUM(D10:D16)</f>
        <v>12638.648125</v>
      </c>
      <c r="E17" s="33"/>
      <c r="F17" s="33"/>
      <c r="G17" s="33"/>
      <c r="H17" s="33">
        <f>H7+H12+H15+H16</f>
        <v>17066.444269250002</v>
      </c>
      <c r="I17" s="33"/>
      <c r="J17" s="22"/>
      <c r="K17" s="53"/>
      <c r="L17" s="53"/>
      <c r="M17" s="53"/>
      <c r="N17" s="53"/>
      <c r="O17" s="92">
        <f>IF(B11="FO Ceramic+ Intr&amp;Extr CeramicGold WdwTnt",2700,IF(B11="FO Mirror Camera Sensor",2000))</f>
        <v>2700</v>
      </c>
      <c r="T17" s="86">
        <f>19615-791</f>
        <v>18824</v>
      </c>
    </row>
    <row r="18" spans="1:28" ht="24.6" x14ac:dyDescent="0.4">
      <c r="A18" s="12" t="s">
        <v>29</v>
      </c>
      <c r="B18" s="55" t="s">
        <v>30</v>
      </c>
      <c r="C18" s="56"/>
      <c r="D18" s="57">
        <v>0</v>
      </c>
      <c r="E18" s="38"/>
      <c r="F18" s="22"/>
      <c r="G18" s="22"/>
      <c r="H18" s="21"/>
      <c r="I18" s="21"/>
      <c r="J18" s="21"/>
      <c r="K18" s="21"/>
      <c r="L18" s="21"/>
      <c r="M18" s="21"/>
      <c r="N18" s="21"/>
      <c r="O18" s="92"/>
      <c r="U18" s="100" t="s">
        <v>52</v>
      </c>
      <c r="V18" s="100" t="s">
        <v>52</v>
      </c>
    </row>
    <row r="19" spans="1:28" ht="24.6" x14ac:dyDescent="0.4">
      <c r="A19" s="11">
        <f>B8*3.15%</f>
        <v>1981.35</v>
      </c>
      <c r="B19" s="58" t="s">
        <v>31</v>
      </c>
      <c r="C19" s="59"/>
      <c r="D19" s="60">
        <f>IF(K21="DIB EXPAT",O13,IF(K21="DIB LOCAL GVH",U13,IF(K21="Emirates NBD",O14,IF(K21="ADCB",O15,IF(K21="ADCB PAY IN 2027",O19,IF(K21="Ajman Bank",O18,IF(K21="SIB STL",Z13,IF(K21="SIB NON STL",AA13,))))))))</f>
        <v>2.4900000000000002E-2</v>
      </c>
      <c r="E19" s="22"/>
      <c r="F19" s="61"/>
      <c r="G19" s="141" t="s">
        <v>73</v>
      </c>
      <c r="H19" s="142"/>
      <c r="I19" s="143"/>
      <c r="J19" s="109">
        <f>H7/365</f>
        <v>43.295149657534253</v>
      </c>
      <c r="K19" s="21"/>
      <c r="L19" s="21"/>
      <c r="M19" s="21"/>
      <c r="N19" s="23">
        <f>D7</f>
        <v>66045</v>
      </c>
      <c r="O19" s="98" t="b">
        <f>IF(M21="5000-11999",3.35%,IF(M21="12000-19999",3.35%,IF(M21="20000-39999",2.85%,IF(M21="40000-69999",2.85%,IF(M21="70000-99999",2.85%)))))</f>
        <v>0</v>
      </c>
      <c r="P19" s="83">
        <f>81400-2500</f>
        <v>78900</v>
      </c>
      <c r="U19" s="101">
        <f>V19</f>
        <v>72975</v>
      </c>
      <c r="V19" s="102">
        <f>(B7+D10+D11+D12+D13+D16)*1.05</f>
        <v>72975</v>
      </c>
      <c r="X19" s="87">
        <f>G7*3.15*1.05/100</f>
        <v>2613.3764117343753</v>
      </c>
      <c r="Y19" s="87">
        <f>G7*3/100+510*1.05</f>
        <v>2905.9094437500003</v>
      </c>
      <c r="Z19" s="87">
        <f>Y19+X19</f>
        <v>5519.2858554843751</v>
      </c>
      <c r="AA19" s="87">
        <f>(Z19)-(D14+D15)</f>
        <v>-519.36226951562458</v>
      </c>
      <c r="AB19" s="87">
        <f>AA19*1.25</f>
        <v>-649.20283689453072</v>
      </c>
    </row>
    <row r="20" spans="1:28" ht="24.6" x14ac:dyDescent="0.4">
      <c r="A20" s="11"/>
      <c r="B20" s="58" t="s">
        <v>32</v>
      </c>
      <c r="C20" s="62"/>
      <c r="D20" s="63">
        <v>0.2</v>
      </c>
      <c r="E20" s="21"/>
      <c r="F20" s="21"/>
      <c r="G20" s="42"/>
      <c r="H20" s="42"/>
      <c r="I20" s="42"/>
      <c r="J20" s="103"/>
      <c r="K20" s="104" t="s">
        <v>33</v>
      </c>
      <c r="L20" s="104" t="s">
        <v>17</v>
      </c>
      <c r="M20" s="104">
        <f>IF(L20="YES",O12,IF(L20="NO",0))</f>
        <v>0</v>
      </c>
      <c r="N20" s="23">
        <f>B8-M20</f>
        <v>62900</v>
      </c>
      <c r="O20" s="92"/>
      <c r="P20" s="99"/>
      <c r="T20" s="86">
        <f>1992+1084</f>
        <v>3076</v>
      </c>
      <c r="V20" s="83"/>
      <c r="X20" s="87">
        <f>X19-D14</f>
        <v>199.72828673437516</v>
      </c>
      <c r="Y20" s="87">
        <f>Y19-D15</f>
        <v>-719.09055624999974</v>
      </c>
      <c r="AA20" s="87">
        <f>X20+Y20</f>
        <v>-519.36226951562458</v>
      </c>
    </row>
    <row r="21" spans="1:28" ht="24.6" x14ac:dyDescent="0.4">
      <c r="A21" s="13">
        <f>A19+A20</f>
        <v>1981.35</v>
      </c>
      <c r="B21" s="21"/>
      <c r="C21" s="22"/>
      <c r="D21" s="21"/>
      <c r="E21" s="21"/>
      <c r="F21" s="21"/>
      <c r="G21" s="21"/>
      <c r="H21" s="21"/>
      <c r="I21" s="21"/>
      <c r="J21" s="37" t="s">
        <v>34</v>
      </c>
      <c r="K21" s="16" t="s">
        <v>83</v>
      </c>
      <c r="L21" s="105" t="s">
        <v>35</v>
      </c>
      <c r="M21" s="106" t="s">
        <v>80</v>
      </c>
      <c r="N21" s="111"/>
      <c r="O21" s="92"/>
      <c r="T21" s="86">
        <f>25973-12973</f>
        <v>13000</v>
      </c>
    </row>
    <row r="22" spans="1:28" ht="24.6" x14ac:dyDescent="0.4">
      <c r="A22" s="13"/>
      <c r="B22" s="130" t="s">
        <v>51</v>
      </c>
      <c r="C22" s="131"/>
      <c r="D22" s="131"/>
      <c r="E22" s="131"/>
      <c r="F22" s="131"/>
      <c r="G22" s="131"/>
      <c r="H22" s="131"/>
      <c r="I22" s="131"/>
      <c r="J22" s="131"/>
      <c r="K22" s="131"/>
      <c r="L22" s="131"/>
      <c r="M22" s="131"/>
      <c r="N22" s="132"/>
      <c r="O22" s="92"/>
    </row>
    <row r="23" spans="1:28" ht="25.2" x14ac:dyDescent="0.45">
      <c r="A23" s="14" t="s">
        <v>36</v>
      </c>
      <c r="B23" s="64" t="s">
        <v>57</v>
      </c>
      <c r="C23" s="65"/>
      <c r="D23" s="65"/>
      <c r="E23" s="65"/>
      <c r="F23" s="65"/>
      <c r="G23" s="65"/>
      <c r="H23" s="66"/>
      <c r="I23" s="66"/>
      <c r="J23" s="65"/>
      <c r="K23" s="65"/>
      <c r="L23" s="65"/>
      <c r="M23" s="65"/>
      <c r="N23" s="67"/>
      <c r="O23" s="92">
        <f>N7+K14</f>
        <v>6452.2545058875003</v>
      </c>
    </row>
    <row r="24" spans="1:28" ht="25.2" x14ac:dyDescent="0.45">
      <c r="A24" s="14" t="s">
        <v>36</v>
      </c>
      <c r="B24" s="64" t="s">
        <v>58</v>
      </c>
      <c r="C24" s="65"/>
      <c r="D24" s="65"/>
      <c r="E24" s="65"/>
      <c r="F24" s="65"/>
      <c r="G24" s="65"/>
      <c r="H24" s="85">
        <f>H7/365</f>
        <v>43.295149657534253</v>
      </c>
      <c r="I24" s="85">
        <f>H7/365</f>
        <v>43.295149657534253</v>
      </c>
      <c r="J24" s="65"/>
      <c r="K24" s="65"/>
      <c r="L24" s="65"/>
      <c r="M24" s="65"/>
      <c r="N24" s="68"/>
      <c r="O24" s="92"/>
      <c r="P24" s="83">
        <f>1232+480</f>
        <v>1712</v>
      </c>
      <c r="T24" s="86">
        <f>88704/1.05</f>
        <v>84480</v>
      </c>
    </row>
    <row r="25" spans="1:28" ht="25.2" x14ac:dyDescent="0.45">
      <c r="A25" s="14" t="s">
        <v>36</v>
      </c>
      <c r="B25" s="64" t="s">
        <v>59</v>
      </c>
      <c r="C25" s="65"/>
      <c r="D25" s="65"/>
      <c r="E25" s="65"/>
      <c r="F25" s="65"/>
      <c r="G25" s="65"/>
      <c r="H25" s="66"/>
      <c r="I25" s="85">
        <f>I24*365*3</f>
        <v>47408.188875000007</v>
      </c>
      <c r="J25" s="65"/>
      <c r="K25" s="65"/>
      <c r="L25" s="65"/>
      <c r="M25" s="65"/>
      <c r="N25" s="68"/>
      <c r="O25" s="92"/>
      <c r="Q25" s="86">
        <f>79400-5233.33</f>
        <v>74166.67</v>
      </c>
      <c r="R25" s="86">
        <f>Q25*1.05</f>
        <v>77875.003500000006</v>
      </c>
    </row>
    <row r="26" spans="1:28" ht="25.2" x14ac:dyDescent="0.45">
      <c r="A26" s="14" t="s">
        <v>36</v>
      </c>
      <c r="B26" s="64" t="s">
        <v>60</v>
      </c>
      <c r="C26" s="65"/>
      <c r="D26" s="65"/>
      <c r="E26" s="65"/>
      <c r="F26" s="65"/>
      <c r="G26" s="65"/>
      <c r="H26" s="65"/>
      <c r="I26" s="65"/>
      <c r="J26" s="65"/>
      <c r="K26" s="65"/>
      <c r="L26" s="65"/>
      <c r="M26" s="65"/>
      <c r="N26" s="68"/>
      <c r="O26" s="92" t="s">
        <v>37</v>
      </c>
      <c r="R26" s="86">
        <f>R25+2469</f>
        <v>80344.003500000006</v>
      </c>
    </row>
    <row r="27" spans="1:28" ht="25.2" x14ac:dyDescent="0.45">
      <c r="A27" s="14" t="s">
        <v>36</v>
      </c>
      <c r="B27" s="64" t="s">
        <v>61</v>
      </c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8"/>
      <c r="O27" s="92">
        <f>129500-110900</f>
        <v>18600</v>
      </c>
    </row>
    <row r="28" spans="1:28" ht="25.2" x14ac:dyDescent="0.45">
      <c r="B28" s="64" t="s">
        <v>62</v>
      </c>
      <c r="C28" s="65"/>
      <c r="D28" s="65"/>
      <c r="E28" s="65"/>
      <c r="F28" s="65"/>
      <c r="G28" s="65"/>
      <c r="H28" s="65"/>
      <c r="I28" s="65"/>
      <c r="J28" s="65"/>
      <c r="K28" s="65"/>
      <c r="L28" s="65"/>
      <c r="M28" s="65"/>
      <c r="N28" s="68"/>
      <c r="O28" s="92"/>
    </row>
    <row r="29" spans="1:28" ht="25.2" x14ac:dyDescent="0.45">
      <c r="B29" s="64" t="s">
        <v>63</v>
      </c>
      <c r="C29" s="65"/>
      <c r="D29" s="65"/>
      <c r="E29" s="65"/>
      <c r="F29" s="65"/>
      <c r="G29" s="65"/>
      <c r="H29" s="65"/>
      <c r="I29" s="65"/>
      <c r="J29" s="65"/>
      <c r="K29" s="65"/>
      <c r="L29" s="65"/>
      <c r="M29" s="65"/>
      <c r="N29" s="69"/>
      <c r="O29" s="92"/>
    </row>
    <row r="30" spans="1:28" ht="24.6" x14ac:dyDescent="0.4">
      <c r="B30" s="133" t="s">
        <v>38</v>
      </c>
      <c r="C30" s="134"/>
      <c r="D30" s="134"/>
      <c r="E30" s="134"/>
      <c r="F30" s="134"/>
      <c r="G30" s="134"/>
      <c r="H30" s="134"/>
      <c r="I30" s="134"/>
      <c r="J30" s="134"/>
      <c r="K30" s="134"/>
      <c r="L30" s="134"/>
      <c r="M30" s="134"/>
      <c r="N30" s="135"/>
      <c r="O30" s="92"/>
    </row>
    <row r="31" spans="1:28" ht="24.6" x14ac:dyDescent="0.4">
      <c r="B31" s="136"/>
      <c r="C31" s="137"/>
      <c r="D31" s="137"/>
      <c r="E31" s="137"/>
      <c r="F31" s="137"/>
      <c r="G31" s="137"/>
      <c r="H31" s="137"/>
      <c r="I31" s="137"/>
      <c r="J31" s="137"/>
      <c r="K31" s="137"/>
      <c r="L31" s="137"/>
      <c r="M31" s="137"/>
      <c r="N31" s="138"/>
      <c r="O31" s="92"/>
    </row>
    <row r="32" spans="1:28" ht="24.6" x14ac:dyDescent="0.4">
      <c r="B32" s="136" t="s">
        <v>39</v>
      </c>
      <c r="C32" s="137"/>
      <c r="D32" s="137"/>
      <c r="E32" s="137"/>
      <c r="F32" s="137"/>
      <c r="G32" s="137"/>
      <c r="H32" s="137"/>
      <c r="I32" s="137"/>
      <c r="J32" s="137"/>
      <c r="K32" s="137"/>
      <c r="L32" s="137"/>
      <c r="M32" s="137"/>
      <c r="N32" s="138"/>
      <c r="O32" s="92"/>
    </row>
    <row r="33" spans="2:16" ht="24.6" x14ac:dyDescent="0.4">
      <c r="B33" s="136" t="s">
        <v>40</v>
      </c>
      <c r="C33" s="137"/>
      <c r="D33" s="137"/>
      <c r="E33" s="137"/>
      <c r="F33" s="137"/>
      <c r="G33" s="137"/>
      <c r="H33" s="137"/>
      <c r="I33" s="137"/>
      <c r="J33" s="137"/>
      <c r="K33" s="137"/>
      <c r="L33" s="137"/>
      <c r="M33" s="137"/>
      <c r="N33" s="138"/>
      <c r="O33" s="92"/>
    </row>
    <row r="34" spans="2:16" s="112" customFormat="1" ht="24.6" x14ac:dyDescent="0.4">
      <c r="B34" s="107" t="s">
        <v>81</v>
      </c>
      <c r="C34" s="108"/>
      <c r="D34" s="108"/>
      <c r="E34" s="108"/>
      <c r="F34" s="108"/>
      <c r="G34" s="113"/>
      <c r="H34" s="113"/>
      <c r="I34" s="108"/>
      <c r="J34" s="108"/>
      <c r="K34" s="108"/>
      <c r="L34" s="108"/>
      <c r="M34" s="114" t="s">
        <v>82</v>
      </c>
      <c r="N34" s="116" t="b">
        <f>IF(M34="ALAA",507963328, IF(M34="BACHIR",525246969,IF(M34="JIHAN",566201266, IF(M34="RAMY",505277871, IF(M34="SIMON",505140337,IF(M34="SUJITH",551079817, IF(M34="PRAVEEN",506367792,IF(M34="MHAREN",529224059, IF(M34="MOSSALLEM",505185577,IF(M34="RANJITH",554989288, IF(M34="KHALED",552319494)))))))))))</f>
        <v>0</v>
      </c>
      <c r="O34" s="115"/>
      <c r="P34" s="115"/>
    </row>
    <row r="35" spans="2:16" x14ac:dyDescent="0.35">
      <c r="B35" s="70"/>
      <c r="C35" s="71"/>
      <c r="D35" s="71"/>
      <c r="E35" s="71"/>
      <c r="F35" s="71"/>
      <c r="G35" s="71"/>
      <c r="H35" s="71"/>
      <c r="I35" s="71"/>
      <c r="J35" s="71"/>
      <c r="K35" s="71"/>
      <c r="L35" s="71"/>
      <c r="M35" s="71"/>
      <c r="N35" s="72"/>
    </row>
    <row r="36" spans="2:16" x14ac:dyDescent="0.35">
      <c r="B36" s="70"/>
      <c r="C36" s="71"/>
      <c r="D36" s="71"/>
      <c r="E36" s="71"/>
      <c r="F36" s="71"/>
      <c r="G36" s="71"/>
      <c r="H36" s="71"/>
      <c r="I36" s="71"/>
      <c r="J36" s="71"/>
      <c r="K36" s="71"/>
      <c r="L36" s="71"/>
      <c r="M36" s="71"/>
      <c r="N36" s="72"/>
    </row>
    <row r="37" spans="2:16" x14ac:dyDescent="0.35">
      <c r="B37" s="70"/>
      <c r="C37" s="71"/>
      <c r="D37" s="71"/>
      <c r="E37" s="71"/>
      <c r="F37" s="71"/>
      <c r="G37" s="71"/>
      <c r="H37" s="71"/>
      <c r="I37" s="71"/>
      <c r="J37" s="71"/>
      <c r="K37" s="71"/>
      <c r="L37" s="71"/>
      <c r="M37" s="71"/>
      <c r="N37" s="72"/>
    </row>
    <row r="38" spans="2:16" ht="21" x14ac:dyDescent="0.4">
      <c r="B38" s="73" t="s">
        <v>64</v>
      </c>
      <c r="C38" s="74"/>
      <c r="D38" s="75"/>
      <c r="E38" s="76"/>
      <c r="F38" s="76"/>
      <c r="G38" s="76"/>
      <c r="H38" s="76"/>
      <c r="I38" s="76"/>
      <c r="J38" s="77"/>
      <c r="K38" s="76"/>
      <c r="L38" s="76"/>
      <c r="M38" s="76"/>
      <c r="N38" s="78"/>
    </row>
    <row r="39" spans="2:16" ht="21" x14ac:dyDescent="0.4">
      <c r="B39" s="73" t="s">
        <v>65</v>
      </c>
      <c r="C39" s="79"/>
      <c r="D39" s="75"/>
      <c r="E39" s="76"/>
      <c r="F39" s="76"/>
      <c r="G39" s="76"/>
      <c r="H39" s="76"/>
      <c r="I39" s="76"/>
      <c r="J39" s="77"/>
      <c r="K39" s="76"/>
      <c r="L39" s="76"/>
      <c r="M39" s="76"/>
      <c r="N39" s="80"/>
    </row>
    <row r="40" spans="2:16" ht="21" x14ac:dyDescent="0.35">
      <c r="B40" s="73" t="s">
        <v>66</v>
      </c>
      <c r="C40" s="81"/>
      <c r="D40" s="76"/>
      <c r="E40" s="76"/>
      <c r="F40" s="76"/>
      <c r="G40" s="76"/>
      <c r="H40" s="76"/>
      <c r="I40" s="76"/>
      <c r="J40" s="77"/>
      <c r="K40" s="76"/>
      <c r="L40" s="76"/>
      <c r="M40" s="76"/>
      <c r="N40" s="80"/>
    </row>
    <row r="41" spans="2:16" ht="21" x14ac:dyDescent="0.35">
      <c r="B41" s="73" t="s">
        <v>67</v>
      </c>
      <c r="C41" s="82"/>
      <c r="D41" s="83"/>
      <c r="E41" s="83"/>
      <c r="F41" s="83"/>
      <c r="G41" s="83"/>
      <c r="H41" s="83"/>
      <c r="I41" s="83"/>
      <c r="J41" s="83"/>
      <c r="K41" s="83"/>
      <c r="L41" s="83"/>
      <c r="M41" s="83"/>
      <c r="N41" s="84"/>
    </row>
    <row r="42" spans="2:16" ht="21" x14ac:dyDescent="0.35">
      <c r="B42" s="73" t="s">
        <v>77</v>
      </c>
      <c r="C42" s="82"/>
      <c r="D42" s="83"/>
      <c r="E42" s="83"/>
      <c r="F42" s="83"/>
      <c r="G42" s="83"/>
      <c r="H42" s="83"/>
      <c r="I42" s="83"/>
      <c r="J42" s="83"/>
      <c r="K42" s="83"/>
      <c r="L42" s="83"/>
      <c r="M42" s="83"/>
      <c r="N42" s="84"/>
    </row>
    <row r="43" spans="2:16" ht="21" x14ac:dyDescent="0.35">
      <c r="B43" s="73" t="s">
        <v>68</v>
      </c>
      <c r="C43" s="82"/>
      <c r="D43" s="83"/>
      <c r="E43" s="83"/>
      <c r="F43" s="83"/>
      <c r="G43" s="83"/>
      <c r="H43" s="83"/>
      <c r="I43" s="83"/>
      <c r="J43" s="83"/>
      <c r="K43" s="83"/>
      <c r="L43" s="83"/>
      <c r="M43" s="83"/>
      <c r="N43" s="84"/>
    </row>
    <row r="44" spans="2:16" ht="21" x14ac:dyDescent="0.35">
      <c r="B44" s="73" t="s">
        <v>69</v>
      </c>
      <c r="C44" s="82"/>
      <c r="D44" s="83"/>
      <c r="E44" s="83"/>
      <c r="F44" s="83"/>
      <c r="G44" s="83"/>
      <c r="H44" s="83"/>
      <c r="I44" s="83"/>
      <c r="J44" s="83"/>
      <c r="K44" s="83"/>
      <c r="L44" s="83"/>
      <c r="M44" s="83"/>
      <c r="N44" s="84"/>
    </row>
    <row r="45" spans="2:16" ht="21" x14ac:dyDescent="0.35">
      <c r="B45" s="73" t="s">
        <v>70</v>
      </c>
      <c r="C45" s="82"/>
      <c r="D45" s="83"/>
      <c r="E45" s="83"/>
      <c r="F45" s="83"/>
      <c r="G45" s="83"/>
      <c r="H45" s="83"/>
      <c r="I45" s="83"/>
      <c r="J45" s="83"/>
      <c r="K45" s="83"/>
      <c r="L45" s="83"/>
      <c r="M45" s="83"/>
      <c r="N45" s="84"/>
    </row>
    <row r="46" spans="2:16" ht="21" x14ac:dyDescent="0.35">
      <c r="B46" s="73" t="s">
        <v>71</v>
      </c>
      <c r="C46" s="82"/>
      <c r="D46" s="83"/>
      <c r="E46" s="83"/>
      <c r="F46" s="83"/>
      <c r="G46" s="83"/>
      <c r="H46" s="83"/>
      <c r="I46" s="83"/>
      <c r="J46" s="83"/>
      <c r="K46" s="83"/>
      <c r="L46" s="83"/>
      <c r="M46" s="83"/>
      <c r="N46" s="84"/>
    </row>
    <row r="47" spans="2:16" x14ac:dyDescent="0.35">
      <c r="B47" s="118" t="s">
        <v>39</v>
      </c>
      <c r="C47" s="119"/>
      <c r="D47" s="119"/>
      <c r="E47" s="119"/>
      <c r="F47" s="119"/>
      <c r="G47" s="119"/>
      <c r="H47" s="119"/>
      <c r="I47" s="119"/>
      <c r="J47" s="119"/>
      <c r="K47" s="119"/>
      <c r="L47" s="119"/>
      <c r="M47" s="119"/>
      <c r="N47" s="120"/>
      <c r="O47" s="92"/>
    </row>
    <row r="48" spans="2:16" x14ac:dyDescent="0.35">
      <c r="B48" s="118" t="s">
        <v>40</v>
      </c>
      <c r="C48" s="119"/>
      <c r="D48" s="119"/>
      <c r="E48" s="119"/>
      <c r="F48" s="119"/>
      <c r="G48" s="119"/>
      <c r="H48" s="119"/>
      <c r="I48" s="119"/>
      <c r="J48" s="119"/>
      <c r="K48" s="119"/>
      <c r="L48" s="119"/>
      <c r="M48" s="119"/>
      <c r="N48" s="120"/>
      <c r="O48" s="92"/>
    </row>
    <row r="49" spans="2:14" x14ac:dyDescent="0.35">
      <c r="B49" s="118" t="s">
        <v>72</v>
      </c>
      <c r="C49" s="119"/>
      <c r="D49" s="119"/>
      <c r="E49" s="119"/>
      <c r="F49" s="119"/>
      <c r="G49" s="119"/>
      <c r="H49" s="119"/>
      <c r="I49" s="119"/>
      <c r="J49" s="119"/>
      <c r="K49" s="119"/>
      <c r="L49" s="119"/>
      <c r="M49" s="119"/>
      <c r="N49" s="120"/>
    </row>
    <row r="50" spans="2:14" ht="25.8" x14ac:dyDescent="0.35">
      <c r="C50" s="15" t="s">
        <v>41</v>
      </c>
    </row>
    <row r="51" spans="2:14" ht="25.8" x14ac:dyDescent="0.35">
      <c r="C51" s="15" t="s">
        <v>42</v>
      </c>
    </row>
    <row r="52" spans="2:14" ht="25.8" x14ac:dyDescent="0.35">
      <c r="C52" s="15" t="s">
        <v>43</v>
      </c>
    </row>
    <row r="53" spans="2:14" ht="25.8" x14ac:dyDescent="0.35">
      <c r="C53" s="15" t="s">
        <v>44</v>
      </c>
    </row>
    <row r="54" spans="2:14" ht="25.8" x14ac:dyDescent="0.35">
      <c r="C54" s="15" t="s">
        <v>45</v>
      </c>
    </row>
  </sheetData>
  <mergeCells count="12">
    <mergeCell ref="B49:N49"/>
    <mergeCell ref="B1:N4"/>
    <mergeCell ref="F8:G8"/>
    <mergeCell ref="F9:G9"/>
    <mergeCell ref="G19:I19"/>
    <mergeCell ref="B22:N22"/>
    <mergeCell ref="B30:N30"/>
    <mergeCell ref="B31:N31"/>
    <mergeCell ref="B32:N32"/>
    <mergeCell ref="B33:N33"/>
    <mergeCell ref="B47:N47"/>
    <mergeCell ref="B48:N48"/>
  </mergeCells>
  <dataValidations count="11">
    <dataValidation type="list" allowBlank="1" showInputMessage="1" showErrorMessage="1" sqref="K21" xr:uid="{75F70F1F-8081-4BBF-9825-36D9C1954736}">
      <formula1>"ADCB,ADCB PAY IN 2027,Ajman Bank,ADIB,DIB EXPAT,DIB LOCAL GVH,Emirates NBD,EIB,FAB,RAK,SIB STL,SIB NON STL"</formula1>
    </dataValidation>
    <dataValidation type="list" allowBlank="1" showInputMessage="1" showErrorMessage="1" sqref="D5" xr:uid="{A47996BD-DB75-4AA4-B0DC-C9B173486CDB}">
      <formula1>"MIG09,MIG10,ATG16,ATP16,ATG17,ASG48,ASG43,ASG40,ASG42,ASG44,ASG45,ECG38,ECG37,ECG40,ECG43,XPML,XPHL,XPMLP, XPMLP-01, XC,OTF03,OTP03,OTF06,OTP06, OTP06-01,OTF08, OTP08,MOP57,MOG64,MOG59,MOG59P,MOG61,MOP61"</formula1>
    </dataValidation>
    <dataValidation type="list" allowBlank="1" showInputMessage="1" showErrorMessage="1" sqref="M21" xr:uid="{0E838425-E781-440B-BBDD-0CD6D6F44F93}">
      <formula1>"3000-4999,5000-9999,10000-14999,15000-24999,25000-34999,35000-99999,5000-11999,12000-19999,20000-39999,40000-69999,70000-99999"</formula1>
    </dataValidation>
    <dataValidation type="list" allowBlank="1" showInputMessage="1" showErrorMessage="1" sqref="K20" xr:uid="{5E8593F3-9899-4289-ACFD-EDE422B1E246}">
      <formula1>"Esaad,Emirates Platinum,Fazaa,Humat Alwatan,Permissible,ASX,XPMLP,XP,MON,MON G57,OUT,F08,P08,F06,P06,F03,P03,EC,G37,G38,G40,G43"</formula1>
    </dataValidation>
    <dataValidation type="list" allowBlank="1" showInputMessage="1" showErrorMessage="1" sqref="L19:L20 L24:L25 G14:G15 C10:C16 L10 J10" xr:uid="{B5E1F57F-1EE1-451C-8539-9ECC2D31F9D3}">
      <formula1>"YES,NO"</formula1>
    </dataValidation>
    <dataValidation type="list" allowBlank="1" showInputMessage="1" showErrorMessage="1" sqref="K24" xr:uid="{CD5D94B0-F31D-4A6E-A825-1221A5C384CA}">
      <formula1>"RMC-10-70K,RMC-10-100000K,RMC-40-70K"</formula1>
    </dataValidation>
    <dataValidation type="list" allowBlank="1" showInputMessage="1" showErrorMessage="1" sqref="B16" xr:uid="{E4D7C9D7-0B68-4E92-86E9-72540F1EE112}">
      <formula1>"RMC-10-40KMS,RMC-10-60KMS,RMC-10-70KMS,RMC-10-100000KMS,RMC-40-70KMS,RMC-40-100000KMS"</formula1>
    </dataValidation>
    <dataValidation type="list" allowBlank="1" showInputMessage="1" showErrorMessage="1" sqref="B12" xr:uid="{06BD09E6-B645-47F6-A970-EABF4EAAAE86}">
      <formula1>"FO Exterior ceramic All Cars SCOTCHGUARD,FO Mirror Camera Sensor,FO PPF Gold Package "</formula1>
    </dataValidation>
    <dataValidation type="list" allowBlank="1" showInputMessage="1" showErrorMessage="1" sqref="B11" xr:uid="{9319FADA-CE96-4B8F-8C37-5037FF69D124}">
      <formula1>"FO Ceramic+ Intr&amp;Extr CeramicGold WdwTnt,FO Mirror Camera Sensor"</formula1>
    </dataValidation>
    <dataValidation type="list" allowBlank="1" showInputMessage="1" showErrorMessage="1" sqref="M34" xr:uid="{AAB3C520-B6F1-4734-B7D8-F9F29C0A44FB}">
      <formula1>"Alaa,Bachir ,Khaled,Ramy,Simon,Mharen,Ranjith,Jihan,Praveen,Sujith,Mossallem"</formula1>
    </dataValidation>
    <dataValidation type="list" allowBlank="1" showInputMessage="1" showErrorMessage="1" sqref="H34" xr:uid="{726E1D1B-8F34-4039-A647-09AC8671F367}">
      <formula1>"ALAA HAMMAD,KHALED QASSEM,RAMY RAOUF,SIMON LOBO,MHAREN CLEMENTE GARADO"</formula1>
    </dataValidation>
  </dataValidations>
  <pageMargins left="0.23622047244094491" right="0.23622047244094491" top="0.74803149606299213" bottom="0.74803149606299213" header="0.31496062992125984" footer="0.31496062992125984"/>
  <pageSetup paperSize="9" scale="37" orientation="landscape" horizontalDpi="4294967295" verticalDpi="4294967295"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111945-E6F9-42D0-B0FA-C4EE4E6F82D1}">
  <sheetPr>
    <pageSetUpPr fitToPage="1"/>
  </sheetPr>
  <dimension ref="A1:AB54"/>
  <sheetViews>
    <sheetView topLeftCell="B1" zoomScaleNormal="100" workbookViewId="0">
      <selection activeCell="D5" sqref="D5"/>
    </sheetView>
  </sheetViews>
  <sheetFormatPr defaultColWidth="9.109375" defaultRowHeight="20.399999999999999" x14ac:dyDescent="0.35"/>
  <cols>
    <col min="1" max="1" width="16" style="1" hidden="1" customWidth="1"/>
    <col min="2" max="2" width="75.5546875" style="2" customWidth="1"/>
    <col min="3" max="3" width="25.5546875" style="3" customWidth="1"/>
    <col min="4" max="4" width="25.33203125" style="2" customWidth="1"/>
    <col min="5" max="5" width="22.6640625" style="2" customWidth="1"/>
    <col min="6" max="6" width="21" style="2" customWidth="1"/>
    <col min="7" max="7" width="25" style="2" customWidth="1"/>
    <col min="8" max="8" width="29.44140625" style="2" bestFit="1" customWidth="1"/>
    <col min="9" max="9" width="32.109375" style="2" bestFit="1" customWidth="1"/>
    <col min="10" max="10" width="22" style="2" customWidth="1"/>
    <col min="11" max="11" width="23.33203125" style="2" customWidth="1"/>
    <col min="12" max="12" width="31" style="2" customWidth="1"/>
    <col min="13" max="13" width="23.5546875" style="2" customWidth="1"/>
    <col min="14" max="14" width="21.109375" style="2" customWidth="1"/>
    <col min="15" max="15" width="14.44140625" style="83" bestFit="1" customWidth="1"/>
    <col min="16" max="16" width="21.6640625" style="83" hidden="1" customWidth="1"/>
    <col min="17" max="17" width="14.33203125" style="86" hidden="1" customWidth="1"/>
    <col min="18" max="18" width="12.88671875" style="86" hidden="1" customWidth="1"/>
    <col min="19" max="19" width="13" style="86" hidden="1" customWidth="1"/>
    <col min="20" max="20" width="17.109375" style="86" hidden="1" customWidth="1"/>
    <col min="21" max="21" width="21.5546875" style="86" customWidth="1"/>
    <col min="22" max="22" width="22.88671875" style="86" customWidth="1"/>
    <col min="23" max="26" width="17.109375" style="86" bestFit="1" customWidth="1"/>
    <col min="27" max="27" width="15" style="86" customWidth="1"/>
    <col min="28" max="28" width="14.33203125" style="86" bestFit="1" customWidth="1"/>
    <col min="29" max="16384" width="9.109375" style="1"/>
  </cols>
  <sheetData>
    <row r="1" spans="1:28" ht="15.75" customHeight="1" x14ac:dyDescent="0.35">
      <c r="B1" s="121" t="s">
        <v>46</v>
      </c>
      <c r="C1" s="122"/>
      <c r="D1" s="122"/>
      <c r="E1" s="122"/>
      <c r="F1" s="122"/>
      <c r="G1" s="122"/>
      <c r="H1" s="122"/>
      <c r="I1" s="122"/>
      <c r="J1" s="122"/>
      <c r="K1" s="122"/>
      <c r="L1" s="122"/>
      <c r="M1" s="122"/>
      <c r="N1" s="123"/>
    </row>
    <row r="2" spans="1:28" ht="15.75" customHeight="1" x14ac:dyDescent="0.35">
      <c r="B2" s="124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6"/>
      <c r="Q2" s="83"/>
      <c r="S2" s="87"/>
    </row>
    <row r="3" spans="1:28" ht="15.75" customHeight="1" x14ac:dyDescent="0.35">
      <c r="B3" s="124"/>
      <c r="C3" s="125"/>
      <c r="D3" s="125"/>
      <c r="E3" s="125"/>
      <c r="F3" s="125"/>
      <c r="G3" s="125"/>
      <c r="H3" s="125"/>
      <c r="I3" s="125"/>
      <c r="J3" s="125"/>
      <c r="K3" s="125"/>
      <c r="L3" s="125"/>
      <c r="M3" s="125"/>
      <c r="N3" s="126"/>
      <c r="O3" s="82"/>
      <c r="P3" s="82"/>
      <c r="Q3" s="81"/>
      <c r="R3" s="81"/>
      <c r="S3" s="88" t="e">
        <f>N7+J14</f>
        <v>#VALUE!</v>
      </c>
      <c r="T3" s="88"/>
      <c r="U3" s="81"/>
      <c r="V3" s="81"/>
      <c r="W3" s="81"/>
      <c r="AA3" s="86">
        <f>273000/5</f>
        <v>54600</v>
      </c>
    </row>
    <row r="4" spans="1:28" ht="15.75" customHeight="1" x14ac:dyDescent="0.4">
      <c r="B4" s="127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9"/>
      <c r="O4" s="89" t="s">
        <v>0</v>
      </c>
      <c r="P4" s="89"/>
      <c r="Q4" s="90"/>
      <c r="R4" s="90"/>
      <c r="S4" s="91"/>
      <c r="T4" s="91"/>
      <c r="U4" s="90" t="s">
        <v>1</v>
      </c>
      <c r="V4" s="90" t="s">
        <v>2</v>
      </c>
      <c r="W4" s="90" t="s">
        <v>3</v>
      </c>
    </row>
    <row r="5" spans="1:28" ht="25.2" thickBot="1" x14ac:dyDescent="0.45">
      <c r="B5" s="17">
        <f ca="1">TODAY()</f>
        <v>46215</v>
      </c>
      <c r="C5" s="18" t="str">
        <f>IF(D5="MIG09","Mirage G09",IF(D5="MIG10","MirageG10",IF(D5="ATG16","Attrage G16",IF(D5="ATP16","Attrage P16",IF(D5="ATG17","Attrage G17",IF(D5="ASG48","ASX G48",IF(D5="ASG43","ASX G43", IF(D5="ASG40","ASXG40",IF(D5="ASG42","ASX G42",IF(D5="ASG44","ASX G44",IF(D5="ASG45","ASX G45",IF(D5="ECG38","Eclipse G38",IF(D5="ECG37","Eclipse G37",IF(D5="ECG40","Eclipse G40",IF(D5="ECG43","Eclipse G43",IF(D5="XPML","Xpander ML",IF(D5="XPHL","Xpander HL",IF(D5="XPMLP","Xpander ML P",IF(D5="XPMLP-01","Xpander ML P-01",IF(D5="XC","Xpander Cross", IF(D5="OTF03","Outlander F03",IF(D5="OTP03","Outlander P03",IF(D5="OTF06","Outlander F06",IF(D5="OTP06","Outlander P06",IF(D5="OTP06-01","Outlander P06-01",IF(D5="OTF08","Outlander F08",IF(D5="OTP08","Outlander P08P", IF(D5="MOP57","Montero P57",IF(D5="MOG64","Montero G64",IF(D5="MOG59","Montero G59",IF(D5="MOG59P","Montero G59 P",IF(D5="MOG61","Montero G61",IF(D5="MOP61","Montero P61")))))))))))))))))))))))))))))))))</f>
        <v>ASX G48</v>
      </c>
      <c r="D5" s="19" t="s">
        <v>91</v>
      </c>
      <c r="E5" s="20" t="s">
        <v>47</v>
      </c>
      <c r="F5" s="21"/>
      <c r="G5" s="21"/>
      <c r="H5" s="21"/>
      <c r="I5" s="22"/>
      <c r="J5" s="23"/>
      <c r="K5" s="24">
        <v>0</v>
      </c>
      <c r="L5" s="25">
        <v>3.39E-2</v>
      </c>
      <c r="M5" s="25">
        <v>6.7799999999999999E-2</v>
      </c>
      <c r="N5" s="25">
        <v>0.1017</v>
      </c>
      <c r="O5" s="92">
        <f>K7+K14</f>
        <v>8142.8009931124998</v>
      </c>
      <c r="S5" s="87"/>
      <c r="U5" s="87">
        <f>L7+L14</f>
        <v>3317.9862638503473</v>
      </c>
      <c r="V5" s="87">
        <f>M7+M14</f>
        <v>2219.5260232062501</v>
      </c>
      <c r="W5" s="87">
        <f>N7+N14</f>
        <v>1538.0223332947917</v>
      </c>
    </row>
    <row r="6" spans="1:28" s="5" customFormat="1" ht="128.25" customHeight="1" thickBot="1" x14ac:dyDescent="0.35">
      <c r="A6" s="4" t="s">
        <v>4</v>
      </c>
      <c r="B6" s="26" t="s">
        <v>5</v>
      </c>
      <c r="C6" s="27" t="s">
        <v>6</v>
      </c>
      <c r="D6" s="27" t="s">
        <v>48</v>
      </c>
      <c r="E6" s="27" t="s">
        <v>7</v>
      </c>
      <c r="F6" s="27" t="s">
        <v>8</v>
      </c>
      <c r="G6" s="28" t="s">
        <v>9</v>
      </c>
      <c r="H6" s="28" t="s">
        <v>49</v>
      </c>
      <c r="I6" s="28" t="s">
        <v>10</v>
      </c>
      <c r="J6" s="28" t="s">
        <v>56</v>
      </c>
      <c r="K6" s="28" t="s">
        <v>11</v>
      </c>
      <c r="L6" s="28" t="s">
        <v>12</v>
      </c>
      <c r="M6" s="28" t="s">
        <v>13</v>
      </c>
      <c r="N6" s="28" t="s">
        <v>14</v>
      </c>
      <c r="O6" s="93"/>
      <c r="P6" s="94"/>
      <c r="Q6" s="95"/>
      <c r="R6" s="95"/>
      <c r="S6" s="95"/>
      <c r="T6" s="96"/>
      <c r="U6" s="96">
        <f>N7+L14</f>
        <v>2606.000691628125</v>
      </c>
      <c r="V6" s="96">
        <f>N7+K14</f>
        <v>6540.8334556125001</v>
      </c>
      <c r="W6" s="96"/>
      <c r="X6" s="95"/>
      <c r="Y6" s="95"/>
      <c r="Z6" s="95"/>
      <c r="AA6" s="95"/>
      <c r="AB6" s="95"/>
    </row>
    <row r="7" spans="1:28" ht="25.2" thickBot="1" x14ac:dyDescent="0.45">
      <c r="A7" s="6">
        <f>B8</f>
        <v>63900</v>
      </c>
      <c r="B7" s="29">
        <f>IF(L20="YES",C8*1,IF(L20="NO",B8*1))</f>
        <v>63900</v>
      </c>
      <c r="C7" s="29">
        <f>B7*5/100</f>
        <v>3195</v>
      </c>
      <c r="D7" s="29">
        <f>B7+C7</f>
        <v>67095</v>
      </c>
      <c r="E7" s="29">
        <f>D17</f>
        <v>12673.376875</v>
      </c>
      <c r="F7" s="29">
        <f>(C7)+(D10+D11+D12+D13+D16)*5/100</f>
        <v>3525</v>
      </c>
      <c r="G7" s="30">
        <f>B7+E7+F7</f>
        <v>80098.376875000002</v>
      </c>
      <c r="H7" s="29">
        <f>G7*D20</f>
        <v>16019.675375000001</v>
      </c>
      <c r="I7" s="29">
        <f>(G7-H7)</f>
        <v>64078.701500000003</v>
      </c>
      <c r="J7" s="30">
        <f>(((I7*D19)*1)+I7)/12</f>
        <v>5472.8550972791672</v>
      </c>
      <c r="K7" s="30">
        <f>(((I7*D19)*2)+I7)/24</f>
        <v>2802.9092014458333</v>
      </c>
      <c r="L7" s="30">
        <f>(((I7*D19)*3)+I7)/36</f>
        <v>1912.9272361680555</v>
      </c>
      <c r="M7" s="30">
        <f>(((I7*D19)*4)+I7)/48</f>
        <v>1467.9362535291666</v>
      </c>
      <c r="N7" s="30">
        <f>((((I7*D19)*5)+I7)/60)</f>
        <v>1200.9416639458334</v>
      </c>
      <c r="O7" s="92"/>
      <c r="P7" s="83">
        <f>H7+H16</f>
        <v>16692.501740750002</v>
      </c>
      <c r="T7" s="87">
        <f>25973/2</f>
        <v>12986.5</v>
      </c>
    </row>
    <row r="8" spans="1:28" ht="24.6" x14ac:dyDescent="0.4">
      <c r="A8" s="7">
        <v>0.2</v>
      </c>
      <c r="B8" s="31">
        <f>IF(D5="MIG09",39900,IF(D5="MIG10",40400,IF(D5="ATG16",40400,IF(D5="ATP16",49900,IF(D5="ATG17",41900,IF(D5="ASG48",63900,IF(D5="ASG43",62900,IF(D5="ASG40",63900,IF(D5="ASG42",68900,IF(D5="ASG44",89900,IF(D5="ASG45",95900,IF(D5="ECG38",73900,IF(D5="ECG37",70900,IF(D5="ECG40",86900,IF(D5="ECG43",91900,IF(D5="XPML",62900,IF(D5="XPHL",62900,IF(D5="XPMLP",69900,IF(D5="XPMLP-01",77800,IF(D5="XC",77900,IF(D5="OTF03",96900,IF(D5="OTP03",79900,IF(D5="OTF06",92900,IF(D5="OTP06",111900,IF(D5="OTP06-01",118900,IF(D5="OTF08",122900,IF(D5="OTP08",109900,IF(D5="MOP57",99900,IF(D5="MOG64",108900,IF(D5="MOG59",116900,IF(D5="MOG59P",110900,IF(D5="MOG61",127900,IF(D5="MOP61",125900)))))))))))))))))))))))))))))))))</f>
        <v>63900</v>
      </c>
      <c r="C8" s="32">
        <f>IF(L20="YES",N20,IF(L20="NO",N20))</f>
        <v>63900</v>
      </c>
      <c r="D8" s="29">
        <v>0</v>
      </c>
      <c r="E8" s="33"/>
      <c r="F8" s="139"/>
      <c r="G8" s="140"/>
      <c r="H8" s="110">
        <f>G7*20/100</f>
        <v>16019.675375000001</v>
      </c>
      <c r="I8" s="21"/>
      <c r="J8" s="34" t="s">
        <v>15</v>
      </c>
      <c r="K8" s="23">
        <f>(J7*K5+J7)/24</f>
        <v>228.03562905329863</v>
      </c>
      <c r="L8" s="23">
        <f>(J7*L5+J7)/36</f>
        <v>157.17735791880364</v>
      </c>
      <c r="M8" s="23">
        <f>(J7*M5+J7)/48</f>
        <v>121.74822235155614</v>
      </c>
      <c r="N8" s="23">
        <f>(J7*N5+J7)/60</f>
        <v>100.49074101120763</v>
      </c>
      <c r="O8" s="92"/>
      <c r="P8" s="83">
        <f>P7/12</f>
        <v>1391.0418117291667</v>
      </c>
      <c r="T8" s="86">
        <f>25973-12973</f>
        <v>13000</v>
      </c>
    </row>
    <row r="9" spans="1:28" ht="24.6" x14ac:dyDescent="0.4">
      <c r="A9" s="8">
        <f>B8/(100%-A8)</f>
        <v>79875</v>
      </c>
      <c r="B9" s="109">
        <f>B7-B8</f>
        <v>0</v>
      </c>
      <c r="C9" s="35"/>
      <c r="D9" s="36"/>
      <c r="E9" s="33"/>
      <c r="F9" s="139"/>
      <c r="G9" s="140"/>
      <c r="H9" s="33"/>
      <c r="I9" s="37" t="s">
        <v>16</v>
      </c>
      <c r="J9" s="38">
        <f>(J7*12)-(I7)</f>
        <v>1595.559667350004</v>
      </c>
      <c r="K9" s="38">
        <f>(K7*24)-I7</f>
        <v>3191.1193347000008</v>
      </c>
      <c r="L9" s="38">
        <f>(L7*36)-I7</f>
        <v>4786.6790020499975</v>
      </c>
      <c r="M9" s="38">
        <f>(M7*48)-I7</f>
        <v>6382.2386693999943</v>
      </c>
      <c r="N9" s="38">
        <f>(N7*60)-I7</f>
        <v>7977.7983367500055</v>
      </c>
      <c r="O9" s="92"/>
      <c r="T9" s="86">
        <f>T8/12</f>
        <v>1083.3333333333333</v>
      </c>
      <c r="Z9" s="86" t="s">
        <v>86</v>
      </c>
    </row>
    <row r="10" spans="1:28" ht="24.6" x14ac:dyDescent="0.4">
      <c r="A10" s="8"/>
      <c r="B10" s="37" t="s">
        <v>50</v>
      </c>
      <c r="C10" s="20" t="s">
        <v>17</v>
      </c>
      <c r="D10" s="36">
        <f>IF(C10="YES",800,IF(C10="NO",0))</f>
        <v>0</v>
      </c>
      <c r="E10" s="39"/>
      <c r="F10" s="40"/>
      <c r="G10" s="40"/>
      <c r="H10" s="33"/>
      <c r="I10" s="44" t="s">
        <v>85</v>
      </c>
      <c r="J10" s="117" t="s">
        <v>19</v>
      </c>
      <c r="K10" s="117">
        <f>IF(J10="YES",Z10,IF(J10="NO",0))</f>
        <v>1000</v>
      </c>
      <c r="L10" s="117"/>
      <c r="M10" s="117"/>
      <c r="N10" s="41">
        <f>(N8*60)-J7</f>
        <v>556.58936339329102</v>
      </c>
      <c r="O10" s="92">
        <f>IF(D5="XC",3690,IF(D5="XPML",3690,IF(D5="XPHL",3690,IF(D5="XPMLP",3690,IF(D5="XPMLP-01",3690,IF(D5="Xpander P",3690,IF(D5="MOP57",(U19*2.75/100+510)*1.05,IF(D5="MOG64",(U19*2.75/100+510)*1.05,IF(D5="MOG59",(U19*2.75/100+510)*1.05,IF(D5="MOG59P",(U19*2.75/100+510)*1.05,IF(D5="MOG61",(U19*2.75/100+510)*1.05,IF(D5="MOP61",(U19*2.75/100+510)*1.05,IF(D5="OTF03",(D7*3/100+510)*1.05,IF(D5="OTP03",(U19*3/100+510)*1.05,IF(D5="OTF06",(U19*3/100+510)*1.05,IF(D5="OTP06",(U19*3/100+510)*1.05,IF(D5="OTP06-01",(U19*3/100+510)*1.05,IF(D5="OTF08",(U19*3/100+510)*1.05,IF(D5="OTP08",(U19*3/100+510)*1.05,IF(D5="ECG38",3625,IF(D5="ECG37",3625,IF(D5="ECG40",(D7*3/100+510)*1.05,IF(D5="ECG43",(D7*3/100+510)*1.05,IF(D5="ASG48",3625,IF(D5="ASG43",3625,IF(D5="ASG40",3625,IF(D5="ASG42",3625,IF(D5="ASG44",3625,IF(D5="ASG45",3625,IF(D5="ASX HL 4WD",3625,IF(D5="ATG16",3625,IF(D5="ATG17",3625,IF(D5="ATP16",3625,IF(D5="Attrage S",3625,IF(D5="MIG09",3625,IF(D5="MIG10",3625,IF(D5="Xpander HL",3690)))))))))))))))))))))))))))))))))))))</f>
        <v>3625</v>
      </c>
      <c r="P10" s="97"/>
      <c r="Q10" s="97">
        <f>5.25*3</f>
        <v>15.75</v>
      </c>
      <c r="Z10" s="86">
        <f>IF(D5="MIG09",500,IF(D5="MIG10",500,IF(D5="ATG16",500,IF(D5="ATP16",500,IF(D5="ATG17",500,IF(D5="ASG48",1000,IF(D5="ASG43",1000,IF(D5="ASG40",1000,IF(D5="ASG42",1000,IF(D5="ASG44",1000,IF(D5="ASG45",1000,IF(D5="ECG38",1000,IF(D5="ECG37",1000,IF(D5="ECG40",1000,IF(D5="ECG43",1000,IF(D5="XPML",1000,IF(D5="XPHL",1000,IF(D5="XPMLP",1000,IF(D5="XPMLP-01",1000,IF(D5="XC",1000,IF(D5="OTF03",1000,IF(D5="OTP03",1000,IF(D5="OTF06",1000,IF(D5="OTP06",1000,IF(D5="OTP06-01",1000,IF(D5="OTF08",1000,IF(D5="OTP08",1000,IF(D5="MOP57",1000,IF(D5="MOG64",1000,IF(D5="MOG59",1000,IF(D5="MOG59P",1000,IF(D5="MOG61",1000,IF(D5="MOP61",1000)))))))))))))))))))))))))))))))))</f>
        <v>1000</v>
      </c>
    </row>
    <row r="11" spans="1:28" ht="24.6" x14ac:dyDescent="0.4">
      <c r="A11" s="8"/>
      <c r="B11" s="37" t="s">
        <v>18</v>
      </c>
      <c r="C11" s="20" t="s">
        <v>17</v>
      </c>
      <c r="D11" s="36">
        <f>IF(C11="YES",O17,IF(C11="NO",0))</f>
        <v>0</v>
      </c>
      <c r="E11" s="33"/>
      <c r="F11" s="40"/>
      <c r="G11" s="40"/>
      <c r="H11" s="33"/>
      <c r="I11" s="21"/>
      <c r="J11" s="44" t="s">
        <v>76</v>
      </c>
      <c r="K11" s="44">
        <f>H8-K10</f>
        <v>15019.675375000001</v>
      </c>
      <c r="L11" s="37"/>
      <c r="M11" s="37"/>
      <c r="N11" s="42"/>
      <c r="O11" s="92">
        <f>IF(D5="XC",6100,IF(D5="XPML",6100,IF(D5="XPHL",6100,IF(D5="XPMLP",6100,IF(D5="XPMLP-01",6100,IF(D5="Xpander P",6100,IF(D5="MOP57",5900,IF(D5="MOG64",5900,IF(D5="MOG59",5900,IF(D5="MOG59P",5900,IF(D5="MOG61",5900,IF(D5="MOP61",5900,IF(D5="OTF03",6700,IF(D5="OTP03",6700,IF(D5="OTF06",6700,IF(D5="OTP06",6700,IF(D5="OTP06-01",6700,IF(D5="OTF08",6700,IF(D5="OTP08",6700,IF(D5="ECG37",6400,IF(D5="ECG38",6400,IF(D5="ECG40",6400,IF(D5="ECG43",6400,IF(D5="ASG48",6600,IF(D5="ASG43",6600,IF(D5="ASG40",6600,IF(D5="ASG42",6600,IF(D5="ASG44",6600,IF(D5="ASG45",6600,IF(D5="ASX HL 4WD",6600,IF(D5="ATG16",5400,IF(D5="ATG17",5400,IF(D5="ATP16",5400,IF(D5="Attrage S",5400,IF(D5="MIG09",5400,IF(D5="MIG10",5400,IF(D5="Xpander HL",6000)))))))))))))))))))))))))))))))))))))</f>
        <v>6600</v>
      </c>
      <c r="P11" s="92"/>
      <c r="Q11" s="92"/>
      <c r="R11" s="92"/>
      <c r="S11" s="92"/>
      <c r="T11" s="92"/>
      <c r="U11" s="92">
        <f>IF(D5="XC",4900,IF(D5="XPML",4900,IF(D5="XPHL",4900,IF(D5="XPMLP",4900,IF(D5="XPMLP-01",4900,IF(D5="Xpander P",4900,IF(D5="MOP57",4600,IF(D5="MOG64",4600,IF(D5="MOG59",4600,IF(D5="MOG59P",4600,IF(D5="MOG61",4600,IF(D5="MOP61",4600,IF(D5="OTF03",5500,IF(D5="OTP03",5500,IF(D5="OTF06",5500,IF(D5="OTP06",5500,IF(D5="OTP06-01",5500,IF(D5="OTF08",5500,IF(D5="OTP08",5500,IF(D5="ECG38",5200,IF(D5="ECG37",5200,IF(D5="ECG40",5200,IF(D5="ECG43",5200,IF(D5="ASG48",5300,IF(D5="ASG43",5300,IF(D5="ASG40",5300,IF(D5="ASG42",5300,IF(D5="ASG44",5300,IF(D5="ASG45",5300,IF(D5="ASX HL",5300,IF(D5="ASX P",5300,IF(D5="ASX HL 4WD",5300,IF(D5="ATG16",4200,IF(D5="ATG17",4200,IF(D5="ATP16",4200,IF(D5="Attrage S",4200,IF(D5="MIG09",4200,IF(D5="MIG10",4200,IF(D5="Xpander HL",4900)))))))))))))))))))))))))))))))))))))))</f>
        <v>5300</v>
      </c>
      <c r="V11" s="92">
        <f>IF(D5="XC",9700,IF(D5="XPML",9700,IF(D5="XPHL",9700,IF(D5="XPMLP",9700,IF(D5="XPMLP-01",9700,IF(D5="XPMLP-01",9700,IF(D5="Xpander P",9700,IF(D5="MOP57",9300,IF(D5="MG64",9300,IF(D5="MOG59",9300,IF(D5="MOG59P",9300,IF(D5="MOG61",9300,IF(D5="MOP61",9300,IF(D5="OTF03",11000,IF(D5="OTP03",11000,IF(D5="OTF06",11000,IF(D5="OTP06",11000,IF(D5="OTP06-01",11000,IF(D5="OTF08",11000,IF(D5="OTP08",11000,IF(D5="ECG38",10400,IF(D5="ECG37",10400,IF(D5="ECG40",10400,IF(D5="ECG43",10400,IF(D5="ASG48",10700,IF(D5="ASG43",10700,IF(D5="ASG40",10700,IF(D5="ASG42",10700,IF(D5="ASG44",10800,IF(D5="ASG45",10800,IF(D5="ASX HL",12200,IF(D5="ASX P",12200,IF(D5="ASX HL 4WD",12200,IF(D5="ATG16",8500,IF(D5="ATG17",8500,IF(D5="ATP16",8500,IF(D5="Attrage S",9600,IF(D5="MIG09",8500,IF(D5="MIG10",8500,IF(D5="Xpander HL",11300))))))))))))))))))))))))))))))))))))))))</f>
        <v>10700</v>
      </c>
      <c r="W11" s="92">
        <f>IF(D5="XC",9200,IF(D5="XPML",9200,IF(D5="XPHL",9200,IF(D5="XPMLP",9200,IF(D5="XPMLP-01",9200,IF(D5="Xpander P",9200,IF(D5="MOP57",8700,IF(D5="MOG64",8700,IF(D5="MOG59",8700,IF(D5="MOG59P",8700,IF(D5="MOG61",8700,IF(D5="MOP61",8700,IF(D5="OTF03",10400,IF(D5="OTP03",10400,IF(D5="OTF06",10400,IF(D5="OTP06",10400,IF(D5="OTP06-01",10400,IF(D5="OTF08",10400,IF(D5="OTP08",10400,IF(D5="ECG38",9800,IF(D5="ECG37",9800,IF(D5="ECG40",9800,IF(D5="ECG43",9800,IF(D5="ASG48",10100,IF(D5="ASG43",10100,IF(D5="ASG40",10100,IF(D5="ASG42",10100,IF(D5="ASG44",10100,IF(D5="ASG45",10100,IF(D5="ASX HL",10100,IF(D5="ASX P",10100,IF(D5="ASX HL 4WD",10100,IF(D5="ATG16",7900,IF(D5="ATG17",7900,IF(D5="ATP16",7900,IF(D5="Attrage S",7900,IF(D5="MIG09",7900,IF(D5="MIG10",7900,IF(D5="Xpander HL",9200)))))))))))))))))))))))))))))))))))))))</f>
        <v>10100</v>
      </c>
      <c r="X11" s="92">
        <f>IF(D5="XC",4500,IF(D5="XPML",4500,IF(D5="XPHL",4500,IF(D5="XPMLP",4500,IF(D5="XPMLP-01",4500,IF(D5="Xpander P",4500,IF(D5="MOP57",4300,IF(D5="MOG64",4300,IF(D5="MOG59",4300,IF(D5="MOG59P",4300,IF(D5="MOG61",4300,IF(D5="MOP61",4300,IF(D5="OTF03",5000,IF(D5="OTP03",5000,IF(D5="OTF06",5000,IF(D5="OTP06",5000,IF(D5="OTP06-01",5000,IF(D5="OTF08",5000,IF(D5="OTP08",5000,IF(D5="ECG38",4900,IF(D5="ECG37",4900,IF(D5="ECG40",4900,IF(D5="ECG43",4900,IF(D5="ASG48",4900,IF(D5="ASG43",4900,IF(D5="ASG40",4900,IF(D5="ASG42",4900,IF(D5="ASG44",4900,IF(D5="ASG45",4900,IF(D5="ASX HL",4900,IF(D5="ASX P",4900,IF(D5="ASX HL 4WD",4900,IF(D5="ATG16",3700,IF(D5="ATG17",3700,IF(D5="ATP16",3700,IF(D5="Attrage S",3700,IF(D5="MIG09",3700,IF(D5="MIG10",3700,IF(D5="Xpander HL",4500)))))))))))))))))))))))))))))))))))))))</f>
        <v>4900</v>
      </c>
      <c r="Y11" s="92">
        <f>IF(D5="XC",5400,IF(D5="XPML ",5400,IF(D5="XPHL",5400,IF(D5="XPMLP",5400,IF(D5="XPMLP-01",5400,IF(D5="Xpander P",5400,IF(D5="MOP57",5200,IF(D5="MOG64",5200,IF(D5="MOG59",5200,IF(D5="MOG59P",5200,IF(D5="MOG61",5200,IF(D5="MOP61",5200,IF(D5="OTF03",6000,IF(D5="OTP03",6000,IF(D5="OTF06",6000,IF(D5="OTP06",6000,IF(D5="OTP06-01",6000,IF(D5="OTF08",6000,IF(D5="OTP08",6000,IF(D5="ECG38",5700,IF(D5="ECG37",5700,IF(D5="ECG40",5700,IF(D5="ECG43",5700,IF(D5="ASG48",5900,IF(D5="ASG43",5900,IF(D5="ASG40",5900,IF(D5="ASG42",5900,IF(D5="ASG44",5900,IF(D5="ASG45",5900,IF(D5="ASX HL",5900,IF(D5="ASX P",5900,IF(D5="ASX HL 4WD",5900,IF(D5="ATG16",4500,IF(D5="ATG17",4500,IF(D5="ATP16",4500,IF(D5="Attrage S",4500,IF(D5="MIG09",4500,IF(D5="MIG10",4500,IF(D5="Xpander HL",5400)))))))))))))))))))))))))))))))))))))))</f>
        <v>5900</v>
      </c>
    </row>
    <row r="12" spans="1:28" ht="24.75" customHeight="1" x14ac:dyDescent="0.4">
      <c r="A12" s="8"/>
      <c r="B12" s="37" t="s">
        <v>20</v>
      </c>
      <c r="C12" s="20" t="s">
        <v>17</v>
      </c>
      <c r="D12" s="36">
        <f>IF(C12="YES",2000,IF(C12="NO",0))</f>
        <v>0</v>
      </c>
      <c r="E12" s="43"/>
      <c r="F12" s="43" t="s">
        <v>21</v>
      </c>
      <c r="G12" s="40"/>
      <c r="H12" s="33">
        <v>600</v>
      </c>
      <c r="I12" s="21"/>
      <c r="J12" s="44" t="s">
        <v>22</v>
      </c>
      <c r="K12" s="45">
        <v>0</v>
      </c>
      <c r="L12" s="45">
        <v>5.2499999999999998E-2</v>
      </c>
      <c r="M12" s="45">
        <v>0.126</v>
      </c>
      <c r="N12" s="46">
        <v>0.26250000000000001</v>
      </c>
      <c r="O12" s="92">
        <f>IF(K20="Esaad",B8*3/100,IF(K20="Emirates Platinum",B8*3/100,IF(K20="Fazaa",B8*3/100,IF(K20="Humat Alwatan",B8*3/100,IF(K20="Permissible",2000,IF(K20="ASX",8400,IF(K20="XPMLP",4000,IF(K20="XP",14100,IF(K20="G43",11000,IF(K20="EC",7000,IF(K20="G37",14000,IF(K20="G38",15000,IF(K20="G40",11000,IF(K20="OUT",9600,IF(K20="F08",15400,IF(K20="P08",11100,IF(K20="F06",14100,IF(K20="P06",17100,IF(K20="F03",17000,IF(K20="P03",19100,IF(K20="MON",10000,IF(K20="MON G57",10000,0))))))))))))))))))))))</f>
        <v>2000</v>
      </c>
      <c r="P12" s="92"/>
      <c r="Q12" s="92"/>
      <c r="R12" s="92"/>
      <c r="S12" s="92"/>
      <c r="T12" s="92"/>
      <c r="U12" s="92"/>
      <c r="V12" s="92"/>
      <c r="W12" s="92"/>
      <c r="X12" s="92"/>
      <c r="Y12" s="92"/>
      <c r="Z12" s="86" t="s">
        <v>83</v>
      </c>
      <c r="AA12" s="86" t="s">
        <v>84</v>
      </c>
    </row>
    <row r="13" spans="1:28" ht="24.6" x14ac:dyDescent="0.4">
      <c r="A13" s="8">
        <f>B8*1.26582</f>
        <v>80885.898000000001</v>
      </c>
      <c r="B13" s="37" t="s">
        <v>23</v>
      </c>
      <c r="C13" s="20" t="s">
        <v>17</v>
      </c>
      <c r="D13" s="36">
        <f>IF(C13="YES",2000,IF(C13="NO",0))</f>
        <v>0</v>
      </c>
      <c r="E13" s="47"/>
      <c r="F13" s="47" t="s">
        <v>75</v>
      </c>
      <c r="G13" s="40"/>
      <c r="H13" s="33">
        <v>315</v>
      </c>
      <c r="I13" s="21"/>
      <c r="J13" s="44" t="s">
        <v>54</v>
      </c>
      <c r="K13" s="29" t="s">
        <v>79</v>
      </c>
      <c r="L13" s="29" t="s">
        <v>25</v>
      </c>
      <c r="M13" s="29" t="s">
        <v>0</v>
      </c>
      <c r="N13" s="49" t="s">
        <v>26</v>
      </c>
      <c r="O13" s="98">
        <f>IF(M21="3000-4999",6%,IF(M21="5000-9999",4.75%,IF(M21="10000-14999",3.15%,IF(M21="15000-24999",2.5%,IF(M21="25000-34999",2.25%,IF(M21="35000-99999",2.25%))))))</f>
        <v>4.7500000000000001E-2</v>
      </c>
      <c r="Q13" s="83">
        <f>H7/12</f>
        <v>1334.9729479166667</v>
      </c>
      <c r="U13" s="9">
        <f>IF(M21="3000-4999",6%,IF(M21="5000-9999",3.25%,IF(M21="10000-14999",3%,IF(M21="15000-24999",2.25%,IF(M21="25000-34999",2.15%,IF(M21="35000-99999",1.99%))))))</f>
        <v>3.2500000000000001E-2</v>
      </c>
      <c r="Z13" s="99">
        <f>IF(M21="5000-9999",2.49%,IF(M21="10000-19999",2.19%,IF(M21="20000-34999",2.09%,IF(M21="35000-49999",1.89%,IF(M21="50000-99999",1.79%)))))</f>
        <v>2.4900000000000002E-2</v>
      </c>
      <c r="AA13" s="99">
        <f>IF(M21="5000-9999",2.59%,IF(M21="10000-19999",2.29%,IF(M21="20000-34999",2.19%,IF(M21="35000-49999",1.99%,IF(M21="50000-99999",1.89%)))))</f>
        <v>2.5899999999999999E-2</v>
      </c>
    </row>
    <row r="14" spans="1:28" ht="24.6" x14ac:dyDescent="0.4">
      <c r="A14" s="10" t="s">
        <v>27</v>
      </c>
      <c r="B14" s="37" t="s">
        <v>24</v>
      </c>
      <c r="C14" s="20" t="s">
        <v>19</v>
      </c>
      <c r="D14" s="50">
        <f>IF(C14="YES",U19*3.15*1.05/100,IF(C14="NO",U19*0/100))</f>
        <v>2448.3768749999999</v>
      </c>
      <c r="E14" s="48"/>
      <c r="F14" s="48" t="s">
        <v>24</v>
      </c>
      <c r="G14" s="51" t="s">
        <v>17</v>
      </c>
      <c r="H14" s="39">
        <f>IF(G14="YES",U19*3.15*1.05/100,IF(G14="NO",U19*0/100))</f>
        <v>0</v>
      </c>
      <c r="I14" s="21"/>
      <c r="J14" s="44" t="s">
        <v>55</v>
      </c>
      <c r="K14" s="44">
        <f>(H8*K12+H8)/3</f>
        <v>5339.8917916666669</v>
      </c>
      <c r="L14" s="44">
        <f>(H8*L12+H8)/12</f>
        <v>1405.0590276822916</v>
      </c>
      <c r="M14" s="44">
        <f>(H8*M12+H8)/24</f>
        <v>751.58976967708338</v>
      </c>
      <c r="N14" s="52">
        <f>(H7*N12+H7)/60</f>
        <v>337.08066934895834</v>
      </c>
      <c r="O14" s="98">
        <f>IF(M21="3000-4999",3.89%,IF(M21="5000-9999",3.89%,IF(M21="10000-14999",3.89%,IF(M21="15000-24999",2.69%,IF(M21="25000-34999",2.69%,IF(M21="35000-99999",2.39%,IF(M21="76000-99999",2.19%)))))))</f>
        <v>3.8900000000000004E-2</v>
      </c>
    </row>
    <row r="15" spans="1:28" ht="24.6" x14ac:dyDescent="0.4">
      <c r="A15" s="11">
        <f>(B7*3%)+10+120</f>
        <v>2047</v>
      </c>
      <c r="B15" s="37" t="s">
        <v>28</v>
      </c>
      <c r="C15" s="20" t="s">
        <v>19</v>
      </c>
      <c r="D15" s="29">
        <f>IF(C15="YES",O10,IF(C15="NO",0))</f>
        <v>3625</v>
      </c>
      <c r="E15" s="48"/>
      <c r="F15" s="48" t="s">
        <v>53</v>
      </c>
      <c r="G15" s="51" t="s">
        <v>17</v>
      </c>
      <c r="H15" s="39">
        <f>IF(G15="YES",O10,IF(G15="NO",0))</f>
        <v>0</v>
      </c>
      <c r="I15" s="21"/>
      <c r="J15" s="44"/>
      <c r="K15" s="44"/>
      <c r="L15" s="44"/>
      <c r="M15" s="44"/>
      <c r="N15" s="53"/>
      <c r="O15" s="98" t="b">
        <f>IF(M21="3000-4999",4.99%, IF(M21="5000-11999",2.75%,IF(M21="12000-19999",2.75%,IF(M21="20000-39999",2.25%,IF(M21="40000-69999",2.39%,IF(M21="70000-99999",2.25%))))))</f>
        <v>0</v>
      </c>
      <c r="P15" s="99"/>
    </row>
    <row r="16" spans="1:28" ht="24.6" x14ac:dyDescent="0.4">
      <c r="A16" s="11">
        <f>((B7-B8)*3%+10+120)</f>
        <v>130</v>
      </c>
      <c r="B16" s="37" t="s">
        <v>78</v>
      </c>
      <c r="C16" s="20" t="s">
        <v>19</v>
      </c>
      <c r="D16" s="29">
        <f>IF(C16="YES",O16,IF(C16="NO",0))</f>
        <v>6600</v>
      </c>
      <c r="E16" s="47"/>
      <c r="F16" s="47" t="s">
        <v>74</v>
      </c>
      <c r="G16" s="54"/>
      <c r="H16" s="33">
        <f>I7*1.05%</f>
        <v>672.82636575000004</v>
      </c>
      <c r="I16" s="21"/>
      <c r="J16" s="44" t="s">
        <v>16</v>
      </c>
      <c r="K16" s="44">
        <f>(K14*3)-H8</f>
        <v>0</v>
      </c>
      <c r="L16" s="44">
        <f>(L14*12)-H8</f>
        <v>841.03295718749905</v>
      </c>
      <c r="M16" s="44">
        <f>(M14*24)-H8</f>
        <v>2018.4790972499995</v>
      </c>
      <c r="N16" s="53"/>
      <c r="O16" s="92">
        <f>IF(B16="RMC-10-70KMS",O11,IF(B16="RMC-10-100000KMS",V11,IF(B16="RMC-40-70KMS",U11, IF(B16="RMC-10-40KMS",X11, IF(B16="RMC-10-60KMS",Y11, IF(B16="RMC-40-100000KMS",W11,0))))))</f>
        <v>6600</v>
      </c>
    </row>
    <row r="17" spans="1:28" ht="24.6" x14ac:dyDescent="0.4">
      <c r="A17" s="11">
        <f>A15+A16</f>
        <v>2177</v>
      </c>
      <c r="B17" s="37"/>
      <c r="C17" s="20"/>
      <c r="D17" s="29">
        <f>SUM(D10:D16)</f>
        <v>12673.376875</v>
      </c>
      <c r="E17" s="33"/>
      <c r="F17" s="33"/>
      <c r="G17" s="33"/>
      <c r="H17" s="33">
        <f>H7+H12+H15+H16</f>
        <v>17292.501740749998</v>
      </c>
      <c r="I17" s="33"/>
      <c r="J17" s="22"/>
      <c r="K17" s="53"/>
      <c r="L17" s="53"/>
      <c r="M17" s="53"/>
      <c r="N17" s="53"/>
      <c r="O17" s="92">
        <f>IF(B11="FO Ceramic+ Intr&amp;Extr CeramicGold WdwTnt",2700,IF(B11="FO Mirror Camera Sensor",2000))</f>
        <v>2700</v>
      </c>
      <c r="T17" s="86">
        <f>19615-791</f>
        <v>18824</v>
      </c>
    </row>
    <row r="18" spans="1:28" ht="24.6" x14ac:dyDescent="0.4">
      <c r="A18" s="12" t="s">
        <v>29</v>
      </c>
      <c r="B18" s="55" t="s">
        <v>30</v>
      </c>
      <c r="C18" s="56"/>
      <c r="D18" s="57">
        <v>0</v>
      </c>
      <c r="E18" s="38"/>
      <c r="F18" s="22"/>
      <c r="G18" s="22"/>
      <c r="H18" s="21"/>
      <c r="I18" s="21"/>
      <c r="J18" s="21"/>
      <c r="K18" s="21"/>
      <c r="L18" s="21"/>
      <c r="M18" s="21"/>
      <c r="N18" s="21"/>
      <c r="O18" s="92"/>
      <c r="U18" s="100" t="s">
        <v>52</v>
      </c>
      <c r="V18" s="100" t="s">
        <v>52</v>
      </c>
    </row>
    <row r="19" spans="1:28" ht="24.6" x14ac:dyDescent="0.4">
      <c r="A19" s="11">
        <f>B8*3.15%</f>
        <v>2012.85</v>
      </c>
      <c r="B19" s="58" t="s">
        <v>31</v>
      </c>
      <c r="C19" s="59"/>
      <c r="D19" s="60">
        <f>IF(K21="DIB EXPAT",O13,IF(K21="DIB LOCAL GVH",U13,IF(K21="Emirates NBD",O14,IF(K21="ADCB",O15,IF(K21="ADCB PAY IN 2027",O19,IF(K21="Ajman Bank",O18,IF(K21="SIB STL",Z13,IF(K21="SIB NON STL",AA13,))))))))</f>
        <v>2.4900000000000002E-2</v>
      </c>
      <c r="E19" s="22"/>
      <c r="F19" s="61"/>
      <c r="G19" s="141" t="s">
        <v>73</v>
      </c>
      <c r="H19" s="142"/>
      <c r="I19" s="143"/>
      <c r="J19" s="109">
        <f>H7/365</f>
        <v>43.889521575342471</v>
      </c>
      <c r="K19" s="21"/>
      <c r="L19" s="21"/>
      <c r="M19" s="21"/>
      <c r="N19" s="23">
        <f>D7</f>
        <v>67095</v>
      </c>
      <c r="O19" s="98" t="b">
        <f>IF(M21="5000-11999",3.35%,IF(M21="12000-19999",3.35%,IF(M21="20000-39999",2.85%,IF(M21="40000-69999",2.85%,IF(M21="70000-99999",2.85%)))))</f>
        <v>0</v>
      </c>
      <c r="P19" s="83">
        <f>81400-2500</f>
        <v>78900</v>
      </c>
      <c r="U19" s="101">
        <f>V19</f>
        <v>74025</v>
      </c>
      <c r="V19" s="102">
        <f>(B7+D10+D11+D12+D13+D16)*1.05</f>
        <v>74025</v>
      </c>
      <c r="X19" s="87">
        <f>G7*3.15*1.05/100</f>
        <v>2649.2538151406252</v>
      </c>
      <c r="Y19" s="87">
        <f>G7*3/100+510*1.05</f>
        <v>2938.45130625</v>
      </c>
      <c r="Z19" s="87">
        <f>Y19+X19</f>
        <v>5587.7051213906252</v>
      </c>
      <c r="AA19" s="87">
        <f>(Z19)-(D14+D15)</f>
        <v>-485.67175360937472</v>
      </c>
      <c r="AB19" s="87">
        <f>AA19*1.25</f>
        <v>-607.0896920117184</v>
      </c>
    </row>
    <row r="20" spans="1:28" ht="24.6" x14ac:dyDescent="0.4">
      <c r="A20" s="11"/>
      <c r="B20" s="58" t="s">
        <v>32</v>
      </c>
      <c r="C20" s="62"/>
      <c r="D20" s="63">
        <v>0.2</v>
      </c>
      <c r="E20" s="21"/>
      <c r="F20" s="21"/>
      <c r="G20" s="42"/>
      <c r="H20" s="42"/>
      <c r="I20" s="42"/>
      <c r="J20" s="103"/>
      <c r="K20" s="104" t="s">
        <v>33</v>
      </c>
      <c r="L20" s="104" t="s">
        <v>17</v>
      </c>
      <c r="M20" s="104">
        <f>IF(L20="YES",O12,IF(L20="NO",0))</f>
        <v>0</v>
      </c>
      <c r="N20" s="23">
        <f>B8-M20</f>
        <v>63900</v>
      </c>
      <c r="O20" s="92"/>
      <c r="P20" s="99"/>
      <c r="T20" s="86">
        <f>1992+1084</f>
        <v>3076</v>
      </c>
      <c r="V20" s="83"/>
      <c r="X20" s="87">
        <f>X19-D14</f>
        <v>200.87694014062527</v>
      </c>
      <c r="Y20" s="87">
        <f>Y19-D15</f>
        <v>-686.54869374999998</v>
      </c>
      <c r="AA20" s="87">
        <f>X20+Y20</f>
        <v>-485.67175360937472</v>
      </c>
    </row>
    <row r="21" spans="1:28" ht="24.6" x14ac:dyDescent="0.4">
      <c r="A21" s="13">
        <f>A19+A20</f>
        <v>2012.85</v>
      </c>
      <c r="B21" s="21"/>
      <c r="C21" s="22"/>
      <c r="D21" s="21"/>
      <c r="E21" s="21"/>
      <c r="F21" s="21"/>
      <c r="G21" s="21"/>
      <c r="H21" s="21"/>
      <c r="I21" s="21"/>
      <c r="J21" s="37" t="s">
        <v>34</v>
      </c>
      <c r="K21" s="16" t="s">
        <v>83</v>
      </c>
      <c r="L21" s="105" t="s">
        <v>35</v>
      </c>
      <c r="M21" s="106" t="s">
        <v>80</v>
      </c>
      <c r="N21" s="111"/>
      <c r="O21" s="92"/>
      <c r="T21" s="86">
        <f>25973-12973</f>
        <v>13000</v>
      </c>
    </row>
    <row r="22" spans="1:28" ht="24.6" x14ac:dyDescent="0.4">
      <c r="A22" s="13"/>
      <c r="B22" s="130" t="s">
        <v>51</v>
      </c>
      <c r="C22" s="131"/>
      <c r="D22" s="131"/>
      <c r="E22" s="131"/>
      <c r="F22" s="131"/>
      <c r="G22" s="131"/>
      <c r="H22" s="131"/>
      <c r="I22" s="131"/>
      <c r="J22" s="131"/>
      <c r="K22" s="131"/>
      <c r="L22" s="131"/>
      <c r="M22" s="131"/>
      <c r="N22" s="132"/>
      <c r="O22" s="92"/>
    </row>
    <row r="23" spans="1:28" ht="25.2" x14ac:dyDescent="0.45">
      <c r="A23" s="14" t="s">
        <v>36</v>
      </c>
      <c r="B23" s="64" t="s">
        <v>57</v>
      </c>
      <c r="C23" s="65"/>
      <c r="D23" s="65"/>
      <c r="E23" s="65"/>
      <c r="F23" s="65"/>
      <c r="G23" s="65"/>
      <c r="H23" s="66"/>
      <c r="I23" s="66"/>
      <c r="J23" s="65"/>
      <c r="K23" s="65"/>
      <c r="L23" s="65"/>
      <c r="M23" s="65"/>
      <c r="N23" s="67"/>
      <c r="O23" s="92">
        <f>N7+K14</f>
        <v>6540.8334556125001</v>
      </c>
    </row>
    <row r="24" spans="1:28" ht="25.2" x14ac:dyDescent="0.45">
      <c r="A24" s="14" t="s">
        <v>36</v>
      </c>
      <c r="B24" s="64" t="s">
        <v>58</v>
      </c>
      <c r="C24" s="65"/>
      <c r="D24" s="65"/>
      <c r="E24" s="65"/>
      <c r="F24" s="65"/>
      <c r="G24" s="65"/>
      <c r="H24" s="85">
        <f>H7/365</f>
        <v>43.889521575342471</v>
      </c>
      <c r="I24" s="85">
        <f>H7/365</f>
        <v>43.889521575342471</v>
      </c>
      <c r="J24" s="65"/>
      <c r="K24" s="65"/>
      <c r="L24" s="65"/>
      <c r="M24" s="65"/>
      <c r="N24" s="68"/>
      <c r="O24" s="92"/>
      <c r="P24" s="83">
        <f>1232+480</f>
        <v>1712</v>
      </c>
      <c r="T24" s="86">
        <f>88704/1.05</f>
        <v>84480</v>
      </c>
    </row>
    <row r="25" spans="1:28" ht="25.2" x14ac:dyDescent="0.45">
      <c r="A25" s="14" t="s">
        <v>36</v>
      </c>
      <c r="B25" s="64" t="s">
        <v>59</v>
      </c>
      <c r="C25" s="65"/>
      <c r="D25" s="65"/>
      <c r="E25" s="65"/>
      <c r="F25" s="65"/>
      <c r="G25" s="65"/>
      <c r="H25" s="66"/>
      <c r="I25" s="85">
        <f>I24*365*3</f>
        <v>48059.026125000004</v>
      </c>
      <c r="J25" s="65"/>
      <c r="K25" s="65"/>
      <c r="L25" s="65"/>
      <c r="M25" s="65"/>
      <c r="N25" s="68"/>
      <c r="O25" s="92"/>
      <c r="Q25" s="86">
        <f>79400-5233.33</f>
        <v>74166.67</v>
      </c>
      <c r="R25" s="86">
        <f>Q25*1.05</f>
        <v>77875.003500000006</v>
      </c>
    </row>
    <row r="26" spans="1:28" ht="25.2" x14ac:dyDescent="0.45">
      <c r="A26" s="14" t="s">
        <v>36</v>
      </c>
      <c r="B26" s="64" t="s">
        <v>60</v>
      </c>
      <c r="C26" s="65"/>
      <c r="D26" s="65"/>
      <c r="E26" s="65"/>
      <c r="F26" s="65"/>
      <c r="G26" s="65"/>
      <c r="H26" s="65"/>
      <c r="I26" s="65"/>
      <c r="J26" s="65"/>
      <c r="K26" s="65"/>
      <c r="L26" s="65"/>
      <c r="M26" s="65"/>
      <c r="N26" s="68"/>
      <c r="O26" s="92" t="s">
        <v>37</v>
      </c>
      <c r="R26" s="86">
        <f>R25+2469</f>
        <v>80344.003500000006</v>
      </c>
    </row>
    <row r="27" spans="1:28" ht="25.2" x14ac:dyDescent="0.45">
      <c r="A27" s="14" t="s">
        <v>36</v>
      </c>
      <c r="B27" s="64" t="s">
        <v>61</v>
      </c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8"/>
      <c r="O27" s="92">
        <f>129500-110900</f>
        <v>18600</v>
      </c>
    </row>
    <row r="28" spans="1:28" ht="25.2" x14ac:dyDescent="0.45">
      <c r="B28" s="64" t="s">
        <v>62</v>
      </c>
      <c r="C28" s="65"/>
      <c r="D28" s="65"/>
      <c r="E28" s="65"/>
      <c r="F28" s="65"/>
      <c r="G28" s="65"/>
      <c r="H28" s="65"/>
      <c r="I28" s="65"/>
      <c r="J28" s="65"/>
      <c r="K28" s="65"/>
      <c r="L28" s="65"/>
      <c r="M28" s="65"/>
      <c r="N28" s="68"/>
      <c r="O28" s="92"/>
    </row>
    <row r="29" spans="1:28" ht="25.2" x14ac:dyDescent="0.45">
      <c r="B29" s="64" t="s">
        <v>63</v>
      </c>
      <c r="C29" s="65"/>
      <c r="D29" s="65"/>
      <c r="E29" s="65"/>
      <c r="F29" s="65"/>
      <c r="G29" s="65"/>
      <c r="H29" s="65"/>
      <c r="I29" s="65"/>
      <c r="J29" s="65"/>
      <c r="K29" s="65"/>
      <c r="L29" s="65"/>
      <c r="M29" s="65"/>
      <c r="N29" s="69"/>
      <c r="O29" s="92"/>
    </row>
    <row r="30" spans="1:28" ht="24.6" x14ac:dyDescent="0.4">
      <c r="B30" s="133" t="s">
        <v>38</v>
      </c>
      <c r="C30" s="134"/>
      <c r="D30" s="134"/>
      <c r="E30" s="134"/>
      <c r="F30" s="134"/>
      <c r="G30" s="134"/>
      <c r="H30" s="134"/>
      <c r="I30" s="134"/>
      <c r="J30" s="134"/>
      <c r="K30" s="134"/>
      <c r="L30" s="134"/>
      <c r="M30" s="134"/>
      <c r="N30" s="135"/>
      <c r="O30" s="92"/>
    </row>
    <row r="31" spans="1:28" ht="24.6" x14ac:dyDescent="0.4">
      <c r="B31" s="136"/>
      <c r="C31" s="137"/>
      <c r="D31" s="137"/>
      <c r="E31" s="137"/>
      <c r="F31" s="137"/>
      <c r="G31" s="137"/>
      <c r="H31" s="137"/>
      <c r="I31" s="137"/>
      <c r="J31" s="137"/>
      <c r="K31" s="137"/>
      <c r="L31" s="137"/>
      <c r="M31" s="137"/>
      <c r="N31" s="138"/>
      <c r="O31" s="92"/>
    </row>
    <row r="32" spans="1:28" ht="24.6" x14ac:dyDescent="0.4">
      <c r="B32" s="136" t="s">
        <v>39</v>
      </c>
      <c r="C32" s="137"/>
      <c r="D32" s="137"/>
      <c r="E32" s="137"/>
      <c r="F32" s="137"/>
      <c r="G32" s="137"/>
      <c r="H32" s="137"/>
      <c r="I32" s="137"/>
      <c r="J32" s="137"/>
      <c r="K32" s="137"/>
      <c r="L32" s="137"/>
      <c r="M32" s="137"/>
      <c r="N32" s="138"/>
      <c r="O32" s="92"/>
    </row>
    <row r="33" spans="2:16" ht="24.6" x14ac:dyDescent="0.4">
      <c r="B33" s="136" t="s">
        <v>40</v>
      </c>
      <c r="C33" s="137"/>
      <c r="D33" s="137"/>
      <c r="E33" s="137"/>
      <c r="F33" s="137"/>
      <c r="G33" s="137"/>
      <c r="H33" s="137"/>
      <c r="I33" s="137"/>
      <c r="J33" s="137"/>
      <c r="K33" s="137"/>
      <c r="L33" s="137"/>
      <c r="M33" s="137"/>
      <c r="N33" s="138"/>
      <c r="O33" s="92"/>
    </row>
    <row r="34" spans="2:16" s="112" customFormat="1" ht="24.6" x14ac:dyDescent="0.4">
      <c r="B34" s="107" t="s">
        <v>81</v>
      </c>
      <c r="C34" s="108"/>
      <c r="D34" s="108"/>
      <c r="E34" s="108"/>
      <c r="F34" s="108"/>
      <c r="G34" s="113"/>
      <c r="H34" s="113"/>
      <c r="I34" s="108"/>
      <c r="J34" s="108"/>
      <c r="K34" s="108"/>
      <c r="L34" s="108"/>
      <c r="M34" s="114" t="s">
        <v>82</v>
      </c>
      <c r="N34" s="116" t="b">
        <f>IF(M34="ALAA",507963328, IF(M34="BACHIR",525246969,IF(M34="JIHAN",566201266, IF(M34="RAMY",505277871, IF(M34="SIMON",505140337,IF(M34="SUJITH",551079817, IF(M34="PRAVEEN",506367792,IF(M34="MHAREN",529224059, IF(M34="MOSSALLEM",505185577,IF(M34="RANJITH",554989288, IF(M34="KHALED",552319494)))))))))))</f>
        <v>0</v>
      </c>
      <c r="O34" s="115"/>
      <c r="P34" s="115"/>
    </row>
    <row r="35" spans="2:16" x14ac:dyDescent="0.35">
      <c r="B35" s="70"/>
      <c r="C35" s="71"/>
      <c r="D35" s="71"/>
      <c r="E35" s="71"/>
      <c r="F35" s="71"/>
      <c r="G35" s="71"/>
      <c r="H35" s="71"/>
      <c r="I35" s="71"/>
      <c r="J35" s="71"/>
      <c r="K35" s="71"/>
      <c r="L35" s="71"/>
      <c r="M35" s="71"/>
      <c r="N35" s="72"/>
    </row>
    <row r="36" spans="2:16" x14ac:dyDescent="0.35">
      <c r="B36" s="70"/>
      <c r="C36" s="71"/>
      <c r="D36" s="71"/>
      <c r="E36" s="71"/>
      <c r="F36" s="71"/>
      <c r="G36" s="71"/>
      <c r="H36" s="71"/>
      <c r="I36" s="71"/>
      <c r="J36" s="71"/>
      <c r="K36" s="71"/>
      <c r="L36" s="71"/>
      <c r="M36" s="71"/>
      <c r="N36" s="72"/>
    </row>
    <row r="37" spans="2:16" x14ac:dyDescent="0.35">
      <c r="B37" s="70"/>
      <c r="C37" s="71"/>
      <c r="D37" s="71"/>
      <c r="E37" s="71"/>
      <c r="F37" s="71"/>
      <c r="G37" s="71"/>
      <c r="H37" s="71"/>
      <c r="I37" s="71"/>
      <c r="J37" s="71"/>
      <c r="K37" s="71"/>
      <c r="L37" s="71"/>
      <c r="M37" s="71"/>
      <c r="N37" s="72"/>
    </row>
    <row r="38" spans="2:16" ht="21" x14ac:dyDescent="0.4">
      <c r="B38" s="73" t="s">
        <v>64</v>
      </c>
      <c r="C38" s="74"/>
      <c r="D38" s="75"/>
      <c r="E38" s="76"/>
      <c r="F38" s="76"/>
      <c r="G38" s="76"/>
      <c r="H38" s="76"/>
      <c r="I38" s="76"/>
      <c r="J38" s="77"/>
      <c r="K38" s="76"/>
      <c r="L38" s="76"/>
      <c r="M38" s="76"/>
      <c r="N38" s="78"/>
    </row>
    <row r="39" spans="2:16" ht="21" x14ac:dyDescent="0.4">
      <c r="B39" s="73" t="s">
        <v>65</v>
      </c>
      <c r="C39" s="79"/>
      <c r="D39" s="75"/>
      <c r="E39" s="76"/>
      <c r="F39" s="76"/>
      <c r="G39" s="76"/>
      <c r="H39" s="76"/>
      <c r="I39" s="76"/>
      <c r="J39" s="77"/>
      <c r="K39" s="76"/>
      <c r="L39" s="76"/>
      <c r="M39" s="76"/>
      <c r="N39" s="80"/>
    </row>
    <row r="40" spans="2:16" ht="21" x14ac:dyDescent="0.35">
      <c r="B40" s="73" t="s">
        <v>66</v>
      </c>
      <c r="C40" s="81"/>
      <c r="D40" s="76"/>
      <c r="E40" s="76"/>
      <c r="F40" s="76"/>
      <c r="G40" s="76"/>
      <c r="H40" s="76"/>
      <c r="I40" s="76"/>
      <c r="J40" s="77"/>
      <c r="K40" s="76"/>
      <c r="L40" s="76"/>
      <c r="M40" s="76"/>
      <c r="N40" s="80"/>
    </row>
    <row r="41" spans="2:16" ht="21" x14ac:dyDescent="0.35">
      <c r="B41" s="73" t="s">
        <v>67</v>
      </c>
      <c r="C41" s="82"/>
      <c r="D41" s="83"/>
      <c r="E41" s="83"/>
      <c r="F41" s="83"/>
      <c r="G41" s="83"/>
      <c r="H41" s="83"/>
      <c r="I41" s="83"/>
      <c r="J41" s="83"/>
      <c r="K41" s="83"/>
      <c r="L41" s="83"/>
      <c r="M41" s="83"/>
      <c r="N41" s="84"/>
    </row>
    <row r="42" spans="2:16" ht="21" x14ac:dyDescent="0.35">
      <c r="B42" s="73" t="s">
        <v>77</v>
      </c>
      <c r="C42" s="82"/>
      <c r="D42" s="83"/>
      <c r="E42" s="83"/>
      <c r="F42" s="83"/>
      <c r="G42" s="83"/>
      <c r="H42" s="83"/>
      <c r="I42" s="83"/>
      <c r="J42" s="83"/>
      <c r="K42" s="83"/>
      <c r="L42" s="83"/>
      <c r="M42" s="83"/>
      <c r="N42" s="84"/>
    </row>
    <row r="43" spans="2:16" ht="21" x14ac:dyDescent="0.35">
      <c r="B43" s="73" t="s">
        <v>68</v>
      </c>
      <c r="C43" s="82"/>
      <c r="D43" s="83"/>
      <c r="E43" s="83"/>
      <c r="F43" s="83"/>
      <c r="G43" s="83"/>
      <c r="H43" s="83"/>
      <c r="I43" s="83"/>
      <c r="J43" s="83"/>
      <c r="K43" s="83"/>
      <c r="L43" s="83"/>
      <c r="M43" s="83"/>
      <c r="N43" s="84"/>
    </row>
    <row r="44" spans="2:16" ht="21" x14ac:dyDescent="0.35">
      <c r="B44" s="73" t="s">
        <v>69</v>
      </c>
      <c r="C44" s="82"/>
      <c r="D44" s="83"/>
      <c r="E44" s="83"/>
      <c r="F44" s="83"/>
      <c r="G44" s="83"/>
      <c r="H44" s="83"/>
      <c r="I44" s="83"/>
      <c r="J44" s="83"/>
      <c r="K44" s="83"/>
      <c r="L44" s="83"/>
      <c r="M44" s="83"/>
      <c r="N44" s="84"/>
    </row>
    <row r="45" spans="2:16" ht="21" x14ac:dyDescent="0.35">
      <c r="B45" s="73" t="s">
        <v>70</v>
      </c>
      <c r="C45" s="82"/>
      <c r="D45" s="83"/>
      <c r="E45" s="83"/>
      <c r="F45" s="83"/>
      <c r="G45" s="83"/>
      <c r="H45" s="83"/>
      <c r="I45" s="83"/>
      <c r="J45" s="83"/>
      <c r="K45" s="83"/>
      <c r="L45" s="83"/>
      <c r="M45" s="83"/>
      <c r="N45" s="84"/>
    </row>
    <row r="46" spans="2:16" ht="21" x14ac:dyDescent="0.35">
      <c r="B46" s="73" t="s">
        <v>71</v>
      </c>
      <c r="C46" s="82"/>
      <c r="D46" s="83"/>
      <c r="E46" s="83"/>
      <c r="F46" s="83"/>
      <c r="G46" s="83"/>
      <c r="H46" s="83"/>
      <c r="I46" s="83"/>
      <c r="J46" s="83"/>
      <c r="K46" s="83"/>
      <c r="L46" s="83"/>
      <c r="M46" s="83"/>
      <c r="N46" s="84"/>
    </row>
    <row r="47" spans="2:16" x14ac:dyDescent="0.35">
      <c r="B47" s="118" t="s">
        <v>39</v>
      </c>
      <c r="C47" s="119"/>
      <c r="D47" s="119"/>
      <c r="E47" s="119"/>
      <c r="F47" s="119"/>
      <c r="G47" s="119"/>
      <c r="H47" s="119"/>
      <c r="I47" s="119"/>
      <c r="J47" s="119"/>
      <c r="K47" s="119"/>
      <c r="L47" s="119"/>
      <c r="M47" s="119"/>
      <c r="N47" s="120"/>
      <c r="O47" s="92"/>
    </row>
    <row r="48" spans="2:16" x14ac:dyDescent="0.35">
      <c r="B48" s="118" t="s">
        <v>40</v>
      </c>
      <c r="C48" s="119"/>
      <c r="D48" s="119"/>
      <c r="E48" s="119"/>
      <c r="F48" s="119"/>
      <c r="G48" s="119"/>
      <c r="H48" s="119"/>
      <c r="I48" s="119"/>
      <c r="J48" s="119"/>
      <c r="K48" s="119"/>
      <c r="L48" s="119"/>
      <c r="M48" s="119"/>
      <c r="N48" s="120"/>
      <c r="O48" s="92"/>
    </row>
    <row r="49" spans="2:14" x14ac:dyDescent="0.35">
      <c r="B49" s="118" t="s">
        <v>72</v>
      </c>
      <c r="C49" s="119"/>
      <c r="D49" s="119"/>
      <c r="E49" s="119"/>
      <c r="F49" s="119"/>
      <c r="G49" s="119"/>
      <c r="H49" s="119"/>
      <c r="I49" s="119"/>
      <c r="J49" s="119"/>
      <c r="K49" s="119"/>
      <c r="L49" s="119"/>
      <c r="M49" s="119"/>
      <c r="N49" s="120"/>
    </row>
    <row r="50" spans="2:14" ht="25.8" x14ac:dyDescent="0.35">
      <c r="C50" s="15" t="s">
        <v>41</v>
      </c>
    </row>
    <row r="51" spans="2:14" ht="25.8" x14ac:dyDescent="0.35">
      <c r="C51" s="15" t="s">
        <v>42</v>
      </c>
    </row>
    <row r="52" spans="2:14" ht="25.8" x14ac:dyDescent="0.35">
      <c r="C52" s="15" t="s">
        <v>43</v>
      </c>
    </row>
    <row r="53" spans="2:14" ht="25.8" x14ac:dyDescent="0.35">
      <c r="C53" s="15" t="s">
        <v>44</v>
      </c>
    </row>
    <row r="54" spans="2:14" ht="25.8" x14ac:dyDescent="0.35">
      <c r="C54" s="15" t="s">
        <v>45</v>
      </c>
    </row>
  </sheetData>
  <mergeCells count="12">
    <mergeCell ref="B49:N49"/>
    <mergeCell ref="B1:N4"/>
    <mergeCell ref="F8:G8"/>
    <mergeCell ref="F9:G9"/>
    <mergeCell ref="G19:I19"/>
    <mergeCell ref="B22:N22"/>
    <mergeCell ref="B30:N30"/>
    <mergeCell ref="B31:N31"/>
    <mergeCell ref="B32:N32"/>
    <mergeCell ref="B33:N33"/>
    <mergeCell ref="B47:N47"/>
    <mergeCell ref="B48:N48"/>
  </mergeCells>
  <dataValidations count="11">
    <dataValidation type="list" allowBlank="1" showInputMessage="1" showErrorMessage="1" sqref="K21" xr:uid="{0F493175-B045-48F8-A541-B5BA5ADFC41A}">
      <formula1>"ADCB,ADCB PAY IN 2027,Ajman Bank,ADIB,DIB EXPAT,DIB LOCAL GVH,Emirates NBD,EIB,FAB,RAK,SIB STL,SIB NON STL"</formula1>
    </dataValidation>
    <dataValidation type="list" allowBlank="1" showInputMessage="1" showErrorMessage="1" sqref="D5" xr:uid="{F2EC29FF-9E9D-4DFD-8756-E0A7B06E4E28}">
      <formula1>"MIG09,MIG10,ATG16,ATP16,ATG17,ASG48,ASG43,ASG40,ASG42,ASG44,ASG45,ECG38,ECG37,ECG40,ECG43,XPML,XPHL,XPMLP, XPMLP-01, XC,OTF03,OTP03,OTF06,OTP06, OTP06-01,OTF08, OTP08,MOP57,MOG64,MOG59,MOG59P,MOG61,MOP61"</formula1>
    </dataValidation>
    <dataValidation type="list" allowBlank="1" showInputMessage="1" showErrorMessage="1" sqref="M21" xr:uid="{AFA646B3-407D-4DDA-954E-9C469DBAEFC7}">
      <formula1>"3000-4999,5000-9999,10000-14999,15000-24999,25000-34999,35000-99999,5000-11999,12000-19999,20000-39999,40000-69999,70000-99999"</formula1>
    </dataValidation>
    <dataValidation type="list" allowBlank="1" showInputMessage="1" showErrorMessage="1" sqref="K20" xr:uid="{77A837C5-B5EB-45AC-83D4-08F0EA1C9520}">
      <formula1>"Esaad,Emirates Platinum,Fazaa,Humat Alwatan,Permissible,ASX,XPMLP,XP,MON,MON G57,OUT,F08,P08,F06,P06,F03,P03,EC,G37,G38,G40,G43"</formula1>
    </dataValidation>
    <dataValidation type="list" allowBlank="1" showInputMessage="1" showErrorMessage="1" sqref="L19:L20 L24:L25 G14:G15 C10:C16 L10 J10" xr:uid="{60E792F4-52E7-4325-97F4-15AE826D419B}">
      <formula1>"YES,NO"</formula1>
    </dataValidation>
    <dataValidation type="list" allowBlank="1" showInputMessage="1" showErrorMessage="1" sqref="K24" xr:uid="{9F3E29E2-1DFB-4717-B1C3-6E91E04465CE}">
      <formula1>"RMC-10-70K,RMC-10-100000K,RMC-40-70K"</formula1>
    </dataValidation>
    <dataValidation type="list" allowBlank="1" showInputMessage="1" showErrorMessage="1" sqref="B16" xr:uid="{545DFA37-4901-49FE-9128-CC7F53FABB32}">
      <formula1>"RMC-10-40KMS,RMC-10-60KMS,RMC-10-70KMS,RMC-10-100000KMS,RMC-40-70KMS,RMC-40-100000KMS"</formula1>
    </dataValidation>
    <dataValidation type="list" allowBlank="1" showInputMessage="1" showErrorMessage="1" sqref="B12" xr:uid="{C1EBE719-4EB6-41EA-AAF3-C7A075D1FFD7}">
      <formula1>"FO Exterior ceramic All Cars SCOTCHGUARD,FO Mirror Camera Sensor,FO PPF Gold Package "</formula1>
    </dataValidation>
    <dataValidation type="list" allowBlank="1" showInputMessage="1" showErrorMessage="1" sqref="B11" xr:uid="{D55EB648-847C-4609-9936-51C420C1851B}">
      <formula1>"FO Ceramic+ Intr&amp;Extr CeramicGold WdwTnt,FO Mirror Camera Sensor"</formula1>
    </dataValidation>
    <dataValidation type="list" allowBlank="1" showInputMessage="1" showErrorMessage="1" sqref="M34" xr:uid="{13C0F0C5-9222-4176-BB23-404A1FFCEE44}">
      <formula1>"Alaa,Bachir ,Khaled,Ramy,Simon,Mharen,Ranjith,Jihan,Praveen,Sujith,Mossallem"</formula1>
    </dataValidation>
    <dataValidation type="list" allowBlank="1" showInputMessage="1" showErrorMessage="1" sqref="H34" xr:uid="{9CD8F919-EC0A-44C3-A14D-74F7C362AC40}">
      <formula1>"ALAA HAMMAD,KHALED QASSEM,RAMY RAOUF,SIMON LOBO,MHAREN CLEMENTE GARADO"</formula1>
    </dataValidation>
  </dataValidations>
  <pageMargins left="0.23622047244094491" right="0.23622047244094491" top="0.74803149606299213" bottom="0.74803149606299213" header="0.31496062992125984" footer="0.31496062992125984"/>
  <pageSetup paperSize="9" scale="37" orientation="landscape" horizontalDpi="4294967295" verticalDpi="4294967295"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71EEEF-F51A-4A25-946C-8B5157ED32C3}">
  <sheetPr>
    <pageSetUpPr fitToPage="1"/>
  </sheetPr>
  <dimension ref="A1:AB54"/>
  <sheetViews>
    <sheetView topLeftCell="B1" zoomScaleNormal="100" workbookViewId="0">
      <selection activeCell="D5" sqref="D5"/>
    </sheetView>
  </sheetViews>
  <sheetFormatPr defaultColWidth="9.109375" defaultRowHeight="20.399999999999999" x14ac:dyDescent="0.35"/>
  <cols>
    <col min="1" max="1" width="16" style="1" hidden="1" customWidth="1"/>
    <col min="2" max="2" width="75.5546875" style="2" customWidth="1"/>
    <col min="3" max="3" width="25.5546875" style="3" customWidth="1"/>
    <col min="4" max="4" width="25.33203125" style="2" customWidth="1"/>
    <col min="5" max="5" width="22.6640625" style="2" customWidth="1"/>
    <col min="6" max="6" width="21" style="2" customWidth="1"/>
    <col min="7" max="7" width="25" style="2" customWidth="1"/>
    <col min="8" max="8" width="29.44140625" style="2" bestFit="1" customWidth="1"/>
    <col min="9" max="9" width="32.109375" style="2" bestFit="1" customWidth="1"/>
    <col min="10" max="10" width="22" style="2" customWidth="1"/>
    <col min="11" max="11" width="23.33203125" style="2" customWidth="1"/>
    <col min="12" max="12" width="31" style="2" customWidth="1"/>
    <col min="13" max="13" width="23.5546875" style="2" customWidth="1"/>
    <col min="14" max="14" width="21.109375" style="2" customWidth="1"/>
    <col min="15" max="15" width="14.44140625" style="83" bestFit="1" customWidth="1"/>
    <col min="16" max="16" width="21.6640625" style="83" hidden="1" customWidth="1"/>
    <col min="17" max="17" width="14.33203125" style="86" hidden="1" customWidth="1"/>
    <col min="18" max="18" width="12.88671875" style="86" hidden="1" customWidth="1"/>
    <col min="19" max="19" width="13" style="86" hidden="1" customWidth="1"/>
    <col min="20" max="20" width="17.109375" style="86" hidden="1" customWidth="1"/>
    <col min="21" max="21" width="21.5546875" style="86" customWidth="1"/>
    <col min="22" max="22" width="22.88671875" style="86" customWidth="1"/>
    <col min="23" max="26" width="17.109375" style="86" bestFit="1" customWidth="1"/>
    <col min="27" max="27" width="15" style="86" customWidth="1"/>
    <col min="28" max="28" width="14.33203125" style="86" bestFit="1" customWidth="1"/>
    <col min="29" max="16384" width="9.109375" style="1"/>
  </cols>
  <sheetData>
    <row r="1" spans="1:28" ht="15.75" customHeight="1" x14ac:dyDescent="0.35">
      <c r="B1" s="121" t="s">
        <v>46</v>
      </c>
      <c r="C1" s="122"/>
      <c r="D1" s="122"/>
      <c r="E1" s="122"/>
      <c r="F1" s="122"/>
      <c r="G1" s="122"/>
      <c r="H1" s="122"/>
      <c r="I1" s="122"/>
      <c r="J1" s="122"/>
      <c r="K1" s="122"/>
      <c r="L1" s="122"/>
      <c r="M1" s="122"/>
      <c r="N1" s="123"/>
    </row>
    <row r="2" spans="1:28" ht="15.75" customHeight="1" x14ac:dyDescent="0.35">
      <c r="B2" s="124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6"/>
      <c r="Q2" s="83"/>
      <c r="S2" s="87"/>
    </row>
    <row r="3" spans="1:28" ht="15.75" customHeight="1" x14ac:dyDescent="0.35">
      <c r="B3" s="124"/>
      <c r="C3" s="125"/>
      <c r="D3" s="125"/>
      <c r="E3" s="125"/>
      <c r="F3" s="125"/>
      <c r="G3" s="125"/>
      <c r="H3" s="125"/>
      <c r="I3" s="125"/>
      <c r="J3" s="125"/>
      <c r="K3" s="125"/>
      <c r="L3" s="125"/>
      <c r="M3" s="125"/>
      <c r="N3" s="126"/>
      <c r="O3" s="82"/>
      <c r="P3" s="82"/>
      <c r="Q3" s="81"/>
      <c r="R3" s="81"/>
      <c r="S3" s="88" t="e">
        <f>N7+J14</f>
        <v>#VALUE!</v>
      </c>
      <c r="T3" s="88"/>
      <c r="U3" s="81"/>
      <c r="V3" s="81"/>
      <c r="W3" s="81"/>
      <c r="AA3" s="86">
        <f>273000/5</f>
        <v>54600</v>
      </c>
    </row>
    <row r="4" spans="1:28" ht="15.75" customHeight="1" x14ac:dyDescent="0.4">
      <c r="B4" s="127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9"/>
      <c r="O4" s="89" t="s">
        <v>0</v>
      </c>
      <c r="P4" s="89"/>
      <c r="Q4" s="90"/>
      <c r="R4" s="90"/>
      <c r="S4" s="91"/>
      <c r="T4" s="91"/>
      <c r="U4" s="90" t="s">
        <v>1</v>
      </c>
      <c r="V4" s="90" t="s">
        <v>2</v>
      </c>
      <c r="W4" s="90" t="s">
        <v>3</v>
      </c>
    </row>
    <row r="5" spans="1:28" ht="25.2" thickBot="1" x14ac:dyDescent="0.45">
      <c r="B5" s="17">
        <f ca="1">TODAY()</f>
        <v>46215</v>
      </c>
      <c r="C5" s="18" t="str">
        <f>IF(D5="MIG09","Mirage G09",IF(D5="MIG10","MirageG10",IF(D5="ATG16","Attrage G16",IF(D5="ATP16","Attrage P16",IF(D5="ATG17","Attrage G17",IF(D5="ASG48","ASX G48",IF(D5="ASG43","ASX G43", IF(D5="ASG40","ASXG40",IF(D5="ASG42","ASX G42",IF(D5="ASG44","ASX G44",IF(D5="ASG45","ASX G45",IF(D5="ECG38","Eclipse G38",IF(D5="ECG37","Eclipse G37",IF(D5="ECG40","Eclipse G40",IF(D5="ECG43","Eclipse G43",IF(D5="XPML","Xpander ML",IF(D5="XPHL","Xpander HL",IF(D5="XPMLP","Xpander ML P",IF(D5="XPMLP-01","Xpander ML P-01",IF(D5="XC","Xpander Cross", IF(D5="OTF03","Outlander F03",IF(D5="OTP03","Outlander P03",IF(D5="OTF06","Outlander F06",IF(D5="OTP06","Outlander P06",IF(D5="OTP06-01","Outlander P06-01",IF(D5="OTF08","Outlander F08",IF(D5="OTP08","Outlander P08P", IF(D5="MOP57","Montero P57",IF(D5="MOG64","Montero G64",IF(D5="MOG59","Montero G59",IF(D5="MOG59P","Montero G59 P",IF(D5="MOG61","Montero G61",IF(D5="MOP61","Montero P61")))))))))))))))))))))))))))))))))</f>
        <v>Attrage G17</v>
      </c>
      <c r="D5" s="19" t="s">
        <v>90</v>
      </c>
      <c r="E5" s="20" t="s">
        <v>47</v>
      </c>
      <c r="F5" s="21"/>
      <c r="G5" s="21"/>
      <c r="H5" s="21"/>
      <c r="I5" s="22"/>
      <c r="J5" s="23"/>
      <c r="K5" s="24">
        <v>0</v>
      </c>
      <c r="L5" s="25">
        <v>3.39E-2</v>
      </c>
      <c r="M5" s="25">
        <v>6.7799999999999999E-2</v>
      </c>
      <c r="N5" s="25">
        <v>0.1017</v>
      </c>
      <c r="O5" s="92">
        <f>K7+K14</f>
        <v>5584.4552194925</v>
      </c>
      <c r="S5" s="87"/>
      <c r="U5" s="87">
        <f>L7+L14</f>
        <v>2275.5248132720139</v>
      </c>
      <c r="V5" s="87">
        <f>M7+M14</f>
        <v>1522.1842822362501</v>
      </c>
      <c r="W5" s="87">
        <f>N7+N14</f>
        <v>1054.7988160497916</v>
      </c>
    </row>
    <row r="6" spans="1:28" s="5" customFormat="1" ht="128.25" customHeight="1" thickBot="1" x14ac:dyDescent="0.35">
      <c r="A6" s="4" t="s">
        <v>4</v>
      </c>
      <c r="B6" s="26" t="s">
        <v>5</v>
      </c>
      <c r="C6" s="27" t="s">
        <v>6</v>
      </c>
      <c r="D6" s="27" t="s">
        <v>48</v>
      </c>
      <c r="E6" s="27" t="s">
        <v>7</v>
      </c>
      <c r="F6" s="27" t="s">
        <v>8</v>
      </c>
      <c r="G6" s="28" t="s">
        <v>9</v>
      </c>
      <c r="H6" s="28" t="s">
        <v>49</v>
      </c>
      <c r="I6" s="28" t="s">
        <v>10</v>
      </c>
      <c r="J6" s="28" t="s">
        <v>56</v>
      </c>
      <c r="K6" s="28" t="s">
        <v>11</v>
      </c>
      <c r="L6" s="28" t="s">
        <v>12</v>
      </c>
      <c r="M6" s="28" t="s">
        <v>13</v>
      </c>
      <c r="N6" s="28" t="s">
        <v>14</v>
      </c>
      <c r="O6" s="93"/>
      <c r="P6" s="94"/>
      <c r="Q6" s="95"/>
      <c r="R6" s="95"/>
      <c r="S6" s="95"/>
      <c r="T6" s="96"/>
      <c r="U6" s="96">
        <f>N7+L14</f>
        <v>1787.2344143831251</v>
      </c>
      <c r="V6" s="96">
        <f>N7+K14</f>
        <v>4485.8018219925007</v>
      </c>
      <c r="W6" s="96"/>
      <c r="X6" s="95"/>
      <c r="Y6" s="95"/>
      <c r="Z6" s="95"/>
      <c r="AA6" s="95"/>
      <c r="AB6" s="95"/>
    </row>
    <row r="7" spans="1:28" ht="25.2" thickBot="1" x14ac:dyDescent="0.45">
      <c r="A7" s="6">
        <f>B8</f>
        <v>41900</v>
      </c>
      <c r="B7" s="29">
        <f>IF(L20="YES",C8*1,IF(L20="NO",B8*1))</f>
        <v>41900</v>
      </c>
      <c r="C7" s="29">
        <f>B7*5/100</f>
        <v>2095</v>
      </c>
      <c r="D7" s="29">
        <f>B7+C7</f>
        <v>43995</v>
      </c>
      <c r="E7" s="29">
        <f>D17</f>
        <v>10667.669875</v>
      </c>
      <c r="F7" s="29">
        <f>(C7)+(D10+D11+D12+D13+D16)*5/100</f>
        <v>2365</v>
      </c>
      <c r="G7" s="30">
        <f>B7+E7+F7</f>
        <v>54932.669875</v>
      </c>
      <c r="H7" s="29">
        <f>G7*D20</f>
        <v>10986.533975</v>
      </c>
      <c r="I7" s="29">
        <f>(G7-H7)</f>
        <v>43946.135900000001</v>
      </c>
      <c r="J7" s="30">
        <f>(((I7*D19)*1)+I7)/12</f>
        <v>3753.3662236591667</v>
      </c>
      <c r="K7" s="30">
        <f>(((I7*D19)*2)+I7)/24</f>
        <v>1922.2772278258335</v>
      </c>
      <c r="L7" s="30">
        <f>(((I7*D19)*3)+I7)/36</f>
        <v>1311.9142292147221</v>
      </c>
      <c r="M7" s="30">
        <f>(((I7*D19)*4)+I7)/48</f>
        <v>1006.7327299091667</v>
      </c>
      <c r="N7" s="30">
        <f>((((I7*D19)*5)+I7)/60)</f>
        <v>823.62383032583341</v>
      </c>
      <c r="O7" s="92"/>
      <c r="P7" s="83">
        <f>H7+H16</f>
        <v>11447.96840195</v>
      </c>
      <c r="T7" s="87">
        <f>25973/2</f>
        <v>12986.5</v>
      </c>
    </row>
    <row r="8" spans="1:28" ht="24.6" x14ac:dyDescent="0.4">
      <c r="A8" s="7">
        <v>0.2</v>
      </c>
      <c r="B8" s="31">
        <f>IF(D5="MIG09",39900,IF(D5="MIG10",40400,IF(D5="ATG16",40400,IF(D5="ATP16",49900,IF(D5="ATG17",41900,IF(D5="ASG48",63900,IF(D5="ASG43",62900,IF(D5="ASG40",63900,IF(D5="ASG42",68900,IF(D5="ASG44",89900,IF(D5="ASG45",95900,IF(D5="ECG38",73900,IF(D5="ECG37",70900,IF(D5="ECG40",86900,IF(D5="ECG43",91900,IF(D5="XPML",62900,IF(D5="XPHL",62900,IF(D5="XPMLP",69900,IF(D5="XPMLP-01",77800,IF(D5="XC",77900,IF(D5="OTF03",96900,IF(D5="OTP03",79900,IF(D5="OTF06",92900,IF(D5="OTP06",111900,IF(D5="OTP06-01",118900,IF(D5="OTF08",122900,IF(D5="OTP08",109900,IF(D5="MOP57",99900,IF(D5="MOG64",108900,IF(D5="MOG59",116900,IF(D5="MOG59P",110900,IF(D5="MOG61",127900,IF(D5="MOP61",125900)))))))))))))))))))))))))))))))))</f>
        <v>41900</v>
      </c>
      <c r="C8" s="32">
        <f>IF(L20="YES",N20,IF(L20="NO",N20))</f>
        <v>41900</v>
      </c>
      <c r="D8" s="29">
        <v>0</v>
      </c>
      <c r="E8" s="33"/>
      <c r="F8" s="139"/>
      <c r="G8" s="140"/>
      <c r="H8" s="110">
        <f>G7*20/100</f>
        <v>10986.533975</v>
      </c>
      <c r="I8" s="21"/>
      <c r="J8" s="34" t="s">
        <v>15</v>
      </c>
      <c r="K8" s="23">
        <f>(J7*K5+J7)/24</f>
        <v>156.39025931913196</v>
      </c>
      <c r="L8" s="23">
        <f>(J7*L5+J7)/36</f>
        <v>107.79459274003368</v>
      </c>
      <c r="M8" s="23">
        <f>(J7*M5+J7)/48</f>
        <v>83.496759450484547</v>
      </c>
      <c r="N8" s="23">
        <f>(J7*N5+J7)/60</f>
        <v>68.918059476755076</v>
      </c>
      <c r="O8" s="92"/>
      <c r="P8" s="83">
        <f>P7/12</f>
        <v>953.99736682916671</v>
      </c>
      <c r="T8" s="86">
        <f>25973-12973</f>
        <v>13000</v>
      </c>
    </row>
    <row r="9" spans="1:28" ht="24.6" x14ac:dyDescent="0.4">
      <c r="A9" s="8">
        <f>B8/(100%-A8)</f>
        <v>52375</v>
      </c>
      <c r="B9" s="109">
        <f>B7-B8</f>
        <v>0</v>
      </c>
      <c r="C9" s="35"/>
      <c r="D9" s="36"/>
      <c r="E9" s="33"/>
      <c r="F9" s="139"/>
      <c r="G9" s="140"/>
      <c r="H9" s="33"/>
      <c r="I9" s="37" t="s">
        <v>16</v>
      </c>
      <c r="J9" s="38">
        <f>(J7*12)-(I7)</f>
        <v>1094.2587839100015</v>
      </c>
      <c r="K9" s="38">
        <f>(K7*24)-I7</f>
        <v>2188.517567820003</v>
      </c>
      <c r="L9" s="38">
        <f>(L7*36)-I7</f>
        <v>3282.7763517299973</v>
      </c>
      <c r="M9" s="38">
        <f>(M7*48)-I7</f>
        <v>4377.0351356399988</v>
      </c>
      <c r="N9" s="38">
        <f>(N7*60)-I7</f>
        <v>5471.2939195500003</v>
      </c>
      <c r="O9" s="92"/>
      <c r="T9" s="86">
        <f>T8/12</f>
        <v>1083.3333333333333</v>
      </c>
      <c r="Z9" s="86" t="s">
        <v>86</v>
      </c>
    </row>
    <row r="10" spans="1:28" ht="24.6" x14ac:dyDescent="0.4">
      <c r="A10" s="8"/>
      <c r="B10" s="37" t="s">
        <v>50</v>
      </c>
      <c r="C10" s="20" t="s">
        <v>17</v>
      </c>
      <c r="D10" s="36">
        <f>IF(C10="YES",800,IF(C10="NO",0))</f>
        <v>0</v>
      </c>
      <c r="E10" s="39"/>
      <c r="F10" s="40"/>
      <c r="G10" s="40"/>
      <c r="H10" s="33"/>
      <c r="I10" s="44" t="s">
        <v>85</v>
      </c>
      <c r="J10" s="117" t="s">
        <v>19</v>
      </c>
      <c r="K10" s="117">
        <f>IF(J10="YES",Z10,IF(J10="NO",0))</f>
        <v>500</v>
      </c>
      <c r="L10" s="117"/>
      <c r="M10" s="117"/>
      <c r="N10" s="41">
        <f>(N8*60)-J7</f>
        <v>381.71734494613747</v>
      </c>
      <c r="O10" s="92">
        <f>IF(D5="XC",3690,IF(D5="XPML",3690,IF(D5="XPHL",3690,IF(D5="XPMLP",3690,IF(D5="XPMLP-01",3690,IF(D5="Xpander P",3690,IF(D5="MOP57",(U19*2.75/100+510)*1.05,IF(D5="MOG64",(U19*2.75/100+510)*1.05,IF(D5="MOG59",(U19*2.75/100+510)*1.05,IF(D5="MOG59P",(U19*2.75/100+510)*1.05,IF(D5="MOG61",(U19*2.75/100+510)*1.05,IF(D5="MOP61",(U19*2.75/100+510)*1.05,IF(D5="OTF03",(D7*3/100+510)*1.05,IF(D5="OTP03",(U19*3/100+510)*1.05,IF(D5="OTF06",(U19*3/100+510)*1.05,IF(D5="OTP06",(U19*3/100+510)*1.05,IF(D5="OTP06-01",(U19*3/100+510)*1.05,IF(D5="OTF08",(U19*3/100+510)*1.05,IF(D5="OTP08",(U19*3/100+510)*1.05,IF(D5="ECG38",3625,IF(D5="ECG37",3625,IF(D5="ECG40",(D7*3/100+510)*1.05,IF(D5="ECG43",(D7*3/100+510)*1.05,IF(D5="ASG48",3625,IF(D5="ASG43",3625,IF(D5="ASG40",3625,IF(D5="ASG42",3625,IF(D5="ASG44",3625,IF(D5="ASG45",3625,IF(D5="ASX HL 4WD",3625,IF(D5="ATG16",3625,IF(D5="ATG17",3625,IF(D5="ATP16",3625,IF(D5="Attrage S",3625,IF(D5="MIG09",3625,IF(D5="MIG10",3625,IF(D5="Xpander HL",3690)))))))))))))))))))))))))))))))))))))</f>
        <v>3625</v>
      </c>
      <c r="P10" s="97"/>
      <c r="Q10" s="97">
        <f>5.25*3</f>
        <v>15.75</v>
      </c>
      <c r="Z10" s="86">
        <f>IF(D5="MIG09",500,IF(D5="MIG10",500,IF(D5="ATG16",500,IF(D5="ATP16",500,IF(D5="ATG17",500,IF(D5="ASG48",1000,IF(D5="ASG43",1000,IF(D5="ASG40",1000,IF(D5="ASG42",1000,IF(D5="ASG44",1000,IF(D5="ASG45",1000,IF(D5="ECG38",1000,IF(D5="ECG37",1000,IF(D5="ECG40",1000,IF(D5="ECG43",1000,IF(D5="XPML",1000,IF(D5="XPHL",1000,IF(D5="XPMLP",1000,IF(D5="XPMLP-01",1000,IF(D5="XC",1000,IF(D5="OTF03",1000,IF(D5="OTP03",1000,IF(D5="OTF06",1000,IF(D5="OTP06",1000,IF(D5="OTP06-01",1000,IF(D5="OTF08",1000,IF(D5="OTP08",1000,IF(D5="MOP57",1000,IF(D5="MOG64",1000,IF(D5="MOG59",1000,IF(D5="MOG59P",1000,IF(D5="MOG61",1000,IF(D5="MOP61",1000)))))))))))))))))))))))))))))))))</f>
        <v>500</v>
      </c>
    </row>
    <row r="11" spans="1:28" ht="24.6" x14ac:dyDescent="0.4">
      <c r="A11" s="8"/>
      <c r="B11" s="37" t="s">
        <v>18</v>
      </c>
      <c r="C11" s="20" t="s">
        <v>17</v>
      </c>
      <c r="D11" s="36">
        <f>IF(C11="YES",O17,IF(C11="NO",0))</f>
        <v>0</v>
      </c>
      <c r="E11" s="33"/>
      <c r="F11" s="40"/>
      <c r="G11" s="40"/>
      <c r="H11" s="33"/>
      <c r="I11" s="21"/>
      <c r="J11" s="44" t="s">
        <v>76</v>
      </c>
      <c r="K11" s="44">
        <f>H8-K10</f>
        <v>10486.533975</v>
      </c>
      <c r="L11" s="37"/>
      <c r="M11" s="37"/>
      <c r="N11" s="42"/>
      <c r="O11" s="92">
        <f>IF(D5="XC",6100,IF(D5="XPML",6100,IF(D5="XPHL",6100,IF(D5="XPMLP",6100,IF(D5="XPMLP-01",6100,IF(D5="Xpander P",6100,IF(D5="MOP57",5900,IF(D5="MOG64",5900,IF(D5="MOG59",5900,IF(D5="MOG59P",5900,IF(D5="MOG61",5900,IF(D5="MOP61",5900,IF(D5="OTF03",6700,IF(D5="OTP03",6700,IF(D5="OTF06",6700,IF(D5="OTP06",6700,IF(D5="OTP06-01",6700,IF(D5="OTF08",6700,IF(D5="OTP08",6700,IF(D5="ECG37",6400,IF(D5="ECG38",6400,IF(D5="ECG40",6400,IF(D5="ECG43",6400,IF(D5="ASG48",6600,IF(D5="ASG43",6600,IF(D5="ASG40",6600,IF(D5="ASG42",6600,IF(D5="ASG44",6600,IF(D5="ASG45",6600,IF(D5="ASX HL 4WD",6600,IF(D5="ATG16",5400,IF(D5="ATG17",5400,IF(D5="ATP16",5400,IF(D5="Attrage S",5400,IF(D5="MIG09",5400,IF(D5="MIG10",5400,IF(D5="Xpander HL",6000)))))))))))))))))))))))))))))))))))))</f>
        <v>5400</v>
      </c>
      <c r="P11" s="92"/>
      <c r="Q11" s="92"/>
      <c r="R11" s="92"/>
      <c r="S11" s="92"/>
      <c r="T11" s="92"/>
      <c r="U11" s="92">
        <f>IF(D5="XC",4900,IF(D5="XPML",4900,IF(D5="XPHL",4900,IF(D5="XPMLP",4900,IF(D5="XPMLP-01",4900,IF(D5="Xpander P",4900,IF(D5="MOP57",4600,IF(D5="MOG64",4600,IF(D5="MOG59",4600,IF(D5="MOG59P",4600,IF(D5="MOG61",4600,IF(D5="MOP61",4600,IF(D5="OTF03",5500,IF(D5="OTP03",5500,IF(D5="OTF06",5500,IF(D5="OTP06",5500,IF(D5="OTP06-01",5500,IF(D5="OTF08",5500,IF(D5="OTP08",5500,IF(D5="ECG38",5200,IF(D5="ECG37",5200,IF(D5="ECG40",5200,IF(D5="ECG43",5200,IF(D5="ASG48",5300,IF(D5="ASG43",5300,IF(D5="ASG40",5300,IF(D5="ASG42",5300,IF(D5="ASG44",5300,IF(D5="ASG45",5300,IF(D5="ASX HL",5300,IF(D5="ASX P",5300,IF(D5="ASX HL 4WD",5300,IF(D5="ATG16",4200,IF(D5="ATG17",4200,IF(D5="ATP16",4200,IF(D5="Attrage S",4200,IF(D5="MIG09",4200,IF(D5="MIG10",4200,IF(D5="Xpander HL",4900)))))))))))))))))))))))))))))))))))))))</f>
        <v>4200</v>
      </c>
      <c r="V11" s="92">
        <f>IF(D5="XC",9700,IF(D5="XPML",9700,IF(D5="XPHL",9700,IF(D5="XPMLP",9700,IF(D5="XPMLP-01",9700,IF(D5="XPMLP-01",9700,IF(D5="Xpander P",9700,IF(D5="MOP57",9300,IF(D5="MG64",9300,IF(D5="MOG59",9300,IF(D5="MOG59P",9300,IF(D5="MOG61",9300,IF(D5="MOP61",9300,IF(D5="OTF03",11000,IF(D5="OTP03",11000,IF(D5="OTF06",11000,IF(D5="OTP06",11000,IF(D5="OTP06-01",11000,IF(D5="OTF08",11000,IF(D5="OTP08",11000,IF(D5="ECG38",10400,IF(D5="ECG37",10400,IF(D5="ECG40",10400,IF(D5="ECG43",10400,IF(D5="ASG48",10700,IF(D5="ASG43",10700,IF(D5="ASG40",10700,IF(D5="ASG42",10700,IF(D5="ASG44",10800,IF(D5="ASG45",10800,IF(D5="ASX HL",12200,IF(D5="ASX P",12200,IF(D5="ASX HL 4WD",12200,IF(D5="ATG16",8500,IF(D5="ATG17",8500,IF(D5="ATP16",8500,IF(D5="Attrage S",9600,IF(D5="MIG09",8500,IF(D5="MIG10",8500,IF(D5="Xpander HL",11300))))))))))))))))))))))))))))))))))))))))</f>
        <v>8500</v>
      </c>
      <c r="W11" s="92">
        <f>IF(D5="XC",9200,IF(D5="XPML",9200,IF(D5="XPHL",9200,IF(D5="XPMLP",9200,IF(D5="XPMLP-01",9200,IF(D5="Xpander P",9200,IF(D5="MOP57",8700,IF(D5="MOG64",8700,IF(D5="MOG59",8700,IF(D5="MOG59P",8700,IF(D5="MOG61",8700,IF(D5="MOP61",8700,IF(D5="OTF03",10400,IF(D5="OTP03",10400,IF(D5="OTF06",10400,IF(D5="OTP06",10400,IF(D5="OTP06-01",10400,IF(D5="OTF08",10400,IF(D5="OTP08",10400,IF(D5="ECG38",9800,IF(D5="ECG37",9800,IF(D5="ECG40",9800,IF(D5="ECG43",9800,IF(D5="ASG48",10100,IF(D5="ASG43",10100,IF(D5="ASG40",10100,IF(D5="ASG42",10100,IF(D5="ASG44",10100,IF(D5="ASG45",10100,IF(D5="ASX HL",10100,IF(D5="ASX P",10100,IF(D5="ASX HL 4WD",10100,IF(D5="ATG16",7900,IF(D5="ATG17",7900,IF(D5="ATP16",7900,IF(D5="Attrage S",7900,IF(D5="MIG09",7900,IF(D5="MIG10",7900,IF(D5="Xpander HL",9200)))))))))))))))))))))))))))))))))))))))</f>
        <v>7900</v>
      </c>
      <c r="X11" s="92">
        <f>IF(D5="XC",4500,IF(D5="XPML",4500,IF(D5="XPHL",4500,IF(D5="XPMLP",4500,IF(D5="XPMLP-01",4500,IF(D5="Xpander P",4500,IF(D5="MOP57",4300,IF(D5="MOG64",4300,IF(D5="MOG59",4300,IF(D5="MOG59P",4300,IF(D5="MOG61",4300,IF(D5="MOP61",4300,IF(D5="OTF03",5000,IF(D5="OTP03",5000,IF(D5="OTF06",5000,IF(D5="OTP06",5000,IF(D5="OTP06-01",5000,IF(D5="OTF08",5000,IF(D5="OTP08",5000,IF(D5="ECG38",4900,IF(D5="ECG37",4900,IF(D5="ECG40",4900,IF(D5="ECG43",4900,IF(D5="ASG48",4900,IF(D5="ASG43",4900,IF(D5="ASG40",4900,IF(D5="ASG42",4900,IF(D5="ASG44",4900,IF(D5="ASG45",4900,IF(D5="ASX HL",4900,IF(D5="ASX P",4900,IF(D5="ASX HL 4WD",4900,IF(D5="ATG16",3700,IF(D5="ATG17",3700,IF(D5="ATP16",3700,IF(D5="Attrage S",3700,IF(D5="MIG09",3700,IF(D5="MIG10",3700,IF(D5="Xpander HL",4500)))))))))))))))))))))))))))))))))))))))</f>
        <v>3700</v>
      </c>
      <c r="Y11" s="92">
        <f>IF(D5="XC",5400,IF(D5="XPML ",5400,IF(D5="XPHL",5400,IF(D5="XPMLP",5400,IF(D5="XPMLP-01",5400,IF(D5="Xpander P",5400,IF(D5="MOP57",5200,IF(D5="MOG64",5200,IF(D5="MOG59",5200,IF(D5="MOG59P",5200,IF(D5="MOG61",5200,IF(D5="MOP61",5200,IF(D5="OTF03",6000,IF(D5="OTP03",6000,IF(D5="OTF06",6000,IF(D5="OTP06",6000,IF(D5="OTP06-01",6000,IF(D5="OTF08",6000,IF(D5="OTP08",6000,IF(D5="ECG38",5700,IF(D5="ECG37",5700,IF(D5="ECG40",5700,IF(D5="ECG43",5700,IF(D5="ASG48",5900,IF(D5="ASG43",5900,IF(D5="ASG40",5900,IF(D5="ASG42",5900,IF(D5="ASG44",5900,IF(D5="ASG45",5900,IF(D5="ASX HL",5900,IF(D5="ASX P",5900,IF(D5="ASX HL 4WD",5900,IF(D5="ATG16",4500,IF(D5="ATG17",4500,IF(D5="ATP16",4500,IF(D5="Attrage S",4500,IF(D5="MIG09",4500,IF(D5="MIG10",4500,IF(D5="Xpander HL",5400)))))))))))))))))))))))))))))))))))))))</f>
        <v>4500</v>
      </c>
    </row>
    <row r="12" spans="1:28" ht="24.75" customHeight="1" x14ac:dyDescent="0.4">
      <c r="A12" s="8"/>
      <c r="B12" s="37" t="s">
        <v>20</v>
      </c>
      <c r="C12" s="20" t="s">
        <v>17</v>
      </c>
      <c r="D12" s="36">
        <f>IF(C12="YES",2000,IF(C12="NO",0))</f>
        <v>0</v>
      </c>
      <c r="E12" s="43"/>
      <c r="F12" s="43" t="s">
        <v>21</v>
      </c>
      <c r="G12" s="40"/>
      <c r="H12" s="33">
        <v>600</v>
      </c>
      <c r="I12" s="21"/>
      <c r="J12" s="44" t="s">
        <v>22</v>
      </c>
      <c r="K12" s="45">
        <v>0</v>
      </c>
      <c r="L12" s="45">
        <v>5.2499999999999998E-2</v>
      </c>
      <c r="M12" s="45">
        <v>0.126</v>
      </c>
      <c r="N12" s="46">
        <v>0.26250000000000001</v>
      </c>
      <c r="O12" s="92">
        <f>IF(K20="Esaad",B8*3/100,IF(K20="Emirates Platinum",B8*3/100,IF(K20="Fazaa",B8*3/100,IF(K20="Humat Alwatan",B8*3/100,IF(K20="Permissible",2000,IF(K20="ASX",8400,IF(K20="XPMLP",4000,IF(K20="XP",14100,IF(K20="G43",11000,IF(K20="EC",7000,IF(K20="G37",14000,IF(K20="G38",15000,IF(K20="G40",11000,IF(K20="OUT",9600,IF(K20="F08",15400,IF(K20="P08",11100,IF(K20="F06",14100,IF(K20="P06",17100,IF(K20="F03",17000,IF(K20="P03",19100,IF(K20="MON",10000,IF(K20="MON G57",10000,0))))))))))))))))))))))</f>
        <v>2000</v>
      </c>
      <c r="P12" s="92"/>
      <c r="Q12" s="92"/>
      <c r="R12" s="92"/>
      <c r="S12" s="92"/>
      <c r="T12" s="92"/>
      <c r="U12" s="92"/>
      <c r="V12" s="92"/>
      <c r="W12" s="92"/>
      <c r="X12" s="92"/>
      <c r="Y12" s="92"/>
      <c r="Z12" s="86" t="s">
        <v>83</v>
      </c>
      <c r="AA12" s="86" t="s">
        <v>84</v>
      </c>
    </row>
    <row r="13" spans="1:28" ht="24.6" x14ac:dyDescent="0.4">
      <c r="A13" s="8">
        <f>B8*1.26582</f>
        <v>53037.858</v>
      </c>
      <c r="B13" s="37" t="s">
        <v>23</v>
      </c>
      <c r="C13" s="20" t="s">
        <v>17</v>
      </c>
      <c r="D13" s="36">
        <f>IF(C13="YES",2000,IF(C13="NO",0))</f>
        <v>0</v>
      </c>
      <c r="E13" s="47"/>
      <c r="F13" s="47" t="s">
        <v>75</v>
      </c>
      <c r="G13" s="40"/>
      <c r="H13" s="33">
        <v>315</v>
      </c>
      <c r="I13" s="21"/>
      <c r="J13" s="44" t="s">
        <v>54</v>
      </c>
      <c r="K13" s="29" t="s">
        <v>79</v>
      </c>
      <c r="L13" s="29" t="s">
        <v>25</v>
      </c>
      <c r="M13" s="29" t="s">
        <v>0</v>
      </c>
      <c r="N13" s="49" t="s">
        <v>26</v>
      </c>
      <c r="O13" s="98">
        <f>IF(M21="3000-4999",6%,IF(M21="5000-9999",4.75%,IF(M21="10000-14999",3.15%,IF(M21="15000-24999",2.5%,IF(M21="25000-34999",2.25%,IF(M21="35000-99999",2.25%))))))</f>
        <v>4.7500000000000001E-2</v>
      </c>
      <c r="Q13" s="83">
        <f>H7/12</f>
        <v>915.54449791666673</v>
      </c>
      <c r="U13" s="9">
        <f>IF(M21="3000-4999",6%,IF(M21="5000-9999",3.25%,IF(M21="10000-14999",3%,IF(M21="15000-24999",2.25%,IF(M21="25000-34999",2.15%,IF(M21="35000-99999",1.99%))))))</f>
        <v>3.2500000000000001E-2</v>
      </c>
      <c r="Z13" s="99">
        <f>IF(M21="5000-9999",2.49%,IF(M21="10000-19999",2.19%,IF(M21="20000-34999",2.09%,IF(M21="35000-49999",1.89%,IF(M21="50000-99999",1.79%)))))</f>
        <v>2.4900000000000002E-2</v>
      </c>
      <c r="AA13" s="99">
        <f>IF(M21="5000-9999",2.59%,IF(M21="10000-19999",2.29%,IF(M21="20000-34999",2.19%,IF(M21="35000-49999",1.99%,IF(M21="50000-99999",1.89%)))))</f>
        <v>2.5899999999999999E-2</v>
      </c>
    </row>
    <row r="14" spans="1:28" ht="24.6" x14ac:dyDescent="0.4">
      <c r="A14" s="10" t="s">
        <v>27</v>
      </c>
      <c r="B14" s="37" t="s">
        <v>24</v>
      </c>
      <c r="C14" s="20" t="s">
        <v>19</v>
      </c>
      <c r="D14" s="50">
        <f>IF(C14="YES",U19*3.15*1.05/100,IF(C14="NO",U19*0/100))</f>
        <v>1642.6698750000003</v>
      </c>
      <c r="E14" s="48"/>
      <c r="F14" s="48" t="s">
        <v>24</v>
      </c>
      <c r="G14" s="51" t="s">
        <v>17</v>
      </c>
      <c r="H14" s="39">
        <f>IF(G14="YES",U19*3.15*1.05/100,IF(G14="NO",U19*0/100))</f>
        <v>0</v>
      </c>
      <c r="I14" s="21"/>
      <c r="J14" s="44" t="s">
        <v>55</v>
      </c>
      <c r="K14" s="44">
        <f>(H8*K12+H8)/3</f>
        <v>3662.1779916666669</v>
      </c>
      <c r="L14" s="44">
        <f>(H8*L12+H8)/12</f>
        <v>963.6105840572917</v>
      </c>
      <c r="M14" s="44">
        <f>(H8*M12+H8)/24</f>
        <v>515.45155232708328</v>
      </c>
      <c r="N14" s="52">
        <f>(H7*N12+H7)/60</f>
        <v>231.17498572395834</v>
      </c>
      <c r="O14" s="98">
        <f>IF(M21="3000-4999",3.89%,IF(M21="5000-9999",3.89%,IF(M21="10000-14999",3.89%,IF(M21="15000-24999",2.69%,IF(M21="25000-34999",2.69%,IF(M21="35000-99999",2.39%,IF(M21="76000-99999",2.19%)))))))</f>
        <v>3.8900000000000004E-2</v>
      </c>
    </row>
    <row r="15" spans="1:28" ht="24.6" x14ac:dyDescent="0.4">
      <c r="A15" s="11">
        <f>(B7*3%)+10+120</f>
        <v>1387</v>
      </c>
      <c r="B15" s="37" t="s">
        <v>28</v>
      </c>
      <c r="C15" s="20" t="s">
        <v>19</v>
      </c>
      <c r="D15" s="29">
        <f>IF(C15="YES",O10,IF(C15="NO",0))</f>
        <v>3625</v>
      </c>
      <c r="E15" s="48"/>
      <c r="F15" s="48" t="s">
        <v>53</v>
      </c>
      <c r="G15" s="51" t="s">
        <v>17</v>
      </c>
      <c r="H15" s="39">
        <f>IF(G15="YES",O10,IF(G15="NO",0))</f>
        <v>0</v>
      </c>
      <c r="I15" s="21"/>
      <c r="J15" s="44"/>
      <c r="K15" s="44"/>
      <c r="L15" s="44"/>
      <c r="M15" s="44"/>
      <c r="N15" s="53"/>
      <c r="O15" s="98" t="b">
        <f>IF(M21="3000-4999",4.99%, IF(M21="5000-11999",2.75%,IF(M21="12000-19999",2.75%,IF(M21="20000-39999",2.25%,IF(M21="40000-69999",2.39%,IF(M21="70000-99999",2.25%))))))</f>
        <v>0</v>
      </c>
      <c r="P15" s="99"/>
    </row>
    <row r="16" spans="1:28" ht="24.6" x14ac:dyDescent="0.4">
      <c r="A16" s="11">
        <f>((B7-B8)*3%+10+120)</f>
        <v>130</v>
      </c>
      <c r="B16" s="37" t="s">
        <v>78</v>
      </c>
      <c r="C16" s="20" t="s">
        <v>19</v>
      </c>
      <c r="D16" s="29">
        <f>IF(C16="YES",O16,IF(C16="NO",0))</f>
        <v>5400</v>
      </c>
      <c r="E16" s="47"/>
      <c r="F16" s="47" t="s">
        <v>74</v>
      </c>
      <c r="G16" s="54"/>
      <c r="H16" s="33">
        <f>I7*1.05%</f>
        <v>461.43442695000005</v>
      </c>
      <c r="I16" s="21"/>
      <c r="J16" s="44" t="s">
        <v>16</v>
      </c>
      <c r="K16" s="44">
        <f>(K14*3)-H8</f>
        <v>0</v>
      </c>
      <c r="L16" s="44">
        <f>(L14*12)-H8</f>
        <v>576.7930336874997</v>
      </c>
      <c r="M16" s="44">
        <f>(M14*24)-H8</f>
        <v>1384.3032808499975</v>
      </c>
      <c r="N16" s="53"/>
      <c r="O16" s="92">
        <f>IF(B16="RMC-10-70KMS",O11,IF(B16="RMC-10-100000KMS",V11,IF(B16="RMC-40-70KMS",U11, IF(B16="RMC-10-40KMS",X11, IF(B16="RMC-10-60KMS",Y11, IF(B16="RMC-40-100000KMS",W11,0))))))</f>
        <v>5400</v>
      </c>
    </row>
    <row r="17" spans="1:28" ht="24.6" x14ac:dyDescent="0.4">
      <c r="A17" s="11">
        <f>A15+A16</f>
        <v>1517</v>
      </c>
      <c r="B17" s="37"/>
      <c r="C17" s="20"/>
      <c r="D17" s="29">
        <f>SUM(D10:D16)</f>
        <v>10667.669875</v>
      </c>
      <c r="E17" s="33"/>
      <c r="F17" s="33"/>
      <c r="G17" s="33"/>
      <c r="H17" s="33">
        <f>H7+H12+H15+H16</f>
        <v>12047.96840195</v>
      </c>
      <c r="I17" s="33"/>
      <c r="J17" s="22"/>
      <c r="K17" s="53"/>
      <c r="L17" s="53"/>
      <c r="M17" s="53"/>
      <c r="N17" s="53"/>
      <c r="O17" s="92">
        <f>IF(B11="FO Ceramic+ Intr&amp;Extr CeramicGold WdwTnt",2700,IF(B11="FO Mirror Camera Sensor",2000))</f>
        <v>2700</v>
      </c>
      <c r="T17" s="86">
        <f>19615-791</f>
        <v>18824</v>
      </c>
    </row>
    <row r="18" spans="1:28" ht="24.6" x14ac:dyDescent="0.4">
      <c r="A18" s="12" t="s">
        <v>29</v>
      </c>
      <c r="B18" s="55" t="s">
        <v>30</v>
      </c>
      <c r="C18" s="56"/>
      <c r="D18" s="57">
        <v>0</v>
      </c>
      <c r="E18" s="38"/>
      <c r="F18" s="22"/>
      <c r="G18" s="22"/>
      <c r="H18" s="21"/>
      <c r="I18" s="21"/>
      <c r="J18" s="21"/>
      <c r="K18" s="21"/>
      <c r="L18" s="21"/>
      <c r="M18" s="21"/>
      <c r="N18" s="21"/>
      <c r="O18" s="92"/>
      <c r="U18" s="100" t="s">
        <v>52</v>
      </c>
      <c r="V18" s="100" t="s">
        <v>52</v>
      </c>
    </row>
    <row r="19" spans="1:28" ht="24.6" x14ac:dyDescent="0.4">
      <c r="A19" s="11">
        <f>B8*3.15%</f>
        <v>1319.85</v>
      </c>
      <c r="B19" s="58" t="s">
        <v>31</v>
      </c>
      <c r="C19" s="59"/>
      <c r="D19" s="60">
        <f>IF(K21="DIB EXPAT",O13,IF(K21="DIB LOCAL GVH",U13,IF(K21="Emirates NBD",O14,IF(K21="ADCB",O15,IF(K21="ADCB PAY IN 2027",O19,IF(K21="Ajman Bank",O18,IF(K21="SIB STL",Z13,IF(K21="SIB NON STL",AA13,))))))))</f>
        <v>2.4900000000000002E-2</v>
      </c>
      <c r="E19" s="22"/>
      <c r="F19" s="61"/>
      <c r="G19" s="141" t="s">
        <v>73</v>
      </c>
      <c r="H19" s="142"/>
      <c r="I19" s="143"/>
      <c r="J19" s="109">
        <f>H7/365</f>
        <v>30.100093082191783</v>
      </c>
      <c r="K19" s="21"/>
      <c r="L19" s="21"/>
      <c r="M19" s="21"/>
      <c r="N19" s="23">
        <f>D7</f>
        <v>43995</v>
      </c>
      <c r="O19" s="98" t="b">
        <f>IF(M21="5000-11999",3.35%,IF(M21="12000-19999",3.35%,IF(M21="20000-39999",2.85%,IF(M21="40000-69999",2.85%,IF(M21="70000-99999",2.85%)))))</f>
        <v>0</v>
      </c>
      <c r="P19" s="83">
        <f>81400-2500</f>
        <v>78900</v>
      </c>
      <c r="U19" s="101">
        <f>V19</f>
        <v>49665</v>
      </c>
      <c r="V19" s="102">
        <f>(B7+D10+D11+D12+D13+D16)*1.05</f>
        <v>49665</v>
      </c>
      <c r="X19" s="87">
        <f>G7*3.15*1.05/100</f>
        <v>1816.898056115625</v>
      </c>
      <c r="Y19" s="87">
        <f>G7*3/100+510*1.05</f>
        <v>2183.4800962500003</v>
      </c>
      <c r="Z19" s="87">
        <f>Y19+X19</f>
        <v>4000.3781523656253</v>
      </c>
      <c r="AA19" s="87">
        <f>(Z19)-(D14+D15)</f>
        <v>-1267.2917226343752</v>
      </c>
      <c r="AB19" s="87">
        <f>AA19*1.25</f>
        <v>-1584.114653292969</v>
      </c>
    </row>
    <row r="20" spans="1:28" ht="24.6" x14ac:dyDescent="0.4">
      <c r="A20" s="11"/>
      <c r="B20" s="58" t="s">
        <v>32</v>
      </c>
      <c r="C20" s="62"/>
      <c r="D20" s="63">
        <v>0.2</v>
      </c>
      <c r="E20" s="21"/>
      <c r="F20" s="21"/>
      <c r="G20" s="42"/>
      <c r="H20" s="42"/>
      <c r="I20" s="42"/>
      <c r="J20" s="103"/>
      <c r="K20" s="104" t="s">
        <v>33</v>
      </c>
      <c r="L20" s="104" t="s">
        <v>17</v>
      </c>
      <c r="M20" s="104">
        <f>IF(L20="YES",O12,IF(L20="NO",0))</f>
        <v>0</v>
      </c>
      <c r="N20" s="23">
        <f>B8-M20</f>
        <v>41900</v>
      </c>
      <c r="O20" s="92"/>
      <c r="P20" s="99"/>
      <c r="T20" s="86">
        <f>1992+1084</f>
        <v>3076</v>
      </c>
      <c r="V20" s="83"/>
      <c r="X20" s="87">
        <f>X19-D14</f>
        <v>174.22818111562469</v>
      </c>
      <c r="Y20" s="87">
        <f>Y19-D15</f>
        <v>-1441.5199037499997</v>
      </c>
      <c r="AA20" s="87">
        <f>X20+Y20</f>
        <v>-1267.291722634375</v>
      </c>
    </row>
    <row r="21" spans="1:28" ht="24.6" x14ac:dyDescent="0.4">
      <c r="A21" s="13">
        <f>A19+A20</f>
        <v>1319.85</v>
      </c>
      <c r="B21" s="21"/>
      <c r="C21" s="22"/>
      <c r="D21" s="21"/>
      <c r="E21" s="21"/>
      <c r="F21" s="21"/>
      <c r="G21" s="21"/>
      <c r="H21" s="21"/>
      <c r="I21" s="21"/>
      <c r="J21" s="37" t="s">
        <v>34</v>
      </c>
      <c r="K21" s="16" t="s">
        <v>83</v>
      </c>
      <c r="L21" s="105" t="s">
        <v>35</v>
      </c>
      <c r="M21" s="106" t="s">
        <v>80</v>
      </c>
      <c r="N21" s="111"/>
      <c r="O21" s="92"/>
      <c r="T21" s="86">
        <f>25973-12973</f>
        <v>13000</v>
      </c>
    </row>
    <row r="22" spans="1:28" ht="24.6" x14ac:dyDescent="0.4">
      <c r="A22" s="13"/>
      <c r="B22" s="130" t="s">
        <v>51</v>
      </c>
      <c r="C22" s="131"/>
      <c r="D22" s="131"/>
      <c r="E22" s="131"/>
      <c r="F22" s="131"/>
      <c r="G22" s="131"/>
      <c r="H22" s="131"/>
      <c r="I22" s="131"/>
      <c r="J22" s="131"/>
      <c r="K22" s="131"/>
      <c r="L22" s="131"/>
      <c r="M22" s="131"/>
      <c r="N22" s="132"/>
      <c r="O22" s="92"/>
    </row>
    <row r="23" spans="1:28" ht="25.2" x14ac:dyDescent="0.45">
      <c r="A23" s="14" t="s">
        <v>36</v>
      </c>
      <c r="B23" s="64" t="s">
        <v>57</v>
      </c>
      <c r="C23" s="65"/>
      <c r="D23" s="65"/>
      <c r="E23" s="65"/>
      <c r="F23" s="65"/>
      <c r="G23" s="65"/>
      <c r="H23" s="66"/>
      <c r="I23" s="66"/>
      <c r="J23" s="65"/>
      <c r="K23" s="65"/>
      <c r="L23" s="65"/>
      <c r="M23" s="65"/>
      <c r="N23" s="67"/>
      <c r="O23" s="92">
        <f>N7+K14</f>
        <v>4485.8018219925007</v>
      </c>
    </row>
    <row r="24" spans="1:28" ht="25.2" x14ac:dyDescent="0.45">
      <c r="A24" s="14" t="s">
        <v>36</v>
      </c>
      <c r="B24" s="64" t="s">
        <v>58</v>
      </c>
      <c r="C24" s="65"/>
      <c r="D24" s="65"/>
      <c r="E24" s="65"/>
      <c r="F24" s="65"/>
      <c r="G24" s="65"/>
      <c r="H24" s="85">
        <f>H7/365</f>
        <v>30.100093082191783</v>
      </c>
      <c r="I24" s="85">
        <f>H7/365</f>
        <v>30.100093082191783</v>
      </c>
      <c r="J24" s="65"/>
      <c r="K24" s="65"/>
      <c r="L24" s="65"/>
      <c r="M24" s="65"/>
      <c r="N24" s="68"/>
      <c r="O24" s="92"/>
      <c r="P24" s="83">
        <f>1232+480</f>
        <v>1712</v>
      </c>
      <c r="T24" s="86">
        <f>88704/1.05</f>
        <v>84480</v>
      </c>
    </row>
    <row r="25" spans="1:28" ht="25.2" x14ac:dyDescent="0.45">
      <c r="A25" s="14" t="s">
        <v>36</v>
      </c>
      <c r="B25" s="64" t="s">
        <v>59</v>
      </c>
      <c r="C25" s="65"/>
      <c r="D25" s="65"/>
      <c r="E25" s="65"/>
      <c r="F25" s="65"/>
      <c r="G25" s="65"/>
      <c r="H25" s="66"/>
      <c r="I25" s="85">
        <f>I24*365*3</f>
        <v>32959.601925000003</v>
      </c>
      <c r="J25" s="65"/>
      <c r="K25" s="65"/>
      <c r="L25" s="65"/>
      <c r="M25" s="65"/>
      <c r="N25" s="68"/>
      <c r="O25" s="92"/>
      <c r="Q25" s="86">
        <f>79400-5233.33</f>
        <v>74166.67</v>
      </c>
      <c r="R25" s="86">
        <f>Q25*1.05</f>
        <v>77875.003500000006</v>
      </c>
    </row>
    <row r="26" spans="1:28" ht="25.2" x14ac:dyDescent="0.45">
      <c r="A26" s="14" t="s">
        <v>36</v>
      </c>
      <c r="B26" s="64" t="s">
        <v>60</v>
      </c>
      <c r="C26" s="65"/>
      <c r="D26" s="65"/>
      <c r="E26" s="65"/>
      <c r="F26" s="65"/>
      <c r="G26" s="65"/>
      <c r="H26" s="65"/>
      <c r="I26" s="65"/>
      <c r="J26" s="65"/>
      <c r="K26" s="65"/>
      <c r="L26" s="65"/>
      <c r="M26" s="65"/>
      <c r="N26" s="68"/>
      <c r="O26" s="92" t="s">
        <v>37</v>
      </c>
      <c r="R26" s="86">
        <f>R25+2469</f>
        <v>80344.003500000006</v>
      </c>
    </row>
    <row r="27" spans="1:28" ht="25.2" x14ac:dyDescent="0.45">
      <c r="A27" s="14" t="s">
        <v>36</v>
      </c>
      <c r="B27" s="64" t="s">
        <v>61</v>
      </c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8"/>
      <c r="O27" s="92">
        <f>129500-110900</f>
        <v>18600</v>
      </c>
    </row>
    <row r="28" spans="1:28" ht="25.2" x14ac:dyDescent="0.45">
      <c r="B28" s="64" t="s">
        <v>62</v>
      </c>
      <c r="C28" s="65"/>
      <c r="D28" s="65"/>
      <c r="E28" s="65"/>
      <c r="F28" s="65"/>
      <c r="G28" s="65"/>
      <c r="H28" s="65"/>
      <c r="I28" s="65"/>
      <c r="J28" s="65"/>
      <c r="K28" s="65"/>
      <c r="L28" s="65"/>
      <c r="M28" s="65"/>
      <c r="N28" s="68"/>
      <c r="O28" s="92"/>
    </row>
    <row r="29" spans="1:28" ht="25.2" x14ac:dyDescent="0.45">
      <c r="B29" s="64" t="s">
        <v>63</v>
      </c>
      <c r="C29" s="65"/>
      <c r="D29" s="65"/>
      <c r="E29" s="65"/>
      <c r="F29" s="65"/>
      <c r="G29" s="65"/>
      <c r="H29" s="65"/>
      <c r="I29" s="65"/>
      <c r="J29" s="65"/>
      <c r="K29" s="65"/>
      <c r="L29" s="65"/>
      <c r="M29" s="65"/>
      <c r="N29" s="69"/>
      <c r="O29" s="92"/>
    </row>
    <row r="30" spans="1:28" ht="24.6" x14ac:dyDescent="0.4">
      <c r="B30" s="133" t="s">
        <v>38</v>
      </c>
      <c r="C30" s="134"/>
      <c r="D30" s="134"/>
      <c r="E30" s="134"/>
      <c r="F30" s="134"/>
      <c r="G30" s="134"/>
      <c r="H30" s="134"/>
      <c r="I30" s="134"/>
      <c r="J30" s="134"/>
      <c r="K30" s="134"/>
      <c r="L30" s="134"/>
      <c r="M30" s="134"/>
      <c r="N30" s="135"/>
      <c r="O30" s="92"/>
    </row>
    <row r="31" spans="1:28" ht="24.6" x14ac:dyDescent="0.4">
      <c r="B31" s="136"/>
      <c r="C31" s="137"/>
      <c r="D31" s="137"/>
      <c r="E31" s="137"/>
      <c r="F31" s="137"/>
      <c r="G31" s="137"/>
      <c r="H31" s="137"/>
      <c r="I31" s="137"/>
      <c r="J31" s="137"/>
      <c r="K31" s="137"/>
      <c r="L31" s="137"/>
      <c r="M31" s="137"/>
      <c r="N31" s="138"/>
      <c r="O31" s="92"/>
    </row>
    <row r="32" spans="1:28" ht="24.6" x14ac:dyDescent="0.4">
      <c r="B32" s="136" t="s">
        <v>39</v>
      </c>
      <c r="C32" s="137"/>
      <c r="D32" s="137"/>
      <c r="E32" s="137"/>
      <c r="F32" s="137"/>
      <c r="G32" s="137"/>
      <c r="H32" s="137"/>
      <c r="I32" s="137"/>
      <c r="J32" s="137"/>
      <c r="K32" s="137"/>
      <c r="L32" s="137"/>
      <c r="M32" s="137"/>
      <c r="N32" s="138"/>
      <c r="O32" s="92"/>
    </row>
    <row r="33" spans="2:16" ht="24.6" x14ac:dyDescent="0.4">
      <c r="B33" s="136" t="s">
        <v>40</v>
      </c>
      <c r="C33" s="137"/>
      <c r="D33" s="137"/>
      <c r="E33" s="137"/>
      <c r="F33" s="137"/>
      <c r="G33" s="137"/>
      <c r="H33" s="137"/>
      <c r="I33" s="137"/>
      <c r="J33" s="137"/>
      <c r="K33" s="137"/>
      <c r="L33" s="137"/>
      <c r="M33" s="137"/>
      <c r="N33" s="138"/>
      <c r="O33" s="92"/>
    </row>
    <row r="34" spans="2:16" s="112" customFormat="1" ht="24.6" x14ac:dyDescent="0.4">
      <c r="B34" s="107" t="s">
        <v>81</v>
      </c>
      <c r="C34" s="108"/>
      <c r="D34" s="108"/>
      <c r="E34" s="108"/>
      <c r="F34" s="108"/>
      <c r="G34" s="113"/>
      <c r="H34" s="113"/>
      <c r="I34" s="108"/>
      <c r="J34" s="108"/>
      <c r="K34" s="108"/>
      <c r="L34" s="108"/>
      <c r="M34" s="114" t="s">
        <v>82</v>
      </c>
      <c r="N34" s="116" t="b">
        <f>IF(M34="ALAA",507963328, IF(M34="BACHIR",525246969,IF(M34="JIHAN",566201266, IF(M34="RAMY",505277871, IF(M34="SIMON",505140337,IF(M34="SUJITH",551079817, IF(M34="PRAVEEN",506367792,IF(M34="MHAREN",529224059, IF(M34="MOSSALLEM",505185577,IF(M34="RANJITH",554989288, IF(M34="KHALED",552319494)))))))))))</f>
        <v>0</v>
      </c>
      <c r="O34" s="115"/>
      <c r="P34" s="115"/>
    </row>
    <row r="35" spans="2:16" x14ac:dyDescent="0.35">
      <c r="B35" s="70"/>
      <c r="C35" s="71"/>
      <c r="D35" s="71"/>
      <c r="E35" s="71"/>
      <c r="F35" s="71"/>
      <c r="G35" s="71"/>
      <c r="H35" s="71"/>
      <c r="I35" s="71"/>
      <c r="J35" s="71"/>
      <c r="K35" s="71"/>
      <c r="L35" s="71"/>
      <c r="M35" s="71"/>
      <c r="N35" s="72"/>
    </row>
    <row r="36" spans="2:16" x14ac:dyDescent="0.35">
      <c r="B36" s="70"/>
      <c r="C36" s="71"/>
      <c r="D36" s="71"/>
      <c r="E36" s="71"/>
      <c r="F36" s="71"/>
      <c r="G36" s="71"/>
      <c r="H36" s="71"/>
      <c r="I36" s="71"/>
      <c r="J36" s="71"/>
      <c r="K36" s="71"/>
      <c r="L36" s="71"/>
      <c r="M36" s="71"/>
      <c r="N36" s="72"/>
    </row>
    <row r="37" spans="2:16" x14ac:dyDescent="0.35">
      <c r="B37" s="70"/>
      <c r="C37" s="71"/>
      <c r="D37" s="71"/>
      <c r="E37" s="71"/>
      <c r="F37" s="71"/>
      <c r="G37" s="71"/>
      <c r="H37" s="71"/>
      <c r="I37" s="71"/>
      <c r="J37" s="71"/>
      <c r="K37" s="71"/>
      <c r="L37" s="71"/>
      <c r="M37" s="71"/>
      <c r="N37" s="72"/>
    </row>
    <row r="38" spans="2:16" ht="21" x14ac:dyDescent="0.4">
      <c r="B38" s="73" t="s">
        <v>64</v>
      </c>
      <c r="C38" s="74"/>
      <c r="D38" s="75"/>
      <c r="E38" s="76"/>
      <c r="F38" s="76"/>
      <c r="G38" s="76"/>
      <c r="H38" s="76"/>
      <c r="I38" s="76"/>
      <c r="J38" s="77"/>
      <c r="K38" s="76"/>
      <c r="L38" s="76"/>
      <c r="M38" s="76"/>
      <c r="N38" s="78"/>
    </row>
    <row r="39" spans="2:16" ht="21" x14ac:dyDescent="0.4">
      <c r="B39" s="73" t="s">
        <v>65</v>
      </c>
      <c r="C39" s="79"/>
      <c r="D39" s="75"/>
      <c r="E39" s="76"/>
      <c r="F39" s="76"/>
      <c r="G39" s="76"/>
      <c r="H39" s="76"/>
      <c r="I39" s="76"/>
      <c r="J39" s="77"/>
      <c r="K39" s="76"/>
      <c r="L39" s="76"/>
      <c r="M39" s="76"/>
      <c r="N39" s="80"/>
    </row>
    <row r="40" spans="2:16" ht="21" x14ac:dyDescent="0.35">
      <c r="B40" s="73" t="s">
        <v>66</v>
      </c>
      <c r="C40" s="81"/>
      <c r="D40" s="76"/>
      <c r="E40" s="76"/>
      <c r="F40" s="76"/>
      <c r="G40" s="76"/>
      <c r="H40" s="76"/>
      <c r="I40" s="76"/>
      <c r="J40" s="77"/>
      <c r="K40" s="76"/>
      <c r="L40" s="76"/>
      <c r="M40" s="76"/>
      <c r="N40" s="80"/>
    </row>
    <row r="41" spans="2:16" ht="21" x14ac:dyDescent="0.35">
      <c r="B41" s="73" t="s">
        <v>67</v>
      </c>
      <c r="C41" s="82"/>
      <c r="D41" s="83"/>
      <c r="E41" s="83"/>
      <c r="F41" s="83"/>
      <c r="G41" s="83"/>
      <c r="H41" s="83"/>
      <c r="I41" s="83"/>
      <c r="J41" s="83"/>
      <c r="K41" s="83"/>
      <c r="L41" s="83"/>
      <c r="M41" s="83"/>
      <c r="N41" s="84"/>
    </row>
    <row r="42" spans="2:16" ht="21" x14ac:dyDescent="0.35">
      <c r="B42" s="73" t="s">
        <v>77</v>
      </c>
      <c r="C42" s="82"/>
      <c r="D42" s="83"/>
      <c r="E42" s="83"/>
      <c r="F42" s="83"/>
      <c r="G42" s="83"/>
      <c r="H42" s="83"/>
      <c r="I42" s="83"/>
      <c r="J42" s="83"/>
      <c r="K42" s="83"/>
      <c r="L42" s="83"/>
      <c r="M42" s="83"/>
      <c r="N42" s="84"/>
    </row>
    <row r="43" spans="2:16" ht="21" x14ac:dyDescent="0.35">
      <c r="B43" s="73" t="s">
        <v>68</v>
      </c>
      <c r="C43" s="82"/>
      <c r="D43" s="83"/>
      <c r="E43" s="83"/>
      <c r="F43" s="83"/>
      <c r="G43" s="83"/>
      <c r="H43" s="83"/>
      <c r="I43" s="83"/>
      <c r="J43" s="83"/>
      <c r="K43" s="83"/>
      <c r="L43" s="83"/>
      <c r="M43" s="83"/>
      <c r="N43" s="84"/>
    </row>
    <row r="44" spans="2:16" ht="21" x14ac:dyDescent="0.35">
      <c r="B44" s="73" t="s">
        <v>69</v>
      </c>
      <c r="C44" s="82"/>
      <c r="D44" s="83"/>
      <c r="E44" s="83"/>
      <c r="F44" s="83"/>
      <c r="G44" s="83"/>
      <c r="H44" s="83"/>
      <c r="I44" s="83"/>
      <c r="J44" s="83"/>
      <c r="K44" s="83"/>
      <c r="L44" s="83"/>
      <c r="M44" s="83"/>
      <c r="N44" s="84"/>
    </row>
    <row r="45" spans="2:16" ht="21" x14ac:dyDescent="0.35">
      <c r="B45" s="73" t="s">
        <v>70</v>
      </c>
      <c r="C45" s="82"/>
      <c r="D45" s="83"/>
      <c r="E45" s="83"/>
      <c r="F45" s="83"/>
      <c r="G45" s="83"/>
      <c r="H45" s="83"/>
      <c r="I45" s="83"/>
      <c r="J45" s="83"/>
      <c r="K45" s="83"/>
      <c r="L45" s="83"/>
      <c r="M45" s="83"/>
      <c r="N45" s="84"/>
    </row>
    <row r="46" spans="2:16" ht="21" x14ac:dyDescent="0.35">
      <c r="B46" s="73" t="s">
        <v>71</v>
      </c>
      <c r="C46" s="82"/>
      <c r="D46" s="83"/>
      <c r="E46" s="83"/>
      <c r="F46" s="83"/>
      <c r="G46" s="83"/>
      <c r="H46" s="83"/>
      <c r="I46" s="83"/>
      <c r="J46" s="83"/>
      <c r="K46" s="83"/>
      <c r="L46" s="83"/>
      <c r="M46" s="83"/>
      <c r="N46" s="84"/>
    </row>
    <row r="47" spans="2:16" x14ac:dyDescent="0.35">
      <c r="B47" s="118" t="s">
        <v>39</v>
      </c>
      <c r="C47" s="119"/>
      <c r="D47" s="119"/>
      <c r="E47" s="119"/>
      <c r="F47" s="119"/>
      <c r="G47" s="119"/>
      <c r="H47" s="119"/>
      <c r="I47" s="119"/>
      <c r="J47" s="119"/>
      <c r="K47" s="119"/>
      <c r="L47" s="119"/>
      <c r="M47" s="119"/>
      <c r="N47" s="120"/>
      <c r="O47" s="92"/>
    </row>
    <row r="48" spans="2:16" x14ac:dyDescent="0.35">
      <c r="B48" s="118" t="s">
        <v>40</v>
      </c>
      <c r="C48" s="119"/>
      <c r="D48" s="119"/>
      <c r="E48" s="119"/>
      <c r="F48" s="119"/>
      <c r="G48" s="119"/>
      <c r="H48" s="119"/>
      <c r="I48" s="119"/>
      <c r="J48" s="119"/>
      <c r="K48" s="119"/>
      <c r="L48" s="119"/>
      <c r="M48" s="119"/>
      <c r="N48" s="120"/>
      <c r="O48" s="92"/>
    </row>
    <row r="49" spans="2:14" x14ac:dyDescent="0.35">
      <c r="B49" s="118" t="s">
        <v>72</v>
      </c>
      <c r="C49" s="119"/>
      <c r="D49" s="119"/>
      <c r="E49" s="119"/>
      <c r="F49" s="119"/>
      <c r="G49" s="119"/>
      <c r="H49" s="119"/>
      <c r="I49" s="119"/>
      <c r="J49" s="119"/>
      <c r="K49" s="119"/>
      <c r="L49" s="119"/>
      <c r="M49" s="119"/>
      <c r="N49" s="120"/>
    </row>
    <row r="50" spans="2:14" ht="25.8" x14ac:dyDescent="0.35">
      <c r="C50" s="15" t="s">
        <v>41</v>
      </c>
    </row>
    <row r="51" spans="2:14" ht="25.8" x14ac:dyDescent="0.35">
      <c r="C51" s="15" t="s">
        <v>42</v>
      </c>
    </row>
    <row r="52" spans="2:14" ht="25.8" x14ac:dyDescent="0.35">
      <c r="C52" s="15" t="s">
        <v>43</v>
      </c>
    </row>
    <row r="53" spans="2:14" ht="25.8" x14ac:dyDescent="0.35">
      <c r="C53" s="15" t="s">
        <v>44</v>
      </c>
    </row>
    <row r="54" spans="2:14" ht="25.8" x14ac:dyDescent="0.35">
      <c r="C54" s="15" t="s">
        <v>45</v>
      </c>
    </row>
  </sheetData>
  <mergeCells count="12">
    <mergeCell ref="B49:N49"/>
    <mergeCell ref="B1:N4"/>
    <mergeCell ref="F8:G8"/>
    <mergeCell ref="F9:G9"/>
    <mergeCell ref="G19:I19"/>
    <mergeCell ref="B22:N22"/>
    <mergeCell ref="B30:N30"/>
    <mergeCell ref="B31:N31"/>
    <mergeCell ref="B32:N32"/>
    <mergeCell ref="B33:N33"/>
    <mergeCell ref="B47:N47"/>
    <mergeCell ref="B48:N48"/>
  </mergeCells>
  <dataValidations count="11">
    <dataValidation type="list" allowBlank="1" showInputMessage="1" showErrorMessage="1" sqref="K21" xr:uid="{B8CDB328-FA28-4954-87BE-718425688A75}">
      <formula1>"ADCB,ADCB PAY IN 2027,Ajman Bank,ADIB,DIB EXPAT,DIB LOCAL GVH,Emirates NBD,EIB,FAB,RAK,SIB STL,SIB NON STL"</formula1>
    </dataValidation>
    <dataValidation type="list" allowBlank="1" showInputMessage="1" showErrorMessage="1" sqref="D5" xr:uid="{63C9D72E-19CD-4782-9ED2-FB63249C072C}">
      <formula1>"MIG09,MIG10,ATG16,ATP16,ATG17,ASG48,ASG43,ASG40,ASG42,ASG44,ASG45,ECG38,ECG37,ECG40,ECG43,XPML,XPHL,XPMLP, XPMLP-01, XC,OTF03,OTP03,OTF06,OTP06, OTP06-01,OTF08, OTP08,MOP57,MOG64,MOG59,MOG59P,MOG61,MOP61"</formula1>
    </dataValidation>
    <dataValidation type="list" allowBlank="1" showInputMessage="1" showErrorMessage="1" sqref="M21" xr:uid="{473249EC-758E-4942-B1E9-436D42738619}">
      <formula1>"3000-4999,5000-9999,10000-14999,15000-24999,25000-34999,35000-99999,5000-11999,12000-19999,20000-39999,40000-69999,70000-99999"</formula1>
    </dataValidation>
    <dataValidation type="list" allowBlank="1" showInputMessage="1" showErrorMessage="1" sqref="K20" xr:uid="{BF9D98C2-48E7-4D51-A4E8-637BFF3DF060}">
      <formula1>"Esaad,Emirates Platinum,Fazaa,Humat Alwatan,Permissible,ASX,XPMLP,XP,MON,MON G57,OUT,F08,P08,F06,P06,F03,P03,EC,G37,G38,G40,G43"</formula1>
    </dataValidation>
    <dataValidation type="list" allowBlank="1" showInputMessage="1" showErrorMessage="1" sqref="L19:L20 L24:L25 G14:G15 C10:C16 L10 J10" xr:uid="{0E826B5D-53EA-4C58-9DD9-5BABB0A7FA3D}">
      <formula1>"YES,NO"</formula1>
    </dataValidation>
    <dataValidation type="list" allowBlank="1" showInputMessage="1" showErrorMessage="1" sqref="K24" xr:uid="{5569C975-9E81-4DFD-B72C-AB789D3E8039}">
      <formula1>"RMC-10-70K,RMC-10-100000K,RMC-40-70K"</formula1>
    </dataValidation>
    <dataValidation type="list" allowBlank="1" showInputMessage="1" showErrorMessage="1" sqref="B16" xr:uid="{01A0BEA3-9031-4415-A28A-2D0740473202}">
      <formula1>"RMC-10-40KMS,RMC-10-60KMS,RMC-10-70KMS,RMC-10-100000KMS,RMC-40-70KMS,RMC-40-100000KMS"</formula1>
    </dataValidation>
    <dataValidation type="list" allowBlank="1" showInputMessage="1" showErrorMessage="1" sqref="B12" xr:uid="{16D78914-4AC3-4697-BC39-FBEA811AE69E}">
      <formula1>"FO Exterior ceramic All Cars SCOTCHGUARD,FO Mirror Camera Sensor,FO PPF Gold Package "</formula1>
    </dataValidation>
    <dataValidation type="list" allowBlank="1" showInputMessage="1" showErrorMessage="1" sqref="B11" xr:uid="{EB87B1A6-B850-4573-A746-1D0DDD69F7EF}">
      <formula1>"FO Ceramic+ Intr&amp;Extr CeramicGold WdwTnt,FO Mirror Camera Sensor"</formula1>
    </dataValidation>
    <dataValidation type="list" allowBlank="1" showInputMessage="1" showErrorMessage="1" sqref="M34" xr:uid="{690FE34A-B64F-45A2-9FAC-586487D3BC71}">
      <formula1>"Alaa,Bachir ,Khaled,Ramy,Simon,Mharen,Ranjith,Jihan,Praveen,Sujith,Mossallem"</formula1>
    </dataValidation>
    <dataValidation type="list" allowBlank="1" showInputMessage="1" showErrorMessage="1" sqref="H34" xr:uid="{30AEED85-FF11-40A5-82A6-3E7ED2EB12C4}">
      <formula1>"ALAA HAMMAD,KHALED QASSEM,RAMY RAOUF,SIMON LOBO,MHAREN CLEMENTE GARADO"</formula1>
    </dataValidation>
  </dataValidations>
  <pageMargins left="0.23622047244094491" right="0.23622047244094491" top="0.74803149606299213" bottom="0.74803149606299213" header="0.31496062992125984" footer="0.31496062992125984"/>
  <pageSetup paperSize="9" scale="37" orientation="landscape" horizontalDpi="4294967295" verticalDpi="4294967295"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6EFAF8-7E14-44D8-9860-273007FF9FD3}">
  <sheetPr>
    <pageSetUpPr fitToPage="1"/>
  </sheetPr>
  <dimension ref="A1:AB54"/>
  <sheetViews>
    <sheetView topLeftCell="B1" zoomScaleNormal="100" workbookViewId="0">
      <selection activeCell="D5" sqref="D5"/>
    </sheetView>
  </sheetViews>
  <sheetFormatPr defaultColWidth="9.109375" defaultRowHeight="20.399999999999999" x14ac:dyDescent="0.35"/>
  <cols>
    <col min="1" max="1" width="16" style="1" hidden="1" customWidth="1"/>
    <col min="2" max="2" width="75.5546875" style="2" customWidth="1"/>
    <col min="3" max="3" width="25.5546875" style="3" customWidth="1"/>
    <col min="4" max="4" width="25.33203125" style="2" customWidth="1"/>
    <col min="5" max="5" width="22.6640625" style="2" customWidth="1"/>
    <col min="6" max="6" width="21" style="2" customWidth="1"/>
    <col min="7" max="7" width="25" style="2" customWidth="1"/>
    <col min="8" max="8" width="29.44140625" style="2" bestFit="1" customWidth="1"/>
    <col min="9" max="9" width="32.109375" style="2" bestFit="1" customWidth="1"/>
    <col min="10" max="10" width="22" style="2" customWidth="1"/>
    <col min="11" max="11" width="23.33203125" style="2" customWidth="1"/>
    <col min="12" max="12" width="31" style="2" customWidth="1"/>
    <col min="13" max="13" width="23.5546875" style="2" customWidth="1"/>
    <col min="14" max="14" width="21.109375" style="2" customWidth="1"/>
    <col min="15" max="15" width="14.44140625" style="83" bestFit="1" customWidth="1"/>
    <col min="16" max="16" width="21.6640625" style="83" hidden="1" customWidth="1"/>
    <col min="17" max="17" width="14.33203125" style="86" hidden="1" customWidth="1"/>
    <col min="18" max="18" width="12.88671875" style="86" hidden="1" customWidth="1"/>
    <col min="19" max="19" width="13" style="86" hidden="1" customWidth="1"/>
    <col min="20" max="20" width="17.109375" style="86" hidden="1" customWidth="1"/>
    <col min="21" max="21" width="21.5546875" style="86" customWidth="1"/>
    <col min="22" max="22" width="22.88671875" style="86" customWidth="1"/>
    <col min="23" max="26" width="17.109375" style="86" bestFit="1" customWidth="1"/>
    <col min="27" max="27" width="15" style="86" customWidth="1"/>
    <col min="28" max="28" width="14.33203125" style="86" bestFit="1" customWidth="1"/>
    <col min="29" max="16384" width="9.109375" style="1"/>
  </cols>
  <sheetData>
    <row r="1" spans="1:28" ht="15.75" customHeight="1" x14ac:dyDescent="0.35">
      <c r="B1" s="121" t="s">
        <v>46</v>
      </c>
      <c r="C1" s="122"/>
      <c r="D1" s="122"/>
      <c r="E1" s="122"/>
      <c r="F1" s="122"/>
      <c r="G1" s="122"/>
      <c r="H1" s="122"/>
      <c r="I1" s="122"/>
      <c r="J1" s="122"/>
      <c r="K1" s="122"/>
      <c r="L1" s="122"/>
      <c r="M1" s="122"/>
      <c r="N1" s="123"/>
    </row>
    <row r="2" spans="1:28" ht="15.75" customHeight="1" x14ac:dyDescent="0.35">
      <c r="B2" s="124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6"/>
      <c r="Q2" s="83"/>
      <c r="S2" s="87"/>
    </row>
    <row r="3" spans="1:28" ht="15.75" customHeight="1" x14ac:dyDescent="0.35">
      <c r="B3" s="124"/>
      <c r="C3" s="125"/>
      <c r="D3" s="125"/>
      <c r="E3" s="125"/>
      <c r="F3" s="125"/>
      <c r="G3" s="125"/>
      <c r="H3" s="125"/>
      <c r="I3" s="125"/>
      <c r="J3" s="125"/>
      <c r="K3" s="125"/>
      <c r="L3" s="125"/>
      <c r="M3" s="125"/>
      <c r="N3" s="126"/>
      <c r="O3" s="82"/>
      <c r="P3" s="82"/>
      <c r="Q3" s="81"/>
      <c r="R3" s="81"/>
      <c r="S3" s="88" t="e">
        <f>N7+J14</f>
        <v>#VALUE!</v>
      </c>
      <c r="T3" s="88"/>
      <c r="U3" s="81"/>
      <c r="V3" s="81"/>
      <c r="W3" s="81"/>
      <c r="AA3" s="86">
        <f>273000/5</f>
        <v>54600</v>
      </c>
    </row>
    <row r="4" spans="1:28" ht="15.75" customHeight="1" x14ac:dyDescent="0.4">
      <c r="B4" s="127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9"/>
      <c r="O4" s="89" t="s">
        <v>0</v>
      </c>
      <c r="P4" s="89"/>
      <c r="Q4" s="90"/>
      <c r="R4" s="90"/>
      <c r="S4" s="91"/>
      <c r="T4" s="91"/>
      <c r="U4" s="90" t="s">
        <v>1</v>
      </c>
      <c r="V4" s="90" t="s">
        <v>2</v>
      </c>
      <c r="W4" s="90" t="s">
        <v>3</v>
      </c>
    </row>
    <row r="5" spans="1:28" ht="25.2" thickBot="1" x14ac:dyDescent="0.45">
      <c r="B5" s="17">
        <f ca="1">TODAY()</f>
        <v>46215</v>
      </c>
      <c r="C5" s="18" t="str">
        <f>IF(D5="MIG09","Mirage G09",IF(D5="MIG10","MirageG10",IF(D5="ATG16","Attrage G16",IF(D5="ATP16","Attrage P16",IF(D5="ATG17","Attrage G17",IF(D5="ASG48","ASX G48",IF(D5="ASG43","ASX G43", IF(D5="ASG40","ASXG40",IF(D5="ASG42","ASX G42",IF(D5="ASG44","ASX G44",IF(D5="ASG45","ASX G45",IF(D5="ECG38","Eclipse G38",IF(D5="ECG37","Eclipse G37",IF(D5="ECG40","Eclipse G40",IF(D5="ECG43","Eclipse G43",IF(D5="XPML","Xpander ML",IF(D5="XPHL","Xpander HL",IF(D5="XPMLP","Xpander ML P",IF(D5="XPMLP-01","Xpander ML P-01",IF(D5="XC","Xpander Cross", IF(D5="OTF03","Outlander F03",IF(D5="OTP03","Outlander P03",IF(D5="OTF06","Outlander F06",IF(D5="OTP06","Outlander P06",IF(D5="OTP06-01","Outlander P06-01",IF(D5="OTF08","Outlander F08",IF(D5="OTP08","Outlander P08P", IF(D5="MOP57","Montero P57",IF(D5="MOG64","Montero G64",IF(D5="MOG59","Montero G59",IF(D5="MOG59P","Montero G59 P",IF(D5="MOG61","Montero G61",IF(D5="MOP61","Montero P61")))))))))))))))))))))))))))))))))</f>
        <v>Attrage G16</v>
      </c>
      <c r="D5" s="19" t="s">
        <v>87</v>
      </c>
      <c r="E5" s="20" t="s">
        <v>47</v>
      </c>
      <c r="F5" s="21"/>
      <c r="G5" s="21"/>
      <c r="H5" s="21"/>
      <c r="I5" s="22"/>
      <c r="J5" s="23"/>
      <c r="K5" s="24">
        <v>0</v>
      </c>
      <c r="L5" s="25">
        <v>3.39E-2</v>
      </c>
      <c r="M5" s="25">
        <v>6.7799999999999999E-2</v>
      </c>
      <c r="N5" s="25">
        <v>0.1017</v>
      </c>
      <c r="O5" s="92">
        <f>K7+K14</f>
        <v>5419.0449324049996</v>
      </c>
      <c r="S5" s="87"/>
      <c r="U5" s="87">
        <f>L7+L14</f>
        <v>2208.1242884501389</v>
      </c>
      <c r="V5" s="87">
        <f>M7+M14</f>
        <v>1477.0975317425</v>
      </c>
      <c r="W5" s="87">
        <f>N7+N14</f>
        <v>1023.5559162279167</v>
      </c>
    </row>
    <row r="6" spans="1:28" s="5" customFormat="1" ht="128.25" customHeight="1" thickBot="1" x14ac:dyDescent="0.35">
      <c r="A6" s="4" t="s">
        <v>4</v>
      </c>
      <c r="B6" s="26" t="s">
        <v>5</v>
      </c>
      <c r="C6" s="27" t="s">
        <v>6</v>
      </c>
      <c r="D6" s="27" t="s">
        <v>48</v>
      </c>
      <c r="E6" s="27" t="s">
        <v>7</v>
      </c>
      <c r="F6" s="27" t="s">
        <v>8</v>
      </c>
      <c r="G6" s="28" t="s">
        <v>9</v>
      </c>
      <c r="H6" s="28" t="s">
        <v>49</v>
      </c>
      <c r="I6" s="28" t="s">
        <v>10</v>
      </c>
      <c r="J6" s="28" t="s">
        <v>56</v>
      </c>
      <c r="K6" s="28" t="s">
        <v>11</v>
      </c>
      <c r="L6" s="28" t="s">
        <v>12</v>
      </c>
      <c r="M6" s="28" t="s">
        <v>13</v>
      </c>
      <c r="N6" s="28" t="s">
        <v>14</v>
      </c>
      <c r="O6" s="93"/>
      <c r="P6" s="94"/>
      <c r="Q6" s="95"/>
      <c r="R6" s="95"/>
      <c r="S6" s="95"/>
      <c r="T6" s="96"/>
      <c r="U6" s="96">
        <f>N7+L14</f>
        <v>1734.2969395612499</v>
      </c>
      <c r="V6" s="96">
        <f>N7+K14</f>
        <v>4352.9333974049996</v>
      </c>
      <c r="W6" s="96"/>
      <c r="X6" s="95"/>
      <c r="Y6" s="95"/>
      <c r="Z6" s="95"/>
      <c r="AA6" s="95"/>
      <c r="AB6" s="95"/>
    </row>
    <row r="7" spans="1:28" ht="25.2" thickBot="1" x14ac:dyDescent="0.45">
      <c r="A7" s="6">
        <f>B8</f>
        <v>40400</v>
      </c>
      <c r="B7" s="29">
        <f>IF(L20="YES",C8*1,IF(L20="NO",B8*1))</f>
        <v>40400</v>
      </c>
      <c r="C7" s="29">
        <f>B7*5/100</f>
        <v>2020</v>
      </c>
      <c r="D7" s="29">
        <f>B7+C7</f>
        <v>42420</v>
      </c>
      <c r="E7" s="29">
        <f>D17</f>
        <v>10615.57675</v>
      </c>
      <c r="F7" s="29">
        <f>(C7)+(D10+D11+D12+D13+D16)*5/100</f>
        <v>2290</v>
      </c>
      <c r="G7" s="30">
        <f>B7+E7+F7</f>
        <v>53305.57675</v>
      </c>
      <c r="H7" s="29">
        <f>G7*D20</f>
        <v>10661.11535</v>
      </c>
      <c r="I7" s="29">
        <f>(G7-H7)</f>
        <v>42644.4614</v>
      </c>
      <c r="J7" s="30">
        <f>(((I7*D19)*1)+I7)/12</f>
        <v>3642.1923740716666</v>
      </c>
      <c r="K7" s="30">
        <f>(((I7*D19)*2)+I7)/24</f>
        <v>1865.3398157383333</v>
      </c>
      <c r="L7" s="30">
        <f>(((I7*D19)*3)+I7)/36</f>
        <v>1273.0556296272223</v>
      </c>
      <c r="M7" s="30">
        <f>(((I7*D19)*4)+I7)/48</f>
        <v>976.91353657166667</v>
      </c>
      <c r="N7" s="30">
        <f>((((I7*D19)*5)+I7)/60)</f>
        <v>799.2282807383333</v>
      </c>
      <c r="O7" s="92"/>
      <c r="P7" s="83">
        <f>H7+H16</f>
        <v>11108.8821947</v>
      </c>
      <c r="T7" s="87">
        <f>25973/2</f>
        <v>12986.5</v>
      </c>
    </row>
    <row r="8" spans="1:28" ht="24.6" x14ac:dyDescent="0.4">
      <c r="A8" s="7">
        <v>0.2</v>
      </c>
      <c r="B8" s="31">
        <f>IF(D5="MIG09",39900,IF(D5="MIG10",40400,IF(D5="ATG16",40400,IF(D5="ATP16",49900,IF(D5="ATG17",41900,IF(D5="ASG48",63900,IF(D5="ASG43",62900,IF(D5="ASG40",63900,IF(D5="ASG42",68900,IF(D5="ASG44",89900,IF(D5="ASG45",95900,IF(D5="ECG38",73900,IF(D5="ECG37",70900,IF(D5="ECG40",86900,IF(D5="ECG43",91900,IF(D5="XPML",62900,IF(D5="XPHL",62900,IF(D5="XPMLP",69900,IF(D5="XPMLP-01",77800,IF(D5="XC",77900,IF(D5="OTF03",96900,IF(D5="OTP03",79900,IF(D5="OTF06",92900,IF(D5="OTP06",111900,IF(D5="OTP06-01",118900,IF(D5="OTF08",122900,IF(D5="OTP08",109900,IF(D5="MOP57",99900,IF(D5="MOG64",108900,IF(D5="MOG59",116900,IF(D5="MOG59P",110900,IF(D5="MOG61",127900,IF(D5="MOP61",125900)))))))))))))))))))))))))))))))))</f>
        <v>40400</v>
      </c>
      <c r="C8" s="32">
        <f>IF(L20="YES",N20,IF(L20="NO",N20))</f>
        <v>40400</v>
      </c>
      <c r="D8" s="29">
        <v>0</v>
      </c>
      <c r="E8" s="33"/>
      <c r="F8" s="139"/>
      <c r="G8" s="140"/>
      <c r="H8" s="110">
        <f>G7*20/100</f>
        <v>10661.11535</v>
      </c>
      <c r="I8" s="21"/>
      <c r="J8" s="34" t="s">
        <v>15</v>
      </c>
      <c r="K8" s="23">
        <f>(J7*K5+J7)/24</f>
        <v>151.75801558631943</v>
      </c>
      <c r="L8" s="23">
        <f>(J7*L5+J7)/36</f>
        <v>104.60174154313046</v>
      </c>
      <c r="M8" s="23">
        <f>(J7*M5+J7)/48</f>
        <v>81.023604521535944</v>
      </c>
      <c r="N8" s="23">
        <f>(J7*N5+J7)/60</f>
        <v>66.876722308579247</v>
      </c>
      <c r="O8" s="92"/>
      <c r="P8" s="83">
        <f>P7/12</f>
        <v>925.74018289166668</v>
      </c>
      <c r="T8" s="86">
        <f>25973-12973</f>
        <v>13000</v>
      </c>
    </row>
    <row r="9" spans="1:28" ht="24.6" x14ac:dyDescent="0.4">
      <c r="A9" s="8">
        <f>B8/(100%-A8)</f>
        <v>50500</v>
      </c>
      <c r="B9" s="109">
        <f>B7-B8</f>
        <v>0</v>
      </c>
      <c r="C9" s="35"/>
      <c r="D9" s="36"/>
      <c r="E9" s="33"/>
      <c r="F9" s="139"/>
      <c r="G9" s="140"/>
      <c r="H9" s="33"/>
      <c r="I9" s="37" t="s">
        <v>16</v>
      </c>
      <c r="J9" s="38">
        <f>(J7*12)-(I7)</f>
        <v>1061.8470888599986</v>
      </c>
      <c r="K9" s="38">
        <f>(K7*24)-I7</f>
        <v>2123.6941777199972</v>
      </c>
      <c r="L9" s="38">
        <f>(L7*36)-I7</f>
        <v>3185.5412665800031</v>
      </c>
      <c r="M9" s="38">
        <f>(M7*48)-I7</f>
        <v>4247.3883554400018</v>
      </c>
      <c r="N9" s="38">
        <f>(N7*60)-I7</f>
        <v>5309.2354443000004</v>
      </c>
      <c r="O9" s="92"/>
      <c r="T9" s="86">
        <f>T8/12</f>
        <v>1083.3333333333333</v>
      </c>
      <c r="Z9" s="86" t="s">
        <v>86</v>
      </c>
    </row>
    <row r="10" spans="1:28" ht="24.6" x14ac:dyDescent="0.4">
      <c r="A10" s="8"/>
      <c r="B10" s="37" t="s">
        <v>50</v>
      </c>
      <c r="C10" s="20" t="s">
        <v>17</v>
      </c>
      <c r="D10" s="36">
        <f>IF(C10="YES",800,IF(C10="NO",0))</f>
        <v>0</v>
      </c>
      <c r="E10" s="39"/>
      <c r="F10" s="40"/>
      <c r="G10" s="40"/>
      <c r="H10" s="33"/>
      <c r="I10" s="44" t="s">
        <v>85</v>
      </c>
      <c r="J10" s="117" t="s">
        <v>19</v>
      </c>
      <c r="K10" s="117">
        <f>IF(J10="YES",Z10,IF(J10="NO",0))</f>
        <v>500</v>
      </c>
      <c r="L10" s="117"/>
      <c r="M10" s="117"/>
      <c r="N10" s="41">
        <f>(N8*60)-J7</f>
        <v>370.41096444308823</v>
      </c>
      <c r="O10" s="92">
        <f>IF(D5="XC",3690,IF(D5="XPML",3690,IF(D5="XPHL",3690,IF(D5="XPMLP",3690,IF(D5="XPMLP-01",3690,IF(D5="Xpander P",3690,IF(D5="MOP57",(U19*2.75/100+510)*1.05,IF(D5="MOG64",(U19*2.75/100+510)*1.05,IF(D5="MOG59",(U19*2.75/100+510)*1.05,IF(D5="MOG59P",(U19*2.75/100+510)*1.05,IF(D5="MOG61",(U19*2.75/100+510)*1.05,IF(D5="MOP61",(U19*2.75/100+510)*1.05,IF(D5="OTF03",(D7*3/100+510)*1.05,IF(D5="OTP03",(U19*3/100+510)*1.05,IF(D5="OTF06",(U19*3/100+510)*1.05,IF(D5="OTP06",(U19*3/100+510)*1.05,IF(D5="OTP06-01",(U19*3/100+510)*1.05,IF(D5="OTF08",(U19*3/100+510)*1.05,IF(D5="OTP08",(U19*3/100+510)*1.05,IF(D5="ECG38",3625,IF(D5="ECG37",3625,IF(D5="ECG40",(D7*3/100+510)*1.05,IF(D5="ECG43",(D7*3/100+510)*1.05,IF(D5="ASG48",3625,IF(D5="ASG43",3625,IF(D5="ASG40",3625,IF(D5="ASG42",3625,IF(D5="ASG44",3625,IF(D5="ASG45",3625,IF(D5="ASX HL 4WD",3625,IF(D5="ATG16",3625,IF(D5="ATG17",3625,IF(D5="ATP16",3625,IF(D5="Attrage S",3625,IF(D5="MIG09",3625,IF(D5="MIG10",3625,IF(D5="Xpander HL",3690)))))))))))))))))))))))))))))))))))))</f>
        <v>3625</v>
      </c>
      <c r="P10" s="97"/>
      <c r="Q10" s="97">
        <f>5.25*3</f>
        <v>15.75</v>
      </c>
      <c r="Z10" s="86">
        <f>IF(D5="MIG09",500,IF(D5="MIG10",500,IF(D5="ATG16",500,IF(D5="ATP16",500,IF(D5="ATG17",500,IF(D5="ASG48",1000,IF(D5="ASG43",1000,IF(D5="ASG40",1000,IF(D5="ASG42",1000,IF(D5="ASG44",1000,IF(D5="ASG45",1000,IF(D5="ECG38",1000,IF(D5="ECG37",1000,IF(D5="ECG40",1000,IF(D5="ECG43",1000,IF(D5="XPML",1000,IF(D5="XPHL",1000,IF(D5="XPMLP",1000,IF(D5="XPMLP-01",1000,IF(D5="XC",1000,IF(D5="OTF03",1000,IF(D5="OTP03",1000,IF(D5="OTF06",1000,IF(D5="OTP06",1000,IF(D5="OTP06-01",1000,IF(D5="OTF08",1000,IF(D5="OTP08",1000,IF(D5="MOP57",1000,IF(D5="MOG64",1000,IF(D5="MOG59",1000,IF(D5="MOG59P",1000,IF(D5="MOG61",1000,IF(D5="MOP61",1000)))))))))))))))))))))))))))))))))</f>
        <v>500</v>
      </c>
    </row>
    <row r="11" spans="1:28" ht="24.6" x14ac:dyDescent="0.4">
      <c r="A11" s="8"/>
      <c r="B11" s="37" t="s">
        <v>18</v>
      </c>
      <c r="C11" s="20" t="s">
        <v>17</v>
      </c>
      <c r="D11" s="36">
        <f>IF(C11="YES",O17,IF(C11="NO",0))</f>
        <v>0</v>
      </c>
      <c r="E11" s="33"/>
      <c r="F11" s="40"/>
      <c r="G11" s="40"/>
      <c r="H11" s="33"/>
      <c r="I11" s="21"/>
      <c r="J11" s="44" t="s">
        <v>76</v>
      </c>
      <c r="K11" s="44">
        <f>H8-K10</f>
        <v>10161.11535</v>
      </c>
      <c r="L11" s="37"/>
      <c r="M11" s="37"/>
      <c r="N11" s="42"/>
      <c r="O11" s="92">
        <f>IF(D5="XC",6100,IF(D5="XPML",6100,IF(D5="XPHL",6100,IF(D5="XPMLP",6100,IF(D5="XPMLP-01",6100,IF(D5="Xpander P",6100,IF(D5="MOP57",5900,IF(D5="MOG64",5900,IF(D5="MOG59",5900,IF(D5="MOG59P",5900,IF(D5="MOG61",5900,IF(D5="MOP61",5900,IF(D5="OTF03",6700,IF(D5="OTP03",6700,IF(D5="OTF06",6700,IF(D5="OTP06",6700,IF(D5="OTP06-01",6700,IF(D5="OTF08",6700,IF(D5="OTP08",6700,IF(D5="ECG37",6400,IF(D5="ECG38",6400,IF(D5="ECG40",6400,IF(D5="ECG43",6400,IF(D5="ASG48",6600,IF(D5="ASG43",6600,IF(D5="ASG40",6600,IF(D5="ASG42",6600,IF(D5="ASG44",6600,IF(D5="ASG45",6600,IF(D5="ASX HL 4WD",6600,IF(D5="ATG16",5400,IF(D5="ATG17",5400,IF(D5="ATP16",5400,IF(D5="Attrage S",5400,IF(D5="MIG09",5400,IF(D5="MIG10",5400,IF(D5="Xpander HL",6000)))))))))))))))))))))))))))))))))))))</f>
        <v>5400</v>
      </c>
      <c r="P11" s="92"/>
      <c r="Q11" s="92"/>
      <c r="R11" s="92"/>
      <c r="S11" s="92"/>
      <c r="T11" s="92"/>
      <c r="U11" s="92">
        <f>IF(D5="XC",4900,IF(D5="XPML",4900,IF(D5="XPHL",4900,IF(D5="XPMLP",4900,IF(D5="XPMLP-01",4900,IF(D5="Xpander P",4900,IF(D5="MOP57",4600,IF(D5="MOG64",4600,IF(D5="MOG59",4600,IF(D5="MOG59P",4600,IF(D5="MOG61",4600,IF(D5="MOP61",4600,IF(D5="OTF03",5500,IF(D5="OTP03",5500,IF(D5="OTF06",5500,IF(D5="OTP06",5500,IF(D5="OTP06-01",5500,IF(D5="OTF08",5500,IF(D5="OTP08",5500,IF(D5="ECG38",5200,IF(D5="ECG37",5200,IF(D5="ECG40",5200,IF(D5="ECG43",5200,IF(D5="ASG48",5300,IF(D5="ASG43",5300,IF(D5="ASG40",5300,IF(D5="ASG42",5300,IF(D5="ASG44",5300,IF(D5="ASG45",5300,IF(D5="ASX HL",5300,IF(D5="ASX P",5300,IF(D5="ASX HL 4WD",5300,IF(D5="ATG16",4200,IF(D5="ATG17",4200,IF(D5="ATP16",4200,IF(D5="Attrage S",4200,IF(D5="MIG09",4200,IF(D5="MIG10",4200,IF(D5="Xpander HL",4900)))))))))))))))))))))))))))))))))))))))</f>
        <v>4200</v>
      </c>
      <c r="V11" s="92">
        <f>IF(D5="XC",9700,IF(D5="XPML",9700,IF(D5="XPHL",9700,IF(D5="XPMLP",9700,IF(D5="XPMLP-01",9700,IF(D5="XPMLP-01",9700,IF(D5="Xpander P",9700,IF(D5="MOP57",9300,IF(D5="MG64",9300,IF(D5="MOG59",9300,IF(D5="MOG59P",9300,IF(D5="MOG61",9300,IF(D5="MOP61",9300,IF(D5="OTF03",11000,IF(D5="OTP03",11000,IF(D5="OTF06",11000,IF(D5="OTP06",11000,IF(D5="OTP06-01",11000,IF(D5="OTF08",11000,IF(D5="OTP08",11000,IF(D5="ECG38",10400,IF(D5="ECG37",10400,IF(D5="ECG40",10400,IF(D5="ECG43",10400,IF(D5="ASG48",10700,IF(D5="ASG43",10700,IF(D5="ASG40",10700,IF(D5="ASG42",10700,IF(D5="ASG44",10800,IF(D5="ASG45",10800,IF(D5="ASX HL",12200,IF(D5="ASX P",12200,IF(D5="ASX HL 4WD",12200,IF(D5="ATG16",8500,IF(D5="ATG17",8500,IF(D5="ATP16",8500,IF(D5="Attrage S",9600,IF(D5="MIG09",8500,IF(D5="MIG10",8500,IF(D5="Xpander HL",11300))))))))))))))))))))))))))))))))))))))))</f>
        <v>8500</v>
      </c>
      <c r="W11" s="92">
        <f>IF(D5="XC",9200,IF(D5="XPML",9200,IF(D5="XPHL",9200,IF(D5="XPMLP",9200,IF(D5="XPMLP-01",9200,IF(D5="Xpander P",9200,IF(D5="MOP57",8700,IF(D5="MOG64",8700,IF(D5="MOG59",8700,IF(D5="MOG59P",8700,IF(D5="MOG61",8700,IF(D5="MOP61",8700,IF(D5="OTF03",10400,IF(D5="OTP03",10400,IF(D5="OTF06",10400,IF(D5="OTP06",10400,IF(D5="OTP06-01",10400,IF(D5="OTF08",10400,IF(D5="OTP08",10400,IF(D5="ECG38",9800,IF(D5="ECG37",9800,IF(D5="ECG40",9800,IF(D5="ECG43",9800,IF(D5="ASG48",10100,IF(D5="ASG43",10100,IF(D5="ASG40",10100,IF(D5="ASG42",10100,IF(D5="ASG44",10100,IF(D5="ASG45",10100,IF(D5="ASX HL",10100,IF(D5="ASX P",10100,IF(D5="ASX HL 4WD",10100,IF(D5="ATG16",7900,IF(D5="ATG17",7900,IF(D5="ATP16",7900,IF(D5="Attrage S",7900,IF(D5="MIG09",7900,IF(D5="MIG10",7900,IF(D5="Xpander HL",9200)))))))))))))))))))))))))))))))))))))))</f>
        <v>7900</v>
      </c>
      <c r="X11" s="92">
        <f>IF(D5="XC",4500,IF(D5="XPML",4500,IF(D5="XPHL",4500,IF(D5="XPMLP",4500,IF(D5="XPMLP-01",4500,IF(D5="Xpander P",4500,IF(D5="MOP57",4300,IF(D5="MOG64",4300,IF(D5="MOG59",4300,IF(D5="MOG59P",4300,IF(D5="MOG61",4300,IF(D5="MOP61",4300,IF(D5="OTF03",5000,IF(D5="OTP03",5000,IF(D5="OTF06",5000,IF(D5="OTP06",5000,IF(D5="OTP06-01",5000,IF(D5="OTF08",5000,IF(D5="OTP08",5000,IF(D5="ECG38",4900,IF(D5="ECG37",4900,IF(D5="ECG40",4900,IF(D5="ECG43",4900,IF(D5="ASG48",4900,IF(D5="ASG43",4900,IF(D5="ASG40",4900,IF(D5="ASG42",4900,IF(D5="ASG44",4900,IF(D5="ASG45",4900,IF(D5="ASX HL",4900,IF(D5="ASX P",4900,IF(D5="ASX HL 4WD",4900,IF(D5="ATG16",3700,IF(D5="ATG17",3700,IF(D5="ATP16",3700,IF(D5="Attrage S",3700,IF(D5="MIG09",3700,IF(D5="MIG10",3700,IF(D5="Xpander HL",4500)))))))))))))))))))))))))))))))))))))))</f>
        <v>3700</v>
      </c>
      <c r="Y11" s="92">
        <f>IF(D5="XC",5400,IF(D5="XPML ",5400,IF(D5="XPHL",5400,IF(D5="XPMLP",5400,IF(D5="XPMLP-01",5400,IF(D5="Xpander P",5400,IF(D5="MOP57",5200,IF(D5="MOG64",5200,IF(D5="MOG59",5200,IF(D5="MOG59P",5200,IF(D5="MOG61",5200,IF(D5="MOP61",5200,IF(D5="OTF03",6000,IF(D5="OTP03",6000,IF(D5="OTF06",6000,IF(D5="OTP06",6000,IF(D5="OTP06-01",6000,IF(D5="OTF08",6000,IF(D5="OTP08",6000,IF(D5="ECG38",5700,IF(D5="ECG37",5700,IF(D5="ECG40",5700,IF(D5="ECG43",5700,IF(D5="ASG48",5900,IF(D5="ASG43",5900,IF(D5="ASG40",5900,IF(D5="ASG42",5900,IF(D5="ASG44",5900,IF(D5="ASG45",5900,IF(D5="ASX HL",5900,IF(D5="ASX P",5900,IF(D5="ASX HL 4WD",5900,IF(D5="ATG16",4500,IF(D5="ATG17",4500,IF(D5="ATP16",4500,IF(D5="Attrage S",4500,IF(D5="MIG09",4500,IF(D5="MIG10",4500,IF(D5="Xpander HL",5400)))))))))))))))))))))))))))))))))))))))</f>
        <v>4500</v>
      </c>
    </row>
    <row r="12" spans="1:28" ht="24.75" customHeight="1" x14ac:dyDescent="0.4">
      <c r="A12" s="8"/>
      <c r="B12" s="37" t="s">
        <v>20</v>
      </c>
      <c r="C12" s="20" t="s">
        <v>17</v>
      </c>
      <c r="D12" s="36">
        <f>IF(C12="YES",2000,IF(C12="NO",0))</f>
        <v>0</v>
      </c>
      <c r="E12" s="43"/>
      <c r="F12" s="43" t="s">
        <v>21</v>
      </c>
      <c r="G12" s="40"/>
      <c r="H12" s="33">
        <v>600</v>
      </c>
      <c r="I12" s="21"/>
      <c r="J12" s="44" t="s">
        <v>22</v>
      </c>
      <c r="K12" s="45">
        <v>0</v>
      </c>
      <c r="L12" s="45">
        <v>5.2499999999999998E-2</v>
      </c>
      <c r="M12" s="45">
        <v>0.126</v>
      </c>
      <c r="N12" s="46">
        <v>0.26250000000000001</v>
      </c>
      <c r="O12" s="92">
        <f>IF(K20="Esaad",B8*3/100,IF(K20="Emirates Platinum",B8*3/100,IF(K20="Fazaa",B8*3/100,IF(K20="Humat Alwatan",B8*3/100,IF(K20="Permissible",2000,IF(K20="ASX",8400,IF(K20="XPMLP",4000,IF(K20="XP",14100,IF(K20="G43",11000,IF(K20="EC",7000,IF(K20="G37",14000,IF(K20="G38",15000,IF(K20="G40",11000,IF(K20="OUT",9600,IF(K20="F08",15400,IF(K20="P08",11100,IF(K20="F06",14100,IF(K20="P06",17100,IF(K20="F03",17000,IF(K20="P03",19100,IF(K20="MON",10000,IF(K20="MON G57",10000,0))))))))))))))))))))))</f>
        <v>2000</v>
      </c>
      <c r="P12" s="92"/>
      <c r="Q12" s="92"/>
      <c r="R12" s="92"/>
      <c r="S12" s="92"/>
      <c r="T12" s="92"/>
      <c r="U12" s="92"/>
      <c r="V12" s="92"/>
      <c r="W12" s="92"/>
      <c r="X12" s="92"/>
      <c r="Y12" s="92"/>
      <c r="Z12" s="86" t="s">
        <v>83</v>
      </c>
      <c r="AA12" s="86" t="s">
        <v>84</v>
      </c>
    </row>
    <row r="13" spans="1:28" ht="24.6" x14ac:dyDescent="0.4">
      <c r="A13" s="8">
        <f>B8*1.26582</f>
        <v>51139.127999999997</v>
      </c>
      <c r="B13" s="37" t="s">
        <v>23</v>
      </c>
      <c r="C13" s="20" t="s">
        <v>17</v>
      </c>
      <c r="D13" s="36">
        <f>IF(C13="YES",2000,IF(C13="NO",0))</f>
        <v>0</v>
      </c>
      <c r="E13" s="47"/>
      <c r="F13" s="47" t="s">
        <v>75</v>
      </c>
      <c r="G13" s="40"/>
      <c r="H13" s="33">
        <v>315</v>
      </c>
      <c r="I13" s="21"/>
      <c r="J13" s="44" t="s">
        <v>54</v>
      </c>
      <c r="K13" s="29" t="s">
        <v>79</v>
      </c>
      <c r="L13" s="29" t="s">
        <v>25</v>
      </c>
      <c r="M13" s="29" t="s">
        <v>0</v>
      </c>
      <c r="N13" s="49" t="s">
        <v>26</v>
      </c>
      <c r="O13" s="98">
        <f>IF(M21="3000-4999",6%,IF(M21="5000-9999",4.75%,IF(M21="10000-14999",3.15%,IF(M21="15000-24999",2.5%,IF(M21="25000-34999",2.25%,IF(M21="35000-99999",2.25%))))))</f>
        <v>4.7500000000000001E-2</v>
      </c>
      <c r="Q13" s="83">
        <f>H7/12</f>
        <v>888.42627916666663</v>
      </c>
      <c r="U13" s="9">
        <f>IF(M21="3000-4999",6%,IF(M21="5000-9999",3.25%,IF(M21="10000-14999",3%,IF(M21="15000-24999",2.25%,IF(M21="25000-34999",2.15%,IF(M21="35000-99999",1.99%))))))</f>
        <v>3.2500000000000001E-2</v>
      </c>
      <c r="Z13" s="99">
        <f>IF(M21="5000-9999",2.49%,IF(M21="10000-19999",2.19%,IF(M21="20000-34999",2.09%,IF(M21="35000-49999",1.89%,IF(M21="50000-99999",1.79%)))))</f>
        <v>2.4900000000000002E-2</v>
      </c>
      <c r="AA13" s="99">
        <f>IF(M21="5000-9999",2.59%,IF(M21="10000-19999",2.29%,IF(M21="20000-34999",2.19%,IF(M21="35000-49999",1.99%,IF(M21="50000-99999",1.89%)))))</f>
        <v>2.5899999999999999E-2</v>
      </c>
    </row>
    <row r="14" spans="1:28" ht="24.6" x14ac:dyDescent="0.4">
      <c r="A14" s="10" t="s">
        <v>27</v>
      </c>
      <c r="B14" s="37" t="s">
        <v>24</v>
      </c>
      <c r="C14" s="20" t="s">
        <v>19</v>
      </c>
      <c r="D14" s="50">
        <f>IF(C14="YES",U19*3.15*1.05/100,IF(C14="NO",U19*0/100))</f>
        <v>1590.5767500000002</v>
      </c>
      <c r="E14" s="48"/>
      <c r="F14" s="48" t="s">
        <v>24</v>
      </c>
      <c r="G14" s="51" t="s">
        <v>17</v>
      </c>
      <c r="H14" s="39">
        <f>IF(G14="YES",U19*3.15*1.05/100,IF(G14="NO",U19*0/100))</f>
        <v>0</v>
      </c>
      <c r="I14" s="21"/>
      <c r="J14" s="44" t="s">
        <v>55</v>
      </c>
      <c r="K14" s="44">
        <f>(H8*K12+H8)/3</f>
        <v>3553.7051166666665</v>
      </c>
      <c r="L14" s="44">
        <f>(H8*L12+H8)/12</f>
        <v>935.06865882291675</v>
      </c>
      <c r="M14" s="44">
        <f>(H8*M12+H8)/24</f>
        <v>500.18399517083338</v>
      </c>
      <c r="N14" s="52">
        <f>(H7*N12+H7)/60</f>
        <v>224.32763548958334</v>
      </c>
      <c r="O14" s="98">
        <f>IF(M21="3000-4999",3.89%,IF(M21="5000-9999",3.89%,IF(M21="10000-14999",3.89%,IF(M21="15000-24999",2.69%,IF(M21="25000-34999",2.69%,IF(M21="35000-99999",2.39%,IF(M21="76000-99999",2.19%)))))))</f>
        <v>3.8900000000000004E-2</v>
      </c>
    </row>
    <row r="15" spans="1:28" ht="24.6" x14ac:dyDescent="0.4">
      <c r="A15" s="11">
        <f>(B7*3%)+10+120</f>
        <v>1342</v>
      </c>
      <c r="B15" s="37" t="s">
        <v>28</v>
      </c>
      <c r="C15" s="20" t="s">
        <v>19</v>
      </c>
      <c r="D15" s="29">
        <f>IF(C15="YES",O10,IF(C15="NO",0))</f>
        <v>3625</v>
      </c>
      <c r="E15" s="48"/>
      <c r="F15" s="48" t="s">
        <v>53</v>
      </c>
      <c r="G15" s="51" t="s">
        <v>17</v>
      </c>
      <c r="H15" s="39">
        <f>IF(G15="YES",O10,IF(G15="NO",0))</f>
        <v>0</v>
      </c>
      <c r="I15" s="21"/>
      <c r="J15" s="44"/>
      <c r="K15" s="44"/>
      <c r="L15" s="44"/>
      <c r="M15" s="44"/>
      <c r="N15" s="53"/>
      <c r="O15" s="98" t="b">
        <f>IF(M21="3000-4999",4.99%, IF(M21="5000-11999",2.75%,IF(M21="12000-19999",2.75%,IF(M21="20000-39999",2.25%,IF(M21="40000-69999",2.39%,IF(M21="70000-99999",2.25%))))))</f>
        <v>0</v>
      </c>
      <c r="P15" s="99"/>
    </row>
    <row r="16" spans="1:28" ht="24.6" x14ac:dyDescent="0.4">
      <c r="A16" s="11">
        <f>((B7-B8)*3%+10+120)</f>
        <v>130</v>
      </c>
      <c r="B16" s="37" t="s">
        <v>78</v>
      </c>
      <c r="C16" s="20" t="s">
        <v>19</v>
      </c>
      <c r="D16" s="29">
        <f>IF(C16="YES",O16,IF(C16="NO",0))</f>
        <v>5400</v>
      </c>
      <c r="E16" s="47"/>
      <c r="F16" s="47" t="s">
        <v>74</v>
      </c>
      <c r="G16" s="54"/>
      <c r="H16" s="33">
        <f>I7*1.05%</f>
        <v>447.76684470000004</v>
      </c>
      <c r="I16" s="21"/>
      <c r="J16" s="44" t="s">
        <v>16</v>
      </c>
      <c r="K16" s="44">
        <f>(K14*3)-H8</f>
        <v>0</v>
      </c>
      <c r="L16" s="44">
        <f>(L14*12)-H8</f>
        <v>559.70855587500046</v>
      </c>
      <c r="M16" s="44">
        <f>(M14*24)-H8</f>
        <v>1343.3005341000007</v>
      </c>
      <c r="N16" s="53"/>
      <c r="O16" s="92">
        <f>IF(B16="RMC-10-70KMS",O11,IF(B16="RMC-10-100000KMS",V11,IF(B16="RMC-40-70KMS",U11, IF(B16="RMC-10-40KMS",X11, IF(B16="RMC-10-60KMS",Y11, IF(B16="RMC-40-100000KMS",W11,0))))))</f>
        <v>5400</v>
      </c>
    </row>
    <row r="17" spans="1:28" ht="24.6" x14ac:dyDescent="0.4">
      <c r="A17" s="11">
        <f>A15+A16</f>
        <v>1472</v>
      </c>
      <c r="B17" s="37"/>
      <c r="C17" s="20"/>
      <c r="D17" s="29">
        <f>SUM(D10:D16)</f>
        <v>10615.57675</v>
      </c>
      <c r="E17" s="33"/>
      <c r="F17" s="33"/>
      <c r="G17" s="33"/>
      <c r="H17" s="33">
        <f>H7+H12+H15+H16</f>
        <v>11708.8821947</v>
      </c>
      <c r="I17" s="33"/>
      <c r="J17" s="22"/>
      <c r="K17" s="53"/>
      <c r="L17" s="53"/>
      <c r="M17" s="53"/>
      <c r="N17" s="53"/>
      <c r="O17" s="92">
        <f>IF(B11="FO Ceramic+ Intr&amp;Extr CeramicGold WdwTnt",2700,IF(B11="FO Mirror Camera Sensor",2000))</f>
        <v>2700</v>
      </c>
      <c r="T17" s="86">
        <f>19615-791</f>
        <v>18824</v>
      </c>
    </row>
    <row r="18" spans="1:28" ht="24.6" x14ac:dyDescent="0.4">
      <c r="A18" s="12" t="s">
        <v>29</v>
      </c>
      <c r="B18" s="55" t="s">
        <v>30</v>
      </c>
      <c r="C18" s="56"/>
      <c r="D18" s="57">
        <v>0</v>
      </c>
      <c r="E18" s="38"/>
      <c r="F18" s="22"/>
      <c r="G18" s="22"/>
      <c r="H18" s="21"/>
      <c r="I18" s="21"/>
      <c r="J18" s="21"/>
      <c r="K18" s="21"/>
      <c r="L18" s="21"/>
      <c r="M18" s="21"/>
      <c r="N18" s="21"/>
      <c r="O18" s="92"/>
      <c r="U18" s="100" t="s">
        <v>52</v>
      </c>
      <c r="V18" s="100" t="s">
        <v>52</v>
      </c>
    </row>
    <row r="19" spans="1:28" ht="24.6" x14ac:dyDescent="0.4">
      <c r="A19" s="11">
        <f>B8*3.15%</f>
        <v>1272.5999999999999</v>
      </c>
      <c r="B19" s="58" t="s">
        <v>31</v>
      </c>
      <c r="C19" s="59"/>
      <c r="D19" s="60">
        <f>IF(K21="DIB EXPAT",O13,IF(K21="DIB LOCAL GVH",U13,IF(K21="Emirates NBD",O14,IF(K21="ADCB",O15,IF(K21="ADCB PAY IN 2027",O19,IF(K21="Ajman Bank",O18,IF(K21="SIB STL",Z13,IF(K21="SIB NON STL",AA13,))))))))</f>
        <v>2.4900000000000002E-2</v>
      </c>
      <c r="E19" s="22"/>
      <c r="F19" s="61"/>
      <c r="G19" s="141" t="s">
        <v>73</v>
      </c>
      <c r="H19" s="142"/>
      <c r="I19" s="143"/>
      <c r="J19" s="109">
        <f>H7/365</f>
        <v>29.208535205479453</v>
      </c>
      <c r="K19" s="21"/>
      <c r="L19" s="21"/>
      <c r="M19" s="21"/>
      <c r="N19" s="23">
        <f>D7</f>
        <v>42420</v>
      </c>
      <c r="O19" s="98" t="b">
        <f>IF(M21="5000-11999",3.35%,IF(M21="12000-19999",3.35%,IF(M21="20000-39999",2.85%,IF(M21="40000-69999",2.85%,IF(M21="70000-99999",2.85%)))))</f>
        <v>0</v>
      </c>
      <c r="P19" s="83">
        <f>81400-2500</f>
        <v>78900</v>
      </c>
      <c r="U19" s="101">
        <f>V19</f>
        <v>48090</v>
      </c>
      <c r="V19" s="102">
        <f>(B7+D10+D11+D12+D13+D16)*1.05</f>
        <v>48090</v>
      </c>
      <c r="X19" s="87">
        <f>G7*3.15*1.05/100</f>
        <v>1763.0819510062502</v>
      </c>
      <c r="Y19" s="87">
        <f>G7*3/100+510*1.05</f>
        <v>2134.6673025</v>
      </c>
      <c r="Z19" s="87">
        <f>Y19+X19</f>
        <v>3897.7492535062502</v>
      </c>
      <c r="AA19" s="87">
        <f>(Z19)-(D14+D15)</f>
        <v>-1317.82749649375</v>
      </c>
      <c r="AB19" s="87">
        <f>AA19*1.25</f>
        <v>-1647.2843706171875</v>
      </c>
    </row>
    <row r="20" spans="1:28" ht="24.6" x14ac:dyDescent="0.4">
      <c r="A20" s="11"/>
      <c r="B20" s="58" t="s">
        <v>32</v>
      </c>
      <c r="C20" s="62"/>
      <c r="D20" s="63">
        <v>0.2</v>
      </c>
      <c r="E20" s="21"/>
      <c r="F20" s="21"/>
      <c r="G20" s="42"/>
      <c r="H20" s="42"/>
      <c r="I20" s="42"/>
      <c r="J20" s="103"/>
      <c r="K20" s="104" t="s">
        <v>33</v>
      </c>
      <c r="L20" s="104" t="s">
        <v>17</v>
      </c>
      <c r="M20" s="104">
        <f>IF(L20="YES",O12,IF(L20="NO",0))</f>
        <v>0</v>
      </c>
      <c r="N20" s="23">
        <f>B8-M20</f>
        <v>40400</v>
      </c>
      <c r="O20" s="92"/>
      <c r="P20" s="99"/>
      <c r="T20" s="86">
        <f>1992+1084</f>
        <v>3076</v>
      </c>
      <c r="V20" s="83"/>
      <c r="X20" s="87">
        <f>X19-D14</f>
        <v>172.50520100624999</v>
      </c>
      <c r="Y20" s="87">
        <f>Y19-D15</f>
        <v>-1490.3326975</v>
      </c>
      <c r="AA20" s="87">
        <f>X20+Y20</f>
        <v>-1317.82749649375</v>
      </c>
    </row>
    <row r="21" spans="1:28" ht="24.6" x14ac:dyDescent="0.4">
      <c r="A21" s="13">
        <f>A19+A20</f>
        <v>1272.5999999999999</v>
      </c>
      <c r="B21" s="21"/>
      <c r="C21" s="22"/>
      <c r="D21" s="21"/>
      <c r="E21" s="21"/>
      <c r="F21" s="21"/>
      <c r="G21" s="21"/>
      <c r="H21" s="21"/>
      <c r="I21" s="21"/>
      <c r="J21" s="37" t="s">
        <v>34</v>
      </c>
      <c r="K21" s="16" t="s">
        <v>83</v>
      </c>
      <c r="L21" s="105" t="s">
        <v>35</v>
      </c>
      <c r="M21" s="106" t="s">
        <v>80</v>
      </c>
      <c r="N21" s="111"/>
      <c r="O21" s="92"/>
      <c r="T21" s="86">
        <f>25973-12973</f>
        <v>13000</v>
      </c>
    </row>
    <row r="22" spans="1:28" ht="24.6" x14ac:dyDescent="0.4">
      <c r="A22" s="13"/>
      <c r="B22" s="130" t="s">
        <v>51</v>
      </c>
      <c r="C22" s="131"/>
      <c r="D22" s="131"/>
      <c r="E22" s="131"/>
      <c r="F22" s="131"/>
      <c r="G22" s="131"/>
      <c r="H22" s="131"/>
      <c r="I22" s="131"/>
      <c r="J22" s="131"/>
      <c r="K22" s="131"/>
      <c r="L22" s="131"/>
      <c r="M22" s="131"/>
      <c r="N22" s="132"/>
      <c r="O22" s="92"/>
    </row>
    <row r="23" spans="1:28" ht="25.2" x14ac:dyDescent="0.45">
      <c r="A23" s="14" t="s">
        <v>36</v>
      </c>
      <c r="B23" s="64" t="s">
        <v>57</v>
      </c>
      <c r="C23" s="65"/>
      <c r="D23" s="65"/>
      <c r="E23" s="65"/>
      <c r="F23" s="65"/>
      <c r="G23" s="65"/>
      <c r="H23" s="66"/>
      <c r="I23" s="66"/>
      <c r="J23" s="65"/>
      <c r="K23" s="65"/>
      <c r="L23" s="65"/>
      <c r="M23" s="65"/>
      <c r="N23" s="67"/>
      <c r="O23" s="92">
        <f>N7+K14</f>
        <v>4352.9333974049996</v>
      </c>
    </row>
    <row r="24" spans="1:28" ht="25.2" x14ac:dyDescent="0.45">
      <c r="A24" s="14" t="s">
        <v>36</v>
      </c>
      <c r="B24" s="64" t="s">
        <v>58</v>
      </c>
      <c r="C24" s="65"/>
      <c r="D24" s="65"/>
      <c r="E24" s="65"/>
      <c r="F24" s="65"/>
      <c r="G24" s="65"/>
      <c r="H24" s="85">
        <f>H7/365</f>
        <v>29.208535205479453</v>
      </c>
      <c r="I24" s="85">
        <f>H7/365</f>
        <v>29.208535205479453</v>
      </c>
      <c r="J24" s="65"/>
      <c r="K24" s="65"/>
      <c r="L24" s="65"/>
      <c r="M24" s="65"/>
      <c r="N24" s="68"/>
      <c r="O24" s="92"/>
      <c r="P24" s="83">
        <f>1232+480</f>
        <v>1712</v>
      </c>
      <c r="T24" s="86">
        <f>88704/1.05</f>
        <v>84480</v>
      </c>
    </row>
    <row r="25" spans="1:28" ht="25.2" x14ac:dyDescent="0.45">
      <c r="A25" s="14" t="s">
        <v>36</v>
      </c>
      <c r="B25" s="64" t="s">
        <v>59</v>
      </c>
      <c r="C25" s="65"/>
      <c r="D25" s="65"/>
      <c r="E25" s="65"/>
      <c r="F25" s="65"/>
      <c r="G25" s="65"/>
      <c r="H25" s="66"/>
      <c r="I25" s="85">
        <f>I24*365*3</f>
        <v>31983.34605</v>
      </c>
      <c r="J25" s="65"/>
      <c r="K25" s="65"/>
      <c r="L25" s="65"/>
      <c r="M25" s="65"/>
      <c r="N25" s="68"/>
      <c r="O25" s="92"/>
      <c r="Q25" s="86">
        <f>79400-5233.33</f>
        <v>74166.67</v>
      </c>
      <c r="R25" s="86">
        <f>Q25*1.05</f>
        <v>77875.003500000006</v>
      </c>
    </row>
    <row r="26" spans="1:28" ht="25.2" x14ac:dyDescent="0.45">
      <c r="A26" s="14" t="s">
        <v>36</v>
      </c>
      <c r="B26" s="64" t="s">
        <v>60</v>
      </c>
      <c r="C26" s="65"/>
      <c r="D26" s="65"/>
      <c r="E26" s="65"/>
      <c r="F26" s="65"/>
      <c r="G26" s="65"/>
      <c r="H26" s="65"/>
      <c r="I26" s="65"/>
      <c r="J26" s="65"/>
      <c r="K26" s="65"/>
      <c r="L26" s="65"/>
      <c r="M26" s="65"/>
      <c r="N26" s="68"/>
      <c r="O26" s="92" t="s">
        <v>37</v>
      </c>
      <c r="R26" s="86">
        <f>R25+2469</f>
        <v>80344.003500000006</v>
      </c>
    </row>
    <row r="27" spans="1:28" ht="25.2" x14ac:dyDescent="0.45">
      <c r="A27" s="14" t="s">
        <v>36</v>
      </c>
      <c r="B27" s="64" t="s">
        <v>61</v>
      </c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8"/>
      <c r="O27" s="92">
        <f>129500-110900</f>
        <v>18600</v>
      </c>
    </row>
    <row r="28" spans="1:28" ht="25.2" x14ac:dyDescent="0.45">
      <c r="B28" s="64" t="s">
        <v>62</v>
      </c>
      <c r="C28" s="65"/>
      <c r="D28" s="65"/>
      <c r="E28" s="65"/>
      <c r="F28" s="65"/>
      <c r="G28" s="65"/>
      <c r="H28" s="65"/>
      <c r="I28" s="65"/>
      <c r="J28" s="65"/>
      <c r="K28" s="65"/>
      <c r="L28" s="65"/>
      <c r="M28" s="65"/>
      <c r="N28" s="68"/>
      <c r="O28" s="92"/>
    </row>
    <row r="29" spans="1:28" ht="25.2" x14ac:dyDescent="0.45">
      <c r="B29" s="64" t="s">
        <v>63</v>
      </c>
      <c r="C29" s="65"/>
      <c r="D29" s="65"/>
      <c r="E29" s="65"/>
      <c r="F29" s="65"/>
      <c r="G29" s="65"/>
      <c r="H29" s="65"/>
      <c r="I29" s="65"/>
      <c r="J29" s="65"/>
      <c r="K29" s="65"/>
      <c r="L29" s="65"/>
      <c r="M29" s="65"/>
      <c r="N29" s="69"/>
      <c r="O29" s="92"/>
    </row>
    <row r="30" spans="1:28" ht="24.6" x14ac:dyDescent="0.4">
      <c r="B30" s="133" t="s">
        <v>38</v>
      </c>
      <c r="C30" s="134"/>
      <c r="D30" s="134"/>
      <c r="E30" s="134"/>
      <c r="F30" s="134"/>
      <c r="G30" s="134"/>
      <c r="H30" s="134"/>
      <c r="I30" s="134"/>
      <c r="J30" s="134"/>
      <c r="K30" s="134"/>
      <c r="L30" s="134"/>
      <c r="M30" s="134"/>
      <c r="N30" s="135"/>
      <c r="O30" s="92"/>
    </row>
    <row r="31" spans="1:28" ht="24.6" x14ac:dyDescent="0.4">
      <c r="B31" s="136"/>
      <c r="C31" s="137"/>
      <c r="D31" s="137"/>
      <c r="E31" s="137"/>
      <c r="F31" s="137"/>
      <c r="G31" s="137"/>
      <c r="H31" s="137"/>
      <c r="I31" s="137"/>
      <c r="J31" s="137"/>
      <c r="K31" s="137"/>
      <c r="L31" s="137"/>
      <c r="M31" s="137"/>
      <c r="N31" s="138"/>
      <c r="O31" s="92"/>
    </row>
    <row r="32" spans="1:28" ht="24.6" x14ac:dyDescent="0.4">
      <c r="B32" s="136" t="s">
        <v>39</v>
      </c>
      <c r="C32" s="137"/>
      <c r="D32" s="137"/>
      <c r="E32" s="137"/>
      <c r="F32" s="137"/>
      <c r="G32" s="137"/>
      <c r="H32" s="137"/>
      <c r="I32" s="137"/>
      <c r="J32" s="137"/>
      <c r="K32" s="137"/>
      <c r="L32" s="137"/>
      <c r="M32" s="137"/>
      <c r="N32" s="138"/>
      <c r="O32" s="92"/>
    </row>
    <row r="33" spans="2:16" ht="24.6" x14ac:dyDescent="0.4">
      <c r="B33" s="136" t="s">
        <v>40</v>
      </c>
      <c r="C33" s="137"/>
      <c r="D33" s="137"/>
      <c r="E33" s="137"/>
      <c r="F33" s="137"/>
      <c r="G33" s="137"/>
      <c r="H33" s="137"/>
      <c r="I33" s="137"/>
      <c r="J33" s="137"/>
      <c r="K33" s="137"/>
      <c r="L33" s="137"/>
      <c r="M33" s="137"/>
      <c r="N33" s="138"/>
      <c r="O33" s="92"/>
    </row>
    <row r="34" spans="2:16" s="112" customFormat="1" ht="24.6" x14ac:dyDescent="0.4">
      <c r="B34" s="107" t="s">
        <v>81</v>
      </c>
      <c r="C34" s="108"/>
      <c r="D34" s="108"/>
      <c r="E34" s="108"/>
      <c r="F34" s="108"/>
      <c r="G34" s="113"/>
      <c r="H34" s="113"/>
      <c r="I34" s="108"/>
      <c r="J34" s="108"/>
      <c r="K34" s="108"/>
      <c r="L34" s="108"/>
      <c r="M34" s="114" t="s">
        <v>82</v>
      </c>
      <c r="N34" s="116" t="b">
        <f>IF(M34="ALAA",507963328, IF(M34="BACHIR",525246969,IF(M34="JIHAN",566201266, IF(M34="RAMY",505277871, IF(M34="SIMON",505140337,IF(M34="SUJITH",551079817, IF(M34="PRAVEEN",506367792,IF(M34="MHAREN",529224059, IF(M34="MOSSALLEM",505185577,IF(M34="RANJITH",554989288, IF(M34="KHALED",552319494)))))))))))</f>
        <v>0</v>
      </c>
      <c r="O34" s="115"/>
      <c r="P34" s="115"/>
    </row>
    <row r="35" spans="2:16" x14ac:dyDescent="0.35">
      <c r="B35" s="70"/>
      <c r="C35" s="71"/>
      <c r="D35" s="71"/>
      <c r="E35" s="71"/>
      <c r="F35" s="71"/>
      <c r="G35" s="71"/>
      <c r="H35" s="71"/>
      <c r="I35" s="71"/>
      <c r="J35" s="71"/>
      <c r="K35" s="71"/>
      <c r="L35" s="71"/>
      <c r="M35" s="71"/>
      <c r="N35" s="72"/>
    </row>
    <row r="36" spans="2:16" x14ac:dyDescent="0.35">
      <c r="B36" s="70"/>
      <c r="C36" s="71"/>
      <c r="D36" s="71"/>
      <c r="E36" s="71"/>
      <c r="F36" s="71"/>
      <c r="G36" s="71"/>
      <c r="H36" s="71"/>
      <c r="I36" s="71"/>
      <c r="J36" s="71"/>
      <c r="K36" s="71"/>
      <c r="L36" s="71"/>
      <c r="M36" s="71"/>
      <c r="N36" s="72"/>
    </row>
    <row r="37" spans="2:16" x14ac:dyDescent="0.35">
      <c r="B37" s="70"/>
      <c r="C37" s="71"/>
      <c r="D37" s="71"/>
      <c r="E37" s="71"/>
      <c r="F37" s="71"/>
      <c r="G37" s="71"/>
      <c r="H37" s="71"/>
      <c r="I37" s="71"/>
      <c r="J37" s="71"/>
      <c r="K37" s="71"/>
      <c r="L37" s="71"/>
      <c r="M37" s="71"/>
      <c r="N37" s="72"/>
    </row>
    <row r="38" spans="2:16" ht="21" x14ac:dyDescent="0.4">
      <c r="B38" s="73" t="s">
        <v>64</v>
      </c>
      <c r="C38" s="74"/>
      <c r="D38" s="75"/>
      <c r="E38" s="76"/>
      <c r="F38" s="76"/>
      <c r="G38" s="76"/>
      <c r="H38" s="76"/>
      <c r="I38" s="76"/>
      <c r="J38" s="77"/>
      <c r="K38" s="76"/>
      <c r="L38" s="76"/>
      <c r="M38" s="76"/>
      <c r="N38" s="78"/>
    </row>
    <row r="39" spans="2:16" ht="21" x14ac:dyDescent="0.4">
      <c r="B39" s="73" t="s">
        <v>65</v>
      </c>
      <c r="C39" s="79"/>
      <c r="D39" s="75"/>
      <c r="E39" s="76"/>
      <c r="F39" s="76"/>
      <c r="G39" s="76"/>
      <c r="H39" s="76"/>
      <c r="I39" s="76"/>
      <c r="J39" s="77"/>
      <c r="K39" s="76"/>
      <c r="L39" s="76"/>
      <c r="M39" s="76"/>
      <c r="N39" s="80"/>
    </row>
    <row r="40" spans="2:16" ht="21" x14ac:dyDescent="0.35">
      <c r="B40" s="73" t="s">
        <v>66</v>
      </c>
      <c r="C40" s="81"/>
      <c r="D40" s="76"/>
      <c r="E40" s="76"/>
      <c r="F40" s="76"/>
      <c r="G40" s="76"/>
      <c r="H40" s="76"/>
      <c r="I40" s="76"/>
      <c r="J40" s="77"/>
      <c r="K40" s="76"/>
      <c r="L40" s="76"/>
      <c r="M40" s="76"/>
      <c r="N40" s="80"/>
    </row>
    <row r="41" spans="2:16" ht="21" x14ac:dyDescent="0.35">
      <c r="B41" s="73" t="s">
        <v>67</v>
      </c>
      <c r="C41" s="82"/>
      <c r="D41" s="83"/>
      <c r="E41" s="83"/>
      <c r="F41" s="83"/>
      <c r="G41" s="83"/>
      <c r="H41" s="83"/>
      <c r="I41" s="83"/>
      <c r="J41" s="83"/>
      <c r="K41" s="83"/>
      <c r="L41" s="83"/>
      <c r="M41" s="83"/>
      <c r="N41" s="84"/>
    </row>
    <row r="42" spans="2:16" ht="21" x14ac:dyDescent="0.35">
      <c r="B42" s="73" t="s">
        <v>77</v>
      </c>
      <c r="C42" s="82"/>
      <c r="D42" s="83"/>
      <c r="E42" s="83"/>
      <c r="F42" s="83"/>
      <c r="G42" s="83"/>
      <c r="H42" s="83"/>
      <c r="I42" s="83"/>
      <c r="J42" s="83"/>
      <c r="K42" s="83"/>
      <c r="L42" s="83"/>
      <c r="M42" s="83"/>
      <c r="N42" s="84"/>
    </row>
    <row r="43" spans="2:16" ht="21" x14ac:dyDescent="0.35">
      <c r="B43" s="73" t="s">
        <v>68</v>
      </c>
      <c r="C43" s="82"/>
      <c r="D43" s="83"/>
      <c r="E43" s="83"/>
      <c r="F43" s="83"/>
      <c r="G43" s="83"/>
      <c r="H43" s="83"/>
      <c r="I43" s="83"/>
      <c r="J43" s="83"/>
      <c r="K43" s="83"/>
      <c r="L43" s="83"/>
      <c r="M43" s="83"/>
      <c r="N43" s="84"/>
    </row>
    <row r="44" spans="2:16" ht="21" x14ac:dyDescent="0.35">
      <c r="B44" s="73" t="s">
        <v>69</v>
      </c>
      <c r="C44" s="82"/>
      <c r="D44" s="83"/>
      <c r="E44" s="83"/>
      <c r="F44" s="83"/>
      <c r="G44" s="83"/>
      <c r="H44" s="83"/>
      <c r="I44" s="83"/>
      <c r="J44" s="83"/>
      <c r="K44" s="83"/>
      <c r="L44" s="83"/>
      <c r="M44" s="83"/>
      <c r="N44" s="84"/>
    </row>
    <row r="45" spans="2:16" ht="21" x14ac:dyDescent="0.35">
      <c r="B45" s="73" t="s">
        <v>70</v>
      </c>
      <c r="C45" s="82"/>
      <c r="D45" s="83"/>
      <c r="E45" s="83"/>
      <c r="F45" s="83"/>
      <c r="G45" s="83"/>
      <c r="H45" s="83"/>
      <c r="I45" s="83"/>
      <c r="J45" s="83"/>
      <c r="K45" s="83"/>
      <c r="L45" s="83"/>
      <c r="M45" s="83"/>
      <c r="N45" s="84"/>
    </row>
    <row r="46" spans="2:16" ht="21" x14ac:dyDescent="0.35">
      <c r="B46" s="73" t="s">
        <v>71</v>
      </c>
      <c r="C46" s="82"/>
      <c r="D46" s="83"/>
      <c r="E46" s="83"/>
      <c r="F46" s="83"/>
      <c r="G46" s="83"/>
      <c r="H46" s="83"/>
      <c r="I46" s="83"/>
      <c r="J46" s="83"/>
      <c r="K46" s="83"/>
      <c r="L46" s="83"/>
      <c r="M46" s="83"/>
      <c r="N46" s="84"/>
    </row>
    <row r="47" spans="2:16" x14ac:dyDescent="0.35">
      <c r="B47" s="118" t="s">
        <v>39</v>
      </c>
      <c r="C47" s="119"/>
      <c r="D47" s="119"/>
      <c r="E47" s="119"/>
      <c r="F47" s="119"/>
      <c r="G47" s="119"/>
      <c r="H47" s="119"/>
      <c r="I47" s="119"/>
      <c r="J47" s="119"/>
      <c r="K47" s="119"/>
      <c r="L47" s="119"/>
      <c r="M47" s="119"/>
      <c r="N47" s="120"/>
      <c r="O47" s="92"/>
    </row>
    <row r="48" spans="2:16" x14ac:dyDescent="0.35">
      <c r="B48" s="118" t="s">
        <v>40</v>
      </c>
      <c r="C48" s="119"/>
      <c r="D48" s="119"/>
      <c r="E48" s="119"/>
      <c r="F48" s="119"/>
      <c r="G48" s="119"/>
      <c r="H48" s="119"/>
      <c r="I48" s="119"/>
      <c r="J48" s="119"/>
      <c r="K48" s="119"/>
      <c r="L48" s="119"/>
      <c r="M48" s="119"/>
      <c r="N48" s="120"/>
      <c r="O48" s="92"/>
    </row>
    <row r="49" spans="2:14" x14ac:dyDescent="0.35">
      <c r="B49" s="118" t="s">
        <v>72</v>
      </c>
      <c r="C49" s="119"/>
      <c r="D49" s="119"/>
      <c r="E49" s="119"/>
      <c r="F49" s="119"/>
      <c r="G49" s="119"/>
      <c r="H49" s="119"/>
      <c r="I49" s="119"/>
      <c r="J49" s="119"/>
      <c r="K49" s="119"/>
      <c r="L49" s="119"/>
      <c r="M49" s="119"/>
      <c r="N49" s="120"/>
    </row>
    <row r="50" spans="2:14" ht="25.8" x14ac:dyDescent="0.35">
      <c r="C50" s="15" t="s">
        <v>41</v>
      </c>
    </row>
    <row r="51" spans="2:14" ht="25.8" x14ac:dyDescent="0.35">
      <c r="C51" s="15" t="s">
        <v>42</v>
      </c>
    </row>
    <row r="52" spans="2:14" ht="25.8" x14ac:dyDescent="0.35">
      <c r="C52" s="15" t="s">
        <v>43</v>
      </c>
    </row>
    <row r="53" spans="2:14" ht="25.8" x14ac:dyDescent="0.35">
      <c r="C53" s="15" t="s">
        <v>44</v>
      </c>
    </row>
    <row r="54" spans="2:14" ht="25.8" x14ac:dyDescent="0.35">
      <c r="C54" s="15" t="s">
        <v>45</v>
      </c>
    </row>
  </sheetData>
  <mergeCells count="12">
    <mergeCell ref="B49:N49"/>
    <mergeCell ref="B1:N4"/>
    <mergeCell ref="F8:G8"/>
    <mergeCell ref="F9:G9"/>
    <mergeCell ref="G19:I19"/>
    <mergeCell ref="B22:N22"/>
    <mergeCell ref="B30:N30"/>
    <mergeCell ref="B31:N31"/>
    <mergeCell ref="B32:N32"/>
    <mergeCell ref="B33:N33"/>
    <mergeCell ref="B47:N47"/>
    <mergeCell ref="B48:N48"/>
  </mergeCells>
  <dataValidations count="11">
    <dataValidation type="list" allowBlank="1" showInputMessage="1" showErrorMessage="1" sqref="K21" xr:uid="{27472CD9-56B0-4AC4-B347-36F0A995C4C9}">
      <formula1>"ADCB,ADCB PAY IN 2027,Ajman Bank,ADIB,DIB EXPAT,DIB LOCAL GVH,Emirates NBD,EIB,FAB,RAK,SIB STL,SIB NON STL"</formula1>
    </dataValidation>
    <dataValidation type="list" allowBlank="1" showInputMessage="1" showErrorMessage="1" sqref="D5" xr:uid="{32541376-F4DA-411C-8C6E-527CA10C146D}">
      <formula1>"MIG09,MIG10,ATG16,ATP16,ATG17,ASG48,ASG43,ASG40,ASG42,ASG44,ASG45,ECG38,ECG37,ECG40,ECG43,XPML,XPHL,XPMLP, XPMLP-01, XC,OTF03,OTP03,OTF06,OTP06, OTP06-01,OTF08, OTP08,MOP57,MOG64,MOG59,MOG59P,MOG61,MOP61"</formula1>
    </dataValidation>
    <dataValidation type="list" allowBlank="1" showInputMessage="1" showErrorMessage="1" sqref="M21" xr:uid="{17EB45EF-0CDF-4E5B-BF6F-1BBEC0C30C7F}">
      <formula1>"3000-4999,5000-9999,10000-14999,15000-24999,25000-34999,35000-99999,5000-11999,12000-19999,20000-39999,40000-69999,70000-99999"</formula1>
    </dataValidation>
    <dataValidation type="list" allowBlank="1" showInputMessage="1" showErrorMessage="1" sqref="K20" xr:uid="{1EC757FC-63AE-43E8-AB63-FFDE2183C6C6}">
      <formula1>"Esaad,Emirates Platinum,Fazaa,Humat Alwatan,Permissible,ASX,XPMLP,XP,MON,MON G57,OUT,F08,P08,F06,P06,F03,P03,EC,G37,G38,G40,G43"</formula1>
    </dataValidation>
    <dataValidation type="list" allowBlank="1" showInputMessage="1" showErrorMessage="1" sqref="L19:L20 L24:L25 G14:G15 C10:C16 L10 J10" xr:uid="{7EB74B7F-F6CA-431B-9529-8E831B097DA9}">
      <formula1>"YES,NO"</formula1>
    </dataValidation>
    <dataValidation type="list" allowBlank="1" showInputMessage="1" showErrorMessage="1" sqref="K24" xr:uid="{CB8AB2AA-B612-4D4C-BBF7-3FFC245F6F21}">
      <formula1>"RMC-10-70K,RMC-10-100000K,RMC-40-70K"</formula1>
    </dataValidation>
    <dataValidation type="list" allowBlank="1" showInputMessage="1" showErrorMessage="1" sqref="B16" xr:uid="{50E18858-0484-4B53-A018-7DE3BF41E221}">
      <formula1>"RMC-10-40KMS,RMC-10-60KMS,RMC-10-70KMS,RMC-10-100000KMS,RMC-40-70KMS,RMC-40-100000KMS"</formula1>
    </dataValidation>
    <dataValidation type="list" allowBlank="1" showInputMessage="1" showErrorMessage="1" sqref="B12" xr:uid="{5BFB2D1E-1460-4797-BA65-9F791AF4E939}">
      <formula1>"FO Exterior ceramic All Cars SCOTCHGUARD,FO Mirror Camera Sensor,FO PPF Gold Package "</formula1>
    </dataValidation>
    <dataValidation type="list" allowBlank="1" showInputMessage="1" showErrorMessage="1" sqref="B11" xr:uid="{3329D8D8-A138-4D63-B931-79E1BE08B62C}">
      <formula1>"FO Ceramic+ Intr&amp;Extr CeramicGold WdwTnt,FO Mirror Camera Sensor"</formula1>
    </dataValidation>
    <dataValidation type="list" allowBlank="1" showInputMessage="1" showErrorMessage="1" sqref="M34" xr:uid="{D3141E72-CDC9-4770-8A6E-EBA1639C7C90}">
      <formula1>"Alaa,Bachir ,Khaled,Ramy,Simon,Mharen,Ranjith,Jihan,Praveen,Sujith,Mossallem"</formula1>
    </dataValidation>
    <dataValidation type="list" allowBlank="1" showInputMessage="1" showErrorMessage="1" sqref="H34" xr:uid="{4A570D4D-37B4-4196-8A6C-BCEBD30002CB}">
      <formula1>"ALAA HAMMAD,KHALED QASSEM,RAMY RAOUF,SIMON LOBO,MHAREN CLEMENTE GARADO"</formula1>
    </dataValidation>
  </dataValidations>
  <pageMargins left="0.23622047244094491" right="0.23622047244094491" top="0.74803149606299213" bottom="0.74803149606299213" header="0.31496062992125984" footer="0.31496062992125984"/>
  <pageSetup paperSize="9" scale="37" orientation="landscape" horizontalDpi="4294967295" verticalDpi="4294967295" r:id="rId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5C778-BFFD-470E-9A57-31ABBD5AB4E9}">
  <sheetPr>
    <pageSetUpPr fitToPage="1"/>
  </sheetPr>
  <dimension ref="A1:AB54"/>
  <sheetViews>
    <sheetView topLeftCell="B1" zoomScaleNormal="100" workbookViewId="0">
      <selection activeCell="D5" sqref="D5"/>
    </sheetView>
  </sheetViews>
  <sheetFormatPr defaultColWidth="9.109375" defaultRowHeight="20.399999999999999" x14ac:dyDescent="0.35"/>
  <cols>
    <col min="1" max="1" width="16" style="1" hidden="1" customWidth="1"/>
    <col min="2" max="2" width="75.5546875" style="2" customWidth="1"/>
    <col min="3" max="3" width="25.5546875" style="3" customWidth="1"/>
    <col min="4" max="4" width="25.33203125" style="2" customWidth="1"/>
    <col min="5" max="5" width="22.6640625" style="2" customWidth="1"/>
    <col min="6" max="6" width="21" style="2" customWidth="1"/>
    <col min="7" max="7" width="25" style="2" customWidth="1"/>
    <col min="8" max="8" width="29.44140625" style="2" bestFit="1" customWidth="1"/>
    <col min="9" max="9" width="32.109375" style="2" bestFit="1" customWidth="1"/>
    <col min="10" max="10" width="22" style="2" customWidth="1"/>
    <col min="11" max="11" width="23.33203125" style="2" customWidth="1"/>
    <col min="12" max="12" width="31" style="2" customWidth="1"/>
    <col min="13" max="13" width="23.5546875" style="2" customWidth="1"/>
    <col min="14" max="14" width="21.109375" style="2" customWidth="1"/>
    <col min="15" max="15" width="14.44140625" style="83" bestFit="1" customWidth="1"/>
    <col min="16" max="16" width="21.6640625" style="83" hidden="1" customWidth="1"/>
    <col min="17" max="17" width="14.33203125" style="86" hidden="1" customWidth="1"/>
    <col min="18" max="18" width="12.88671875" style="86" hidden="1" customWidth="1"/>
    <col min="19" max="19" width="13" style="86" hidden="1" customWidth="1"/>
    <col min="20" max="20" width="17.109375" style="86" hidden="1" customWidth="1"/>
    <col min="21" max="21" width="21.5546875" style="86" customWidth="1"/>
    <col min="22" max="22" width="22.88671875" style="86" customWidth="1"/>
    <col min="23" max="26" width="17.109375" style="86" bestFit="1" customWidth="1"/>
    <col min="27" max="27" width="15" style="86" customWidth="1"/>
    <col min="28" max="28" width="14.33203125" style="86" bestFit="1" customWidth="1"/>
    <col min="29" max="16384" width="9.109375" style="1"/>
  </cols>
  <sheetData>
    <row r="1" spans="1:28" ht="15.75" customHeight="1" x14ac:dyDescent="0.35">
      <c r="B1" s="121" t="s">
        <v>46</v>
      </c>
      <c r="C1" s="122"/>
      <c r="D1" s="122"/>
      <c r="E1" s="122"/>
      <c r="F1" s="122"/>
      <c r="G1" s="122"/>
      <c r="H1" s="122"/>
      <c r="I1" s="122"/>
      <c r="J1" s="122"/>
      <c r="K1" s="122"/>
      <c r="L1" s="122"/>
      <c r="M1" s="122"/>
      <c r="N1" s="123"/>
    </row>
    <row r="2" spans="1:28" ht="15.75" customHeight="1" x14ac:dyDescent="0.35">
      <c r="B2" s="124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6"/>
      <c r="Q2" s="83"/>
      <c r="S2" s="87"/>
    </row>
    <row r="3" spans="1:28" ht="15.75" customHeight="1" x14ac:dyDescent="0.35">
      <c r="B3" s="124"/>
      <c r="C3" s="125"/>
      <c r="D3" s="125"/>
      <c r="E3" s="125"/>
      <c r="F3" s="125"/>
      <c r="G3" s="125"/>
      <c r="H3" s="125"/>
      <c r="I3" s="125"/>
      <c r="J3" s="125"/>
      <c r="K3" s="125"/>
      <c r="L3" s="125"/>
      <c r="M3" s="125"/>
      <c r="N3" s="126"/>
      <c r="O3" s="82"/>
      <c r="P3" s="82"/>
      <c r="Q3" s="81"/>
      <c r="R3" s="81"/>
      <c r="S3" s="88" t="e">
        <f>N7+J14</f>
        <v>#VALUE!</v>
      </c>
      <c r="T3" s="88"/>
      <c r="U3" s="81"/>
      <c r="V3" s="81"/>
      <c r="W3" s="81"/>
      <c r="AA3" s="86">
        <f>273000/5</f>
        <v>54600</v>
      </c>
    </row>
    <row r="4" spans="1:28" ht="15.75" customHeight="1" x14ac:dyDescent="0.4">
      <c r="B4" s="127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9"/>
      <c r="O4" s="89" t="s">
        <v>0</v>
      </c>
      <c r="P4" s="89"/>
      <c r="Q4" s="90"/>
      <c r="R4" s="90"/>
      <c r="S4" s="91"/>
      <c r="T4" s="91"/>
      <c r="U4" s="90" t="s">
        <v>1</v>
      </c>
      <c r="V4" s="90" t="s">
        <v>2</v>
      </c>
      <c r="W4" s="90" t="s">
        <v>3</v>
      </c>
    </row>
    <row r="5" spans="1:28" ht="25.2" thickBot="1" x14ac:dyDescent="0.45">
      <c r="B5" s="17">
        <f ca="1">TODAY()</f>
        <v>46215</v>
      </c>
      <c r="C5" s="18" t="str">
        <f>IF(D5="MIG09","Mirage G09",IF(D5="MIG10","MirageG10",IF(D5="ATG16","Attrage G16",IF(D5="ATP16","Attrage P16",IF(D5="ATG17","Attrage G17",IF(D5="ASG48","ASX G48",IF(D5="ASG43","ASX G43", IF(D5="ASG40","ASXG40",IF(D5="ASG42","ASX G42",IF(D5="ASG44","ASX G44",IF(D5="ASG45","ASX G45",IF(D5="ECG38","Eclipse G38",IF(D5="ECG37","Eclipse G37",IF(D5="ECG40","Eclipse G40",IF(D5="ECG43","Eclipse G43",IF(D5="XPML","Xpander ML",IF(D5="XPHL","Xpander HL",IF(D5="XPMLP","Xpander ML P",IF(D5="XPMLP-01","Xpander ML P-01",IF(D5="XC","Xpander Cross", IF(D5="OTF03","Outlander F03",IF(D5="OTP03","Outlander P03",IF(D5="OTF06","Outlander F06",IF(D5="OTP06","Outlander P06",IF(D5="OTP06-01","Outlander P06-01",IF(D5="OTF08","Outlander F08",IF(D5="OTP08","Outlander P08P", IF(D5="MOP57","Montero P57",IF(D5="MOG64","Montero G64",IF(D5="MOG59","Montero G59",IF(D5="MOG59P","Montero G59 P",IF(D5="MOG61","Montero G61",IF(D5="MOP61","Montero P61")))))))))))))))))))))))))))))))))</f>
        <v>MirageG10</v>
      </c>
      <c r="D5" s="19" t="s">
        <v>89</v>
      </c>
      <c r="E5" s="20" t="s">
        <v>47</v>
      </c>
      <c r="F5" s="21"/>
      <c r="G5" s="21"/>
      <c r="H5" s="21"/>
      <c r="I5" s="22"/>
      <c r="J5" s="23"/>
      <c r="K5" s="24">
        <v>0</v>
      </c>
      <c r="L5" s="25">
        <v>3.39E-2</v>
      </c>
      <c r="M5" s="25">
        <v>6.7799999999999999E-2</v>
      </c>
      <c r="N5" s="25">
        <v>0.1017</v>
      </c>
      <c r="O5" s="92">
        <f>K7+K14</f>
        <v>5419.0449324049996</v>
      </c>
      <c r="S5" s="87"/>
      <c r="U5" s="87">
        <f>L7+L14</f>
        <v>2208.1242884501389</v>
      </c>
      <c r="V5" s="87">
        <f>M7+M14</f>
        <v>1477.0975317425</v>
      </c>
      <c r="W5" s="87">
        <f>N7+N14</f>
        <v>1023.5559162279167</v>
      </c>
    </row>
    <row r="6" spans="1:28" s="5" customFormat="1" ht="128.25" customHeight="1" thickBot="1" x14ac:dyDescent="0.35">
      <c r="A6" s="4" t="s">
        <v>4</v>
      </c>
      <c r="B6" s="26" t="s">
        <v>5</v>
      </c>
      <c r="C6" s="27" t="s">
        <v>6</v>
      </c>
      <c r="D6" s="27" t="s">
        <v>48</v>
      </c>
      <c r="E6" s="27" t="s">
        <v>7</v>
      </c>
      <c r="F6" s="27" t="s">
        <v>8</v>
      </c>
      <c r="G6" s="28" t="s">
        <v>9</v>
      </c>
      <c r="H6" s="28" t="s">
        <v>49</v>
      </c>
      <c r="I6" s="28" t="s">
        <v>10</v>
      </c>
      <c r="J6" s="28" t="s">
        <v>56</v>
      </c>
      <c r="K6" s="28" t="s">
        <v>11</v>
      </c>
      <c r="L6" s="28" t="s">
        <v>12</v>
      </c>
      <c r="M6" s="28" t="s">
        <v>13</v>
      </c>
      <c r="N6" s="28" t="s">
        <v>14</v>
      </c>
      <c r="O6" s="93"/>
      <c r="P6" s="94"/>
      <c r="Q6" s="95"/>
      <c r="R6" s="95"/>
      <c r="S6" s="95"/>
      <c r="T6" s="96"/>
      <c r="U6" s="96">
        <f>N7+L14</f>
        <v>1734.2969395612499</v>
      </c>
      <c r="V6" s="96">
        <f>N7+K14</f>
        <v>4352.9333974049996</v>
      </c>
      <c r="W6" s="96"/>
      <c r="X6" s="95"/>
      <c r="Y6" s="95"/>
      <c r="Z6" s="95"/>
      <c r="AA6" s="95"/>
      <c r="AB6" s="95"/>
    </row>
    <row r="7" spans="1:28" ht="25.2" thickBot="1" x14ac:dyDescent="0.45">
      <c r="A7" s="6">
        <f>B8</f>
        <v>40400</v>
      </c>
      <c r="B7" s="29">
        <f>IF(L20="YES",C8*1,IF(L20="NO",B8*1))</f>
        <v>40400</v>
      </c>
      <c r="C7" s="29">
        <f>B7*5/100</f>
        <v>2020</v>
      </c>
      <c r="D7" s="29">
        <f>B7+C7</f>
        <v>42420</v>
      </c>
      <c r="E7" s="29">
        <f>D17</f>
        <v>10615.57675</v>
      </c>
      <c r="F7" s="29">
        <f>(C7)+(D10+D11+D12+D13+D16)*5/100</f>
        <v>2290</v>
      </c>
      <c r="G7" s="30">
        <f>B7+E7+F7</f>
        <v>53305.57675</v>
      </c>
      <c r="H7" s="29">
        <f>G7*D20</f>
        <v>10661.11535</v>
      </c>
      <c r="I7" s="29">
        <f>(G7-H7)</f>
        <v>42644.4614</v>
      </c>
      <c r="J7" s="30">
        <f>(((I7*D19)*1)+I7)/12</f>
        <v>3642.1923740716666</v>
      </c>
      <c r="K7" s="30">
        <f>(((I7*D19)*2)+I7)/24</f>
        <v>1865.3398157383333</v>
      </c>
      <c r="L7" s="30">
        <f>(((I7*D19)*3)+I7)/36</f>
        <v>1273.0556296272223</v>
      </c>
      <c r="M7" s="30">
        <f>(((I7*D19)*4)+I7)/48</f>
        <v>976.91353657166667</v>
      </c>
      <c r="N7" s="30">
        <f>((((I7*D19)*5)+I7)/60)</f>
        <v>799.2282807383333</v>
      </c>
      <c r="O7" s="92"/>
      <c r="P7" s="83">
        <f>H7+H16</f>
        <v>11108.8821947</v>
      </c>
      <c r="T7" s="87">
        <f>25973/2</f>
        <v>12986.5</v>
      </c>
    </row>
    <row r="8" spans="1:28" ht="24.6" x14ac:dyDescent="0.4">
      <c r="A8" s="7">
        <v>0.2</v>
      </c>
      <c r="B8" s="31">
        <f>IF(D5="MIG09",39900,IF(D5="MIG10",40400,IF(D5="ATG16",40400,IF(D5="ATP16",49900,IF(D5="ATG17",41900,IF(D5="ASG48",63900,IF(D5="ASG43",62900,IF(D5="ASG40",63900,IF(D5="ASG42",68900,IF(D5="ASG44",89900,IF(D5="ASG45",95900,IF(D5="ECG38",73900,IF(D5="ECG37",70900,IF(D5="ECG40",86900,IF(D5="ECG43",91900,IF(D5="XPML",62900,IF(D5="XPHL",62900,IF(D5="XPMLP",69900,IF(D5="XPMLP-01",77800,IF(D5="XC",77900,IF(D5="OTF03",96900,IF(D5="OTP03",79900,IF(D5="OTF06",92900,IF(D5="OTP06",111900,IF(D5="OTP06-01",118900,IF(D5="OTF08",122900,IF(D5="OTP08",109900,IF(D5="MOP57",99900,IF(D5="MOG64",108900,IF(D5="MOG59",116900,IF(D5="MOG59P",110900,IF(D5="MOG61",127900,IF(D5="MOP61",125900)))))))))))))))))))))))))))))))))</f>
        <v>40400</v>
      </c>
      <c r="C8" s="32">
        <f>IF(L20="YES",N20,IF(L20="NO",N20))</f>
        <v>40400</v>
      </c>
      <c r="D8" s="29">
        <v>0</v>
      </c>
      <c r="E8" s="33"/>
      <c r="F8" s="139"/>
      <c r="G8" s="140"/>
      <c r="H8" s="110">
        <f>G7*20/100</f>
        <v>10661.11535</v>
      </c>
      <c r="I8" s="21"/>
      <c r="J8" s="34" t="s">
        <v>15</v>
      </c>
      <c r="K8" s="23">
        <f>(J7*K5+J7)/24</f>
        <v>151.75801558631943</v>
      </c>
      <c r="L8" s="23">
        <f>(J7*L5+J7)/36</f>
        <v>104.60174154313046</v>
      </c>
      <c r="M8" s="23">
        <f>(J7*M5+J7)/48</f>
        <v>81.023604521535944</v>
      </c>
      <c r="N8" s="23">
        <f>(J7*N5+J7)/60</f>
        <v>66.876722308579247</v>
      </c>
      <c r="O8" s="92"/>
      <c r="P8" s="83">
        <f>P7/12</f>
        <v>925.74018289166668</v>
      </c>
      <c r="T8" s="86">
        <f>25973-12973</f>
        <v>13000</v>
      </c>
    </row>
    <row r="9" spans="1:28" ht="24.6" x14ac:dyDescent="0.4">
      <c r="A9" s="8">
        <f>B8/(100%-A8)</f>
        <v>50500</v>
      </c>
      <c r="B9" s="109">
        <f>B7-B8</f>
        <v>0</v>
      </c>
      <c r="C9" s="35"/>
      <c r="D9" s="36"/>
      <c r="E9" s="33"/>
      <c r="F9" s="139"/>
      <c r="G9" s="140"/>
      <c r="H9" s="33"/>
      <c r="I9" s="37" t="s">
        <v>16</v>
      </c>
      <c r="J9" s="38">
        <f>(J7*12)-(I7)</f>
        <v>1061.8470888599986</v>
      </c>
      <c r="K9" s="38">
        <f>(K7*24)-I7</f>
        <v>2123.6941777199972</v>
      </c>
      <c r="L9" s="38">
        <f>(L7*36)-I7</f>
        <v>3185.5412665800031</v>
      </c>
      <c r="M9" s="38">
        <f>(M7*48)-I7</f>
        <v>4247.3883554400018</v>
      </c>
      <c r="N9" s="38">
        <f>(N7*60)-I7</f>
        <v>5309.2354443000004</v>
      </c>
      <c r="O9" s="92"/>
      <c r="T9" s="86">
        <f>T8/12</f>
        <v>1083.3333333333333</v>
      </c>
      <c r="Z9" s="86" t="s">
        <v>86</v>
      </c>
    </row>
    <row r="10" spans="1:28" ht="24.6" x14ac:dyDescent="0.4">
      <c r="A10" s="8"/>
      <c r="B10" s="37" t="s">
        <v>50</v>
      </c>
      <c r="C10" s="20" t="s">
        <v>17</v>
      </c>
      <c r="D10" s="36">
        <f>IF(C10="YES",800,IF(C10="NO",0))</f>
        <v>0</v>
      </c>
      <c r="E10" s="39"/>
      <c r="F10" s="40"/>
      <c r="G10" s="40"/>
      <c r="H10" s="33"/>
      <c r="I10" s="44" t="s">
        <v>85</v>
      </c>
      <c r="J10" s="117" t="s">
        <v>19</v>
      </c>
      <c r="K10" s="117">
        <f>IF(J10="YES",Z10,IF(J10="NO",0))</f>
        <v>500</v>
      </c>
      <c r="L10" s="117"/>
      <c r="M10" s="117"/>
      <c r="N10" s="41">
        <f>(N8*60)-J7</f>
        <v>370.41096444308823</v>
      </c>
      <c r="O10" s="92">
        <f>IF(D5="XC",3690,IF(D5="XPML",3690,IF(D5="XPHL",3690,IF(D5="XPMLP",3690,IF(D5="XPMLP-01",3690,IF(D5="Xpander P",3690,IF(D5="MOP57",(U19*2.75/100+510)*1.05,IF(D5="MOG64",(U19*2.75/100+510)*1.05,IF(D5="MOG59",(U19*2.75/100+510)*1.05,IF(D5="MOG59P",(U19*2.75/100+510)*1.05,IF(D5="MOG61",(U19*2.75/100+510)*1.05,IF(D5="MOP61",(U19*2.75/100+510)*1.05,IF(D5="OTF03",(D7*3/100+510)*1.05,IF(D5="OTP03",(U19*3/100+510)*1.05,IF(D5="OTF06",(U19*3/100+510)*1.05,IF(D5="OTP06",(U19*3/100+510)*1.05,IF(D5="OTP06-01",(U19*3/100+510)*1.05,IF(D5="OTF08",(U19*3/100+510)*1.05,IF(D5="OTP08",(U19*3/100+510)*1.05,IF(D5="ECG38",3625,IF(D5="ECG37",3625,IF(D5="ECG40",(D7*3/100+510)*1.05,IF(D5="ECG43",(D7*3/100+510)*1.05,IF(D5="ASG48",3625,IF(D5="ASG43",3625,IF(D5="ASG40",3625,IF(D5="ASG42",3625,IF(D5="ASG44",3625,IF(D5="ASG45",3625,IF(D5="ASX HL 4WD",3625,IF(D5="ATG16",3625,IF(D5="ATG17",3625,IF(D5="ATP16",3625,IF(D5="Attrage S",3625,IF(D5="MIG09",3625,IF(D5="MIG10",3625,IF(D5="Xpander HL",3690)))))))))))))))))))))))))))))))))))))</f>
        <v>3625</v>
      </c>
      <c r="P10" s="97"/>
      <c r="Q10" s="97">
        <f>5.25*3</f>
        <v>15.75</v>
      </c>
      <c r="Z10" s="86">
        <f>IF(D5="MIG09",500,IF(D5="MIG10",500,IF(D5="ATG16",500,IF(D5="ATP16",500,IF(D5="ATG17",500,IF(D5="ASG48",1000,IF(D5="ASG43",1000,IF(D5="ASG40",1000,IF(D5="ASG42",1000,IF(D5="ASG44",1000,IF(D5="ASG45",1000,IF(D5="ECG38",1000,IF(D5="ECG37",1000,IF(D5="ECG40",1000,IF(D5="ECG43",1000,IF(D5="XPML",1000,IF(D5="XPHL",1000,IF(D5="XPMLP",1000,IF(D5="XPMLP-01",1000,IF(D5="XC",1000,IF(D5="OTF03",1000,IF(D5="OTP03",1000,IF(D5="OTF06",1000,IF(D5="OTP06",1000,IF(D5="OTP06-01",1000,IF(D5="OTF08",1000,IF(D5="OTP08",1000,IF(D5="MOP57",1000,IF(D5="MOG64",1000,IF(D5="MOG59",1000,IF(D5="MOG59P",1000,IF(D5="MOG61",1000,IF(D5="MOP61",1000)))))))))))))))))))))))))))))))))</f>
        <v>500</v>
      </c>
    </row>
    <row r="11" spans="1:28" ht="24.6" x14ac:dyDescent="0.4">
      <c r="A11" s="8"/>
      <c r="B11" s="37" t="s">
        <v>18</v>
      </c>
      <c r="C11" s="20" t="s">
        <v>17</v>
      </c>
      <c r="D11" s="36">
        <f>IF(C11="YES",O17,IF(C11="NO",0))</f>
        <v>0</v>
      </c>
      <c r="E11" s="33"/>
      <c r="F11" s="40"/>
      <c r="G11" s="40"/>
      <c r="H11" s="33"/>
      <c r="I11" s="21"/>
      <c r="J11" s="44" t="s">
        <v>76</v>
      </c>
      <c r="K11" s="44">
        <f>H8-K10</f>
        <v>10161.11535</v>
      </c>
      <c r="L11" s="37"/>
      <c r="M11" s="37"/>
      <c r="N11" s="42"/>
      <c r="O11" s="92">
        <f>IF(D5="XC",6100,IF(D5="XPML",6100,IF(D5="XPHL",6100,IF(D5="XPMLP",6100,IF(D5="XPMLP-01",6100,IF(D5="Xpander P",6100,IF(D5="MOP57",5900,IF(D5="MOG64",5900,IF(D5="MOG59",5900,IF(D5="MOG59P",5900,IF(D5="MOG61",5900,IF(D5="MOP61",5900,IF(D5="OTF03",6700,IF(D5="OTP03",6700,IF(D5="OTF06",6700,IF(D5="OTP06",6700,IF(D5="OTP06-01",6700,IF(D5="OTF08",6700,IF(D5="OTP08",6700,IF(D5="ECG37",6400,IF(D5="ECG38",6400,IF(D5="ECG40",6400,IF(D5="ECG43",6400,IF(D5="ASG48",6600,IF(D5="ASG43",6600,IF(D5="ASG40",6600,IF(D5="ASG42",6600,IF(D5="ASG44",6600,IF(D5="ASG45",6600,IF(D5="ASX HL 4WD",6600,IF(D5="ATG16",5400,IF(D5="ATG17",5400,IF(D5="ATP16",5400,IF(D5="Attrage S",5400,IF(D5="MIG09",5400,IF(D5="MIG10",5400,IF(D5="Xpander HL",6000)))))))))))))))))))))))))))))))))))))</f>
        <v>5400</v>
      </c>
      <c r="P11" s="92"/>
      <c r="Q11" s="92"/>
      <c r="R11" s="92"/>
      <c r="S11" s="92"/>
      <c r="T11" s="92"/>
      <c r="U11" s="92">
        <f>IF(D5="XC",4900,IF(D5="XPML",4900,IF(D5="XPHL",4900,IF(D5="XPMLP",4900,IF(D5="XPMLP-01",4900,IF(D5="Xpander P",4900,IF(D5="MOP57",4600,IF(D5="MOG64",4600,IF(D5="MOG59",4600,IF(D5="MOG59P",4600,IF(D5="MOG61",4600,IF(D5="MOP61",4600,IF(D5="OTF03",5500,IF(D5="OTP03",5500,IF(D5="OTF06",5500,IF(D5="OTP06",5500,IF(D5="OTP06-01",5500,IF(D5="OTF08",5500,IF(D5="OTP08",5500,IF(D5="ECG38",5200,IF(D5="ECG37",5200,IF(D5="ECG40",5200,IF(D5="ECG43",5200,IF(D5="ASG48",5300,IF(D5="ASG43",5300,IF(D5="ASG40",5300,IF(D5="ASG42",5300,IF(D5="ASG44",5300,IF(D5="ASG45",5300,IF(D5="ASX HL",5300,IF(D5="ASX P",5300,IF(D5="ASX HL 4WD",5300,IF(D5="ATG16",4200,IF(D5="ATG17",4200,IF(D5="ATP16",4200,IF(D5="Attrage S",4200,IF(D5="MIG09",4200,IF(D5="MIG10",4200,IF(D5="Xpander HL",4900)))))))))))))))))))))))))))))))))))))))</f>
        <v>4200</v>
      </c>
      <c r="V11" s="92">
        <f>IF(D5="XC",9700,IF(D5="XPML",9700,IF(D5="XPHL",9700,IF(D5="XPMLP",9700,IF(D5="XPMLP-01",9700,IF(D5="XPMLP-01",9700,IF(D5="Xpander P",9700,IF(D5="MOP57",9300,IF(D5="MG64",9300,IF(D5="MOG59",9300,IF(D5="MOG59P",9300,IF(D5="MOG61",9300,IF(D5="MOP61",9300,IF(D5="OTF03",11000,IF(D5="OTP03",11000,IF(D5="OTF06",11000,IF(D5="OTP06",11000,IF(D5="OTP06-01",11000,IF(D5="OTF08",11000,IF(D5="OTP08",11000,IF(D5="ECG38",10400,IF(D5="ECG37",10400,IF(D5="ECG40",10400,IF(D5="ECG43",10400,IF(D5="ASG48",10700,IF(D5="ASG43",10700,IF(D5="ASG40",10700,IF(D5="ASG42",10700,IF(D5="ASG44",10800,IF(D5="ASG45",10800,IF(D5="ASX HL",12200,IF(D5="ASX P",12200,IF(D5="ASX HL 4WD",12200,IF(D5="ATG16",8500,IF(D5="ATG17",8500,IF(D5="ATP16",8500,IF(D5="Attrage S",9600,IF(D5="MIG09",8500,IF(D5="MIG10",8500,IF(D5="Xpander HL",11300))))))))))))))))))))))))))))))))))))))))</f>
        <v>8500</v>
      </c>
      <c r="W11" s="92">
        <f>IF(D5="XC",9200,IF(D5="XPML",9200,IF(D5="XPHL",9200,IF(D5="XPMLP",9200,IF(D5="XPMLP-01",9200,IF(D5="Xpander P",9200,IF(D5="MOP57",8700,IF(D5="MOG64",8700,IF(D5="MOG59",8700,IF(D5="MOG59P",8700,IF(D5="MOG61",8700,IF(D5="MOP61",8700,IF(D5="OTF03",10400,IF(D5="OTP03",10400,IF(D5="OTF06",10400,IF(D5="OTP06",10400,IF(D5="OTP06-01",10400,IF(D5="OTF08",10400,IF(D5="OTP08",10400,IF(D5="ECG38",9800,IF(D5="ECG37",9800,IF(D5="ECG40",9800,IF(D5="ECG43",9800,IF(D5="ASG48",10100,IF(D5="ASG43",10100,IF(D5="ASG40",10100,IF(D5="ASG42",10100,IF(D5="ASG44",10100,IF(D5="ASG45",10100,IF(D5="ASX HL",10100,IF(D5="ASX P",10100,IF(D5="ASX HL 4WD",10100,IF(D5="ATG16",7900,IF(D5="ATG17",7900,IF(D5="ATP16",7900,IF(D5="Attrage S",7900,IF(D5="MIG09",7900,IF(D5="MIG10",7900,IF(D5="Xpander HL",9200)))))))))))))))))))))))))))))))))))))))</f>
        <v>7900</v>
      </c>
      <c r="X11" s="92">
        <f>IF(D5="XC",4500,IF(D5="XPML",4500,IF(D5="XPHL",4500,IF(D5="XPMLP",4500,IF(D5="XPMLP-01",4500,IF(D5="Xpander P",4500,IF(D5="MOP57",4300,IF(D5="MOG64",4300,IF(D5="MOG59",4300,IF(D5="MOG59P",4300,IF(D5="MOG61",4300,IF(D5="MOP61",4300,IF(D5="OTF03",5000,IF(D5="OTP03",5000,IF(D5="OTF06",5000,IF(D5="OTP06",5000,IF(D5="OTP06-01",5000,IF(D5="OTF08",5000,IF(D5="OTP08",5000,IF(D5="ECG38",4900,IF(D5="ECG37",4900,IF(D5="ECG40",4900,IF(D5="ECG43",4900,IF(D5="ASG48",4900,IF(D5="ASG43",4900,IF(D5="ASG40",4900,IF(D5="ASG42",4900,IF(D5="ASG44",4900,IF(D5="ASG45",4900,IF(D5="ASX HL",4900,IF(D5="ASX P",4900,IF(D5="ASX HL 4WD",4900,IF(D5="ATG16",3700,IF(D5="ATG17",3700,IF(D5="ATP16",3700,IF(D5="Attrage S",3700,IF(D5="MIG09",3700,IF(D5="MIG10",3700,IF(D5="Xpander HL",4500)))))))))))))))))))))))))))))))))))))))</f>
        <v>3700</v>
      </c>
      <c r="Y11" s="92">
        <f>IF(D5="XC",5400,IF(D5="XPML ",5400,IF(D5="XPHL",5400,IF(D5="XPMLP",5400,IF(D5="XPMLP-01",5400,IF(D5="Xpander P",5400,IF(D5="MOP57",5200,IF(D5="MOG64",5200,IF(D5="MOG59",5200,IF(D5="MOG59P",5200,IF(D5="MOG61",5200,IF(D5="MOP61",5200,IF(D5="OTF03",6000,IF(D5="OTP03",6000,IF(D5="OTF06",6000,IF(D5="OTP06",6000,IF(D5="OTP06-01",6000,IF(D5="OTF08",6000,IF(D5="OTP08",6000,IF(D5="ECG38",5700,IF(D5="ECG37",5700,IF(D5="ECG40",5700,IF(D5="ECG43",5700,IF(D5="ASG48",5900,IF(D5="ASG43",5900,IF(D5="ASG40",5900,IF(D5="ASG42",5900,IF(D5="ASG44",5900,IF(D5="ASG45",5900,IF(D5="ASX HL",5900,IF(D5="ASX P",5900,IF(D5="ASX HL 4WD",5900,IF(D5="ATG16",4500,IF(D5="ATG17",4500,IF(D5="ATP16",4500,IF(D5="Attrage S",4500,IF(D5="MIG09",4500,IF(D5="MIG10",4500,IF(D5="Xpander HL",5400)))))))))))))))))))))))))))))))))))))))</f>
        <v>4500</v>
      </c>
    </row>
    <row r="12" spans="1:28" ht="24.75" customHeight="1" x14ac:dyDescent="0.4">
      <c r="A12" s="8"/>
      <c r="B12" s="37" t="s">
        <v>20</v>
      </c>
      <c r="C12" s="20" t="s">
        <v>17</v>
      </c>
      <c r="D12" s="36">
        <f>IF(C12="YES",2000,IF(C12="NO",0))</f>
        <v>0</v>
      </c>
      <c r="E12" s="43"/>
      <c r="F12" s="43" t="s">
        <v>21</v>
      </c>
      <c r="G12" s="40"/>
      <c r="H12" s="33">
        <v>600</v>
      </c>
      <c r="I12" s="21"/>
      <c r="J12" s="44" t="s">
        <v>22</v>
      </c>
      <c r="K12" s="45">
        <v>0</v>
      </c>
      <c r="L12" s="45">
        <v>5.2499999999999998E-2</v>
      </c>
      <c r="M12" s="45">
        <v>0.126</v>
      </c>
      <c r="N12" s="46">
        <v>0.26250000000000001</v>
      </c>
      <c r="O12" s="92">
        <f>IF(K20="Esaad",B8*3/100,IF(K20="Emirates Platinum",B8*3/100,IF(K20="Fazaa",B8*3/100,IF(K20="Humat Alwatan",B8*3/100,IF(K20="Permissible",2000,IF(K20="ASX",8400,IF(K20="XPMLP",4000,IF(K20="XP",14100,IF(K20="G43",11000,IF(K20="EC",7000,IF(K20="G37",14000,IF(K20="G38",15000,IF(K20="G40",11000,IF(K20="OUT",9600,IF(K20="F08",15400,IF(K20="P08",11100,IF(K20="F06",14100,IF(K20="P06",17100,IF(K20="F03",17000,IF(K20="P03",19100,IF(K20="MON",10000,IF(K20="MON G57",10000,0))))))))))))))))))))))</f>
        <v>2000</v>
      </c>
      <c r="P12" s="92"/>
      <c r="Q12" s="92"/>
      <c r="R12" s="92"/>
      <c r="S12" s="92"/>
      <c r="T12" s="92"/>
      <c r="U12" s="92"/>
      <c r="V12" s="92"/>
      <c r="W12" s="92"/>
      <c r="X12" s="92"/>
      <c r="Y12" s="92"/>
      <c r="Z12" s="86" t="s">
        <v>83</v>
      </c>
      <c r="AA12" s="86" t="s">
        <v>84</v>
      </c>
    </row>
    <row r="13" spans="1:28" ht="24.6" x14ac:dyDescent="0.4">
      <c r="A13" s="8">
        <f>B8*1.26582</f>
        <v>51139.127999999997</v>
      </c>
      <c r="B13" s="37" t="s">
        <v>23</v>
      </c>
      <c r="C13" s="20" t="s">
        <v>17</v>
      </c>
      <c r="D13" s="36">
        <f>IF(C13="YES",2000,IF(C13="NO",0))</f>
        <v>0</v>
      </c>
      <c r="E13" s="47"/>
      <c r="F13" s="47" t="s">
        <v>75</v>
      </c>
      <c r="G13" s="40"/>
      <c r="H13" s="33">
        <v>315</v>
      </c>
      <c r="I13" s="21"/>
      <c r="J13" s="44" t="s">
        <v>54</v>
      </c>
      <c r="K13" s="29" t="s">
        <v>79</v>
      </c>
      <c r="L13" s="29" t="s">
        <v>25</v>
      </c>
      <c r="M13" s="29" t="s">
        <v>0</v>
      </c>
      <c r="N13" s="49" t="s">
        <v>26</v>
      </c>
      <c r="O13" s="98">
        <f>IF(M21="3000-4999",6%,IF(M21="5000-9999",4.75%,IF(M21="10000-14999",3.15%,IF(M21="15000-24999",2.5%,IF(M21="25000-34999",2.25%,IF(M21="35000-99999",2.25%))))))</f>
        <v>4.7500000000000001E-2</v>
      </c>
      <c r="Q13" s="83">
        <f>H7/12</f>
        <v>888.42627916666663</v>
      </c>
      <c r="U13" s="9">
        <f>IF(M21="3000-4999",6%,IF(M21="5000-9999",3.25%,IF(M21="10000-14999",3%,IF(M21="15000-24999",2.25%,IF(M21="25000-34999",2.15%,IF(M21="35000-99999",1.99%))))))</f>
        <v>3.2500000000000001E-2</v>
      </c>
      <c r="Z13" s="99">
        <f>IF(M21="5000-9999",2.49%,IF(M21="10000-19999",2.19%,IF(M21="20000-34999",2.09%,IF(M21="35000-49999",1.89%,IF(M21="50000-99999",1.79%)))))</f>
        <v>2.4900000000000002E-2</v>
      </c>
      <c r="AA13" s="99">
        <f>IF(M21="5000-9999",2.59%,IF(M21="10000-19999",2.29%,IF(M21="20000-34999",2.19%,IF(M21="35000-49999",1.99%,IF(M21="50000-99999",1.89%)))))</f>
        <v>2.5899999999999999E-2</v>
      </c>
    </row>
    <row r="14" spans="1:28" ht="24.6" x14ac:dyDescent="0.4">
      <c r="A14" s="10" t="s">
        <v>27</v>
      </c>
      <c r="B14" s="37" t="s">
        <v>24</v>
      </c>
      <c r="C14" s="20" t="s">
        <v>19</v>
      </c>
      <c r="D14" s="50">
        <f>IF(C14="YES",U19*3.15*1.05/100,IF(C14="NO",U19*0/100))</f>
        <v>1590.5767500000002</v>
      </c>
      <c r="E14" s="48"/>
      <c r="F14" s="48" t="s">
        <v>24</v>
      </c>
      <c r="G14" s="51" t="s">
        <v>17</v>
      </c>
      <c r="H14" s="39">
        <f>IF(G14="YES",U19*3.15*1.05/100,IF(G14="NO",U19*0/100))</f>
        <v>0</v>
      </c>
      <c r="I14" s="21"/>
      <c r="J14" s="44" t="s">
        <v>55</v>
      </c>
      <c r="K14" s="44">
        <f>(H8*K12+H8)/3</f>
        <v>3553.7051166666665</v>
      </c>
      <c r="L14" s="44">
        <f>(H8*L12+H8)/12</f>
        <v>935.06865882291675</v>
      </c>
      <c r="M14" s="44">
        <f>(H8*M12+H8)/24</f>
        <v>500.18399517083338</v>
      </c>
      <c r="N14" s="52">
        <f>(H7*N12+H7)/60</f>
        <v>224.32763548958334</v>
      </c>
      <c r="O14" s="98">
        <f>IF(M21="3000-4999",3.89%,IF(M21="5000-9999",3.89%,IF(M21="10000-14999",3.89%,IF(M21="15000-24999",2.69%,IF(M21="25000-34999",2.69%,IF(M21="35000-99999",2.39%,IF(M21="76000-99999",2.19%)))))))</f>
        <v>3.8900000000000004E-2</v>
      </c>
    </row>
    <row r="15" spans="1:28" ht="24.6" x14ac:dyDescent="0.4">
      <c r="A15" s="11">
        <f>(B7*3%)+10+120</f>
        <v>1342</v>
      </c>
      <c r="B15" s="37" t="s">
        <v>28</v>
      </c>
      <c r="C15" s="20" t="s">
        <v>19</v>
      </c>
      <c r="D15" s="29">
        <f>IF(C15="YES",O10,IF(C15="NO",0))</f>
        <v>3625</v>
      </c>
      <c r="E15" s="48"/>
      <c r="F15" s="48" t="s">
        <v>53</v>
      </c>
      <c r="G15" s="51" t="s">
        <v>17</v>
      </c>
      <c r="H15" s="39">
        <f>IF(G15="YES",O10,IF(G15="NO",0))</f>
        <v>0</v>
      </c>
      <c r="I15" s="21"/>
      <c r="J15" s="44"/>
      <c r="K15" s="44"/>
      <c r="L15" s="44"/>
      <c r="M15" s="44"/>
      <c r="N15" s="53"/>
      <c r="O15" s="98" t="b">
        <f>IF(M21="3000-4999",4.99%, IF(M21="5000-11999",2.75%,IF(M21="12000-19999",2.75%,IF(M21="20000-39999",2.25%,IF(M21="40000-69999",2.39%,IF(M21="70000-99999",2.25%))))))</f>
        <v>0</v>
      </c>
      <c r="P15" s="99"/>
    </row>
    <row r="16" spans="1:28" ht="24.6" x14ac:dyDescent="0.4">
      <c r="A16" s="11">
        <f>((B7-B8)*3%+10+120)</f>
        <v>130</v>
      </c>
      <c r="B16" s="37" t="s">
        <v>78</v>
      </c>
      <c r="C16" s="20" t="s">
        <v>19</v>
      </c>
      <c r="D16" s="29">
        <f>IF(C16="YES",O16,IF(C16="NO",0))</f>
        <v>5400</v>
      </c>
      <c r="E16" s="47"/>
      <c r="F16" s="47" t="s">
        <v>74</v>
      </c>
      <c r="G16" s="54"/>
      <c r="H16" s="33">
        <f>I7*1.05%</f>
        <v>447.76684470000004</v>
      </c>
      <c r="I16" s="21"/>
      <c r="J16" s="44" t="s">
        <v>16</v>
      </c>
      <c r="K16" s="44">
        <f>(K14*3)-H8</f>
        <v>0</v>
      </c>
      <c r="L16" s="44">
        <f>(L14*12)-H8</f>
        <v>559.70855587500046</v>
      </c>
      <c r="M16" s="44">
        <f>(M14*24)-H8</f>
        <v>1343.3005341000007</v>
      </c>
      <c r="N16" s="53"/>
      <c r="O16" s="92">
        <f>IF(B16="RMC-10-70KMS",O11,IF(B16="RMC-10-100000KMS",V11,IF(B16="RMC-40-70KMS",U11, IF(B16="RMC-10-40KMS",X11, IF(B16="RMC-10-60KMS",Y11, IF(B16="RMC-40-100000KMS",W11,0))))))</f>
        <v>5400</v>
      </c>
    </row>
    <row r="17" spans="1:28" ht="24.6" x14ac:dyDescent="0.4">
      <c r="A17" s="11">
        <f>A15+A16</f>
        <v>1472</v>
      </c>
      <c r="B17" s="37"/>
      <c r="C17" s="20"/>
      <c r="D17" s="29">
        <f>SUM(D10:D16)</f>
        <v>10615.57675</v>
      </c>
      <c r="E17" s="33"/>
      <c r="F17" s="33"/>
      <c r="G17" s="33"/>
      <c r="H17" s="33">
        <f>H7+H12+H15+H16</f>
        <v>11708.8821947</v>
      </c>
      <c r="I17" s="33"/>
      <c r="J17" s="22"/>
      <c r="K17" s="53"/>
      <c r="L17" s="53"/>
      <c r="M17" s="53"/>
      <c r="N17" s="53"/>
      <c r="O17" s="92">
        <f>IF(B11="FO Ceramic+ Intr&amp;Extr CeramicGold WdwTnt",2700,IF(B11="FO Mirror Camera Sensor",2000))</f>
        <v>2700</v>
      </c>
      <c r="T17" s="86">
        <f>19615-791</f>
        <v>18824</v>
      </c>
    </row>
    <row r="18" spans="1:28" ht="24.6" x14ac:dyDescent="0.4">
      <c r="A18" s="12" t="s">
        <v>29</v>
      </c>
      <c r="B18" s="55" t="s">
        <v>30</v>
      </c>
      <c r="C18" s="56"/>
      <c r="D18" s="57">
        <v>0</v>
      </c>
      <c r="E18" s="38"/>
      <c r="F18" s="22"/>
      <c r="G18" s="22"/>
      <c r="H18" s="21"/>
      <c r="I18" s="21"/>
      <c r="J18" s="21"/>
      <c r="K18" s="21"/>
      <c r="L18" s="21"/>
      <c r="M18" s="21"/>
      <c r="N18" s="21"/>
      <c r="O18" s="92"/>
      <c r="U18" s="100" t="s">
        <v>52</v>
      </c>
      <c r="V18" s="100" t="s">
        <v>52</v>
      </c>
    </row>
    <row r="19" spans="1:28" ht="24.6" x14ac:dyDescent="0.4">
      <c r="A19" s="11">
        <f>B8*3.15%</f>
        <v>1272.5999999999999</v>
      </c>
      <c r="B19" s="58" t="s">
        <v>31</v>
      </c>
      <c r="C19" s="59"/>
      <c r="D19" s="60">
        <f>IF(K21="DIB EXPAT",O13,IF(K21="DIB LOCAL GVH",U13,IF(K21="Emirates NBD",O14,IF(K21="ADCB",O15,IF(K21="ADCB PAY IN 2027",O19,IF(K21="Ajman Bank",O18,IF(K21="SIB STL",Z13,IF(K21="SIB NON STL",AA13,))))))))</f>
        <v>2.4900000000000002E-2</v>
      </c>
      <c r="E19" s="22"/>
      <c r="F19" s="61"/>
      <c r="G19" s="141" t="s">
        <v>73</v>
      </c>
      <c r="H19" s="142"/>
      <c r="I19" s="143"/>
      <c r="J19" s="109">
        <f>H7/365</f>
        <v>29.208535205479453</v>
      </c>
      <c r="K19" s="21"/>
      <c r="L19" s="21"/>
      <c r="M19" s="21"/>
      <c r="N19" s="23">
        <f>D7</f>
        <v>42420</v>
      </c>
      <c r="O19" s="98" t="b">
        <f>IF(M21="5000-11999",3.35%,IF(M21="12000-19999",3.35%,IF(M21="20000-39999",2.85%,IF(M21="40000-69999",2.85%,IF(M21="70000-99999",2.85%)))))</f>
        <v>0</v>
      </c>
      <c r="P19" s="83">
        <f>81400-2500</f>
        <v>78900</v>
      </c>
      <c r="U19" s="101">
        <f>V19</f>
        <v>48090</v>
      </c>
      <c r="V19" s="102">
        <f>(B7+D10+D11+D12+D13+D16)*1.05</f>
        <v>48090</v>
      </c>
      <c r="X19" s="87">
        <f>G7*3.15*1.05/100</f>
        <v>1763.0819510062502</v>
      </c>
      <c r="Y19" s="87">
        <f>G7*3/100+510*1.05</f>
        <v>2134.6673025</v>
      </c>
      <c r="Z19" s="87">
        <f>Y19+X19</f>
        <v>3897.7492535062502</v>
      </c>
      <c r="AA19" s="87">
        <f>(Z19)-(D14+D15)</f>
        <v>-1317.82749649375</v>
      </c>
      <c r="AB19" s="87">
        <f>AA19*1.25</f>
        <v>-1647.2843706171875</v>
      </c>
    </row>
    <row r="20" spans="1:28" ht="24.6" x14ac:dyDescent="0.4">
      <c r="A20" s="11"/>
      <c r="B20" s="58" t="s">
        <v>32</v>
      </c>
      <c r="C20" s="62"/>
      <c r="D20" s="63">
        <v>0.2</v>
      </c>
      <c r="E20" s="21"/>
      <c r="F20" s="21"/>
      <c r="G20" s="42"/>
      <c r="H20" s="42"/>
      <c r="I20" s="42"/>
      <c r="J20" s="103"/>
      <c r="K20" s="104" t="s">
        <v>33</v>
      </c>
      <c r="L20" s="104" t="s">
        <v>17</v>
      </c>
      <c r="M20" s="104">
        <f>IF(L20="YES",O12,IF(L20="NO",0))</f>
        <v>0</v>
      </c>
      <c r="N20" s="23">
        <f>B8-M20</f>
        <v>40400</v>
      </c>
      <c r="O20" s="92"/>
      <c r="P20" s="99"/>
      <c r="T20" s="86">
        <f>1992+1084</f>
        <v>3076</v>
      </c>
      <c r="V20" s="83"/>
      <c r="X20" s="87">
        <f>X19-D14</f>
        <v>172.50520100624999</v>
      </c>
      <c r="Y20" s="87">
        <f>Y19-D15</f>
        <v>-1490.3326975</v>
      </c>
      <c r="AA20" s="87">
        <f>X20+Y20</f>
        <v>-1317.82749649375</v>
      </c>
    </row>
    <row r="21" spans="1:28" ht="24.6" x14ac:dyDescent="0.4">
      <c r="A21" s="13">
        <f>A19+A20</f>
        <v>1272.5999999999999</v>
      </c>
      <c r="B21" s="21"/>
      <c r="C21" s="22"/>
      <c r="D21" s="21"/>
      <c r="E21" s="21"/>
      <c r="F21" s="21"/>
      <c r="G21" s="21"/>
      <c r="H21" s="21"/>
      <c r="I21" s="21"/>
      <c r="J21" s="37" t="s">
        <v>34</v>
      </c>
      <c r="K21" s="16" t="s">
        <v>83</v>
      </c>
      <c r="L21" s="105" t="s">
        <v>35</v>
      </c>
      <c r="M21" s="106" t="s">
        <v>80</v>
      </c>
      <c r="N21" s="111"/>
      <c r="O21" s="92"/>
      <c r="T21" s="86">
        <f>25973-12973</f>
        <v>13000</v>
      </c>
    </row>
    <row r="22" spans="1:28" ht="24.6" x14ac:dyDescent="0.4">
      <c r="A22" s="13"/>
      <c r="B22" s="130" t="s">
        <v>51</v>
      </c>
      <c r="C22" s="131"/>
      <c r="D22" s="131"/>
      <c r="E22" s="131"/>
      <c r="F22" s="131"/>
      <c r="G22" s="131"/>
      <c r="H22" s="131"/>
      <c r="I22" s="131"/>
      <c r="J22" s="131"/>
      <c r="K22" s="131"/>
      <c r="L22" s="131"/>
      <c r="M22" s="131"/>
      <c r="N22" s="132"/>
      <c r="O22" s="92"/>
    </row>
    <row r="23" spans="1:28" ht="25.2" x14ac:dyDescent="0.45">
      <c r="A23" s="14" t="s">
        <v>36</v>
      </c>
      <c r="B23" s="64" t="s">
        <v>57</v>
      </c>
      <c r="C23" s="65"/>
      <c r="D23" s="65"/>
      <c r="E23" s="65"/>
      <c r="F23" s="65"/>
      <c r="G23" s="65"/>
      <c r="H23" s="66"/>
      <c r="I23" s="66"/>
      <c r="J23" s="65"/>
      <c r="K23" s="65"/>
      <c r="L23" s="65"/>
      <c r="M23" s="65"/>
      <c r="N23" s="67"/>
      <c r="O23" s="92">
        <f>N7+K14</f>
        <v>4352.9333974049996</v>
      </c>
    </row>
    <row r="24" spans="1:28" ht="25.2" x14ac:dyDescent="0.45">
      <c r="A24" s="14" t="s">
        <v>36</v>
      </c>
      <c r="B24" s="64" t="s">
        <v>58</v>
      </c>
      <c r="C24" s="65"/>
      <c r="D24" s="65"/>
      <c r="E24" s="65"/>
      <c r="F24" s="65"/>
      <c r="G24" s="65"/>
      <c r="H24" s="85">
        <f>H7/365</f>
        <v>29.208535205479453</v>
      </c>
      <c r="I24" s="85">
        <f>H7/365</f>
        <v>29.208535205479453</v>
      </c>
      <c r="J24" s="65"/>
      <c r="K24" s="65"/>
      <c r="L24" s="65"/>
      <c r="M24" s="65"/>
      <c r="N24" s="68"/>
      <c r="O24" s="92"/>
      <c r="P24" s="83">
        <f>1232+480</f>
        <v>1712</v>
      </c>
      <c r="T24" s="86">
        <f>88704/1.05</f>
        <v>84480</v>
      </c>
    </row>
    <row r="25" spans="1:28" ht="25.2" x14ac:dyDescent="0.45">
      <c r="A25" s="14" t="s">
        <v>36</v>
      </c>
      <c r="B25" s="64" t="s">
        <v>59</v>
      </c>
      <c r="C25" s="65"/>
      <c r="D25" s="65"/>
      <c r="E25" s="65"/>
      <c r="F25" s="65"/>
      <c r="G25" s="65"/>
      <c r="H25" s="66"/>
      <c r="I25" s="85">
        <f>I24*365*3</f>
        <v>31983.34605</v>
      </c>
      <c r="J25" s="65"/>
      <c r="K25" s="65"/>
      <c r="L25" s="65"/>
      <c r="M25" s="65"/>
      <c r="N25" s="68"/>
      <c r="O25" s="92"/>
      <c r="Q25" s="86">
        <f>79400-5233.33</f>
        <v>74166.67</v>
      </c>
      <c r="R25" s="86">
        <f>Q25*1.05</f>
        <v>77875.003500000006</v>
      </c>
    </row>
    <row r="26" spans="1:28" ht="25.2" x14ac:dyDescent="0.45">
      <c r="A26" s="14" t="s">
        <v>36</v>
      </c>
      <c r="B26" s="64" t="s">
        <v>60</v>
      </c>
      <c r="C26" s="65"/>
      <c r="D26" s="65"/>
      <c r="E26" s="65"/>
      <c r="F26" s="65"/>
      <c r="G26" s="65"/>
      <c r="H26" s="65"/>
      <c r="I26" s="65"/>
      <c r="J26" s="65"/>
      <c r="K26" s="65"/>
      <c r="L26" s="65"/>
      <c r="M26" s="65"/>
      <c r="N26" s="68"/>
      <c r="O26" s="92" t="s">
        <v>37</v>
      </c>
      <c r="R26" s="86">
        <f>R25+2469</f>
        <v>80344.003500000006</v>
      </c>
    </row>
    <row r="27" spans="1:28" ht="25.2" x14ac:dyDescent="0.45">
      <c r="A27" s="14" t="s">
        <v>36</v>
      </c>
      <c r="B27" s="64" t="s">
        <v>61</v>
      </c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8"/>
      <c r="O27" s="92">
        <f>129500-110900</f>
        <v>18600</v>
      </c>
    </row>
    <row r="28" spans="1:28" ht="25.2" x14ac:dyDescent="0.45">
      <c r="B28" s="64" t="s">
        <v>62</v>
      </c>
      <c r="C28" s="65"/>
      <c r="D28" s="65"/>
      <c r="E28" s="65"/>
      <c r="F28" s="65"/>
      <c r="G28" s="65"/>
      <c r="H28" s="65"/>
      <c r="I28" s="65"/>
      <c r="J28" s="65"/>
      <c r="K28" s="65"/>
      <c r="L28" s="65"/>
      <c r="M28" s="65"/>
      <c r="N28" s="68"/>
      <c r="O28" s="92"/>
    </row>
    <row r="29" spans="1:28" ht="25.2" x14ac:dyDescent="0.45">
      <c r="B29" s="64" t="s">
        <v>63</v>
      </c>
      <c r="C29" s="65"/>
      <c r="D29" s="65"/>
      <c r="E29" s="65"/>
      <c r="F29" s="65"/>
      <c r="G29" s="65"/>
      <c r="H29" s="65"/>
      <c r="I29" s="65"/>
      <c r="J29" s="65"/>
      <c r="K29" s="65"/>
      <c r="L29" s="65"/>
      <c r="M29" s="65"/>
      <c r="N29" s="69"/>
      <c r="O29" s="92"/>
    </row>
    <row r="30" spans="1:28" ht="24.6" x14ac:dyDescent="0.4">
      <c r="B30" s="133" t="s">
        <v>38</v>
      </c>
      <c r="C30" s="134"/>
      <c r="D30" s="134"/>
      <c r="E30" s="134"/>
      <c r="F30" s="134"/>
      <c r="G30" s="134"/>
      <c r="H30" s="134"/>
      <c r="I30" s="134"/>
      <c r="J30" s="134"/>
      <c r="K30" s="134"/>
      <c r="L30" s="134"/>
      <c r="M30" s="134"/>
      <c r="N30" s="135"/>
      <c r="O30" s="92"/>
    </row>
    <row r="31" spans="1:28" ht="24.6" x14ac:dyDescent="0.4">
      <c r="B31" s="136"/>
      <c r="C31" s="137"/>
      <c r="D31" s="137"/>
      <c r="E31" s="137"/>
      <c r="F31" s="137"/>
      <c r="G31" s="137"/>
      <c r="H31" s="137"/>
      <c r="I31" s="137"/>
      <c r="J31" s="137"/>
      <c r="K31" s="137"/>
      <c r="L31" s="137"/>
      <c r="M31" s="137"/>
      <c r="N31" s="138"/>
      <c r="O31" s="92"/>
    </row>
    <row r="32" spans="1:28" ht="24.6" x14ac:dyDescent="0.4">
      <c r="B32" s="136" t="s">
        <v>39</v>
      </c>
      <c r="C32" s="137"/>
      <c r="D32" s="137"/>
      <c r="E32" s="137"/>
      <c r="F32" s="137"/>
      <c r="G32" s="137"/>
      <c r="H32" s="137"/>
      <c r="I32" s="137"/>
      <c r="J32" s="137"/>
      <c r="K32" s="137"/>
      <c r="L32" s="137"/>
      <c r="M32" s="137"/>
      <c r="N32" s="138"/>
      <c r="O32" s="92"/>
    </row>
    <row r="33" spans="2:16" ht="24.6" x14ac:dyDescent="0.4">
      <c r="B33" s="136" t="s">
        <v>40</v>
      </c>
      <c r="C33" s="137"/>
      <c r="D33" s="137"/>
      <c r="E33" s="137"/>
      <c r="F33" s="137"/>
      <c r="G33" s="137"/>
      <c r="H33" s="137"/>
      <c r="I33" s="137"/>
      <c r="J33" s="137"/>
      <c r="K33" s="137"/>
      <c r="L33" s="137"/>
      <c r="M33" s="137"/>
      <c r="N33" s="138"/>
      <c r="O33" s="92"/>
    </row>
    <row r="34" spans="2:16" s="112" customFormat="1" ht="24.6" x14ac:dyDescent="0.4">
      <c r="B34" s="107" t="s">
        <v>81</v>
      </c>
      <c r="C34" s="108"/>
      <c r="D34" s="108"/>
      <c r="E34" s="108"/>
      <c r="F34" s="108"/>
      <c r="G34" s="113"/>
      <c r="H34" s="113"/>
      <c r="I34" s="108"/>
      <c r="J34" s="108"/>
      <c r="K34" s="108"/>
      <c r="L34" s="108"/>
      <c r="M34" s="114" t="s">
        <v>82</v>
      </c>
      <c r="N34" s="116" t="b">
        <f>IF(M34="ALAA",507963328, IF(M34="BACHIR",525246969,IF(M34="JIHAN",566201266, IF(M34="RAMY",505277871, IF(M34="SIMON",505140337,IF(M34="SUJITH",551079817, IF(M34="PRAVEEN",506367792,IF(M34="MHAREN",529224059, IF(M34="MOSSALLEM",505185577,IF(M34="RANJITH",554989288, IF(M34="KHALED",552319494)))))))))))</f>
        <v>0</v>
      </c>
      <c r="O34" s="115"/>
      <c r="P34" s="115"/>
    </row>
    <row r="35" spans="2:16" x14ac:dyDescent="0.35">
      <c r="B35" s="70"/>
      <c r="C35" s="71"/>
      <c r="D35" s="71"/>
      <c r="E35" s="71"/>
      <c r="F35" s="71"/>
      <c r="G35" s="71"/>
      <c r="H35" s="71"/>
      <c r="I35" s="71"/>
      <c r="J35" s="71"/>
      <c r="K35" s="71"/>
      <c r="L35" s="71"/>
      <c r="M35" s="71"/>
      <c r="N35" s="72"/>
    </row>
    <row r="36" spans="2:16" x14ac:dyDescent="0.35">
      <c r="B36" s="70"/>
      <c r="C36" s="71"/>
      <c r="D36" s="71"/>
      <c r="E36" s="71"/>
      <c r="F36" s="71"/>
      <c r="G36" s="71"/>
      <c r="H36" s="71"/>
      <c r="I36" s="71"/>
      <c r="J36" s="71"/>
      <c r="K36" s="71"/>
      <c r="L36" s="71"/>
      <c r="M36" s="71"/>
      <c r="N36" s="72"/>
    </row>
    <row r="37" spans="2:16" x14ac:dyDescent="0.35">
      <c r="B37" s="70"/>
      <c r="C37" s="71"/>
      <c r="D37" s="71"/>
      <c r="E37" s="71"/>
      <c r="F37" s="71"/>
      <c r="G37" s="71"/>
      <c r="H37" s="71"/>
      <c r="I37" s="71"/>
      <c r="J37" s="71"/>
      <c r="K37" s="71"/>
      <c r="L37" s="71"/>
      <c r="M37" s="71"/>
      <c r="N37" s="72"/>
    </row>
    <row r="38" spans="2:16" ht="21" x14ac:dyDescent="0.4">
      <c r="B38" s="73" t="s">
        <v>64</v>
      </c>
      <c r="C38" s="74"/>
      <c r="D38" s="75"/>
      <c r="E38" s="76"/>
      <c r="F38" s="76"/>
      <c r="G38" s="76"/>
      <c r="H38" s="76"/>
      <c r="I38" s="76"/>
      <c r="J38" s="77"/>
      <c r="K38" s="76"/>
      <c r="L38" s="76"/>
      <c r="M38" s="76"/>
      <c r="N38" s="78"/>
    </row>
    <row r="39" spans="2:16" ht="21" x14ac:dyDescent="0.4">
      <c r="B39" s="73" t="s">
        <v>65</v>
      </c>
      <c r="C39" s="79"/>
      <c r="D39" s="75"/>
      <c r="E39" s="76"/>
      <c r="F39" s="76"/>
      <c r="G39" s="76"/>
      <c r="H39" s="76"/>
      <c r="I39" s="76"/>
      <c r="J39" s="77"/>
      <c r="K39" s="76"/>
      <c r="L39" s="76"/>
      <c r="M39" s="76"/>
      <c r="N39" s="80"/>
    </row>
    <row r="40" spans="2:16" ht="21" x14ac:dyDescent="0.35">
      <c r="B40" s="73" t="s">
        <v>66</v>
      </c>
      <c r="C40" s="81"/>
      <c r="D40" s="76"/>
      <c r="E40" s="76"/>
      <c r="F40" s="76"/>
      <c r="G40" s="76"/>
      <c r="H40" s="76"/>
      <c r="I40" s="76"/>
      <c r="J40" s="77"/>
      <c r="K40" s="76"/>
      <c r="L40" s="76"/>
      <c r="M40" s="76"/>
      <c r="N40" s="80"/>
    </row>
    <row r="41" spans="2:16" ht="21" x14ac:dyDescent="0.35">
      <c r="B41" s="73" t="s">
        <v>67</v>
      </c>
      <c r="C41" s="82"/>
      <c r="D41" s="83"/>
      <c r="E41" s="83"/>
      <c r="F41" s="83"/>
      <c r="G41" s="83"/>
      <c r="H41" s="83"/>
      <c r="I41" s="83"/>
      <c r="J41" s="83"/>
      <c r="K41" s="83"/>
      <c r="L41" s="83"/>
      <c r="M41" s="83"/>
      <c r="N41" s="84"/>
    </row>
    <row r="42" spans="2:16" ht="21" x14ac:dyDescent="0.35">
      <c r="B42" s="73" t="s">
        <v>77</v>
      </c>
      <c r="C42" s="82"/>
      <c r="D42" s="83"/>
      <c r="E42" s="83"/>
      <c r="F42" s="83"/>
      <c r="G42" s="83"/>
      <c r="H42" s="83"/>
      <c r="I42" s="83"/>
      <c r="J42" s="83"/>
      <c r="K42" s="83"/>
      <c r="L42" s="83"/>
      <c r="M42" s="83"/>
      <c r="N42" s="84"/>
    </row>
    <row r="43" spans="2:16" ht="21" x14ac:dyDescent="0.35">
      <c r="B43" s="73" t="s">
        <v>68</v>
      </c>
      <c r="C43" s="82"/>
      <c r="D43" s="83"/>
      <c r="E43" s="83"/>
      <c r="F43" s="83"/>
      <c r="G43" s="83"/>
      <c r="H43" s="83"/>
      <c r="I43" s="83"/>
      <c r="J43" s="83"/>
      <c r="K43" s="83"/>
      <c r="L43" s="83"/>
      <c r="M43" s="83"/>
      <c r="N43" s="84"/>
    </row>
    <row r="44" spans="2:16" ht="21" x14ac:dyDescent="0.35">
      <c r="B44" s="73" t="s">
        <v>69</v>
      </c>
      <c r="C44" s="82"/>
      <c r="D44" s="83"/>
      <c r="E44" s="83"/>
      <c r="F44" s="83"/>
      <c r="G44" s="83"/>
      <c r="H44" s="83"/>
      <c r="I44" s="83"/>
      <c r="J44" s="83"/>
      <c r="K44" s="83"/>
      <c r="L44" s="83"/>
      <c r="M44" s="83"/>
      <c r="N44" s="84"/>
    </row>
    <row r="45" spans="2:16" ht="21" x14ac:dyDescent="0.35">
      <c r="B45" s="73" t="s">
        <v>70</v>
      </c>
      <c r="C45" s="82"/>
      <c r="D45" s="83"/>
      <c r="E45" s="83"/>
      <c r="F45" s="83"/>
      <c r="G45" s="83"/>
      <c r="H45" s="83"/>
      <c r="I45" s="83"/>
      <c r="J45" s="83"/>
      <c r="K45" s="83"/>
      <c r="L45" s="83"/>
      <c r="M45" s="83"/>
      <c r="N45" s="84"/>
    </row>
    <row r="46" spans="2:16" ht="21" x14ac:dyDescent="0.35">
      <c r="B46" s="73" t="s">
        <v>71</v>
      </c>
      <c r="C46" s="82"/>
      <c r="D46" s="83"/>
      <c r="E46" s="83"/>
      <c r="F46" s="83"/>
      <c r="G46" s="83"/>
      <c r="H46" s="83"/>
      <c r="I46" s="83"/>
      <c r="J46" s="83"/>
      <c r="K46" s="83"/>
      <c r="L46" s="83"/>
      <c r="M46" s="83"/>
      <c r="N46" s="84"/>
    </row>
    <row r="47" spans="2:16" x14ac:dyDescent="0.35">
      <c r="B47" s="118" t="s">
        <v>39</v>
      </c>
      <c r="C47" s="119"/>
      <c r="D47" s="119"/>
      <c r="E47" s="119"/>
      <c r="F47" s="119"/>
      <c r="G47" s="119"/>
      <c r="H47" s="119"/>
      <c r="I47" s="119"/>
      <c r="J47" s="119"/>
      <c r="K47" s="119"/>
      <c r="L47" s="119"/>
      <c r="M47" s="119"/>
      <c r="N47" s="120"/>
      <c r="O47" s="92"/>
    </row>
    <row r="48" spans="2:16" x14ac:dyDescent="0.35">
      <c r="B48" s="118" t="s">
        <v>40</v>
      </c>
      <c r="C48" s="119"/>
      <c r="D48" s="119"/>
      <c r="E48" s="119"/>
      <c r="F48" s="119"/>
      <c r="G48" s="119"/>
      <c r="H48" s="119"/>
      <c r="I48" s="119"/>
      <c r="J48" s="119"/>
      <c r="K48" s="119"/>
      <c r="L48" s="119"/>
      <c r="M48" s="119"/>
      <c r="N48" s="120"/>
      <c r="O48" s="92"/>
    </row>
    <row r="49" spans="2:14" x14ac:dyDescent="0.35">
      <c r="B49" s="118" t="s">
        <v>72</v>
      </c>
      <c r="C49" s="119"/>
      <c r="D49" s="119"/>
      <c r="E49" s="119"/>
      <c r="F49" s="119"/>
      <c r="G49" s="119"/>
      <c r="H49" s="119"/>
      <c r="I49" s="119"/>
      <c r="J49" s="119"/>
      <c r="K49" s="119"/>
      <c r="L49" s="119"/>
      <c r="M49" s="119"/>
      <c r="N49" s="120"/>
    </row>
    <row r="50" spans="2:14" ht="25.8" x14ac:dyDescent="0.35">
      <c r="C50" s="15" t="s">
        <v>41</v>
      </c>
    </row>
    <row r="51" spans="2:14" ht="25.8" x14ac:dyDescent="0.35">
      <c r="C51" s="15" t="s">
        <v>42</v>
      </c>
    </row>
    <row r="52" spans="2:14" ht="25.8" x14ac:dyDescent="0.35">
      <c r="C52" s="15" t="s">
        <v>43</v>
      </c>
    </row>
    <row r="53" spans="2:14" ht="25.8" x14ac:dyDescent="0.35">
      <c r="C53" s="15" t="s">
        <v>44</v>
      </c>
    </row>
    <row r="54" spans="2:14" ht="25.8" x14ac:dyDescent="0.35">
      <c r="C54" s="15" t="s">
        <v>45</v>
      </c>
    </row>
  </sheetData>
  <mergeCells count="12">
    <mergeCell ref="B49:N49"/>
    <mergeCell ref="B1:N4"/>
    <mergeCell ref="F8:G8"/>
    <mergeCell ref="F9:G9"/>
    <mergeCell ref="G19:I19"/>
    <mergeCell ref="B22:N22"/>
    <mergeCell ref="B30:N30"/>
    <mergeCell ref="B31:N31"/>
    <mergeCell ref="B32:N32"/>
    <mergeCell ref="B33:N33"/>
    <mergeCell ref="B47:N47"/>
    <mergeCell ref="B48:N48"/>
  </mergeCells>
  <dataValidations count="11">
    <dataValidation type="list" allowBlank="1" showInputMessage="1" showErrorMessage="1" sqref="K21" xr:uid="{A9E4D83E-6E56-4E36-BFAA-DED8E7A0D475}">
      <formula1>"ADCB,ADCB PAY IN 2027,Ajman Bank,ADIB,DIB EXPAT,DIB LOCAL GVH,Emirates NBD,EIB,FAB,RAK,SIB STL,SIB NON STL"</formula1>
    </dataValidation>
    <dataValidation type="list" allowBlank="1" showInputMessage="1" showErrorMessage="1" sqref="D5" xr:uid="{0A2430D9-44BE-4621-B820-D0C5BE1E2267}">
      <formula1>"MIG09,MIG10,ATG16,ATP16,ATG17,ASG48,ASG43,ASG40,ASG42,ASG44,ASG45,ECG38,ECG37,ECG40,ECG43,XPML,XPHL,XPMLP, XPMLP-01, XC,OTF03,OTP03,OTF06,OTP06, OTP06-01,OTF08, OTP08,MOP57,MOG64,MOG59,MOG59P,MOG61,MOP61"</formula1>
    </dataValidation>
    <dataValidation type="list" allowBlank="1" showInputMessage="1" showErrorMessage="1" sqref="M21" xr:uid="{ED9F44D5-4242-4D8A-BDB0-60933989B4FD}">
      <formula1>"3000-4999,5000-9999,10000-14999,15000-24999,25000-34999,35000-99999,5000-11999,12000-19999,20000-39999,40000-69999,70000-99999"</formula1>
    </dataValidation>
    <dataValidation type="list" allowBlank="1" showInputMessage="1" showErrorMessage="1" sqref="K20" xr:uid="{E1FAFA4D-F8B4-41B0-BB3D-72D7D99E853D}">
      <formula1>"Esaad,Emirates Platinum,Fazaa,Humat Alwatan,Permissible,ASX,XPMLP,XP,MON,MON G57,OUT,F08,P08,F06,P06,F03,P03,EC,G37,G38,G40,G43"</formula1>
    </dataValidation>
    <dataValidation type="list" allowBlank="1" showInputMessage="1" showErrorMessage="1" sqref="L19:L20 L24:L25 G14:G15 C10:C16 L10 J10" xr:uid="{E4327B6E-ABB4-4962-8B6E-92D4CB6DCE3B}">
      <formula1>"YES,NO"</formula1>
    </dataValidation>
    <dataValidation type="list" allowBlank="1" showInputMessage="1" showErrorMessage="1" sqref="K24" xr:uid="{EA2FDBCC-2F27-4890-B17C-F33C5AB3607B}">
      <formula1>"RMC-10-70K,RMC-10-100000K,RMC-40-70K"</formula1>
    </dataValidation>
    <dataValidation type="list" allowBlank="1" showInputMessage="1" showErrorMessage="1" sqref="B16" xr:uid="{6BFDDB0E-8845-469B-A162-C8A2B877B2FF}">
      <formula1>"RMC-10-40KMS,RMC-10-60KMS,RMC-10-70KMS,RMC-10-100000KMS,RMC-40-70KMS,RMC-40-100000KMS"</formula1>
    </dataValidation>
    <dataValidation type="list" allowBlank="1" showInputMessage="1" showErrorMessage="1" sqref="B12" xr:uid="{F599CB1A-A623-4913-A6A3-1E337C086335}">
      <formula1>"FO Exterior ceramic All Cars SCOTCHGUARD,FO Mirror Camera Sensor,FO PPF Gold Package "</formula1>
    </dataValidation>
    <dataValidation type="list" allowBlank="1" showInputMessage="1" showErrorMessage="1" sqref="B11" xr:uid="{C10165F5-2CEB-4FA1-9D59-330C5C2BBDC0}">
      <formula1>"FO Ceramic+ Intr&amp;Extr CeramicGold WdwTnt,FO Mirror Camera Sensor"</formula1>
    </dataValidation>
    <dataValidation type="list" allowBlank="1" showInputMessage="1" showErrorMessage="1" sqref="M34" xr:uid="{00E9092D-2B38-4B73-8534-CAFE186FAE8B}">
      <formula1>"Alaa,Bachir ,Khaled,Ramy,Simon,Mharen,Ranjith,Jihan,Praveen,Sujith,Mossallem"</formula1>
    </dataValidation>
    <dataValidation type="list" allowBlank="1" showInputMessage="1" showErrorMessage="1" sqref="H34" xr:uid="{8FF4A431-C855-42D5-9C63-FE567185F955}">
      <formula1>"ALAA HAMMAD,KHALED QASSEM,RAMY RAOUF,SIMON LOBO,MHAREN CLEMENTE GARADO"</formula1>
    </dataValidation>
  </dataValidations>
  <pageMargins left="0.23622047244094491" right="0.23622047244094491" top="0.74803149606299213" bottom="0.74803149606299213" header="0.31496062992125984" footer="0.31496062992125984"/>
  <pageSetup paperSize="9" scale="37" orientation="landscape" horizontalDpi="4294967295" verticalDpi="4294967295" r:id="rId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5EBF1-F8DA-49DA-B4CA-5CC6D08E4D90}">
  <sheetPr>
    <pageSetUpPr fitToPage="1"/>
  </sheetPr>
  <dimension ref="A1:AB54"/>
  <sheetViews>
    <sheetView topLeftCell="B1" zoomScaleNormal="100" workbookViewId="0">
      <selection activeCell="D5" sqref="D5"/>
    </sheetView>
  </sheetViews>
  <sheetFormatPr defaultColWidth="9.109375" defaultRowHeight="20.399999999999999" x14ac:dyDescent="0.35"/>
  <cols>
    <col min="1" max="1" width="16" style="1" hidden="1" customWidth="1"/>
    <col min="2" max="2" width="75.5546875" style="2" customWidth="1"/>
    <col min="3" max="3" width="25.5546875" style="3" customWidth="1"/>
    <col min="4" max="4" width="25.33203125" style="2" customWidth="1"/>
    <col min="5" max="5" width="22.6640625" style="2" customWidth="1"/>
    <col min="6" max="6" width="21" style="2" customWidth="1"/>
    <col min="7" max="7" width="25" style="2" customWidth="1"/>
    <col min="8" max="8" width="29.44140625" style="2" bestFit="1" customWidth="1"/>
    <col min="9" max="9" width="32.109375" style="2" bestFit="1" customWidth="1"/>
    <col min="10" max="10" width="22" style="2" customWidth="1"/>
    <col min="11" max="11" width="23.33203125" style="2" customWidth="1"/>
    <col min="12" max="12" width="31" style="2" customWidth="1"/>
    <col min="13" max="13" width="23.5546875" style="2" customWidth="1"/>
    <col min="14" max="14" width="21.109375" style="2" customWidth="1"/>
    <col min="15" max="15" width="14.44140625" style="83" bestFit="1" customWidth="1"/>
    <col min="16" max="16" width="21.6640625" style="83" hidden="1" customWidth="1"/>
    <col min="17" max="17" width="14.33203125" style="86" hidden="1" customWidth="1"/>
    <col min="18" max="18" width="12.88671875" style="86" hidden="1" customWidth="1"/>
    <col min="19" max="19" width="13" style="86" hidden="1" customWidth="1"/>
    <col min="20" max="20" width="17.109375" style="86" hidden="1" customWidth="1"/>
    <col min="21" max="21" width="21.5546875" style="86" customWidth="1"/>
    <col min="22" max="22" width="22.88671875" style="86" customWidth="1"/>
    <col min="23" max="26" width="17.109375" style="86" bestFit="1" customWidth="1"/>
    <col min="27" max="27" width="15" style="86" customWidth="1"/>
    <col min="28" max="28" width="14.33203125" style="86" bestFit="1" customWidth="1"/>
    <col min="29" max="16384" width="9.109375" style="1"/>
  </cols>
  <sheetData>
    <row r="1" spans="1:28" ht="15.75" customHeight="1" x14ac:dyDescent="0.35">
      <c r="B1" s="121" t="s">
        <v>46</v>
      </c>
      <c r="C1" s="122"/>
      <c r="D1" s="122"/>
      <c r="E1" s="122"/>
      <c r="F1" s="122"/>
      <c r="G1" s="122"/>
      <c r="H1" s="122"/>
      <c r="I1" s="122"/>
      <c r="J1" s="122"/>
      <c r="K1" s="122"/>
      <c r="L1" s="122"/>
      <c r="M1" s="122"/>
      <c r="N1" s="123"/>
    </row>
    <row r="2" spans="1:28" ht="15.75" customHeight="1" x14ac:dyDescent="0.35">
      <c r="B2" s="124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6"/>
      <c r="Q2" s="83"/>
      <c r="S2" s="87"/>
    </row>
    <row r="3" spans="1:28" ht="15.75" customHeight="1" x14ac:dyDescent="0.35">
      <c r="B3" s="124"/>
      <c r="C3" s="125"/>
      <c r="D3" s="125"/>
      <c r="E3" s="125"/>
      <c r="F3" s="125"/>
      <c r="G3" s="125"/>
      <c r="H3" s="125"/>
      <c r="I3" s="125"/>
      <c r="J3" s="125"/>
      <c r="K3" s="125"/>
      <c r="L3" s="125"/>
      <c r="M3" s="125"/>
      <c r="N3" s="126"/>
      <c r="O3" s="82"/>
      <c r="P3" s="82"/>
      <c r="Q3" s="81"/>
      <c r="R3" s="81"/>
      <c r="S3" s="88" t="e">
        <f>N7+J14</f>
        <v>#VALUE!</v>
      </c>
      <c r="T3" s="88"/>
      <c r="U3" s="81"/>
      <c r="V3" s="81"/>
      <c r="W3" s="81"/>
      <c r="AA3" s="86">
        <f>273000/5</f>
        <v>54600</v>
      </c>
    </row>
    <row r="4" spans="1:28" ht="15.75" customHeight="1" x14ac:dyDescent="0.4">
      <c r="B4" s="127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9"/>
      <c r="O4" s="89" t="s">
        <v>0</v>
      </c>
      <c r="P4" s="89"/>
      <c r="Q4" s="90"/>
      <c r="R4" s="90"/>
      <c r="S4" s="91"/>
      <c r="T4" s="91"/>
      <c r="U4" s="90" t="s">
        <v>1</v>
      </c>
      <c r="V4" s="90" t="s">
        <v>2</v>
      </c>
      <c r="W4" s="90" t="s">
        <v>3</v>
      </c>
    </row>
    <row r="5" spans="1:28" ht="25.2" thickBot="1" x14ac:dyDescent="0.45">
      <c r="B5" s="17">
        <f ca="1">TODAY()</f>
        <v>46215</v>
      </c>
      <c r="C5" s="18" t="str">
        <f>IF(D5="MIG09","Mirage G09",IF(D5="MIG10","MirageG10",IF(D5="ATG16","Attrage G16",IF(D5="ATP16","Attrage P16",IF(D5="ATG17","Attrage G17",IF(D5="ASG48","ASX G48",IF(D5="ASG43","ASX G43", IF(D5="ASG40","ASXG40",IF(D5="ASG42","ASX G42",IF(D5="ASG44","ASX G44",IF(D5="ASG45","ASX G45",IF(D5="ECG38","Eclipse G38",IF(D5="ECG37","Eclipse G37",IF(D5="ECG40","Eclipse G40",IF(D5="ECG43","Eclipse G43",IF(D5="XPML","Xpander ML",IF(D5="XPHL","Xpander HL",IF(D5="XPMLP","Xpander ML P",IF(D5="XPMLP-01","Xpander ML P-01",IF(D5="XC","Xpander Cross", IF(D5="OTF03","Outlander F03",IF(D5="OTP03","Outlander P03",IF(D5="OTF06","Outlander F06",IF(D5="OTP06","Outlander P06",IF(D5="OTP06-01","Outlander P06-01",IF(D5="OTF08","Outlander F08",IF(D5="OTP08","Outlander P08P", IF(D5="MOP57","Montero P57",IF(D5="MOG64","Montero G64",IF(D5="MOG59","Montero G59",IF(D5="MOG59P","Montero G59 P",IF(D5="MOG61","Montero G61",IF(D5="MOP61","Montero P61")))))))))))))))))))))))))))))))))</f>
        <v>Mirage G09</v>
      </c>
      <c r="D5" s="19" t="s">
        <v>88</v>
      </c>
      <c r="E5" s="20" t="s">
        <v>47</v>
      </c>
      <c r="F5" s="21"/>
      <c r="G5" s="21"/>
      <c r="H5" s="21"/>
      <c r="I5" s="22"/>
      <c r="J5" s="23"/>
      <c r="K5" s="24">
        <v>0</v>
      </c>
      <c r="L5" s="25">
        <v>3.39E-2</v>
      </c>
      <c r="M5" s="25">
        <v>6.7799999999999999E-2</v>
      </c>
      <c r="N5" s="25">
        <v>0.1017</v>
      </c>
      <c r="O5" s="92">
        <f>K7+K14</f>
        <v>5363.9081700425004</v>
      </c>
      <c r="S5" s="87"/>
      <c r="U5" s="87">
        <f>L7+L14</f>
        <v>2185.6574468428475</v>
      </c>
      <c r="V5" s="87">
        <f>M7+M14</f>
        <v>1462.0686149112501</v>
      </c>
      <c r="W5" s="87">
        <f>N7+N14</f>
        <v>1013.1416162872918</v>
      </c>
    </row>
    <row r="6" spans="1:28" s="5" customFormat="1" ht="128.25" customHeight="1" thickBot="1" x14ac:dyDescent="0.35">
      <c r="A6" s="4" t="s">
        <v>4</v>
      </c>
      <c r="B6" s="26" t="s">
        <v>5</v>
      </c>
      <c r="C6" s="27" t="s">
        <v>6</v>
      </c>
      <c r="D6" s="27" t="s">
        <v>48</v>
      </c>
      <c r="E6" s="27" t="s">
        <v>7</v>
      </c>
      <c r="F6" s="27" t="s">
        <v>8</v>
      </c>
      <c r="G6" s="28" t="s">
        <v>9</v>
      </c>
      <c r="H6" s="28" t="s">
        <v>49</v>
      </c>
      <c r="I6" s="28" t="s">
        <v>10</v>
      </c>
      <c r="J6" s="28" t="s">
        <v>56</v>
      </c>
      <c r="K6" s="28" t="s">
        <v>11</v>
      </c>
      <c r="L6" s="28" t="s">
        <v>12</v>
      </c>
      <c r="M6" s="28" t="s">
        <v>13</v>
      </c>
      <c r="N6" s="28" t="s">
        <v>14</v>
      </c>
      <c r="O6" s="93"/>
      <c r="P6" s="94"/>
      <c r="Q6" s="95"/>
      <c r="R6" s="95"/>
      <c r="S6" s="95"/>
      <c r="T6" s="96"/>
      <c r="U6" s="96">
        <f>N7+L14</f>
        <v>1716.6511146206253</v>
      </c>
      <c r="V6" s="96">
        <f>N7+K14</f>
        <v>4308.6439225425001</v>
      </c>
      <c r="W6" s="96"/>
      <c r="X6" s="95"/>
      <c r="Y6" s="95"/>
      <c r="Z6" s="95"/>
      <c r="AA6" s="95"/>
      <c r="AB6" s="95"/>
    </row>
    <row r="7" spans="1:28" ht="25.2" thickBot="1" x14ac:dyDescent="0.45">
      <c r="A7" s="6">
        <f>B8</f>
        <v>39900</v>
      </c>
      <c r="B7" s="29">
        <f>IF(L20="YES",C8*1,IF(L20="NO",B8*1))</f>
        <v>39900</v>
      </c>
      <c r="C7" s="29">
        <f>B7*5/100</f>
        <v>1995</v>
      </c>
      <c r="D7" s="29">
        <f>B7+C7</f>
        <v>41895</v>
      </c>
      <c r="E7" s="29">
        <f>D17</f>
        <v>10598.212374999999</v>
      </c>
      <c r="F7" s="29">
        <f>(C7)+(D10+D11+D12+D13+D16)*5/100</f>
        <v>2265</v>
      </c>
      <c r="G7" s="30">
        <f>B7+E7+F7</f>
        <v>52763.212375000003</v>
      </c>
      <c r="H7" s="29">
        <f>G7*D20</f>
        <v>10552.642475000001</v>
      </c>
      <c r="I7" s="29">
        <f>(G7-H7)</f>
        <v>42210.569900000002</v>
      </c>
      <c r="J7" s="30">
        <f>(((I7*D19)*1)+I7)/12</f>
        <v>3605.1344242091668</v>
      </c>
      <c r="K7" s="30">
        <f>(((I7*D19)*2)+I7)/24</f>
        <v>1846.3606783758335</v>
      </c>
      <c r="L7" s="30">
        <f>(((I7*D19)*3)+I7)/36</f>
        <v>1260.1027630980557</v>
      </c>
      <c r="M7" s="30">
        <f>(((I7*D19)*4)+I7)/48</f>
        <v>966.97380545916667</v>
      </c>
      <c r="N7" s="30">
        <f>((((I7*D19)*5)+I7)/60)</f>
        <v>791.09643087583345</v>
      </c>
      <c r="O7" s="92"/>
      <c r="P7" s="83">
        <f>H7+H16</f>
        <v>10995.853458950001</v>
      </c>
      <c r="T7" s="87">
        <f>25973/2</f>
        <v>12986.5</v>
      </c>
    </row>
    <row r="8" spans="1:28" ht="24.6" x14ac:dyDescent="0.4">
      <c r="A8" s="7">
        <v>0.2</v>
      </c>
      <c r="B8" s="31">
        <f>IF(D5="MIG09",39900,IF(D5="MIG10",40400,IF(D5="ATG16",40400,IF(D5="ATP16",49900,IF(D5="ATG17",41900,IF(D5="ASG48",63900,IF(D5="ASG43",62900,IF(D5="ASG40",63900,IF(D5="ASG42",68900,IF(D5="ASG44",89900,IF(D5="ASG45",95900,IF(D5="ECG38",73900,IF(D5="ECG37",70900,IF(D5="ECG40",86900,IF(D5="ECG43",91900,IF(D5="XPML",62900,IF(D5="XPHL",62900,IF(D5="XPMLP",69900,IF(D5="XPMLP-01",77800,IF(D5="XC",77900,IF(D5="OTF03",96900,IF(D5="OTP03",79900,IF(D5="OTF06",92900,IF(D5="OTP06",111900,IF(D5="OTP06-01",118900,IF(D5="OTF08",122900,IF(D5="OTP08",109900,IF(D5="MOP57",99900,IF(D5="MOG64",108900,IF(D5="MOG59",116900,IF(D5="MOG59P",110900,IF(D5="MOG61",127900,IF(D5="MOP61",125900)))))))))))))))))))))))))))))))))</f>
        <v>39900</v>
      </c>
      <c r="C8" s="32">
        <f>IF(L20="YES",N20,IF(L20="NO",N20))</f>
        <v>39900</v>
      </c>
      <c r="D8" s="29">
        <v>0</v>
      </c>
      <c r="E8" s="33"/>
      <c r="F8" s="139"/>
      <c r="G8" s="140"/>
      <c r="H8" s="110">
        <f>G7*20/100</f>
        <v>10552.642475000001</v>
      </c>
      <c r="I8" s="21"/>
      <c r="J8" s="34" t="s">
        <v>15</v>
      </c>
      <c r="K8" s="23">
        <f>(J7*K5+J7)/24</f>
        <v>150.21393434204862</v>
      </c>
      <c r="L8" s="23">
        <f>(J7*L5+J7)/36</f>
        <v>103.53745781082938</v>
      </c>
      <c r="M8" s="23">
        <f>(J7*M5+J7)/48</f>
        <v>80.199219545219748</v>
      </c>
      <c r="N8" s="23">
        <f>(J7*N5+J7)/60</f>
        <v>66.196276585853994</v>
      </c>
      <c r="O8" s="92"/>
      <c r="P8" s="83">
        <f>P7/12</f>
        <v>916.32112157916674</v>
      </c>
      <c r="T8" s="86">
        <f>25973-12973</f>
        <v>13000</v>
      </c>
    </row>
    <row r="9" spans="1:28" ht="24.6" x14ac:dyDescent="0.4">
      <c r="A9" s="8">
        <f>B8/(100%-A8)</f>
        <v>49875</v>
      </c>
      <c r="B9" s="109">
        <f>B7-B8</f>
        <v>0</v>
      </c>
      <c r="C9" s="35"/>
      <c r="D9" s="36"/>
      <c r="E9" s="33"/>
      <c r="F9" s="139"/>
      <c r="G9" s="140"/>
      <c r="H9" s="33"/>
      <c r="I9" s="37" t="s">
        <v>16</v>
      </c>
      <c r="J9" s="38">
        <f>(J7*12)-(I7)</f>
        <v>1051.0431905099977</v>
      </c>
      <c r="K9" s="38">
        <f>(K7*24)-I7</f>
        <v>2102.0863810200026</v>
      </c>
      <c r="L9" s="38">
        <f>(L7*36)-I7</f>
        <v>3153.1295715300002</v>
      </c>
      <c r="M9" s="38">
        <f>(M7*48)-I7</f>
        <v>4204.1727620399979</v>
      </c>
      <c r="N9" s="38">
        <f>(N7*60)-I7</f>
        <v>5255.2159525500028</v>
      </c>
      <c r="O9" s="92"/>
      <c r="T9" s="86">
        <f>T8/12</f>
        <v>1083.3333333333333</v>
      </c>
      <c r="Z9" s="86" t="s">
        <v>86</v>
      </c>
    </row>
    <row r="10" spans="1:28" ht="24.6" x14ac:dyDescent="0.4">
      <c r="A10" s="8"/>
      <c r="B10" s="37" t="s">
        <v>50</v>
      </c>
      <c r="C10" s="20" t="s">
        <v>17</v>
      </c>
      <c r="D10" s="36">
        <f>IF(C10="YES",800,IF(C10="NO",0))</f>
        <v>0</v>
      </c>
      <c r="E10" s="39"/>
      <c r="F10" s="40"/>
      <c r="G10" s="40"/>
      <c r="H10" s="33"/>
      <c r="I10" s="44" t="s">
        <v>85</v>
      </c>
      <c r="J10" s="117" t="s">
        <v>19</v>
      </c>
      <c r="K10" s="117">
        <f>IF(J10="YES",Z10,IF(J10="NO",0))</f>
        <v>500</v>
      </c>
      <c r="L10" s="117"/>
      <c r="M10" s="117"/>
      <c r="N10" s="41">
        <f>(N8*60)-J7</f>
        <v>366.64217094207288</v>
      </c>
      <c r="O10" s="92">
        <f>IF(D5="XC",3690,IF(D5="XPML",3690,IF(D5="XPHL",3690,IF(D5="XPMLP",3690,IF(D5="XPMLP-01",3690,IF(D5="Xpander P",3690,IF(D5="MOP57",(U19*2.75/100+510)*1.05,IF(D5="MOG64",(U19*2.75/100+510)*1.05,IF(D5="MOG59",(U19*2.75/100+510)*1.05,IF(D5="MOG59P",(U19*2.75/100+510)*1.05,IF(D5="MOG61",(U19*2.75/100+510)*1.05,IF(D5="MOP61",(U19*2.75/100+510)*1.05,IF(D5="OTF03",(D7*3/100+510)*1.05,IF(D5="OTP03",(U19*3/100+510)*1.05,IF(D5="OTF06",(U19*3/100+510)*1.05,IF(D5="OTP06",(U19*3/100+510)*1.05,IF(D5="OTP06-01",(U19*3/100+510)*1.05,IF(D5="OTF08",(U19*3/100+510)*1.05,IF(D5="OTP08",(U19*3/100+510)*1.05,IF(D5="ECG38",3625,IF(D5="ECG37",3625,IF(D5="ECG40",(D7*3/100+510)*1.05,IF(D5="ECG43",(D7*3/100+510)*1.05,IF(D5="ASG48",3625,IF(D5="ASG43",3625,IF(D5="ASG40",3625,IF(D5="ASG42",3625,IF(D5="ASG44",3625,IF(D5="ASG45",3625,IF(D5="ASX HL 4WD",3625,IF(D5="ATG16",3625,IF(D5="ATG17",3625,IF(D5="ATP16",3625,IF(D5="Attrage S",3625,IF(D5="MIG09",3625,IF(D5="MIG10",3625,IF(D5="Xpander HL",3690)))))))))))))))))))))))))))))))))))))</f>
        <v>3625</v>
      </c>
      <c r="P10" s="97"/>
      <c r="Q10" s="97">
        <f>5.25*3</f>
        <v>15.75</v>
      </c>
      <c r="Z10" s="86">
        <f>IF(D5="MIG09",500,IF(D5="MIG10",500,IF(D5="ATG16",500,IF(D5="ATP16",500,IF(D5="ATG17",500,IF(D5="ASG48",1000,IF(D5="ASG43",1000,IF(D5="ASG40",1000,IF(D5="ASG42",1000,IF(D5="ASG44",1000,IF(D5="ASG45",1000,IF(D5="ECG38",1000,IF(D5="ECG37",1000,IF(D5="ECG40",1000,IF(D5="ECG43",1000,IF(D5="XPML",1000,IF(D5="XPHL",1000,IF(D5="XPMLP",1000,IF(D5="XPMLP-01",1000,IF(D5="XC",1000,IF(D5="OTF03",1000,IF(D5="OTP03",1000,IF(D5="OTF06",1000,IF(D5="OTP06",1000,IF(D5="OTP06-01",1000,IF(D5="OTF08",1000,IF(D5="OTP08",1000,IF(D5="MOP57",1000,IF(D5="MOG64",1000,IF(D5="MOG59",1000,IF(D5="MOG59P",1000,IF(D5="MOG61",1000,IF(D5="MOP61",1000)))))))))))))))))))))))))))))))))</f>
        <v>500</v>
      </c>
    </row>
    <row r="11" spans="1:28" ht="24.6" x14ac:dyDescent="0.4">
      <c r="A11" s="8"/>
      <c r="B11" s="37" t="s">
        <v>18</v>
      </c>
      <c r="C11" s="20" t="s">
        <v>17</v>
      </c>
      <c r="D11" s="36">
        <f>IF(C11="YES",O17,IF(C11="NO",0))</f>
        <v>0</v>
      </c>
      <c r="E11" s="33"/>
      <c r="F11" s="40"/>
      <c r="G11" s="40"/>
      <c r="H11" s="33"/>
      <c r="I11" s="21"/>
      <c r="J11" s="44" t="s">
        <v>76</v>
      </c>
      <c r="K11" s="44">
        <f>H8-K10</f>
        <v>10052.642475000001</v>
      </c>
      <c r="L11" s="37"/>
      <c r="M11" s="37"/>
      <c r="N11" s="42"/>
      <c r="O11" s="92">
        <f>IF(D5="XC",6100,IF(D5="XPML",6100,IF(D5="XPHL",6100,IF(D5="XPMLP",6100,IF(D5="XPMLP-01",6100,IF(D5="Xpander P",6100,IF(D5="MOP57",5900,IF(D5="MOG64",5900,IF(D5="MOG59",5900,IF(D5="MOG59P",5900,IF(D5="MOG61",5900,IF(D5="MOP61",5900,IF(D5="OTF03",6700,IF(D5="OTP03",6700,IF(D5="OTF06",6700,IF(D5="OTP06",6700,IF(D5="OTP06-01",6700,IF(D5="OTF08",6700,IF(D5="OTP08",6700,IF(D5="ECG37",6400,IF(D5="ECG38",6400,IF(D5="ECG40",6400,IF(D5="ECG43",6400,IF(D5="ASG48",6600,IF(D5="ASG43",6600,IF(D5="ASG40",6600,IF(D5="ASG42",6600,IF(D5="ASG44",6600,IF(D5="ASG45",6600,IF(D5="ASX HL 4WD",6600,IF(D5="ATG16",5400,IF(D5="ATG17",5400,IF(D5="ATP16",5400,IF(D5="Attrage S",5400,IF(D5="MIG09",5400,IF(D5="MIG10",5400,IF(D5="Xpander HL",6000)))))))))))))))))))))))))))))))))))))</f>
        <v>5400</v>
      </c>
      <c r="P11" s="92"/>
      <c r="Q11" s="92"/>
      <c r="R11" s="92"/>
      <c r="S11" s="92"/>
      <c r="T11" s="92"/>
      <c r="U11" s="92">
        <f>IF(D5="XC",4900,IF(D5="XPML",4900,IF(D5="XPHL",4900,IF(D5="XPMLP",4900,IF(D5="XPMLP-01",4900,IF(D5="Xpander P",4900,IF(D5="MOP57",4600,IF(D5="MOG64",4600,IF(D5="MOG59",4600,IF(D5="MOG59P",4600,IF(D5="MOG61",4600,IF(D5="MOP61",4600,IF(D5="OTF03",5500,IF(D5="OTP03",5500,IF(D5="OTF06",5500,IF(D5="OTP06",5500,IF(D5="OTP06-01",5500,IF(D5="OTF08",5500,IF(D5="OTP08",5500,IF(D5="ECG38",5200,IF(D5="ECG37",5200,IF(D5="ECG40",5200,IF(D5="ECG43",5200,IF(D5="ASG48",5300,IF(D5="ASG43",5300,IF(D5="ASG40",5300,IF(D5="ASG42",5300,IF(D5="ASG44",5300,IF(D5="ASG45",5300,IF(D5="ASX HL",5300,IF(D5="ASX P",5300,IF(D5="ASX HL 4WD",5300,IF(D5="ATG16",4200,IF(D5="ATG17",4200,IF(D5="ATP16",4200,IF(D5="Attrage S",4200,IF(D5="MIG09",4200,IF(D5="MIG10",4200,IF(D5="Xpander HL",4900)))))))))))))))))))))))))))))))))))))))</f>
        <v>4200</v>
      </c>
      <c r="V11" s="92">
        <f>IF(D5="XC",9700,IF(D5="XPML",9700,IF(D5="XPHL",9700,IF(D5="XPMLP",9700,IF(D5="XPMLP-01",9700,IF(D5="XPMLP-01",9700,IF(D5="Xpander P",9700,IF(D5="MOP57",9300,IF(D5="MG64",9300,IF(D5="MOG59",9300,IF(D5="MOG59P",9300,IF(D5="MOG61",9300,IF(D5="MOP61",9300,IF(D5="OTF03",11000,IF(D5="OTP03",11000,IF(D5="OTF06",11000,IF(D5="OTP06",11000,IF(D5="OTP06-01",11000,IF(D5="OTF08",11000,IF(D5="OTP08",11000,IF(D5="ECG38",10400,IF(D5="ECG37",10400,IF(D5="ECG40",10400,IF(D5="ECG43",10400,IF(D5="ASG48",10700,IF(D5="ASG43",10700,IF(D5="ASG40",10700,IF(D5="ASG42",10700,IF(D5="ASG44",10800,IF(D5="ASG45",10800,IF(D5="ASX HL",12200,IF(D5="ASX P",12200,IF(D5="ASX HL 4WD",12200,IF(D5="ATG16",8500,IF(D5="ATG17",8500,IF(D5="ATP16",8500,IF(D5="Attrage S",9600,IF(D5="MIG09",8500,IF(D5="MIG10",8500,IF(D5="Xpander HL",11300))))))))))))))))))))))))))))))))))))))))</f>
        <v>8500</v>
      </c>
      <c r="W11" s="92">
        <f>IF(D5="XC",9200,IF(D5="XPML",9200,IF(D5="XPHL",9200,IF(D5="XPMLP",9200,IF(D5="XPMLP-01",9200,IF(D5="Xpander P",9200,IF(D5="MOP57",8700,IF(D5="MOG64",8700,IF(D5="MOG59",8700,IF(D5="MOG59P",8700,IF(D5="MOG61",8700,IF(D5="MOP61",8700,IF(D5="OTF03",10400,IF(D5="OTP03",10400,IF(D5="OTF06",10400,IF(D5="OTP06",10400,IF(D5="OTP06-01",10400,IF(D5="OTF08",10400,IF(D5="OTP08",10400,IF(D5="ECG38",9800,IF(D5="ECG37",9800,IF(D5="ECG40",9800,IF(D5="ECG43",9800,IF(D5="ASG48",10100,IF(D5="ASG43",10100,IF(D5="ASG40",10100,IF(D5="ASG42",10100,IF(D5="ASG44",10100,IF(D5="ASG45",10100,IF(D5="ASX HL",10100,IF(D5="ASX P",10100,IF(D5="ASX HL 4WD",10100,IF(D5="ATG16",7900,IF(D5="ATG17",7900,IF(D5="ATP16",7900,IF(D5="Attrage S",7900,IF(D5="MIG09",7900,IF(D5="MIG10",7900,IF(D5="Xpander HL",9200)))))))))))))))))))))))))))))))))))))))</f>
        <v>7900</v>
      </c>
      <c r="X11" s="92">
        <f>IF(D5="XC",4500,IF(D5="XPML",4500,IF(D5="XPHL",4500,IF(D5="XPMLP",4500,IF(D5="XPMLP-01",4500,IF(D5="Xpander P",4500,IF(D5="MOP57",4300,IF(D5="MOG64",4300,IF(D5="MOG59",4300,IF(D5="MOG59P",4300,IF(D5="MOG61",4300,IF(D5="MOP61",4300,IF(D5="OTF03",5000,IF(D5="OTP03",5000,IF(D5="OTF06",5000,IF(D5="OTP06",5000,IF(D5="OTP06-01",5000,IF(D5="OTF08",5000,IF(D5="OTP08",5000,IF(D5="ECG38",4900,IF(D5="ECG37",4900,IF(D5="ECG40",4900,IF(D5="ECG43",4900,IF(D5="ASG48",4900,IF(D5="ASG43",4900,IF(D5="ASG40",4900,IF(D5="ASG42",4900,IF(D5="ASG44",4900,IF(D5="ASG45",4900,IF(D5="ASX HL",4900,IF(D5="ASX P",4900,IF(D5="ASX HL 4WD",4900,IF(D5="ATG16",3700,IF(D5="ATG17",3700,IF(D5="ATP16",3700,IF(D5="Attrage S",3700,IF(D5="MIG09",3700,IF(D5="MIG10",3700,IF(D5="Xpander HL",4500)))))))))))))))))))))))))))))))))))))))</f>
        <v>3700</v>
      </c>
      <c r="Y11" s="92">
        <f>IF(D5="XC",5400,IF(D5="XPML ",5400,IF(D5="XPHL",5400,IF(D5="XPMLP",5400,IF(D5="XPMLP-01",5400,IF(D5="Xpander P",5400,IF(D5="MOP57",5200,IF(D5="MOG64",5200,IF(D5="MOG59",5200,IF(D5="MOG59P",5200,IF(D5="MOG61",5200,IF(D5="MOP61",5200,IF(D5="OTF03",6000,IF(D5="OTP03",6000,IF(D5="OTF06",6000,IF(D5="OTP06",6000,IF(D5="OTP06-01",6000,IF(D5="OTF08",6000,IF(D5="OTP08",6000,IF(D5="ECG38",5700,IF(D5="ECG37",5700,IF(D5="ECG40",5700,IF(D5="ECG43",5700,IF(D5="ASG48",5900,IF(D5="ASG43",5900,IF(D5="ASG40",5900,IF(D5="ASG42",5900,IF(D5="ASG44",5900,IF(D5="ASG45",5900,IF(D5="ASX HL",5900,IF(D5="ASX P",5900,IF(D5="ASX HL 4WD",5900,IF(D5="ATG16",4500,IF(D5="ATG17",4500,IF(D5="ATP16",4500,IF(D5="Attrage S",4500,IF(D5="MIG09",4500,IF(D5="MIG10",4500,IF(D5="Xpander HL",5400)))))))))))))))))))))))))))))))))))))))</f>
        <v>4500</v>
      </c>
    </row>
    <row r="12" spans="1:28" ht="24.75" customHeight="1" x14ac:dyDescent="0.4">
      <c r="A12" s="8"/>
      <c r="B12" s="37" t="s">
        <v>20</v>
      </c>
      <c r="C12" s="20" t="s">
        <v>17</v>
      </c>
      <c r="D12" s="36">
        <f>IF(C12="YES",2000,IF(C12="NO",0))</f>
        <v>0</v>
      </c>
      <c r="E12" s="43"/>
      <c r="F12" s="43" t="s">
        <v>21</v>
      </c>
      <c r="G12" s="40"/>
      <c r="H12" s="33">
        <v>600</v>
      </c>
      <c r="I12" s="21"/>
      <c r="J12" s="44" t="s">
        <v>22</v>
      </c>
      <c r="K12" s="45">
        <v>0</v>
      </c>
      <c r="L12" s="45">
        <v>5.2499999999999998E-2</v>
      </c>
      <c r="M12" s="45">
        <v>0.126</v>
      </c>
      <c r="N12" s="46">
        <v>0.26250000000000001</v>
      </c>
      <c r="O12" s="92">
        <f>IF(K20="Esaad",B8*3/100,IF(K20="Emirates Platinum",B8*3/100,IF(K20="Fazaa",B8*3/100,IF(K20="Humat Alwatan",B8*3/100,IF(K20="Permissible",2000,IF(K20="ASX",8400,IF(K20="XPMLP",4000,IF(K20="XP",14100,IF(K20="G43",11000,IF(K20="EC",7000,IF(K20="G37",14000,IF(K20="G38",15000,IF(K20="G40",11000,IF(K20="OUT",9600,IF(K20="F08",15400,IF(K20="P08",11100,IF(K20="F06",14100,IF(K20="P06",17100,IF(K20="F03",17000,IF(K20="P03",19100,IF(K20="MON",10000,IF(K20="MON G57",10000,0))))))))))))))))))))))</f>
        <v>2000</v>
      </c>
      <c r="P12" s="92"/>
      <c r="Q12" s="92"/>
      <c r="R12" s="92"/>
      <c r="S12" s="92"/>
      <c r="T12" s="92"/>
      <c r="U12" s="92"/>
      <c r="V12" s="92"/>
      <c r="W12" s="92"/>
      <c r="X12" s="92"/>
      <c r="Y12" s="92"/>
      <c r="Z12" s="86" t="s">
        <v>83</v>
      </c>
      <c r="AA12" s="86" t="s">
        <v>84</v>
      </c>
    </row>
    <row r="13" spans="1:28" ht="24.6" x14ac:dyDescent="0.4">
      <c r="A13" s="8">
        <f>B8*1.26582</f>
        <v>50506.218000000001</v>
      </c>
      <c r="B13" s="37" t="s">
        <v>23</v>
      </c>
      <c r="C13" s="20" t="s">
        <v>17</v>
      </c>
      <c r="D13" s="36">
        <f>IF(C13="YES",2000,IF(C13="NO",0))</f>
        <v>0</v>
      </c>
      <c r="E13" s="47"/>
      <c r="F13" s="47" t="s">
        <v>75</v>
      </c>
      <c r="G13" s="40"/>
      <c r="H13" s="33">
        <v>315</v>
      </c>
      <c r="I13" s="21"/>
      <c r="J13" s="44" t="s">
        <v>54</v>
      </c>
      <c r="K13" s="29" t="s">
        <v>79</v>
      </c>
      <c r="L13" s="29" t="s">
        <v>25</v>
      </c>
      <c r="M13" s="29" t="s">
        <v>0</v>
      </c>
      <c r="N13" s="49" t="s">
        <v>26</v>
      </c>
      <c r="O13" s="98">
        <f>IF(M21="3000-4999",6%,IF(M21="5000-9999",4.75%,IF(M21="10000-14999",3.15%,IF(M21="15000-24999",2.5%,IF(M21="25000-34999",2.25%,IF(M21="35000-99999",2.25%))))))</f>
        <v>4.7500000000000001E-2</v>
      </c>
      <c r="Q13" s="83">
        <f>H7/12</f>
        <v>879.38687291666668</v>
      </c>
      <c r="U13" s="9">
        <f>IF(M21="3000-4999",6%,IF(M21="5000-9999",3.25%,IF(M21="10000-14999",3%,IF(M21="15000-24999",2.25%,IF(M21="25000-34999",2.15%,IF(M21="35000-99999",1.99%))))))</f>
        <v>3.2500000000000001E-2</v>
      </c>
      <c r="Z13" s="99">
        <f>IF(M21="5000-9999",2.49%,IF(M21="10000-19999",2.19%,IF(M21="20000-34999",2.09%,IF(M21="35000-49999",1.89%,IF(M21="50000-99999",1.79%)))))</f>
        <v>2.4900000000000002E-2</v>
      </c>
      <c r="AA13" s="99">
        <f>IF(M21="5000-9999",2.59%,IF(M21="10000-19999",2.29%,IF(M21="20000-34999",2.19%,IF(M21="35000-49999",1.99%,IF(M21="50000-99999",1.89%)))))</f>
        <v>2.5899999999999999E-2</v>
      </c>
    </row>
    <row r="14" spans="1:28" ht="24.6" x14ac:dyDescent="0.4">
      <c r="A14" s="10" t="s">
        <v>27</v>
      </c>
      <c r="B14" s="37" t="s">
        <v>24</v>
      </c>
      <c r="C14" s="20" t="s">
        <v>19</v>
      </c>
      <c r="D14" s="50">
        <f>IF(C14="YES",U19*3.15*1.05/100,IF(C14="NO",U19*0/100))</f>
        <v>1573.2123750000001</v>
      </c>
      <c r="E14" s="48"/>
      <c r="F14" s="48" t="s">
        <v>24</v>
      </c>
      <c r="G14" s="51" t="s">
        <v>17</v>
      </c>
      <c r="H14" s="39">
        <f>IF(G14="YES",U19*3.15*1.05/100,IF(G14="NO",U19*0/100))</f>
        <v>0</v>
      </c>
      <c r="I14" s="21"/>
      <c r="J14" s="44" t="s">
        <v>55</v>
      </c>
      <c r="K14" s="44">
        <f>(H8*K12+H8)/3</f>
        <v>3517.5474916666667</v>
      </c>
      <c r="L14" s="44">
        <f>(H8*L12+H8)/12</f>
        <v>925.55468374479176</v>
      </c>
      <c r="M14" s="44">
        <f>(H8*M12+H8)/24</f>
        <v>495.09480945208338</v>
      </c>
      <c r="N14" s="52">
        <f>(H7*N12+H7)/60</f>
        <v>222.04518541145836</v>
      </c>
      <c r="O14" s="98">
        <f>IF(M21="3000-4999",3.89%,IF(M21="5000-9999",3.89%,IF(M21="10000-14999",3.89%,IF(M21="15000-24999",2.69%,IF(M21="25000-34999",2.69%,IF(M21="35000-99999",2.39%,IF(M21="76000-99999",2.19%)))))))</f>
        <v>3.8900000000000004E-2</v>
      </c>
    </row>
    <row r="15" spans="1:28" ht="24.6" x14ac:dyDescent="0.4">
      <c r="A15" s="11">
        <f>(B7*3%)+10+120</f>
        <v>1327</v>
      </c>
      <c r="B15" s="37" t="s">
        <v>28</v>
      </c>
      <c r="C15" s="20" t="s">
        <v>19</v>
      </c>
      <c r="D15" s="29">
        <f>IF(C15="YES",O10,IF(C15="NO",0))</f>
        <v>3625</v>
      </c>
      <c r="E15" s="48"/>
      <c r="F15" s="48" t="s">
        <v>53</v>
      </c>
      <c r="G15" s="51" t="s">
        <v>17</v>
      </c>
      <c r="H15" s="39">
        <f>IF(G15="YES",O10,IF(G15="NO",0))</f>
        <v>0</v>
      </c>
      <c r="I15" s="21"/>
      <c r="J15" s="44"/>
      <c r="K15" s="44"/>
      <c r="L15" s="44"/>
      <c r="M15" s="44"/>
      <c r="N15" s="53"/>
      <c r="O15" s="98" t="b">
        <f>IF(M21="3000-4999",4.99%, IF(M21="5000-11999",2.75%,IF(M21="12000-19999",2.75%,IF(M21="20000-39999",2.25%,IF(M21="40000-69999",2.39%,IF(M21="70000-99999",2.25%))))))</f>
        <v>0</v>
      </c>
      <c r="P15" s="99"/>
    </row>
    <row r="16" spans="1:28" ht="24.6" x14ac:dyDescent="0.4">
      <c r="A16" s="11">
        <f>((B7-B8)*3%+10+120)</f>
        <v>130</v>
      </c>
      <c r="B16" s="37" t="s">
        <v>78</v>
      </c>
      <c r="C16" s="20" t="s">
        <v>19</v>
      </c>
      <c r="D16" s="29">
        <f>IF(C16="YES",O16,IF(C16="NO",0))</f>
        <v>5400</v>
      </c>
      <c r="E16" s="47"/>
      <c r="F16" s="47" t="s">
        <v>74</v>
      </c>
      <c r="G16" s="54"/>
      <c r="H16" s="33">
        <f>I7*1.05%</f>
        <v>443.21098395000007</v>
      </c>
      <c r="I16" s="21"/>
      <c r="J16" s="44" t="s">
        <v>16</v>
      </c>
      <c r="K16" s="44">
        <f>(K14*3)-H8</f>
        <v>0</v>
      </c>
      <c r="L16" s="44">
        <f>(L14*12)-H8</f>
        <v>554.0137299375001</v>
      </c>
      <c r="M16" s="44">
        <f>(M14*24)-H8</f>
        <v>1329.6329518500006</v>
      </c>
      <c r="N16" s="53"/>
      <c r="O16" s="92">
        <f>IF(B16="RMC-10-70KMS",O11,IF(B16="RMC-10-100000KMS",V11,IF(B16="RMC-40-70KMS",U11, IF(B16="RMC-10-40KMS",X11, IF(B16="RMC-10-60KMS",Y11, IF(B16="RMC-40-100000KMS",W11,0))))))</f>
        <v>5400</v>
      </c>
    </row>
    <row r="17" spans="1:28" ht="24.6" x14ac:dyDescent="0.4">
      <c r="A17" s="11">
        <f>A15+A16</f>
        <v>1457</v>
      </c>
      <c r="B17" s="37"/>
      <c r="C17" s="20"/>
      <c r="D17" s="29">
        <f>SUM(D10:D16)</f>
        <v>10598.212374999999</v>
      </c>
      <c r="E17" s="33"/>
      <c r="F17" s="33"/>
      <c r="G17" s="33"/>
      <c r="H17" s="33">
        <f>H7+H12+H15+H16</f>
        <v>11595.853458950001</v>
      </c>
      <c r="I17" s="33"/>
      <c r="J17" s="22"/>
      <c r="K17" s="53"/>
      <c r="L17" s="53"/>
      <c r="M17" s="53"/>
      <c r="N17" s="53"/>
      <c r="O17" s="92">
        <f>IF(B11="FO Ceramic+ Intr&amp;Extr CeramicGold WdwTnt",2700,IF(B11="FO Mirror Camera Sensor",2000))</f>
        <v>2700</v>
      </c>
      <c r="T17" s="86">
        <f>19615-791</f>
        <v>18824</v>
      </c>
    </row>
    <row r="18" spans="1:28" ht="24.6" x14ac:dyDescent="0.4">
      <c r="A18" s="12" t="s">
        <v>29</v>
      </c>
      <c r="B18" s="55" t="s">
        <v>30</v>
      </c>
      <c r="C18" s="56"/>
      <c r="D18" s="57">
        <v>0</v>
      </c>
      <c r="E18" s="38"/>
      <c r="F18" s="22"/>
      <c r="G18" s="22"/>
      <c r="H18" s="21"/>
      <c r="I18" s="21"/>
      <c r="J18" s="21"/>
      <c r="K18" s="21"/>
      <c r="L18" s="21"/>
      <c r="M18" s="21"/>
      <c r="N18" s="21"/>
      <c r="O18" s="92"/>
      <c r="U18" s="100" t="s">
        <v>52</v>
      </c>
      <c r="V18" s="100" t="s">
        <v>52</v>
      </c>
    </row>
    <row r="19" spans="1:28" ht="24.6" x14ac:dyDescent="0.4">
      <c r="A19" s="11">
        <f>B8*3.15%</f>
        <v>1256.8499999999999</v>
      </c>
      <c r="B19" s="58" t="s">
        <v>31</v>
      </c>
      <c r="C19" s="59"/>
      <c r="D19" s="60">
        <f>IF(K21="DIB EXPAT",O13,IF(K21="DIB LOCAL GVH",U13,IF(K21="Emirates NBD",O14,IF(K21="ADCB",O15,IF(K21="ADCB PAY IN 2027",O19,IF(K21="Ajman Bank",O18,IF(K21="SIB STL",Z13,IF(K21="SIB NON STL",AA13,))))))))</f>
        <v>2.4900000000000002E-2</v>
      </c>
      <c r="E19" s="22"/>
      <c r="F19" s="61"/>
      <c r="G19" s="141" t="s">
        <v>73</v>
      </c>
      <c r="H19" s="142"/>
      <c r="I19" s="143"/>
      <c r="J19" s="109">
        <f>H7/365</f>
        <v>28.911349246575345</v>
      </c>
      <c r="K19" s="21"/>
      <c r="L19" s="21"/>
      <c r="M19" s="21"/>
      <c r="N19" s="23">
        <f>D7</f>
        <v>41895</v>
      </c>
      <c r="O19" s="98" t="b">
        <f>IF(M21="5000-11999",3.35%,IF(M21="12000-19999",3.35%,IF(M21="20000-39999",2.85%,IF(M21="40000-69999",2.85%,IF(M21="70000-99999",2.85%)))))</f>
        <v>0</v>
      </c>
      <c r="P19" s="83">
        <f>81400-2500</f>
        <v>78900</v>
      </c>
      <c r="U19" s="101">
        <f>V19</f>
        <v>47565</v>
      </c>
      <c r="V19" s="102">
        <f>(B7+D10+D11+D12+D13+D16)*1.05</f>
        <v>47565</v>
      </c>
      <c r="X19" s="87">
        <f>G7*3.15*1.05/100</f>
        <v>1745.1432493031252</v>
      </c>
      <c r="Y19" s="87">
        <f>G7*3/100+510*1.05</f>
        <v>2118.3963712499999</v>
      </c>
      <c r="Z19" s="87">
        <f>Y19+X19</f>
        <v>3863.5396205531251</v>
      </c>
      <c r="AA19" s="87">
        <f>(Z19)-(D14+D15)</f>
        <v>-1334.6727544468749</v>
      </c>
      <c r="AB19" s="87">
        <f>AA19*1.25</f>
        <v>-1668.3409430585937</v>
      </c>
    </row>
    <row r="20" spans="1:28" ht="24.6" x14ac:dyDescent="0.4">
      <c r="A20" s="11"/>
      <c r="B20" s="58" t="s">
        <v>32</v>
      </c>
      <c r="C20" s="62"/>
      <c r="D20" s="63">
        <v>0.2</v>
      </c>
      <c r="E20" s="21"/>
      <c r="F20" s="21"/>
      <c r="G20" s="42"/>
      <c r="H20" s="42"/>
      <c r="I20" s="42"/>
      <c r="J20" s="103"/>
      <c r="K20" s="104" t="s">
        <v>33</v>
      </c>
      <c r="L20" s="104" t="s">
        <v>17</v>
      </c>
      <c r="M20" s="104">
        <f>IF(L20="YES",O12,IF(L20="NO",0))</f>
        <v>0</v>
      </c>
      <c r="N20" s="23">
        <f>B8-M20</f>
        <v>39900</v>
      </c>
      <c r="O20" s="92"/>
      <c r="P20" s="99"/>
      <c r="T20" s="86">
        <f>1992+1084</f>
        <v>3076</v>
      </c>
      <c r="V20" s="83"/>
      <c r="X20" s="87">
        <f>X19-D14</f>
        <v>171.93087430312517</v>
      </c>
      <c r="Y20" s="87">
        <f>Y19-D15</f>
        <v>-1506.6036287500001</v>
      </c>
      <c r="AA20" s="87">
        <f>X20+Y20</f>
        <v>-1334.6727544468749</v>
      </c>
    </row>
    <row r="21" spans="1:28" ht="24.6" x14ac:dyDescent="0.4">
      <c r="A21" s="13">
        <f>A19+A20</f>
        <v>1256.8499999999999</v>
      </c>
      <c r="B21" s="21"/>
      <c r="C21" s="22"/>
      <c r="D21" s="21"/>
      <c r="E21" s="21"/>
      <c r="F21" s="21"/>
      <c r="G21" s="21"/>
      <c r="H21" s="21"/>
      <c r="I21" s="21"/>
      <c r="J21" s="37" t="s">
        <v>34</v>
      </c>
      <c r="K21" s="16" t="s">
        <v>83</v>
      </c>
      <c r="L21" s="105" t="s">
        <v>35</v>
      </c>
      <c r="M21" s="106" t="s">
        <v>80</v>
      </c>
      <c r="N21" s="111"/>
      <c r="O21" s="92"/>
      <c r="T21" s="86">
        <f>25973-12973</f>
        <v>13000</v>
      </c>
    </row>
    <row r="22" spans="1:28" ht="24.6" x14ac:dyDescent="0.4">
      <c r="A22" s="13"/>
      <c r="B22" s="130" t="s">
        <v>51</v>
      </c>
      <c r="C22" s="131"/>
      <c r="D22" s="131"/>
      <c r="E22" s="131"/>
      <c r="F22" s="131"/>
      <c r="G22" s="131"/>
      <c r="H22" s="131"/>
      <c r="I22" s="131"/>
      <c r="J22" s="131"/>
      <c r="K22" s="131"/>
      <c r="L22" s="131"/>
      <c r="M22" s="131"/>
      <c r="N22" s="132"/>
      <c r="O22" s="92"/>
    </row>
    <row r="23" spans="1:28" ht="25.2" x14ac:dyDescent="0.45">
      <c r="A23" s="14" t="s">
        <v>36</v>
      </c>
      <c r="B23" s="64" t="s">
        <v>57</v>
      </c>
      <c r="C23" s="65"/>
      <c r="D23" s="65"/>
      <c r="E23" s="65"/>
      <c r="F23" s="65"/>
      <c r="G23" s="65"/>
      <c r="H23" s="66"/>
      <c r="I23" s="66"/>
      <c r="J23" s="65"/>
      <c r="K23" s="65"/>
      <c r="L23" s="65"/>
      <c r="M23" s="65"/>
      <c r="N23" s="67"/>
      <c r="O23" s="92">
        <f>N7+K14</f>
        <v>4308.6439225425001</v>
      </c>
    </row>
    <row r="24" spans="1:28" ht="25.2" x14ac:dyDescent="0.45">
      <c r="A24" s="14" t="s">
        <v>36</v>
      </c>
      <c r="B24" s="64" t="s">
        <v>58</v>
      </c>
      <c r="C24" s="65"/>
      <c r="D24" s="65"/>
      <c r="E24" s="65"/>
      <c r="F24" s="65"/>
      <c r="G24" s="65"/>
      <c r="H24" s="85">
        <f>H7/365</f>
        <v>28.911349246575345</v>
      </c>
      <c r="I24" s="85">
        <f>H7/365</f>
        <v>28.911349246575345</v>
      </c>
      <c r="J24" s="65"/>
      <c r="K24" s="65"/>
      <c r="L24" s="65"/>
      <c r="M24" s="65"/>
      <c r="N24" s="68"/>
      <c r="O24" s="92"/>
      <c r="P24" s="83">
        <f>1232+480</f>
        <v>1712</v>
      </c>
      <c r="T24" s="86">
        <f>88704/1.05</f>
        <v>84480</v>
      </c>
    </row>
    <row r="25" spans="1:28" ht="25.2" x14ac:dyDescent="0.45">
      <c r="A25" s="14" t="s">
        <v>36</v>
      </c>
      <c r="B25" s="64" t="s">
        <v>59</v>
      </c>
      <c r="C25" s="65"/>
      <c r="D25" s="65"/>
      <c r="E25" s="65"/>
      <c r="F25" s="65"/>
      <c r="G25" s="65"/>
      <c r="H25" s="66"/>
      <c r="I25" s="85">
        <f>I24*365*3</f>
        <v>31657.927425000002</v>
      </c>
      <c r="J25" s="65"/>
      <c r="K25" s="65"/>
      <c r="L25" s="65"/>
      <c r="M25" s="65"/>
      <c r="N25" s="68"/>
      <c r="O25" s="92"/>
      <c r="Q25" s="86">
        <f>79400-5233.33</f>
        <v>74166.67</v>
      </c>
      <c r="R25" s="86">
        <f>Q25*1.05</f>
        <v>77875.003500000006</v>
      </c>
    </row>
    <row r="26" spans="1:28" ht="25.2" x14ac:dyDescent="0.45">
      <c r="A26" s="14" t="s">
        <v>36</v>
      </c>
      <c r="B26" s="64" t="s">
        <v>60</v>
      </c>
      <c r="C26" s="65"/>
      <c r="D26" s="65"/>
      <c r="E26" s="65"/>
      <c r="F26" s="65"/>
      <c r="G26" s="65"/>
      <c r="H26" s="65"/>
      <c r="I26" s="65"/>
      <c r="J26" s="65"/>
      <c r="K26" s="65"/>
      <c r="L26" s="65"/>
      <c r="M26" s="65"/>
      <c r="N26" s="68"/>
      <c r="O26" s="92" t="s">
        <v>37</v>
      </c>
      <c r="R26" s="86">
        <f>R25+2469</f>
        <v>80344.003500000006</v>
      </c>
    </row>
    <row r="27" spans="1:28" ht="25.2" x14ac:dyDescent="0.45">
      <c r="A27" s="14" t="s">
        <v>36</v>
      </c>
      <c r="B27" s="64" t="s">
        <v>61</v>
      </c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8"/>
      <c r="O27" s="92">
        <f>129500-110900</f>
        <v>18600</v>
      </c>
    </row>
    <row r="28" spans="1:28" ht="25.2" x14ac:dyDescent="0.45">
      <c r="B28" s="64" t="s">
        <v>62</v>
      </c>
      <c r="C28" s="65"/>
      <c r="D28" s="65"/>
      <c r="E28" s="65"/>
      <c r="F28" s="65"/>
      <c r="G28" s="65"/>
      <c r="H28" s="65"/>
      <c r="I28" s="65"/>
      <c r="J28" s="65"/>
      <c r="K28" s="65"/>
      <c r="L28" s="65"/>
      <c r="M28" s="65"/>
      <c r="N28" s="68"/>
      <c r="O28" s="92"/>
    </row>
    <row r="29" spans="1:28" ht="25.2" x14ac:dyDescent="0.45">
      <c r="B29" s="64" t="s">
        <v>63</v>
      </c>
      <c r="C29" s="65"/>
      <c r="D29" s="65"/>
      <c r="E29" s="65"/>
      <c r="F29" s="65"/>
      <c r="G29" s="65"/>
      <c r="H29" s="65"/>
      <c r="I29" s="65"/>
      <c r="J29" s="65"/>
      <c r="K29" s="65"/>
      <c r="L29" s="65"/>
      <c r="M29" s="65"/>
      <c r="N29" s="69"/>
      <c r="O29" s="92"/>
    </row>
    <row r="30" spans="1:28" ht="24.6" x14ac:dyDescent="0.4">
      <c r="B30" s="133" t="s">
        <v>38</v>
      </c>
      <c r="C30" s="134"/>
      <c r="D30" s="134"/>
      <c r="E30" s="134"/>
      <c r="F30" s="134"/>
      <c r="G30" s="134"/>
      <c r="H30" s="134"/>
      <c r="I30" s="134"/>
      <c r="J30" s="134"/>
      <c r="K30" s="134"/>
      <c r="L30" s="134"/>
      <c r="M30" s="134"/>
      <c r="N30" s="135"/>
      <c r="O30" s="92"/>
    </row>
    <row r="31" spans="1:28" ht="24.6" x14ac:dyDescent="0.4">
      <c r="B31" s="136"/>
      <c r="C31" s="137"/>
      <c r="D31" s="137"/>
      <c r="E31" s="137"/>
      <c r="F31" s="137"/>
      <c r="G31" s="137"/>
      <c r="H31" s="137"/>
      <c r="I31" s="137"/>
      <c r="J31" s="137"/>
      <c r="K31" s="137"/>
      <c r="L31" s="137"/>
      <c r="M31" s="137"/>
      <c r="N31" s="138"/>
      <c r="O31" s="92"/>
    </row>
    <row r="32" spans="1:28" ht="24.6" x14ac:dyDescent="0.4">
      <c r="B32" s="136" t="s">
        <v>39</v>
      </c>
      <c r="C32" s="137"/>
      <c r="D32" s="137"/>
      <c r="E32" s="137"/>
      <c r="F32" s="137"/>
      <c r="G32" s="137"/>
      <c r="H32" s="137"/>
      <c r="I32" s="137"/>
      <c r="J32" s="137"/>
      <c r="K32" s="137"/>
      <c r="L32" s="137"/>
      <c r="M32" s="137"/>
      <c r="N32" s="138"/>
      <c r="O32" s="92"/>
    </row>
    <row r="33" spans="2:16" ht="24.6" x14ac:dyDescent="0.4">
      <c r="B33" s="136" t="s">
        <v>40</v>
      </c>
      <c r="C33" s="137"/>
      <c r="D33" s="137"/>
      <c r="E33" s="137"/>
      <c r="F33" s="137"/>
      <c r="G33" s="137"/>
      <c r="H33" s="137"/>
      <c r="I33" s="137"/>
      <c r="J33" s="137"/>
      <c r="K33" s="137"/>
      <c r="L33" s="137"/>
      <c r="M33" s="137"/>
      <c r="N33" s="138"/>
      <c r="O33" s="92"/>
    </row>
    <row r="34" spans="2:16" s="112" customFormat="1" ht="24.6" x14ac:dyDescent="0.4">
      <c r="B34" s="107" t="s">
        <v>81</v>
      </c>
      <c r="C34" s="108"/>
      <c r="D34" s="108"/>
      <c r="E34" s="108"/>
      <c r="F34" s="108"/>
      <c r="G34" s="113"/>
      <c r="H34" s="113"/>
      <c r="I34" s="108"/>
      <c r="J34" s="108"/>
      <c r="K34" s="108"/>
      <c r="L34" s="108"/>
      <c r="M34" s="114" t="s">
        <v>82</v>
      </c>
      <c r="N34" s="116" t="b">
        <f>IF(M34="ALAA",507963328, IF(M34="BACHIR",525246969,IF(M34="JIHAN",566201266, IF(M34="RAMY",505277871, IF(M34="SIMON",505140337,IF(M34="SUJITH",551079817, IF(M34="PRAVEEN",506367792,IF(M34="MHAREN",529224059, IF(M34="MOSSALLEM",505185577,IF(M34="RANJITH",554989288, IF(M34="KHALED",552319494)))))))))))</f>
        <v>0</v>
      </c>
      <c r="O34" s="115"/>
      <c r="P34" s="115"/>
    </row>
    <row r="35" spans="2:16" x14ac:dyDescent="0.35">
      <c r="B35" s="70"/>
      <c r="C35" s="71"/>
      <c r="D35" s="71"/>
      <c r="E35" s="71"/>
      <c r="F35" s="71"/>
      <c r="G35" s="71"/>
      <c r="H35" s="71"/>
      <c r="I35" s="71"/>
      <c r="J35" s="71"/>
      <c r="K35" s="71"/>
      <c r="L35" s="71"/>
      <c r="M35" s="71"/>
      <c r="N35" s="72"/>
    </row>
    <row r="36" spans="2:16" x14ac:dyDescent="0.35">
      <c r="B36" s="70"/>
      <c r="C36" s="71"/>
      <c r="D36" s="71"/>
      <c r="E36" s="71"/>
      <c r="F36" s="71"/>
      <c r="G36" s="71"/>
      <c r="H36" s="71"/>
      <c r="I36" s="71"/>
      <c r="J36" s="71"/>
      <c r="K36" s="71"/>
      <c r="L36" s="71"/>
      <c r="M36" s="71"/>
      <c r="N36" s="72"/>
    </row>
    <row r="37" spans="2:16" x14ac:dyDescent="0.35">
      <c r="B37" s="70"/>
      <c r="C37" s="71"/>
      <c r="D37" s="71"/>
      <c r="E37" s="71"/>
      <c r="F37" s="71"/>
      <c r="G37" s="71"/>
      <c r="H37" s="71"/>
      <c r="I37" s="71"/>
      <c r="J37" s="71"/>
      <c r="K37" s="71"/>
      <c r="L37" s="71"/>
      <c r="M37" s="71"/>
      <c r="N37" s="72"/>
    </row>
    <row r="38" spans="2:16" ht="21" x14ac:dyDescent="0.4">
      <c r="B38" s="73" t="s">
        <v>64</v>
      </c>
      <c r="C38" s="74"/>
      <c r="D38" s="75"/>
      <c r="E38" s="76"/>
      <c r="F38" s="76"/>
      <c r="G38" s="76"/>
      <c r="H38" s="76"/>
      <c r="I38" s="76"/>
      <c r="J38" s="77"/>
      <c r="K38" s="76"/>
      <c r="L38" s="76"/>
      <c r="M38" s="76"/>
      <c r="N38" s="78"/>
    </row>
    <row r="39" spans="2:16" ht="21" x14ac:dyDescent="0.4">
      <c r="B39" s="73" t="s">
        <v>65</v>
      </c>
      <c r="C39" s="79"/>
      <c r="D39" s="75"/>
      <c r="E39" s="76"/>
      <c r="F39" s="76"/>
      <c r="G39" s="76"/>
      <c r="H39" s="76"/>
      <c r="I39" s="76"/>
      <c r="J39" s="77"/>
      <c r="K39" s="76"/>
      <c r="L39" s="76"/>
      <c r="M39" s="76"/>
      <c r="N39" s="80"/>
    </row>
    <row r="40" spans="2:16" ht="21" x14ac:dyDescent="0.35">
      <c r="B40" s="73" t="s">
        <v>66</v>
      </c>
      <c r="C40" s="81"/>
      <c r="D40" s="76"/>
      <c r="E40" s="76"/>
      <c r="F40" s="76"/>
      <c r="G40" s="76"/>
      <c r="H40" s="76"/>
      <c r="I40" s="76"/>
      <c r="J40" s="77"/>
      <c r="K40" s="76"/>
      <c r="L40" s="76"/>
      <c r="M40" s="76"/>
      <c r="N40" s="80"/>
    </row>
    <row r="41" spans="2:16" ht="21" x14ac:dyDescent="0.35">
      <c r="B41" s="73" t="s">
        <v>67</v>
      </c>
      <c r="C41" s="82"/>
      <c r="D41" s="83"/>
      <c r="E41" s="83"/>
      <c r="F41" s="83"/>
      <c r="G41" s="83"/>
      <c r="H41" s="83"/>
      <c r="I41" s="83"/>
      <c r="J41" s="83"/>
      <c r="K41" s="83"/>
      <c r="L41" s="83"/>
      <c r="M41" s="83"/>
      <c r="N41" s="84"/>
    </row>
    <row r="42" spans="2:16" ht="21" x14ac:dyDescent="0.35">
      <c r="B42" s="73" t="s">
        <v>77</v>
      </c>
      <c r="C42" s="82"/>
      <c r="D42" s="83"/>
      <c r="E42" s="83"/>
      <c r="F42" s="83"/>
      <c r="G42" s="83"/>
      <c r="H42" s="83"/>
      <c r="I42" s="83"/>
      <c r="J42" s="83"/>
      <c r="K42" s="83"/>
      <c r="L42" s="83"/>
      <c r="M42" s="83"/>
      <c r="N42" s="84"/>
    </row>
    <row r="43" spans="2:16" ht="21" x14ac:dyDescent="0.35">
      <c r="B43" s="73" t="s">
        <v>68</v>
      </c>
      <c r="C43" s="82"/>
      <c r="D43" s="83"/>
      <c r="E43" s="83"/>
      <c r="F43" s="83"/>
      <c r="G43" s="83"/>
      <c r="H43" s="83"/>
      <c r="I43" s="83"/>
      <c r="J43" s="83"/>
      <c r="K43" s="83"/>
      <c r="L43" s="83"/>
      <c r="M43" s="83"/>
      <c r="N43" s="84"/>
    </row>
    <row r="44" spans="2:16" ht="21" x14ac:dyDescent="0.35">
      <c r="B44" s="73" t="s">
        <v>69</v>
      </c>
      <c r="C44" s="82"/>
      <c r="D44" s="83"/>
      <c r="E44" s="83"/>
      <c r="F44" s="83"/>
      <c r="G44" s="83"/>
      <c r="H44" s="83"/>
      <c r="I44" s="83"/>
      <c r="J44" s="83"/>
      <c r="K44" s="83"/>
      <c r="L44" s="83"/>
      <c r="M44" s="83"/>
      <c r="N44" s="84"/>
    </row>
    <row r="45" spans="2:16" ht="21" x14ac:dyDescent="0.35">
      <c r="B45" s="73" t="s">
        <v>70</v>
      </c>
      <c r="C45" s="82"/>
      <c r="D45" s="83"/>
      <c r="E45" s="83"/>
      <c r="F45" s="83"/>
      <c r="G45" s="83"/>
      <c r="H45" s="83"/>
      <c r="I45" s="83"/>
      <c r="J45" s="83"/>
      <c r="K45" s="83"/>
      <c r="L45" s="83"/>
      <c r="M45" s="83"/>
      <c r="N45" s="84"/>
    </row>
    <row r="46" spans="2:16" ht="21" x14ac:dyDescent="0.35">
      <c r="B46" s="73" t="s">
        <v>71</v>
      </c>
      <c r="C46" s="82"/>
      <c r="D46" s="83"/>
      <c r="E46" s="83"/>
      <c r="F46" s="83"/>
      <c r="G46" s="83"/>
      <c r="H46" s="83"/>
      <c r="I46" s="83"/>
      <c r="J46" s="83"/>
      <c r="K46" s="83"/>
      <c r="L46" s="83"/>
      <c r="M46" s="83"/>
      <c r="N46" s="84"/>
    </row>
    <row r="47" spans="2:16" x14ac:dyDescent="0.35">
      <c r="B47" s="118" t="s">
        <v>39</v>
      </c>
      <c r="C47" s="119"/>
      <c r="D47" s="119"/>
      <c r="E47" s="119"/>
      <c r="F47" s="119"/>
      <c r="G47" s="119"/>
      <c r="H47" s="119"/>
      <c r="I47" s="119"/>
      <c r="J47" s="119"/>
      <c r="K47" s="119"/>
      <c r="L47" s="119"/>
      <c r="M47" s="119"/>
      <c r="N47" s="120"/>
      <c r="O47" s="92"/>
    </row>
    <row r="48" spans="2:16" x14ac:dyDescent="0.35">
      <c r="B48" s="118" t="s">
        <v>40</v>
      </c>
      <c r="C48" s="119"/>
      <c r="D48" s="119"/>
      <c r="E48" s="119"/>
      <c r="F48" s="119"/>
      <c r="G48" s="119"/>
      <c r="H48" s="119"/>
      <c r="I48" s="119"/>
      <c r="J48" s="119"/>
      <c r="K48" s="119"/>
      <c r="L48" s="119"/>
      <c r="M48" s="119"/>
      <c r="N48" s="120"/>
      <c r="O48" s="92"/>
    </row>
    <row r="49" spans="2:14" x14ac:dyDescent="0.35">
      <c r="B49" s="118" t="s">
        <v>72</v>
      </c>
      <c r="C49" s="119"/>
      <c r="D49" s="119"/>
      <c r="E49" s="119"/>
      <c r="F49" s="119"/>
      <c r="G49" s="119"/>
      <c r="H49" s="119"/>
      <c r="I49" s="119"/>
      <c r="J49" s="119"/>
      <c r="K49" s="119"/>
      <c r="L49" s="119"/>
      <c r="M49" s="119"/>
      <c r="N49" s="120"/>
    </row>
    <row r="50" spans="2:14" ht="25.8" x14ac:dyDescent="0.35">
      <c r="C50" s="15" t="s">
        <v>41</v>
      </c>
    </row>
    <row r="51" spans="2:14" ht="25.8" x14ac:dyDescent="0.35">
      <c r="C51" s="15" t="s">
        <v>42</v>
      </c>
    </row>
    <row r="52" spans="2:14" ht="25.8" x14ac:dyDescent="0.35">
      <c r="C52" s="15" t="s">
        <v>43</v>
      </c>
    </row>
    <row r="53" spans="2:14" ht="25.8" x14ac:dyDescent="0.35">
      <c r="C53" s="15" t="s">
        <v>44</v>
      </c>
    </row>
    <row r="54" spans="2:14" ht="25.8" x14ac:dyDescent="0.35">
      <c r="C54" s="15" t="s">
        <v>45</v>
      </c>
    </row>
  </sheetData>
  <mergeCells count="12">
    <mergeCell ref="B49:N49"/>
    <mergeCell ref="B1:N4"/>
    <mergeCell ref="F8:G8"/>
    <mergeCell ref="F9:G9"/>
    <mergeCell ref="G19:I19"/>
    <mergeCell ref="B22:N22"/>
    <mergeCell ref="B30:N30"/>
    <mergeCell ref="B31:N31"/>
    <mergeCell ref="B32:N32"/>
    <mergeCell ref="B33:N33"/>
    <mergeCell ref="B47:N47"/>
    <mergeCell ref="B48:N48"/>
  </mergeCells>
  <dataValidations count="11">
    <dataValidation type="list" allowBlank="1" showInputMessage="1" showErrorMessage="1" sqref="K21" xr:uid="{8B2B498C-F9FC-4FD7-9F20-3CD0C8D1563C}">
      <formula1>"ADCB,ADCB PAY IN 2027,Ajman Bank,ADIB,DIB EXPAT,DIB LOCAL GVH,Emirates NBD,EIB,FAB,RAK,SIB STL,SIB NON STL"</formula1>
    </dataValidation>
    <dataValidation type="list" allowBlank="1" showInputMessage="1" showErrorMessage="1" sqref="D5" xr:uid="{47747D2F-80FB-40B8-B4E2-201F60FDABDB}">
      <formula1>"MIG09,MIG10,ATG16,ATP16,ATG17,ASG48,ASG43,ASG40,ASG42,ASG44,ASG45,ECG38,ECG37,ECG40,ECG43,XPML,XPHL,XPMLP, XPMLP-01, XC,OTF03,OTP03,OTF06,OTP06, OTP06-01,OTF08, OTP08,MOP57,MOG64,MOG59,MOG59P,MOG61,MOP61"</formula1>
    </dataValidation>
    <dataValidation type="list" allowBlank="1" showInputMessage="1" showErrorMessage="1" sqref="M21" xr:uid="{AD8FA317-D5AC-4ADC-AAF3-55352298E3D2}">
      <formula1>"3000-4999,5000-9999,10000-14999,15000-24999,25000-34999,35000-99999,5000-11999,12000-19999,20000-39999,40000-69999,70000-99999"</formula1>
    </dataValidation>
    <dataValidation type="list" allowBlank="1" showInputMessage="1" showErrorMessage="1" sqref="K20" xr:uid="{40DCE40F-D7E7-4935-89B6-AFD2963930FE}">
      <formula1>"Esaad,Emirates Platinum,Fazaa,Humat Alwatan,Permissible,ASX,XPMLP,XP,MON,MON G57,OUT,F08,P08,F06,P06,F03,P03,EC,G37,G38,G40,G43"</formula1>
    </dataValidation>
    <dataValidation type="list" allowBlank="1" showInputMessage="1" showErrorMessage="1" sqref="L19:L20 L24:L25 G14:G15 C10:C16 L10 J10" xr:uid="{6D658EBE-1F96-4D57-B683-2F00B7F0F84F}">
      <formula1>"YES,NO"</formula1>
    </dataValidation>
    <dataValidation type="list" allowBlank="1" showInputMessage="1" showErrorMessage="1" sqref="K24" xr:uid="{73F92F37-B953-420C-AFEC-D6AE1C5090D2}">
      <formula1>"RMC-10-70K,RMC-10-100000K,RMC-40-70K"</formula1>
    </dataValidation>
    <dataValidation type="list" allowBlank="1" showInputMessage="1" showErrorMessage="1" sqref="B16" xr:uid="{409678A9-C5A8-45CE-B9DC-CB310E28FA5A}">
      <formula1>"RMC-10-40KMS,RMC-10-60KMS,RMC-10-70KMS,RMC-10-100000KMS,RMC-40-70KMS,RMC-40-100000KMS"</formula1>
    </dataValidation>
    <dataValidation type="list" allowBlank="1" showInputMessage="1" showErrorMessage="1" sqref="B12" xr:uid="{93A6D68D-A135-48F6-927C-957E1AF4A250}">
      <formula1>"FO Exterior ceramic All Cars SCOTCHGUARD,FO Mirror Camera Sensor,FO PPF Gold Package "</formula1>
    </dataValidation>
    <dataValidation type="list" allowBlank="1" showInputMessage="1" showErrorMessage="1" sqref="B11" xr:uid="{9345643F-6D50-4CFF-B8B7-FEC63D9C1677}">
      <formula1>"FO Ceramic+ Intr&amp;Extr CeramicGold WdwTnt,FO Mirror Camera Sensor"</formula1>
    </dataValidation>
    <dataValidation type="list" allowBlank="1" showInputMessage="1" showErrorMessage="1" sqref="M34" xr:uid="{FC00B049-1759-49BE-96EB-8B3A1C7415DC}">
      <formula1>"Alaa,Bachir ,Khaled,Ramy,Simon,Mharen,Ranjith,Jihan,Praveen,Sujith,Mossallem"</formula1>
    </dataValidation>
    <dataValidation type="list" allowBlank="1" showInputMessage="1" showErrorMessage="1" sqref="H34" xr:uid="{1265F2CA-C954-44F8-AE66-9A848EF7038D}">
      <formula1>"ALAA HAMMAD,KHALED QASSEM,RAMY RAOUF,SIMON LOBO,MHAREN CLEMENTE GARADO"</formula1>
    </dataValidation>
  </dataValidations>
  <pageMargins left="0.23622047244094491" right="0.23622047244094491" top="0.74803149606299213" bottom="0.74803149606299213" header="0.31496062992125984" footer="0.31496062992125984"/>
  <pageSetup paperSize="9" scale="37" orientation="landscape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80</vt:i4>
      </vt:variant>
      <vt:variant>
        <vt:lpstr>Named Ranges</vt:lpstr>
      </vt:variant>
      <vt:variant>
        <vt:i4>80</vt:i4>
      </vt:variant>
    </vt:vector>
  </HeadingPairs>
  <TitlesOfParts>
    <vt:vector size="160" baseType="lpstr">
      <vt:lpstr>MLP 26</vt:lpstr>
      <vt:lpstr>PR 26</vt:lpstr>
      <vt:lpstr>ML 26</vt:lpstr>
      <vt:lpstr>EH43 26</vt:lpstr>
      <vt:lpstr>EH40 26</vt:lpstr>
      <vt:lpstr>H43 26</vt:lpstr>
      <vt:lpstr>H40 26</vt:lpstr>
      <vt:lpstr>H44 26</vt:lpstr>
      <vt:lpstr>H42 26</vt:lpstr>
      <vt:lpstr>H48 26</vt:lpstr>
      <vt:lpstr>H45 26</vt:lpstr>
      <vt:lpstr>H38 26</vt:lpstr>
      <vt:lpstr>HLP 26</vt:lpstr>
      <vt:lpstr>H37 26</vt:lpstr>
      <vt:lpstr>PRP 26</vt:lpstr>
      <vt:lpstr>XPHL 26</vt:lpstr>
      <vt:lpstr>XPMLP 26</vt:lpstr>
      <vt:lpstr>XPML 26</vt:lpstr>
      <vt:lpstr>XPMLP-01 26</vt:lpstr>
      <vt:lpstr>XC 26</vt:lpstr>
      <vt:lpstr>P10 26</vt:lpstr>
      <vt:lpstr>G10 26</vt:lpstr>
      <vt:lpstr>G03 26</vt:lpstr>
      <vt:lpstr>G06 26</vt:lpstr>
      <vt:lpstr>P03 26</vt:lpstr>
      <vt:lpstr>P06 26</vt:lpstr>
      <vt:lpstr>P12 26 (2)</vt:lpstr>
      <vt:lpstr>P12 26</vt:lpstr>
      <vt:lpstr>G12 26</vt:lpstr>
      <vt:lpstr>P05 26</vt:lpstr>
      <vt:lpstr>G05 26</vt:lpstr>
      <vt:lpstr>G08 26</vt:lpstr>
      <vt:lpstr>G09 26</vt:lpstr>
      <vt:lpstr>P09 26</vt:lpstr>
      <vt:lpstr>H57 26</vt:lpstr>
      <vt:lpstr>P08 26</vt:lpstr>
      <vt:lpstr>H64 26</vt:lpstr>
      <vt:lpstr>P57 26</vt:lpstr>
      <vt:lpstr>P59 26</vt:lpstr>
      <vt:lpstr>H61 26</vt:lpstr>
      <vt:lpstr>P61 26</vt:lpstr>
      <vt:lpstr>H59 26</vt:lpstr>
      <vt:lpstr>H17 26</vt:lpstr>
      <vt:lpstr>HL 26</vt:lpstr>
      <vt:lpstr>P16 26</vt:lpstr>
      <vt:lpstr>H16 26</vt:lpstr>
      <vt:lpstr>MIG10 26</vt:lpstr>
      <vt:lpstr>MIG09 26</vt:lpstr>
      <vt:lpstr>MOP61 25</vt:lpstr>
      <vt:lpstr>MOG61 25</vt:lpstr>
      <vt:lpstr>MOG59P 25</vt:lpstr>
      <vt:lpstr>MOG59 25</vt:lpstr>
      <vt:lpstr>MOG64 25</vt:lpstr>
      <vt:lpstr>MOP57 25</vt:lpstr>
      <vt:lpstr>OTP08 25</vt:lpstr>
      <vt:lpstr>OTF08 25</vt:lpstr>
      <vt:lpstr>OTP06-01 25</vt:lpstr>
      <vt:lpstr>OTP06 25</vt:lpstr>
      <vt:lpstr>OTF06 25</vt:lpstr>
      <vt:lpstr>OTP03 25</vt:lpstr>
      <vt:lpstr>OTF03 25</vt:lpstr>
      <vt:lpstr>XC 25</vt:lpstr>
      <vt:lpstr>XPMLP-01 25</vt:lpstr>
      <vt:lpstr>XPMLP 25</vt:lpstr>
      <vt:lpstr>XPHL 25</vt:lpstr>
      <vt:lpstr>XPML 25</vt:lpstr>
      <vt:lpstr>ECG43 25</vt:lpstr>
      <vt:lpstr>ECG40 25</vt:lpstr>
      <vt:lpstr>ECG37 25</vt:lpstr>
      <vt:lpstr>ECG38 25</vt:lpstr>
      <vt:lpstr>ASG45 25</vt:lpstr>
      <vt:lpstr>ASG44 25</vt:lpstr>
      <vt:lpstr>ASG42 25</vt:lpstr>
      <vt:lpstr>ASG40 25</vt:lpstr>
      <vt:lpstr>ASG43 25</vt:lpstr>
      <vt:lpstr>ASG48 25</vt:lpstr>
      <vt:lpstr>ATG17 25</vt:lpstr>
      <vt:lpstr>ATG16 25</vt:lpstr>
      <vt:lpstr>MIG10 25</vt:lpstr>
      <vt:lpstr>MIG09 25</vt:lpstr>
      <vt:lpstr>'ASG40 25'!Print_Area</vt:lpstr>
      <vt:lpstr>'ASG42 25'!Print_Area</vt:lpstr>
      <vt:lpstr>'ASG43 25'!Print_Area</vt:lpstr>
      <vt:lpstr>'ASG44 25'!Print_Area</vt:lpstr>
      <vt:lpstr>'ASG45 25'!Print_Area</vt:lpstr>
      <vt:lpstr>'ASG48 25'!Print_Area</vt:lpstr>
      <vt:lpstr>'ATG16 25'!Print_Area</vt:lpstr>
      <vt:lpstr>'ATG17 25'!Print_Area</vt:lpstr>
      <vt:lpstr>'ECG37 25'!Print_Area</vt:lpstr>
      <vt:lpstr>'ECG38 25'!Print_Area</vt:lpstr>
      <vt:lpstr>'ECG40 25'!Print_Area</vt:lpstr>
      <vt:lpstr>'ECG43 25'!Print_Area</vt:lpstr>
      <vt:lpstr>'EH40 26'!Print_Area</vt:lpstr>
      <vt:lpstr>'EH43 26'!Print_Area</vt:lpstr>
      <vt:lpstr>'G03 26'!Print_Area</vt:lpstr>
      <vt:lpstr>'G05 26'!Print_Area</vt:lpstr>
      <vt:lpstr>'G06 26'!Print_Area</vt:lpstr>
      <vt:lpstr>'G08 26'!Print_Area</vt:lpstr>
      <vt:lpstr>'G09 26'!Print_Area</vt:lpstr>
      <vt:lpstr>'G10 26'!Print_Area</vt:lpstr>
      <vt:lpstr>'G12 26'!Print_Area</vt:lpstr>
      <vt:lpstr>'H16 26'!Print_Area</vt:lpstr>
      <vt:lpstr>'H17 26'!Print_Area</vt:lpstr>
      <vt:lpstr>'H37 26'!Print_Area</vt:lpstr>
      <vt:lpstr>'H38 26'!Print_Area</vt:lpstr>
      <vt:lpstr>'H40 26'!Print_Area</vt:lpstr>
      <vt:lpstr>'H42 26'!Print_Area</vt:lpstr>
      <vt:lpstr>'H43 26'!Print_Area</vt:lpstr>
      <vt:lpstr>'H44 26'!Print_Area</vt:lpstr>
      <vt:lpstr>'H45 26'!Print_Area</vt:lpstr>
      <vt:lpstr>'H48 26'!Print_Area</vt:lpstr>
      <vt:lpstr>'H57 26'!Print_Area</vt:lpstr>
      <vt:lpstr>'H59 26'!Print_Area</vt:lpstr>
      <vt:lpstr>'H61 26'!Print_Area</vt:lpstr>
      <vt:lpstr>'H64 26'!Print_Area</vt:lpstr>
      <vt:lpstr>'HL 26'!Print_Area</vt:lpstr>
      <vt:lpstr>'HLP 26'!Print_Area</vt:lpstr>
      <vt:lpstr>'MIG09 25'!Print_Area</vt:lpstr>
      <vt:lpstr>'MIG09 26'!Print_Area</vt:lpstr>
      <vt:lpstr>'MIG10 25'!Print_Area</vt:lpstr>
      <vt:lpstr>'MIG10 26'!Print_Area</vt:lpstr>
      <vt:lpstr>'ML 26'!Print_Area</vt:lpstr>
      <vt:lpstr>'MLP 26'!Print_Area</vt:lpstr>
      <vt:lpstr>'MOG59 25'!Print_Area</vt:lpstr>
      <vt:lpstr>'MOG59P 25'!Print_Area</vt:lpstr>
      <vt:lpstr>'MOG61 25'!Print_Area</vt:lpstr>
      <vt:lpstr>'MOG64 25'!Print_Area</vt:lpstr>
      <vt:lpstr>'MOP57 25'!Print_Area</vt:lpstr>
      <vt:lpstr>'MOP61 25'!Print_Area</vt:lpstr>
      <vt:lpstr>'OTF03 25'!Print_Area</vt:lpstr>
      <vt:lpstr>'OTF06 25'!Print_Area</vt:lpstr>
      <vt:lpstr>'OTF08 25'!Print_Area</vt:lpstr>
      <vt:lpstr>'OTP03 25'!Print_Area</vt:lpstr>
      <vt:lpstr>'OTP06 25'!Print_Area</vt:lpstr>
      <vt:lpstr>'OTP06-01 25'!Print_Area</vt:lpstr>
      <vt:lpstr>'OTP08 25'!Print_Area</vt:lpstr>
      <vt:lpstr>'P03 26'!Print_Area</vt:lpstr>
      <vt:lpstr>'P05 26'!Print_Area</vt:lpstr>
      <vt:lpstr>'P06 26'!Print_Area</vt:lpstr>
      <vt:lpstr>'P08 26'!Print_Area</vt:lpstr>
      <vt:lpstr>'P09 26'!Print_Area</vt:lpstr>
      <vt:lpstr>'P10 26'!Print_Area</vt:lpstr>
      <vt:lpstr>'P12 26'!Print_Area</vt:lpstr>
      <vt:lpstr>'P12 26 (2)'!Print_Area</vt:lpstr>
      <vt:lpstr>'P16 26'!Print_Area</vt:lpstr>
      <vt:lpstr>'P57 26'!Print_Area</vt:lpstr>
      <vt:lpstr>'P59 26'!Print_Area</vt:lpstr>
      <vt:lpstr>'P61 26'!Print_Area</vt:lpstr>
      <vt:lpstr>'PR 26'!Print_Area</vt:lpstr>
      <vt:lpstr>'PRP 26'!Print_Area</vt:lpstr>
      <vt:lpstr>'XC 25'!Print_Area</vt:lpstr>
      <vt:lpstr>'XC 26'!Print_Area</vt:lpstr>
      <vt:lpstr>'XPHL 25'!Print_Area</vt:lpstr>
      <vt:lpstr>'XPHL 26'!Print_Area</vt:lpstr>
      <vt:lpstr>'XPML 25'!Print_Area</vt:lpstr>
      <vt:lpstr>'XPML 26'!Print_Area</vt:lpstr>
      <vt:lpstr>'XPMLP 25'!Print_Area</vt:lpstr>
      <vt:lpstr>'XPMLP 26'!Print_Area</vt:lpstr>
      <vt:lpstr>'XPMLP-01 25'!Print_Area</vt:lpstr>
      <vt:lpstr>'XPMLP-01 26'!Print_Area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Naveen Gopinath</dc:creator>
  <cp:lastModifiedBy>Neethu Nath</cp:lastModifiedBy>
  <cp:lastPrinted>2026-07-11T09:44:47Z</cp:lastPrinted>
  <dcterms:created xsi:type="dcterms:W3CDTF">2026-05-02T09:24:11Z</dcterms:created>
  <dcterms:modified xsi:type="dcterms:W3CDTF">2026-07-12T17:30:15Z</dcterms:modified>
</cp:coreProperties>
</file>